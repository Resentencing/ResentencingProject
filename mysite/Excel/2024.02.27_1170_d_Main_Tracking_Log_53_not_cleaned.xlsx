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ml.chartshapes+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4.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126"/>
  <workbookPr updateLinks="never"/>
  <mc:AlternateContent xmlns:mc="http://schemas.openxmlformats.org/markup-compatibility/2006">
    <mc:Choice Requires="x15">
      <x15ac:absPath xmlns:x15ac="http://schemas.microsoft.com/office/spreadsheetml/2010/11/ac" url="C:\Users\selena.garcia1\Desktop\"/>
    </mc:Choice>
  </mc:AlternateContent>
  <xr:revisionPtr revIDLastSave="0" documentId="13_ncr:1_{D1EF7F6A-2E2D-493F-AAFC-63A691D7E5EC}" xr6:coauthVersionLast="47" xr6:coauthVersionMax="47" xr10:uidLastSave="{00000000-0000-0000-0000-000000000000}"/>
  <bookViews>
    <workbookView xWindow="-120" yWindow="-120" windowWidth="29040" windowHeight="15840" firstSheet="1" activeTab="1" xr2:uid="{00000000-000D-0000-FFFF-FFFF00000000}"/>
  </bookViews>
  <sheets>
    <sheet name="Detail1" sheetId="18" r:id="rId1"/>
    <sheet name="1170(d)(1)" sheetId="12" r:id="rId2"/>
    <sheet name="LettersMailedReport" sheetId="15" r:id="rId3"/>
    <sheet name="ReportCharts-RefreshOnly" sheetId="14" r:id="rId4"/>
    <sheet name="PivotTables-OnlyRefreshData" sheetId="13" r:id="rId5"/>
    <sheet name="Drop-downs" sheetId="16" r:id="rId6"/>
  </sheets>
  <externalReferences>
    <externalReference r:id="rId7"/>
    <externalReference r:id="rId8"/>
    <externalReference r:id="rId9"/>
    <externalReference r:id="rId10"/>
    <externalReference r:id="rId11"/>
    <externalReference r:id="rId12"/>
    <externalReference r:id="rId13"/>
  </externalReferences>
  <definedNames>
    <definedName name="_xlnm._FilterDatabase" localSheetId="1" hidden="1">'1170(d)(1)'!$A$1:$X$3086</definedName>
    <definedName name="_xlnm.Print_Area" localSheetId="1">'1170(d)(1)'!$A$1:$V$1733</definedName>
    <definedName name="_xlnm.Print_Titles" localSheetId="1">'1170(d)(1)'!$1:$1</definedName>
  </definedNames>
  <calcPr calcId="181029"/>
  <pivotCaches>
    <pivotCache cacheId="0" r:id="rId14"/>
  </pivotCaches>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S3086" i="12" l="1"/>
  <c r="S3085" i="12"/>
  <c r="S3084" i="12"/>
  <c r="S3083" i="12"/>
  <c r="S3082" i="12"/>
  <c r="S3081" i="12"/>
  <c r="S3080" i="12"/>
  <c r="S3079" i="12"/>
  <c r="S3078" i="12"/>
  <c r="S3077" i="12"/>
  <c r="S3076" i="12"/>
  <c r="S3075" i="12"/>
  <c r="S3074" i="12"/>
  <c r="S3073" i="12"/>
  <c r="S3072" i="12"/>
  <c r="S3071" i="12"/>
  <c r="S3070" i="12"/>
  <c r="S3069" i="12"/>
  <c r="S3068" i="12"/>
  <c r="S3067" i="12"/>
  <c r="S3066" i="12"/>
  <c r="S3065" i="12"/>
  <c r="S3064" i="12"/>
  <c r="S3063" i="12"/>
  <c r="S3062" i="12"/>
  <c r="S3061" i="12"/>
  <c r="R3086" i="12"/>
  <c r="R3085" i="12"/>
  <c r="R3084" i="12"/>
  <c r="R3083" i="12"/>
  <c r="R3082" i="12"/>
  <c r="R3081" i="12"/>
  <c r="R3080" i="12"/>
  <c r="R3079" i="12"/>
  <c r="R3078" i="12"/>
  <c r="R3077" i="12"/>
  <c r="R3076" i="12"/>
  <c r="R3075" i="12"/>
  <c r="R3074" i="12"/>
  <c r="R3073" i="12"/>
  <c r="R3072" i="12"/>
  <c r="R3071" i="12"/>
  <c r="R3070" i="12"/>
  <c r="R3069" i="12"/>
  <c r="R3068" i="12"/>
  <c r="R3067" i="12"/>
  <c r="R3066" i="12"/>
  <c r="R3065" i="12"/>
  <c r="R3064" i="12"/>
  <c r="R3063" i="12"/>
  <c r="R3062" i="12"/>
  <c r="R3061" i="12"/>
  <c r="S3060" i="12"/>
  <c r="S3059" i="12"/>
  <c r="S3058" i="12"/>
  <c r="S3057" i="12"/>
  <c r="S3056" i="12"/>
  <c r="S3055" i="12"/>
  <c r="S3054" i="12"/>
  <c r="S3053" i="12"/>
  <c r="S3052" i="12"/>
  <c r="S3051" i="12"/>
  <c r="S3050" i="12"/>
  <c r="S3049" i="12"/>
  <c r="S3048" i="12"/>
  <c r="S3047" i="12"/>
  <c r="S3046" i="12"/>
  <c r="S3045" i="12"/>
  <c r="S3044" i="12"/>
  <c r="S3043" i="12"/>
  <c r="S3042" i="12"/>
  <c r="S3041" i="12"/>
  <c r="S3040" i="12"/>
  <c r="S3039" i="12"/>
  <c r="S3038" i="12"/>
  <c r="S3037" i="12"/>
  <c r="S3036" i="12"/>
  <c r="S3035" i="12"/>
  <c r="S3034" i="12"/>
  <c r="S3033" i="12"/>
  <c r="S3032" i="12"/>
  <c r="S3031" i="12"/>
  <c r="S3030" i="12"/>
  <c r="S3029" i="12"/>
  <c r="S3028" i="12"/>
  <c r="S3027" i="12"/>
  <c r="S3026" i="12"/>
  <c r="S3025" i="12"/>
  <c r="S3024" i="12"/>
  <c r="S3023" i="12"/>
  <c r="S3022" i="12"/>
  <c r="R3060" i="12"/>
  <c r="R3059" i="12"/>
  <c r="R3058" i="12"/>
  <c r="R3057" i="12"/>
  <c r="R3056" i="12"/>
  <c r="R3055" i="12"/>
  <c r="R3054" i="12"/>
  <c r="R3053" i="12"/>
  <c r="R3052" i="12"/>
  <c r="R3051" i="12"/>
  <c r="R3050" i="12"/>
  <c r="R3049" i="12"/>
  <c r="R3048" i="12"/>
  <c r="R3047" i="12"/>
  <c r="R3046" i="12"/>
  <c r="R3045" i="12"/>
  <c r="R3044" i="12"/>
  <c r="R3043" i="12"/>
  <c r="R3042" i="12"/>
  <c r="R3041" i="12"/>
  <c r="R3040" i="12"/>
  <c r="R3039" i="12"/>
  <c r="R3038" i="12"/>
  <c r="R3037" i="12"/>
  <c r="R3036" i="12"/>
  <c r="R3035" i="12"/>
  <c r="R3034" i="12"/>
  <c r="R3033" i="12"/>
  <c r="R3032" i="12"/>
  <c r="R3031" i="12"/>
  <c r="R3030" i="12"/>
  <c r="R3029" i="12"/>
  <c r="R3028" i="12"/>
  <c r="R3027" i="12"/>
  <c r="R3026" i="12"/>
  <c r="R3025" i="12"/>
  <c r="R3024" i="12"/>
  <c r="R3023" i="12"/>
  <c r="R3022" i="12"/>
  <c r="S3015" i="12"/>
  <c r="S3014" i="12"/>
  <c r="S3013" i="12"/>
  <c r="S3012" i="12"/>
  <c r="S3011" i="12"/>
  <c r="S3010" i="12"/>
  <c r="S3009" i="12"/>
  <c r="S3008" i="12"/>
  <c r="S3007" i="12"/>
  <c r="S3006" i="12"/>
  <c r="S3005" i="12"/>
  <c r="S3004" i="12"/>
  <c r="S3003" i="12"/>
  <c r="S3002" i="12"/>
  <c r="S3001" i="12"/>
  <c r="S3000" i="12"/>
  <c r="S2999" i="12"/>
  <c r="S2998" i="12"/>
  <c r="S2997" i="12"/>
  <c r="S2996" i="12"/>
  <c r="S2995" i="12"/>
  <c r="S2994" i="12"/>
  <c r="S2993" i="12"/>
  <c r="S2992" i="12"/>
  <c r="S2991" i="12"/>
  <c r="S2990" i="12"/>
  <c r="S2989" i="12"/>
  <c r="S2988" i="12"/>
  <c r="S2987" i="12"/>
  <c r="S2986" i="12"/>
  <c r="S2985" i="12"/>
  <c r="S2984" i="12"/>
  <c r="S2983" i="12"/>
  <c r="S2982" i="12"/>
  <c r="S2981" i="12"/>
  <c r="S2980" i="12"/>
  <c r="S2979" i="12"/>
  <c r="S2978" i="12"/>
  <c r="S2977" i="12"/>
  <c r="S2976" i="12"/>
  <c r="S2975" i="12"/>
  <c r="S2974" i="12"/>
  <c r="S2973" i="12"/>
  <c r="S2972" i="12"/>
  <c r="S2971" i="12"/>
  <c r="S2970" i="12"/>
  <c r="S2969" i="12"/>
  <c r="S2968" i="12"/>
  <c r="S2967" i="12"/>
  <c r="S2966" i="12"/>
  <c r="S2965" i="12"/>
  <c r="S2964" i="12"/>
  <c r="S2963" i="12"/>
  <c r="S2962" i="12"/>
  <c r="S2961" i="12"/>
  <c r="S2960" i="12"/>
  <c r="S2959" i="12"/>
  <c r="S2958" i="12"/>
  <c r="S2957" i="12"/>
  <c r="S2956" i="12"/>
  <c r="S2955" i="12"/>
  <c r="S2954" i="12"/>
  <c r="S2953" i="12"/>
  <c r="S2952" i="12"/>
  <c r="S2951" i="12"/>
  <c r="S2950" i="12"/>
  <c r="S2949" i="12"/>
  <c r="S2948" i="12"/>
  <c r="S2947" i="12"/>
  <c r="S2946" i="12"/>
  <c r="S2945" i="12"/>
  <c r="S2944" i="12"/>
  <c r="S2943" i="12"/>
  <c r="S2942" i="12"/>
  <c r="S2941" i="12"/>
  <c r="S2940" i="12"/>
  <c r="S2939" i="12"/>
  <c r="S2938" i="12"/>
  <c r="S2937" i="12"/>
  <c r="S2936" i="12"/>
  <c r="R3015" i="12"/>
  <c r="R3014" i="12"/>
  <c r="R3013" i="12"/>
  <c r="R3012" i="12"/>
  <c r="R3011" i="12"/>
  <c r="R3010" i="12"/>
  <c r="R3009" i="12"/>
  <c r="R3008" i="12"/>
  <c r="R3007" i="12"/>
  <c r="R3006" i="12"/>
  <c r="R3005" i="12"/>
  <c r="R3004" i="12"/>
  <c r="R3003" i="12"/>
  <c r="R3002" i="12"/>
  <c r="R3001" i="12"/>
  <c r="R3000" i="12"/>
  <c r="R2999" i="12"/>
  <c r="R2998" i="12"/>
  <c r="R2997" i="12"/>
  <c r="R2996" i="12"/>
  <c r="R2995" i="12"/>
  <c r="R2994" i="12"/>
  <c r="R2993" i="12"/>
  <c r="R2992" i="12"/>
  <c r="R2991" i="12"/>
  <c r="R2990" i="12"/>
  <c r="R2989" i="12"/>
  <c r="R2988" i="12"/>
  <c r="R2987" i="12"/>
  <c r="R2986" i="12"/>
  <c r="R2985" i="12"/>
  <c r="R2984" i="12"/>
  <c r="R2983" i="12"/>
  <c r="R2982" i="12"/>
  <c r="R2981" i="12"/>
  <c r="R2980" i="12"/>
  <c r="R2979" i="12"/>
  <c r="R2978" i="12"/>
  <c r="R2977" i="12"/>
  <c r="R2976" i="12"/>
  <c r="R2975" i="12"/>
  <c r="R2974" i="12"/>
  <c r="R2973" i="12"/>
  <c r="R2972" i="12"/>
  <c r="R2971" i="12"/>
  <c r="R2970" i="12"/>
  <c r="R2969" i="12"/>
  <c r="R2968" i="12"/>
  <c r="R2967" i="12"/>
  <c r="R2966" i="12"/>
  <c r="R2965" i="12"/>
  <c r="R2964" i="12"/>
  <c r="R2963" i="12"/>
  <c r="R2962" i="12"/>
  <c r="R2961" i="12"/>
  <c r="R2960" i="12"/>
  <c r="R2959" i="12"/>
  <c r="R2958" i="12"/>
  <c r="R2957" i="12"/>
  <c r="R2956" i="12"/>
  <c r="R2955" i="12"/>
  <c r="R2954" i="12"/>
  <c r="R2953" i="12"/>
  <c r="R2952" i="12"/>
  <c r="R2951" i="12"/>
  <c r="R2950" i="12"/>
  <c r="R2949" i="12"/>
  <c r="R2948" i="12"/>
  <c r="R2947" i="12"/>
  <c r="R2946" i="12"/>
  <c r="R2945" i="12"/>
  <c r="R2944" i="12"/>
  <c r="R2943" i="12"/>
  <c r="R2942" i="12"/>
  <c r="R2941" i="12"/>
  <c r="R2940" i="12"/>
  <c r="R2939" i="12"/>
  <c r="R2938" i="12"/>
  <c r="R2937" i="12"/>
  <c r="R2936" i="12"/>
  <c r="S2935" i="12"/>
  <c r="S2934" i="12"/>
  <c r="S2933" i="12"/>
  <c r="S2932" i="12"/>
  <c r="S2931" i="12"/>
  <c r="S2930" i="12"/>
  <c r="S2929" i="12"/>
  <c r="S2928" i="12"/>
  <c r="S2927" i="12"/>
  <c r="S2926" i="12"/>
  <c r="S2925" i="12"/>
  <c r="S2924" i="12"/>
  <c r="S2923" i="12"/>
  <c r="S2922" i="12"/>
  <c r="S2921" i="12"/>
  <c r="S2920" i="12"/>
  <c r="S2919" i="12"/>
  <c r="S2918" i="12"/>
  <c r="S2917" i="12"/>
  <c r="S2916" i="12"/>
  <c r="S2915" i="12"/>
  <c r="S2914" i="12"/>
  <c r="S2913" i="12"/>
  <c r="S2912" i="12"/>
  <c r="S2911" i="12"/>
  <c r="S2910" i="12"/>
  <c r="S2909" i="12"/>
  <c r="S2908" i="12"/>
  <c r="S2907" i="12"/>
  <c r="S2906" i="12"/>
  <c r="S2905" i="12"/>
  <c r="S2904" i="12"/>
  <c r="S2903" i="12"/>
  <c r="S2902" i="12"/>
  <c r="S2901" i="12"/>
  <c r="S2900" i="12"/>
  <c r="S2899" i="12"/>
  <c r="S2898" i="12"/>
  <c r="S2897" i="12"/>
  <c r="S2896" i="12"/>
  <c r="S2895" i="12"/>
  <c r="S2894" i="12"/>
  <c r="S2893" i="12"/>
  <c r="S2892" i="12"/>
  <c r="S2891" i="12"/>
  <c r="S2890" i="12"/>
  <c r="S2889" i="12"/>
  <c r="S2888" i="12"/>
  <c r="S2887" i="12"/>
  <c r="S2886" i="12"/>
  <c r="S2885" i="12"/>
  <c r="R2935" i="12"/>
  <c r="R2934" i="12"/>
  <c r="R2933" i="12"/>
  <c r="R2932" i="12"/>
  <c r="R2931" i="12"/>
  <c r="R2930" i="12"/>
  <c r="R2929" i="12"/>
  <c r="R2928" i="12"/>
  <c r="R2927" i="12"/>
  <c r="R2926" i="12"/>
  <c r="R2925" i="12"/>
  <c r="R2924" i="12"/>
  <c r="R2923" i="12"/>
  <c r="R2922" i="12"/>
  <c r="R2921" i="12"/>
  <c r="R2920" i="12"/>
  <c r="R2919" i="12"/>
  <c r="R2918" i="12"/>
  <c r="R2917" i="12"/>
  <c r="R2916" i="12"/>
  <c r="R2915" i="12"/>
  <c r="R2914" i="12"/>
  <c r="R2913" i="12"/>
  <c r="R2912" i="12"/>
  <c r="R2911" i="12"/>
  <c r="R2910" i="12"/>
  <c r="R2909" i="12"/>
  <c r="R2908" i="12"/>
  <c r="R2907" i="12"/>
  <c r="R2906" i="12"/>
  <c r="R2905" i="12"/>
  <c r="R2904" i="12"/>
  <c r="R2903" i="12"/>
  <c r="R2902" i="12"/>
  <c r="R2901" i="12"/>
  <c r="R2900" i="12"/>
  <c r="R2899" i="12"/>
  <c r="R2898" i="12"/>
  <c r="R2897" i="12"/>
  <c r="R2896" i="12"/>
  <c r="R2895" i="12"/>
  <c r="R2894" i="12"/>
  <c r="R2893" i="12"/>
  <c r="R2892" i="12"/>
  <c r="R2891" i="12"/>
  <c r="R2890" i="12"/>
  <c r="R2889" i="12"/>
  <c r="R2888" i="12"/>
  <c r="R2887" i="12"/>
  <c r="R2886" i="12"/>
  <c r="R2885" i="12"/>
  <c r="S2884" i="12"/>
  <c r="S2883" i="12"/>
  <c r="S2882" i="12"/>
  <c r="S2881" i="12"/>
  <c r="S2880" i="12"/>
  <c r="S2879" i="12"/>
  <c r="S2878" i="12"/>
  <c r="S2877" i="12"/>
  <c r="S2876" i="12"/>
  <c r="S2875" i="12"/>
  <c r="S2874" i="12"/>
  <c r="S2873" i="12"/>
  <c r="S2872" i="12"/>
  <c r="S2871" i="12"/>
  <c r="S2870" i="12"/>
  <c r="S2869" i="12"/>
  <c r="S2868" i="12"/>
  <c r="S2867" i="12"/>
  <c r="S2866" i="12"/>
  <c r="S2865" i="12"/>
  <c r="S2864" i="12"/>
  <c r="S2863" i="12"/>
  <c r="S2862" i="12"/>
  <c r="S2861" i="12"/>
  <c r="S2860" i="12"/>
  <c r="S2859" i="12"/>
  <c r="S2858" i="12"/>
  <c r="S2857" i="12"/>
  <c r="S2856" i="12"/>
  <c r="S2855" i="12"/>
  <c r="S2854" i="12"/>
  <c r="S2853" i="12"/>
  <c r="S2852" i="12"/>
  <c r="S2851" i="12"/>
  <c r="S2850" i="12"/>
  <c r="S2849" i="12"/>
  <c r="S2848" i="12"/>
  <c r="S2847" i="12"/>
  <c r="S2846" i="12"/>
  <c r="S2845" i="12"/>
  <c r="S2844" i="12"/>
  <c r="S2843" i="12"/>
  <c r="S2842" i="12"/>
  <c r="S2841" i="12"/>
  <c r="S2840" i="12"/>
  <c r="S2839" i="12"/>
  <c r="S2838" i="12"/>
  <c r="S2837" i="12"/>
  <c r="S2836" i="12"/>
  <c r="R2884" i="12"/>
  <c r="R2883" i="12"/>
  <c r="R2882" i="12"/>
  <c r="R2881" i="12"/>
  <c r="R2880" i="12"/>
  <c r="R2879" i="12"/>
  <c r="R2878" i="12"/>
  <c r="R2877" i="12"/>
  <c r="R2876" i="12"/>
  <c r="R2875" i="12"/>
  <c r="R2874" i="12"/>
  <c r="R2873" i="12"/>
  <c r="R2872" i="12"/>
  <c r="R2871" i="12"/>
  <c r="R2870" i="12"/>
  <c r="R2869" i="12"/>
  <c r="R2868" i="12"/>
  <c r="R2867" i="12"/>
  <c r="R2866" i="12"/>
  <c r="R2865" i="12"/>
  <c r="R2864" i="12"/>
  <c r="R2863" i="12"/>
  <c r="R2862" i="12"/>
  <c r="R2861" i="12"/>
  <c r="R2860" i="12"/>
  <c r="R2859" i="12"/>
  <c r="R2858" i="12"/>
  <c r="R2857" i="12"/>
  <c r="R2856" i="12"/>
  <c r="R2855" i="12"/>
  <c r="R2854" i="12"/>
  <c r="R2853" i="12"/>
  <c r="R2852" i="12"/>
  <c r="R2851" i="12"/>
  <c r="R2850" i="12"/>
  <c r="R2849" i="12"/>
  <c r="R2848" i="12"/>
  <c r="R2847" i="12"/>
  <c r="R2846" i="12"/>
  <c r="R2845" i="12"/>
  <c r="R2844" i="12"/>
  <c r="R2843" i="12"/>
  <c r="R2842" i="12"/>
  <c r="R2841" i="12"/>
  <c r="R2840" i="12"/>
  <c r="R2839" i="12"/>
  <c r="R2838" i="12"/>
  <c r="R2837" i="12"/>
  <c r="R2836" i="12"/>
  <c r="S1941" i="12"/>
  <c r="S2835" i="12"/>
  <c r="S2834" i="12"/>
  <c r="S2833" i="12"/>
  <c r="S2832" i="12"/>
  <c r="S2831" i="12"/>
  <c r="S2830" i="12"/>
  <c r="S2829" i="12"/>
  <c r="S2828" i="12"/>
  <c r="S2827" i="12"/>
  <c r="S2826" i="12"/>
  <c r="S2825" i="12"/>
  <c r="S2824" i="12"/>
  <c r="S2823" i="12"/>
  <c r="S2822" i="12"/>
  <c r="S2821" i="12"/>
  <c r="S2820" i="12"/>
  <c r="S2819" i="12"/>
  <c r="S2818" i="12"/>
  <c r="S2817" i="12"/>
  <c r="S2816" i="12"/>
  <c r="S2815" i="12"/>
  <c r="S2814" i="12"/>
  <c r="S2813" i="12"/>
  <c r="S2812" i="12"/>
  <c r="S2811" i="12"/>
  <c r="S2810" i="12"/>
  <c r="S2809" i="12"/>
  <c r="S2808" i="12"/>
  <c r="S2807" i="12"/>
  <c r="S2806" i="12"/>
  <c r="S2805" i="12"/>
  <c r="S2804" i="12"/>
  <c r="S2803" i="12"/>
  <c r="S2802" i="12"/>
  <c r="S2801" i="12"/>
  <c r="S2800" i="12"/>
  <c r="S2799" i="12"/>
  <c r="S2798" i="12"/>
  <c r="S2797" i="12"/>
  <c r="S2796" i="12"/>
  <c r="S2795" i="12"/>
  <c r="S2794" i="12"/>
  <c r="S2793" i="12"/>
  <c r="S2792" i="12"/>
  <c r="S2791" i="12"/>
  <c r="S2790" i="12"/>
  <c r="S2789" i="12"/>
  <c r="S2788" i="12"/>
  <c r="S2787" i="12"/>
  <c r="S2786" i="12"/>
  <c r="S2785" i="12"/>
  <c r="S2784" i="12"/>
  <c r="S2783" i="12"/>
  <c r="S2782" i="12"/>
  <c r="S2781" i="12"/>
  <c r="S2780" i="12"/>
  <c r="S2779" i="12"/>
  <c r="S2778" i="12"/>
  <c r="S2777" i="12"/>
  <c r="S2776" i="12"/>
  <c r="S2775" i="12"/>
  <c r="S2774" i="12"/>
  <c r="S2773" i="12"/>
  <c r="S2772" i="12"/>
  <c r="S2771" i="12"/>
  <c r="S2770" i="12"/>
  <c r="S2769" i="12"/>
  <c r="S2768" i="12"/>
  <c r="S2767" i="12"/>
  <c r="S2766" i="12"/>
  <c r="S2765" i="12"/>
  <c r="S2764" i="12"/>
  <c r="S2763" i="12"/>
  <c r="S2762" i="12"/>
  <c r="S2761" i="12"/>
  <c r="S2760" i="12"/>
  <c r="S2759" i="12"/>
  <c r="S2758" i="12"/>
  <c r="S2757" i="12"/>
  <c r="S2756" i="12"/>
  <c r="S2755" i="12"/>
  <c r="S2754" i="12"/>
  <c r="S2753" i="12"/>
  <c r="S2752" i="12"/>
  <c r="S2751" i="12"/>
  <c r="S2750" i="12"/>
  <c r="S2749" i="12"/>
  <c r="S2748" i="12"/>
  <c r="S2747" i="12"/>
  <c r="S2746" i="12"/>
  <c r="S2745" i="12"/>
  <c r="S2744" i="12"/>
  <c r="S2743" i="12"/>
  <c r="S2742" i="12"/>
  <c r="S2741" i="12"/>
  <c r="S2740" i="12"/>
  <c r="S2739" i="12"/>
  <c r="S2738" i="12"/>
  <c r="S2737" i="12"/>
  <c r="S2736" i="12"/>
  <c r="S2735" i="12"/>
  <c r="S2734" i="12"/>
  <c r="S2733" i="12"/>
  <c r="S2732" i="12"/>
  <c r="S2731" i="12"/>
  <c r="S2730" i="12"/>
  <c r="S2729" i="12"/>
  <c r="S2728" i="12"/>
  <c r="S2727" i="12"/>
  <c r="S2726" i="12"/>
  <c r="S2725" i="12"/>
  <c r="S2724" i="12"/>
  <c r="R2835" i="12"/>
  <c r="R2834" i="12"/>
  <c r="R2833" i="12"/>
  <c r="R2832" i="12"/>
  <c r="R2831" i="12"/>
  <c r="R2830" i="12"/>
  <c r="R2829" i="12"/>
  <c r="R2828" i="12"/>
  <c r="R2827" i="12"/>
  <c r="R2826" i="12"/>
  <c r="R2825" i="12"/>
  <c r="R2824" i="12"/>
  <c r="R2823" i="12"/>
  <c r="R2822" i="12"/>
  <c r="R2821" i="12"/>
  <c r="R2820" i="12"/>
  <c r="R2819" i="12"/>
  <c r="R2818" i="12"/>
  <c r="R2817" i="12"/>
  <c r="R2816" i="12"/>
  <c r="R2815" i="12"/>
  <c r="R2814" i="12"/>
  <c r="R2813" i="12"/>
  <c r="R2812" i="12"/>
  <c r="R2811" i="12"/>
  <c r="R2810" i="12"/>
  <c r="R2809" i="12"/>
  <c r="R2808" i="12"/>
  <c r="R2807" i="12"/>
  <c r="R2806" i="12"/>
  <c r="R2805" i="12"/>
  <c r="R2804" i="12"/>
  <c r="R2803" i="12"/>
  <c r="R2802" i="12"/>
  <c r="R2801" i="12"/>
  <c r="R2800" i="12"/>
  <c r="R2799" i="12"/>
  <c r="R2798" i="12"/>
  <c r="R2797" i="12"/>
  <c r="R2796" i="12"/>
  <c r="R2795" i="12"/>
  <c r="R2794" i="12"/>
  <c r="R2793" i="12"/>
  <c r="R2792" i="12"/>
  <c r="R2791" i="12"/>
  <c r="R2790" i="12"/>
  <c r="R2789" i="12"/>
  <c r="R2788" i="12"/>
  <c r="R2787" i="12"/>
  <c r="R2786" i="12"/>
  <c r="R2785" i="12"/>
  <c r="R2784" i="12"/>
  <c r="R2783" i="12"/>
  <c r="R2782" i="12"/>
  <c r="R2781" i="12"/>
  <c r="R2780" i="12"/>
  <c r="R2779" i="12"/>
  <c r="R2778" i="12"/>
  <c r="R2777" i="12"/>
  <c r="R2776" i="12"/>
  <c r="R2775" i="12"/>
  <c r="R2774" i="12"/>
  <c r="R2773" i="12"/>
  <c r="R2772" i="12"/>
  <c r="R2771" i="12"/>
  <c r="R2770" i="12"/>
  <c r="R2769" i="12"/>
  <c r="R2768" i="12"/>
  <c r="R2767" i="12"/>
  <c r="R2766" i="12"/>
  <c r="R2765" i="12"/>
  <c r="R2764" i="12"/>
  <c r="R2763" i="12"/>
  <c r="R2762" i="12"/>
  <c r="R2761" i="12"/>
  <c r="R2760" i="12"/>
  <c r="R2759" i="12"/>
  <c r="R2758" i="12"/>
  <c r="R2757" i="12"/>
  <c r="R2756" i="12"/>
  <c r="R2755" i="12"/>
  <c r="R2754" i="12"/>
  <c r="R2753" i="12"/>
  <c r="R2752" i="12"/>
  <c r="R2751" i="12"/>
  <c r="R2750" i="12"/>
  <c r="R2749" i="12"/>
  <c r="R2748" i="12"/>
  <c r="R2747" i="12"/>
  <c r="R2746" i="12"/>
  <c r="R2745" i="12"/>
  <c r="R2744" i="12"/>
  <c r="R2743" i="12"/>
  <c r="R2742" i="12"/>
  <c r="R2741" i="12"/>
  <c r="R2740" i="12"/>
  <c r="R2739" i="12"/>
  <c r="R2738" i="12"/>
  <c r="R2737" i="12"/>
  <c r="R2736" i="12"/>
  <c r="R2735" i="12"/>
  <c r="R2734" i="12"/>
  <c r="R2733" i="12"/>
  <c r="R2732" i="12"/>
  <c r="R2731" i="12"/>
  <c r="R2730" i="12"/>
  <c r="R2729" i="12"/>
  <c r="R2728" i="12"/>
  <c r="R2727" i="12"/>
  <c r="R2726" i="12"/>
  <c r="R2725" i="12"/>
  <c r="R2724" i="12"/>
  <c r="R2722" i="12"/>
  <c r="R2721" i="12"/>
  <c r="R2720" i="12"/>
  <c r="R2719" i="12"/>
  <c r="R2718" i="12"/>
  <c r="R2717" i="12"/>
  <c r="R2716" i="12"/>
  <c r="R2715" i="12"/>
  <c r="R2714" i="12"/>
  <c r="R2713" i="12"/>
  <c r="R2712" i="12"/>
  <c r="R2711" i="12"/>
  <c r="R2710" i="12"/>
  <c r="R2709" i="12"/>
  <c r="R2708" i="12"/>
  <c r="R2707" i="12"/>
  <c r="R2706" i="12"/>
  <c r="R2705" i="12"/>
  <c r="R2704" i="12"/>
  <c r="R2703" i="12"/>
  <c r="R2702" i="12"/>
  <c r="R2701" i="12"/>
  <c r="R2700" i="12"/>
  <c r="R2699" i="12"/>
  <c r="R2698" i="12"/>
  <c r="R2697" i="12"/>
  <c r="R2696" i="12"/>
  <c r="R2695" i="12"/>
  <c r="R2694" i="12"/>
  <c r="R2693" i="12"/>
  <c r="R2692" i="12"/>
  <c r="R2691" i="12"/>
  <c r="R2690" i="12"/>
  <c r="R2689" i="12"/>
  <c r="R2688" i="12"/>
  <c r="R2687" i="12"/>
  <c r="R2686" i="12"/>
  <c r="R2685" i="12"/>
  <c r="R2684" i="12"/>
  <c r="R2683" i="12"/>
  <c r="R2682" i="12"/>
  <c r="R2681" i="12"/>
  <c r="R2680" i="12"/>
  <c r="R2679" i="12"/>
  <c r="R2678" i="12"/>
  <c r="R2677" i="12"/>
  <c r="R2676" i="12"/>
  <c r="R2675" i="12"/>
  <c r="R2674" i="12"/>
  <c r="R2673" i="12"/>
  <c r="R2672" i="12"/>
  <c r="R2671" i="12"/>
  <c r="R2670" i="12"/>
  <c r="R2669" i="12"/>
  <c r="R2668" i="12"/>
  <c r="R2667" i="12"/>
  <c r="R2666" i="12"/>
  <c r="R2665" i="12"/>
  <c r="R2664" i="12"/>
  <c r="R2663" i="12"/>
  <c r="R2662" i="12"/>
  <c r="R2661" i="12"/>
  <c r="R2660" i="12"/>
  <c r="R2659" i="12"/>
  <c r="R2658" i="12"/>
  <c r="R2657" i="12"/>
  <c r="R2656" i="12"/>
  <c r="R2655" i="12"/>
  <c r="R2654" i="12"/>
  <c r="R2653" i="12"/>
  <c r="R2652" i="12"/>
  <c r="R2651" i="12"/>
  <c r="R2650" i="12"/>
  <c r="R2649" i="12"/>
  <c r="R2648" i="12"/>
  <c r="R2647" i="12"/>
  <c r="R2646" i="12"/>
  <c r="R2645" i="12"/>
  <c r="R2644" i="12"/>
  <c r="R2643" i="12"/>
  <c r="R2642" i="12"/>
  <c r="R2641" i="12"/>
  <c r="R2640" i="12"/>
  <c r="R2639" i="12"/>
  <c r="R2638" i="12"/>
  <c r="R2637" i="12"/>
  <c r="R2636" i="12"/>
  <c r="R2635" i="12"/>
  <c r="R2634" i="12"/>
  <c r="R2633" i="12"/>
  <c r="R2632" i="12"/>
  <c r="R2631" i="12"/>
  <c r="R2630" i="12"/>
  <c r="R2629" i="12"/>
  <c r="R2628" i="12"/>
  <c r="R2627" i="12"/>
  <c r="R2626" i="12"/>
  <c r="S2722" i="12"/>
  <c r="S2721" i="12"/>
  <c r="S2720" i="12"/>
  <c r="S2719" i="12"/>
  <c r="S2718" i="12"/>
  <c r="S2717" i="12"/>
  <c r="S2716" i="12"/>
  <c r="S2715" i="12"/>
  <c r="S2714" i="12"/>
  <c r="S2713" i="12"/>
  <c r="S2712" i="12"/>
  <c r="S2711" i="12"/>
  <c r="S2710" i="12"/>
  <c r="S2709" i="12"/>
  <c r="S2708" i="12"/>
  <c r="S2707" i="12"/>
  <c r="S2706" i="12"/>
  <c r="S2705" i="12"/>
  <c r="S2704" i="12"/>
  <c r="S2703" i="12"/>
  <c r="S2702" i="12"/>
  <c r="S2701" i="12"/>
  <c r="S2700" i="12"/>
  <c r="S2699" i="12"/>
  <c r="S2698" i="12"/>
  <c r="S2697" i="12"/>
  <c r="S2696" i="12"/>
  <c r="S2695" i="12"/>
  <c r="S2694" i="12"/>
  <c r="S2693" i="12"/>
  <c r="S2692" i="12"/>
  <c r="S2691" i="12"/>
  <c r="S2690" i="12"/>
  <c r="S2689" i="12"/>
  <c r="S2688" i="12"/>
  <c r="S2687" i="12"/>
  <c r="S2686" i="12"/>
  <c r="R2723" i="12"/>
  <c r="S2685" i="12"/>
  <c r="S2684" i="12"/>
  <c r="S2683" i="12"/>
  <c r="S2682" i="12"/>
  <c r="S2681" i="12"/>
  <c r="S2680" i="12"/>
  <c r="S2679" i="12"/>
  <c r="S2678" i="12"/>
  <c r="S2677" i="12"/>
  <c r="S2676" i="12"/>
  <c r="S2675" i="12"/>
  <c r="S2674" i="12"/>
  <c r="S2673" i="12"/>
  <c r="S2672" i="12"/>
  <c r="S2671" i="12"/>
  <c r="S2670" i="12"/>
  <c r="S2669" i="12"/>
  <c r="S2668" i="12"/>
  <c r="S2667" i="12"/>
  <c r="S2666" i="12"/>
  <c r="S2665" i="12"/>
  <c r="S2664" i="12"/>
  <c r="S2663" i="12"/>
  <c r="S2662" i="12"/>
  <c r="S2661" i="12"/>
  <c r="S2660" i="12"/>
  <c r="S2659" i="12"/>
  <c r="S2658" i="12"/>
  <c r="S2657" i="12"/>
  <c r="S2656" i="12"/>
  <c r="S2655" i="12"/>
  <c r="S2654" i="12"/>
  <c r="S2653" i="12"/>
  <c r="S2652" i="12"/>
  <c r="S2651" i="12"/>
  <c r="S2650" i="12"/>
  <c r="S2649" i="12"/>
  <c r="S2648" i="12"/>
  <c r="S2647" i="12"/>
  <c r="S2646" i="12"/>
  <c r="S2645" i="12"/>
  <c r="S2644" i="12"/>
  <c r="S2643" i="12"/>
  <c r="S2642" i="12"/>
  <c r="S2641" i="12"/>
  <c r="S2640" i="12"/>
  <c r="S2639" i="12"/>
  <c r="S2638" i="12"/>
  <c r="S2637" i="12"/>
  <c r="S2636" i="12"/>
  <c r="S2635" i="12"/>
  <c r="S2634" i="12"/>
  <c r="S2633" i="12"/>
  <c r="S2632" i="12"/>
  <c r="S2631" i="12"/>
  <c r="S2630" i="12"/>
  <c r="S2629" i="12"/>
  <c r="S2628" i="12"/>
  <c r="S2627" i="12"/>
  <c r="S2626" i="12"/>
  <c r="S2723" i="12"/>
  <c r="R2296" i="12"/>
  <c r="S2625" i="12"/>
  <c r="R2625" i="12"/>
  <c r="S2624" i="12"/>
  <c r="R2624" i="12"/>
  <c r="S2623" i="12"/>
  <c r="R2623" i="12"/>
  <c r="S2622" i="12"/>
  <c r="R2622" i="12"/>
  <c r="S2621" i="12"/>
  <c r="R2621" i="12"/>
  <c r="S2620" i="12"/>
  <c r="R2620" i="12"/>
  <c r="S2619" i="12"/>
  <c r="R2619" i="12"/>
  <c r="S2618" i="12"/>
  <c r="R2618" i="12"/>
  <c r="S2617" i="12"/>
  <c r="R2617" i="12"/>
  <c r="S2616" i="12"/>
  <c r="R2616" i="12"/>
  <c r="S2615" i="12"/>
  <c r="R2615" i="12"/>
  <c r="S2614" i="12"/>
  <c r="R2614" i="12"/>
  <c r="S2613" i="12"/>
  <c r="R2613" i="12"/>
  <c r="S2612" i="12"/>
  <c r="R2612" i="12"/>
  <c r="S2611" i="12"/>
  <c r="R2611" i="12"/>
  <c r="S2610" i="12"/>
  <c r="R2610" i="12"/>
  <c r="S2609" i="12"/>
  <c r="R2609" i="12"/>
  <c r="S2608" i="12"/>
  <c r="R2608" i="12"/>
  <c r="S2607" i="12"/>
  <c r="R2607" i="12"/>
  <c r="S2606" i="12"/>
  <c r="R2606" i="12"/>
  <c r="S2605" i="12"/>
  <c r="R2605" i="12"/>
  <c r="S2604" i="12"/>
  <c r="R2604" i="12"/>
  <c r="S2603" i="12"/>
  <c r="R2603" i="12"/>
  <c r="S2602" i="12"/>
  <c r="R2602" i="12"/>
  <c r="S2601" i="12"/>
  <c r="R2601" i="12"/>
  <c r="S2600" i="12"/>
  <c r="R2600" i="12"/>
  <c r="S2599" i="12"/>
  <c r="R2599" i="12"/>
  <c r="S2598" i="12"/>
  <c r="R2598" i="12"/>
  <c r="S2597" i="12"/>
  <c r="R2597" i="12"/>
  <c r="S2596" i="12"/>
  <c r="R2596" i="12"/>
  <c r="S2595" i="12"/>
  <c r="R2595" i="12"/>
  <c r="S2594" i="12"/>
  <c r="R2594" i="12"/>
  <c r="S2593" i="12"/>
  <c r="R2593" i="12"/>
  <c r="S2592" i="12"/>
  <c r="R2592" i="12"/>
  <c r="S2591" i="12"/>
  <c r="R2591" i="12"/>
  <c r="S2590" i="12"/>
  <c r="R2590" i="12"/>
  <c r="S2589" i="12"/>
  <c r="R2589" i="12"/>
  <c r="S2588" i="12"/>
  <c r="R2588" i="12"/>
  <c r="S2587" i="12"/>
  <c r="R2587" i="12"/>
  <c r="S2586" i="12"/>
  <c r="R2586" i="12"/>
  <c r="S2585" i="12"/>
  <c r="R2585" i="12"/>
  <c r="S2584" i="12"/>
  <c r="R2584" i="12"/>
  <c r="S2583" i="12"/>
  <c r="R2583" i="12"/>
  <c r="S2582" i="12"/>
  <c r="R2582" i="12"/>
  <c r="S2581" i="12"/>
  <c r="R2581" i="12"/>
  <c r="S2580" i="12"/>
  <c r="R2580" i="12"/>
  <c r="S2579" i="12"/>
  <c r="R2579" i="12"/>
  <c r="S2578" i="12"/>
  <c r="R2578" i="12"/>
  <c r="S2577" i="12"/>
  <c r="R2577" i="12"/>
  <c r="S2576" i="12"/>
  <c r="R2576" i="12"/>
  <c r="S2575" i="12"/>
  <c r="R2575" i="12"/>
  <c r="S2574" i="12"/>
  <c r="R2574" i="12"/>
  <c r="S2573" i="12"/>
  <c r="R2573" i="12"/>
  <c r="S2572" i="12"/>
  <c r="R2572" i="12"/>
  <c r="S2571" i="12"/>
  <c r="R2571" i="12"/>
  <c r="S2570" i="12"/>
  <c r="R2570" i="12"/>
  <c r="S2569" i="12"/>
  <c r="R2569" i="12"/>
  <c r="S2568" i="12"/>
  <c r="R2568" i="12"/>
  <c r="S2567" i="12"/>
  <c r="R2567" i="12"/>
  <c r="S2566" i="12"/>
  <c r="R2566" i="12"/>
  <c r="S2565" i="12"/>
  <c r="R2565" i="12"/>
  <c r="S2564" i="12"/>
  <c r="R2564" i="12"/>
  <c r="S2563" i="12"/>
  <c r="R2563" i="12"/>
  <c r="S2562" i="12"/>
  <c r="R2562" i="12"/>
  <c r="S2561" i="12"/>
  <c r="R2561" i="12"/>
  <c r="S2560" i="12"/>
  <c r="R2560" i="12"/>
  <c r="S2559" i="12"/>
  <c r="R2559" i="12"/>
  <c r="S2558" i="12"/>
  <c r="R2558" i="12"/>
  <c r="S2557" i="12"/>
  <c r="R2557" i="12"/>
  <c r="S2556" i="12"/>
  <c r="R2556" i="12"/>
  <c r="S2555" i="12"/>
  <c r="R2555" i="12"/>
  <c r="S2554" i="12"/>
  <c r="R2554" i="12"/>
  <c r="S2553" i="12"/>
  <c r="R2553" i="12"/>
  <c r="S2552" i="12"/>
  <c r="R2552" i="12"/>
  <c r="S2551" i="12"/>
  <c r="R2551" i="12"/>
  <c r="S2550" i="12"/>
  <c r="R2550" i="12"/>
  <c r="S2549" i="12"/>
  <c r="R2549" i="12"/>
  <c r="S2548" i="12"/>
  <c r="R2548" i="12"/>
  <c r="S2547" i="12"/>
  <c r="R2547" i="12"/>
  <c r="S2546" i="12"/>
  <c r="R2546" i="12"/>
  <c r="S2545" i="12"/>
  <c r="R2545" i="12"/>
  <c r="S2544" i="12"/>
  <c r="R2544" i="12"/>
  <c r="S2543" i="12"/>
  <c r="R2543" i="12"/>
  <c r="S2542" i="12"/>
  <c r="R2542" i="12"/>
  <c r="S2541" i="12"/>
  <c r="R2541" i="12"/>
  <c r="S2540" i="12"/>
  <c r="R2540" i="12"/>
  <c r="S2539" i="12"/>
  <c r="R2539" i="12"/>
  <c r="S2538" i="12"/>
  <c r="R2538" i="12"/>
  <c r="S2537" i="12"/>
  <c r="R2537" i="12"/>
  <c r="S2536" i="12"/>
  <c r="R2536" i="12"/>
  <c r="S2535" i="12"/>
  <c r="R2535" i="12"/>
  <c r="S2534" i="12"/>
  <c r="R2534" i="12"/>
  <c r="S2533" i="12"/>
  <c r="R2533" i="12"/>
  <c r="S2532" i="12"/>
  <c r="R2532" i="12"/>
  <c r="S2531" i="12"/>
  <c r="R2531" i="12"/>
  <c r="S2530" i="12"/>
  <c r="R2530" i="12"/>
  <c r="S2529" i="12"/>
  <c r="R2529" i="12"/>
  <c r="S2528" i="12"/>
  <c r="R2528" i="12"/>
  <c r="S2527" i="12"/>
  <c r="R2527" i="12"/>
  <c r="S2526" i="12"/>
  <c r="R2526" i="12"/>
  <c r="S2525" i="12"/>
  <c r="R2525" i="12"/>
  <c r="S2524" i="12"/>
  <c r="R2524" i="12"/>
  <c r="S2523" i="12"/>
  <c r="R2523" i="12"/>
  <c r="S2522" i="12"/>
  <c r="R2522" i="12"/>
  <c r="S2521" i="12"/>
  <c r="R2521" i="12"/>
  <c r="S2520" i="12"/>
  <c r="R2520" i="12"/>
  <c r="S2519" i="12"/>
  <c r="R2519" i="12"/>
  <c r="S2518" i="12"/>
  <c r="R2518" i="12"/>
  <c r="S2517" i="12"/>
  <c r="R2517" i="12"/>
  <c r="S2516" i="12"/>
  <c r="R2516" i="12"/>
  <c r="S2515" i="12"/>
  <c r="R2515" i="12"/>
  <c r="S2514" i="12"/>
  <c r="R2514" i="12"/>
  <c r="S2513" i="12"/>
  <c r="R2513" i="12"/>
  <c r="S2512" i="12"/>
  <c r="R2512" i="12"/>
  <c r="S2511" i="12"/>
  <c r="R2511" i="12"/>
  <c r="S2510" i="12"/>
  <c r="R2510" i="12"/>
  <c r="S2508" i="12"/>
  <c r="R2508" i="12"/>
  <c r="S2507" i="12"/>
  <c r="R2507" i="12"/>
  <c r="S2506" i="12"/>
  <c r="R2506" i="12"/>
  <c r="S2505" i="12"/>
  <c r="R2505" i="12"/>
  <c r="S2504" i="12"/>
  <c r="R2504" i="12"/>
  <c r="S2503" i="12"/>
  <c r="R2503" i="12"/>
  <c r="S2502" i="12"/>
  <c r="R2502" i="12"/>
  <c r="S2501" i="12"/>
  <c r="R2501" i="12"/>
  <c r="S2500" i="12"/>
  <c r="R2500" i="12"/>
  <c r="S2499" i="12"/>
  <c r="R2499" i="12"/>
  <c r="S2498" i="12"/>
  <c r="R2498" i="12"/>
  <c r="S2497" i="12"/>
  <c r="R2497" i="12"/>
  <c r="S2496" i="12"/>
  <c r="R2496" i="12"/>
  <c r="S2495" i="12"/>
  <c r="R2495" i="12"/>
  <c r="S2494" i="12"/>
  <c r="R2494" i="12"/>
  <c r="S2493" i="12"/>
  <c r="R2493" i="12"/>
  <c r="S2492" i="12"/>
  <c r="R2492" i="12"/>
  <c r="S2491" i="12"/>
  <c r="R2491" i="12"/>
  <c r="S2490" i="12"/>
  <c r="R2490" i="12"/>
  <c r="S2489" i="12"/>
  <c r="R2489" i="12"/>
  <c r="S2488" i="12"/>
  <c r="R2488" i="12"/>
  <c r="S2487" i="12"/>
  <c r="R2487" i="12"/>
  <c r="S2486" i="12"/>
  <c r="R2486" i="12"/>
  <c r="S2485" i="12"/>
  <c r="R2485" i="12"/>
  <c r="S2484" i="12"/>
  <c r="R2484" i="12"/>
  <c r="R525" i="12" l="1"/>
  <c r="R2449" i="12" l="1"/>
  <c r="R2450" i="12"/>
  <c r="R2451" i="12"/>
  <c r="R2163" i="12"/>
  <c r="R1844" i="12"/>
  <c r="R2031" i="12"/>
  <c r="R2455" i="12"/>
  <c r="R2456" i="12"/>
  <c r="R2457" i="12"/>
  <c r="R2458" i="12"/>
  <c r="R2459" i="12"/>
  <c r="R2460" i="12"/>
  <c r="R2461" i="12"/>
  <c r="R2462" i="12"/>
  <c r="R2463" i="12"/>
  <c r="R2464" i="12"/>
  <c r="R2465" i="12"/>
  <c r="R2466" i="12"/>
  <c r="R2467" i="12"/>
  <c r="R2468" i="12"/>
  <c r="R2469" i="12"/>
  <c r="R2470" i="12"/>
  <c r="R2471" i="12"/>
  <c r="R2472" i="12"/>
  <c r="R2473" i="12"/>
  <c r="R2474" i="12"/>
  <c r="R2475" i="12"/>
  <c r="R2476" i="12"/>
  <c r="R2477" i="12"/>
  <c r="R2478" i="12"/>
  <c r="R2479" i="12"/>
  <c r="R2480" i="12"/>
  <c r="R2481" i="12"/>
  <c r="R2482" i="12"/>
  <c r="R2483" i="12"/>
  <c r="S2073" i="12"/>
  <c r="S2074" i="12"/>
  <c r="S2075" i="12"/>
  <c r="S2076" i="12"/>
  <c r="S2077" i="12"/>
  <c r="S2078" i="12"/>
  <c r="S2079" i="12"/>
  <c r="S2080" i="12"/>
  <c r="S2081" i="12"/>
  <c r="S2082" i="12"/>
  <c r="S2083" i="12"/>
  <c r="S2084" i="12"/>
  <c r="S2085" i="12"/>
  <c r="S2086" i="12"/>
  <c r="S2087" i="12"/>
  <c r="S2088" i="12"/>
  <c r="S2089" i="12"/>
  <c r="S2090" i="12"/>
  <c r="S2091" i="12"/>
  <c r="S2092" i="12"/>
  <c r="S2093" i="12"/>
  <c r="S2094" i="12"/>
  <c r="S2095" i="12"/>
  <c r="S2096" i="12"/>
  <c r="S2097" i="12"/>
  <c r="S760" i="12"/>
  <c r="S2189" i="12"/>
  <c r="S2177" i="12"/>
  <c r="S2197" i="12"/>
  <c r="S1800" i="12"/>
  <c r="S1016" i="12"/>
  <c r="S1362" i="12"/>
  <c r="S1928" i="12"/>
  <c r="S2130" i="12"/>
  <c r="S2206" i="12"/>
  <c r="S2100" i="12"/>
  <c r="S2034" i="12"/>
  <c r="S805" i="12"/>
  <c r="S1473" i="12"/>
  <c r="S2112" i="12"/>
  <c r="S2113" i="12"/>
  <c r="S2152" i="12"/>
  <c r="S1037" i="12"/>
  <c r="S1784" i="12"/>
  <c r="S1397" i="12"/>
  <c r="S1350" i="12"/>
  <c r="S1813" i="12"/>
  <c r="S2179" i="12"/>
  <c r="S1923" i="12"/>
  <c r="S1370" i="12"/>
  <c r="S2175" i="12"/>
  <c r="S724" i="12"/>
  <c r="S903" i="12"/>
  <c r="S1382" i="12"/>
  <c r="S2106" i="12"/>
  <c r="S1616" i="12"/>
  <c r="S1373" i="12"/>
  <c r="S1292" i="12"/>
  <c r="S928" i="12"/>
  <c r="S866" i="12"/>
  <c r="S2133" i="12"/>
  <c r="S1797" i="12"/>
  <c r="S1819" i="12"/>
  <c r="S2114" i="12"/>
  <c r="S2145" i="12"/>
  <c r="S910" i="12"/>
  <c r="S2139" i="12"/>
  <c r="S1931" i="12"/>
  <c r="S1936" i="12"/>
  <c r="S2150" i="12"/>
  <c r="S2143" i="12"/>
  <c r="S1848" i="12"/>
  <c r="S1919" i="12"/>
  <c r="S2146" i="12"/>
  <c r="S2170" i="12"/>
  <c r="S1917" i="12"/>
  <c r="S1856" i="12"/>
  <c r="S1853" i="12"/>
  <c r="S1730" i="12"/>
  <c r="S1559" i="12"/>
  <c r="S1582" i="12"/>
  <c r="S1597" i="12"/>
  <c r="S1617" i="12"/>
  <c r="S2156" i="12"/>
  <c r="S645" i="12"/>
  <c r="S1459" i="12"/>
  <c r="S973" i="12"/>
  <c r="S990" i="12"/>
  <c r="S2161" i="12"/>
  <c r="S1854" i="12"/>
  <c r="S1786" i="12"/>
  <c r="S2128" i="12"/>
  <c r="S2165" i="12"/>
  <c r="S2166" i="12"/>
  <c r="S1610" i="12"/>
  <c r="S2168" i="12"/>
  <c r="S1401" i="12"/>
  <c r="S1529" i="12"/>
  <c r="S2171" i="12"/>
  <c r="S2172" i="12"/>
  <c r="S2173" i="12"/>
  <c r="S1371" i="12"/>
  <c r="S1831" i="12"/>
  <c r="S1805" i="12"/>
  <c r="S1845" i="12"/>
  <c r="S994" i="12"/>
  <c r="S1188" i="12"/>
  <c r="S630" i="12"/>
  <c r="S2219" i="12"/>
  <c r="S1843" i="12"/>
  <c r="S1400" i="12"/>
  <c r="S670" i="12"/>
  <c r="S1798" i="12"/>
  <c r="S933" i="12"/>
  <c r="S1172" i="12"/>
  <c r="S1122" i="12"/>
  <c r="S1306" i="12"/>
  <c r="S1865" i="12"/>
  <c r="S2182" i="12"/>
  <c r="S2070" i="12"/>
  <c r="S1961" i="12"/>
  <c r="S2207" i="12"/>
  <c r="S200" i="12"/>
  <c r="S2183" i="12"/>
  <c r="S260" i="12"/>
  <c r="S2192" i="12"/>
  <c r="S1924" i="12"/>
  <c r="S2453" i="12"/>
  <c r="S1838" i="12"/>
  <c r="S735" i="12"/>
  <c r="S2193" i="12"/>
  <c r="S1787" i="12"/>
  <c r="S2120" i="12"/>
  <c r="S26" i="12"/>
  <c r="S1176" i="12"/>
  <c r="S71" i="12"/>
  <c r="S1311" i="12"/>
  <c r="S2210" i="12"/>
  <c r="S1966" i="12"/>
  <c r="S1403" i="12"/>
  <c r="S2204" i="12"/>
  <c r="S1801" i="12"/>
  <c r="S980" i="12"/>
  <c r="S1965" i="12"/>
  <c r="S1671" i="12"/>
  <c r="S998" i="12"/>
  <c r="S2198" i="12"/>
  <c r="S2401" i="12"/>
  <c r="S2220" i="12"/>
  <c r="S1364" i="12"/>
  <c r="S1958" i="12"/>
  <c r="S2224" i="12"/>
  <c r="S2225" i="12"/>
  <c r="S1334" i="12"/>
  <c r="S767" i="12"/>
  <c r="S2228" i="12"/>
  <c r="S2229" i="12"/>
  <c r="S2230" i="12"/>
  <c r="S2231" i="12"/>
  <c r="S2232" i="12"/>
  <c r="S2233" i="12"/>
  <c r="S2234" i="12"/>
  <c r="S2235" i="12"/>
  <c r="S2236" i="12"/>
  <c r="S2237" i="12"/>
  <c r="S2238" i="12"/>
  <c r="S2239" i="12"/>
  <c r="S2240" i="12"/>
  <c r="S2241" i="12"/>
  <c r="S2242" i="12"/>
  <c r="S2243" i="12"/>
  <c r="S2244" i="12"/>
  <c r="S2245" i="12"/>
  <c r="S2246" i="12"/>
  <c r="S2247" i="12"/>
  <c r="S1791" i="12"/>
  <c r="S2110" i="12"/>
  <c r="S1402" i="12"/>
  <c r="S1120" i="12"/>
  <c r="S975" i="12"/>
  <c r="S2253" i="12"/>
  <c r="S2254" i="12"/>
  <c r="S2255" i="12"/>
  <c r="S2256" i="12"/>
  <c r="S2257" i="12"/>
  <c r="S2258" i="12"/>
  <c r="S2125" i="12"/>
  <c r="S2369" i="12"/>
  <c r="S2261" i="12"/>
  <c r="S1850" i="12"/>
  <c r="S2263" i="12"/>
  <c r="S2264" i="12"/>
  <c r="S2265" i="12"/>
  <c r="S2266" i="12"/>
  <c r="S2267" i="12"/>
  <c r="S2268" i="12"/>
  <c r="S2269" i="12"/>
  <c r="S2270" i="12"/>
  <c r="S2271" i="12"/>
  <c r="S2272" i="12"/>
  <c r="S2273" i="12"/>
  <c r="S1180" i="12"/>
  <c r="S2275" i="12"/>
  <c r="S2276" i="12"/>
  <c r="S2277" i="12"/>
  <c r="S2278" i="12"/>
  <c r="S2279" i="12"/>
  <c r="S2280" i="12"/>
  <c r="S2281" i="12"/>
  <c r="S2282" i="12"/>
  <c r="S2283" i="12"/>
  <c r="S2284" i="12"/>
  <c r="S2285" i="12"/>
  <c r="S2286" i="12"/>
  <c r="S2287" i="12"/>
  <c r="S2288" i="12"/>
  <c r="S2289" i="12"/>
  <c r="S2290" i="12"/>
  <c r="S2291" i="12"/>
  <c r="S2292" i="12"/>
  <c r="S2293" i="12"/>
  <c r="S2294" i="12"/>
  <c r="S2295" i="12"/>
  <c r="S2296" i="12"/>
  <c r="S1068" i="12"/>
  <c r="S2298" i="12"/>
  <c r="S2299" i="12"/>
  <c r="S2300" i="12"/>
  <c r="S2301" i="12"/>
  <c r="S2302" i="12"/>
  <c r="S2303" i="12"/>
  <c r="S2304" i="12"/>
  <c r="S2305" i="12"/>
  <c r="S2306" i="12"/>
  <c r="S2307" i="12"/>
  <c r="S1763" i="12"/>
  <c r="S1417" i="12"/>
  <c r="S2310" i="12"/>
  <c r="S2311" i="12"/>
  <c r="S2312" i="12"/>
  <c r="S2313" i="12"/>
  <c r="S2314" i="12"/>
  <c r="S2315" i="12"/>
  <c r="S2316" i="12"/>
  <c r="S2317" i="12"/>
  <c r="S2318" i="12"/>
  <c r="S2319" i="12"/>
  <c r="S2320" i="12"/>
  <c r="S2321" i="12"/>
  <c r="S2322" i="12"/>
  <c r="S2323" i="12"/>
  <c r="S2324" i="12"/>
  <c r="S2325" i="12"/>
  <c r="S2326" i="12"/>
  <c r="S2327" i="12"/>
  <c r="S2328" i="12"/>
  <c r="S2329" i="12"/>
  <c r="S2330" i="12"/>
  <c r="S2331" i="12"/>
  <c r="S2332" i="12"/>
  <c r="S2333" i="12"/>
  <c r="S2334" i="12"/>
  <c r="S2335" i="12"/>
  <c r="S2336" i="12"/>
  <c r="S1003" i="12"/>
  <c r="S2338" i="12"/>
  <c r="S2339" i="12"/>
  <c r="S2340" i="12"/>
  <c r="S2201" i="12"/>
  <c r="S2342" i="12"/>
  <c r="S2343" i="12"/>
  <c r="S2344" i="12"/>
  <c r="S2345" i="12"/>
  <c r="S1030" i="12"/>
  <c r="S2347" i="12"/>
  <c r="S2348" i="12"/>
  <c r="S2035" i="12"/>
  <c r="S2350" i="12"/>
  <c r="S2351" i="12"/>
  <c r="S2352" i="12"/>
  <c r="S2353" i="12"/>
  <c r="S2354" i="12"/>
  <c r="S2355" i="12"/>
  <c r="S2356" i="12"/>
  <c r="S2357" i="12"/>
  <c r="S2358" i="12"/>
  <c r="S2359" i="12"/>
  <c r="S2360" i="12"/>
  <c r="S2361" i="12"/>
  <c r="S2186" i="12"/>
  <c r="S2363" i="12"/>
  <c r="S2191" i="12"/>
  <c r="S2365" i="12"/>
  <c r="S2366" i="12"/>
  <c r="S2367" i="12"/>
  <c r="S2368" i="12"/>
  <c r="S759" i="12"/>
  <c r="S2370" i="12"/>
  <c r="S2371" i="12"/>
  <c r="S2372" i="12"/>
  <c r="S2373" i="12"/>
  <c r="S2374" i="12"/>
  <c r="S2375" i="12"/>
  <c r="S2376" i="12"/>
  <c r="S2377" i="12"/>
  <c r="S2378" i="12"/>
  <c r="S2379" i="12"/>
  <c r="S2380" i="12"/>
  <c r="S2381" i="12"/>
  <c r="S2382" i="12"/>
  <c r="S2383" i="12"/>
  <c r="S2384" i="12"/>
  <c r="S2385" i="12"/>
  <c r="S2386" i="12"/>
  <c r="S2387" i="12"/>
  <c r="S2388" i="12"/>
  <c r="S2389" i="12"/>
  <c r="S2390" i="12"/>
  <c r="S2391" i="12"/>
  <c r="S2392" i="12"/>
  <c r="S2393" i="12"/>
  <c r="S2394" i="12"/>
  <c r="S2395" i="12"/>
  <c r="S2396" i="12"/>
  <c r="S2397" i="12"/>
  <c r="S2398" i="12"/>
  <c r="S2399" i="12"/>
  <c r="S2400" i="12"/>
  <c r="S2222" i="12"/>
  <c r="S2402" i="12"/>
  <c r="S2403" i="12"/>
  <c r="S2404" i="12"/>
  <c r="S2405" i="12"/>
  <c r="S2406" i="12"/>
  <c r="S2407" i="12"/>
  <c r="S2408" i="12"/>
  <c r="S2409" i="12"/>
  <c r="S2410" i="12"/>
  <c r="S2411" i="12"/>
  <c r="S2412" i="12"/>
  <c r="S2413" i="12"/>
  <c r="S2414" i="12"/>
  <c r="S2415" i="12"/>
  <c r="S2416" i="12"/>
  <c r="S2417" i="12"/>
  <c r="S2418" i="12"/>
  <c r="S2419" i="12"/>
  <c r="S2420" i="12"/>
  <c r="S2421" i="12"/>
  <c r="S2422" i="12"/>
  <c r="S2423" i="12"/>
  <c r="S2424" i="12"/>
  <c r="S2425" i="12"/>
  <c r="S2426" i="12"/>
  <c r="S2427" i="12"/>
  <c r="S2428" i="12"/>
  <c r="S2429" i="12"/>
  <c r="S2430" i="12"/>
  <c r="S2431" i="12"/>
  <c r="S2432" i="12"/>
  <c r="S2433" i="12"/>
  <c r="S2434" i="12"/>
  <c r="S2435" i="12"/>
  <c r="S2436" i="12"/>
  <c r="S2437" i="12"/>
  <c r="S2438" i="12"/>
  <c r="S2439" i="12"/>
  <c r="S2440" i="12"/>
  <c r="S2441" i="12"/>
  <c r="S2442" i="12"/>
  <c r="S2443" i="12"/>
  <c r="S2444" i="12"/>
  <c r="S2445" i="12"/>
  <c r="S2446" i="12"/>
  <c r="S2447" i="12"/>
  <c r="S2448" i="12"/>
  <c r="S2449" i="12"/>
  <c r="S2450" i="12"/>
  <c r="S2451" i="12"/>
  <c r="S2163" i="12"/>
  <c r="S1844" i="12"/>
  <c r="S2031" i="12"/>
  <c r="S2455" i="12"/>
  <c r="S2456" i="12"/>
  <c r="S2457" i="12"/>
  <c r="S2458" i="12"/>
  <c r="S2459" i="12"/>
  <c r="S2460" i="12"/>
  <c r="S2461" i="12"/>
  <c r="S2462" i="12"/>
  <c r="S2463" i="12"/>
  <c r="S2464" i="12"/>
  <c r="S2465" i="12"/>
  <c r="S2466" i="12"/>
  <c r="S2467" i="12"/>
  <c r="S2468" i="12"/>
  <c r="S2469" i="12"/>
  <c r="S2470" i="12"/>
  <c r="S2471" i="12"/>
  <c r="S2472" i="12"/>
  <c r="S2473" i="12"/>
  <c r="S2474" i="12"/>
  <c r="S2475" i="12"/>
  <c r="S2476" i="12"/>
  <c r="S2477" i="12"/>
  <c r="S2478" i="12"/>
  <c r="S2479" i="12"/>
  <c r="S2480" i="12"/>
  <c r="S2481" i="12"/>
  <c r="S2482" i="12"/>
  <c r="S2483" i="12"/>
  <c r="R2077" i="12"/>
  <c r="R2078" i="12"/>
  <c r="R2079" i="12"/>
  <c r="R2080" i="12"/>
  <c r="R2081" i="12"/>
  <c r="R2082" i="12"/>
  <c r="R2083" i="12"/>
  <c r="R2084" i="12"/>
  <c r="R2085" i="12"/>
  <c r="R2086" i="12"/>
  <c r="R2087" i="12"/>
  <c r="R2088" i="12"/>
  <c r="R2089" i="12"/>
  <c r="R2090" i="12"/>
  <c r="R2091" i="12"/>
  <c r="R2092" i="12"/>
  <c r="R2093" i="12"/>
  <c r="R2094" i="12"/>
  <c r="R2095" i="12"/>
  <c r="R2096" i="12"/>
  <c r="R2097" i="12"/>
  <c r="R760" i="12"/>
  <c r="R2189" i="12"/>
  <c r="R2177" i="12"/>
  <c r="R2197" i="12"/>
  <c r="R1800" i="12"/>
  <c r="R1016" i="12"/>
  <c r="R1362" i="12"/>
  <c r="R1928" i="12"/>
  <c r="R2130" i="12"/>
  <c r="R2206" i="12"/>
  <c r="R2100" i="12"/>
  <c r="R2034" i="12"/>
  <c r="R805" i="12"/>
  <c r="R1473" i="12"/>
  <c r="R2112" i="12"/>
  <c r="R2113" i="12"/>
  <c r="R2152" i="12"/>
  <c r="R1037" i="12"/>
  <c r="R1784" i="12"/>
  <c r="R1397" i="12"/>
  <c r="R1350" i="12"/>
  <c r="R1813" i="12"/>
  <c r="R2179" i="12"/>
  <c r="R1923" i="12"/>
  <c r="R1370" i="12"/>
  <c r="R2175" i="12"/>
  <c r="R724" i="12"/>
  <c r="R903" i="12"/>
  <c r="R1382" i="12"/>
  <c r="R2106" i="12"/>
  <c r="R1616" i="12"/>
  <c r="R1373" i="12"/>
  <c r="R1292" i="12"/>
  <c r="R928" i="12"/>
  <c r="R866" i="12"/>
  <c r="R2133" i="12"/>
  <c r="R1797" i="12"/>
  <c r="R1819" i="12"/>
  <c r="R2114" i="12"/>
  <c r="R2145" i="12"/>
  <c r="R910" i="12"/>
  <c r="R2139" i="12"/>
  <c r="R1931" i="12"/>
  <c r="R1936" i="12"/>
  <c r="R2150" i="12"/>
  <c r="R2143" i="12"/>
  <c r="R1848" i="12"/>
  <c r="R1919" i="12"/>
  <c r="R2146" i="12"/>
  <c r="R2170" i="12"/>
  <c r="R1917" i="12"/>
  <c r="R1856" i="12"/>
  <c r="R1853" i="12"/>
  <c r="R1730" i="12"/>
  <c r="R1559" i="12"/>
  <c r="R1582" i="12"/>
  <c r="R1597" i="12"/>
  <c r="R1617" i="12"/>
  <c r="R2156" i="12"/>
  <c r="R645" i="12"/>
  <c r="R1459" i="12"/>
  <c r="R973" i="12"/>
  <c r="R990" i="12"/>
  <c r="R2161" i="12"/>
  <c r="R1854" i="12"/>
  <c r="R1786" i="12"/>
  <c r="R2128" i="12"/>
  <c r="R2165" i="12"/>
  <c r="R2166" i="12"/>
  <c r="R1610" i="12"/>
  <c r="R2168" i="12"/>
  <c r="R1401" i="12"/>
  <c r="R1529" i="12"/>
  <c r="R2171" i="12"/>
  <c r="R2172" i="12"/>
  <c r="R2173" i="12"/>
  <c r="R1371" i="12"/>
  <c r="R1831" i="12"/>
  <c r="R1805" i="12"/>
  <c r="R1845" i="12"/>
  <c r="R994" i="12"/>
  <c r="R1188" i="12"/>
  <c r="R630" i="12"/>
  <c r="R2219" i="12"/>
  <c r="R1843" i="12"/>
  <c r="R1400" i="12"/>
  <c r="R670" i="12"/>
  <c r="R1798" i="12"/>
  <c r="R933" i="12"/>
  <c r="R1172" i="12"/>
  <c r="R1122" i="12"/>
  <c r="R1306" i="12"/>
  <c r="R1865" i="12"/>
  <c r="R2182" i="12"/>
  <c r="R2070" i="12"/>
  <c r="R1961" i="12"/>
  <c r="R2207" i="12"/>
  <c r="R200" i="12"/>
  <c r="R2183" i="12"/>
  <c r="R260" i="12"/>
  <c r="R2192" i="12"/>
  <c r="R1924" i="12"/>
  <c r="R2453" i="12"/>
  <c r="R1838" i="12"/>
  <c r="R735" i="12"/>
  <c r="R2193" i="12"/>
  <c r="R1787" i="12"/>
  <c r="R2120" i="12"/>
  <c r="R26" i="12"/>
  <c r="R1176" i="12"/>
  <c r="R71" i="12"/>
  <c r="R1311" i="12"/>
  <c r="R2210" i="12"/>
  <c r="R1966" i="12"/>
  <c r="R1403" i="12"/>
  <c r="R2204" i="12"/>
  <c r="R1801" i="12"/>
  <c r="R980" i="12"/>
  <c r="R1965" i="12"/>
  <c r="R1671" i="12"/>
  <c r="R998" i="12"/>
  <c r="R2198" i="12"/>
  <c r="R2401" i="12"/>
  <c r="R2220" i="12"/>
  <c r="R1364" i="12"/>
  <c r="R1958" i="12"/>
  <c r="R2224" i="12"/>
  <c r="R2225" i="12"/>
  <c r="R1334" i="12"/>
  <c r="R767" i="12"/>
  <c r="R2228" i="12"/>
  <c r="R2229" i="12"/>
  <c r="R2230" i="12"/>
  <c r="R2231" i="12"/>
  <c r="R2232" i="12"/>
  <c r="R2233" i="12"/>
  <c r="R2234" i="12"/>
  <c r="R2235" i="12"/>
  <c r="R2236" i="12"/>
  <c r="R2237" i="12"/>
  <c r="R2238" i="12"/>
  <c r="R2239" i="12"/>
  <c r="R2240" i="12"/>
  <c r="R2241" i="12"/>
  <c r="R2242" i="12"/>
  <c r="R2243" i="12"/>
  <c r="R2244" i="12"/>
  <c r="R2245" i="12"/>
  <c r="R2246" i="12"/>
  <c r="R2247" i="12"/>
  <c r="R1791" i="12"/>
  <c r="R2110" i="12"/>
  <c r="R1402" i="12"/>
  <c r="R1120" i="12"/>
  <c r="R975" i="12"/>
  <c r="R2253" i="12"/>
  <c r="R2254" i="12"/>
  <c r="R2255" i="12"/>
  <c r="R2256" i="12"/>
  <c r="R2257" i="12"/>
  <c r="R2258" i="12"/>
  <c r="R2125" i="12"/>
  <c r="R2369" i="12"/>
  <c r="R2261" i="12"/>
  <c r="R1850" i="12"/>
  <c r="R2263" i="12"/>
  <c r="R2264" i="12"/>
  <c r="R2265" i="12"/>
  <c r="R2266" i="12"/>
  <c r="R2267" i="12"/>
  <c r="R2268" i="12"/>
  <c r="R2269" i="12"/>
  <c r="R2270" i="12"/>
  <c r="R2271" i="12"/>
  <c r="R2272" i="12"/>
  <c r="R2273" i="12"/>
  <c r="R1180" i="12"/>
  <c r="R2275" i="12"/>
  <c r="R2276" i="12"/>
  <c r="R2277" i="12"/>
  <c r="R2278" i="12"/>
  <c r="R2279" i="12"/>
  <c r="R2280" i="12"/>
  <c r="R2281" i="12"/>
  <c r="R2282" i="12"/>
  <c r="R2283" i="12"/>
  <c r="R2284" i="12"/>
  <c r="R2285" i="12"/>
  <c r="R2286" i="12"/>
  <c r="R2287" i="12"/>
  <c r="R2288" i="12"/>
  <c r="R2289" i="12"/>
  <c r="R2290" i="12"/>
  <c r="R2291" i="12"/>
  <c r="R2292" i="12"/>
  <c r="R2293" i="12"/>
  <c r="R2294" i="12"/>
  <c r="R2295" i="12"/>
  <c r="R1068" i="12"/>
  <c r="R2298" i="12"/>
  <c r="R2299" i="12"/>
  <c r="R2300" i="12"/>
  <c r="R2301" i="12"/>
  <c r="R2302" i="12"/>
  <c r="R2303" i="12"/>
  <c r="R2304" i="12"/>
  <c r="R2305" i="12"/>
  <c r="R2306" i="12"/>
  <c r="R2307" i="12"/>
  <c r="R1763" i="12"/>
  <c r="R1417" i="12"/>
  <c r="R2310" i="12"/>
  <c r="R2311" i="12"/>
  <c r="R2312" i="12"/>
  <c r="R2313" i="12"/>
  <c r="R2314" i="12"/>
  <c r="R2315" i="12"/>
  <c r="R2316" i="12"/>
  <c r="R2317" i="12"/>
  <c r="R2318" i="12"/>
  <c r="R2319" i="12"/>
  <c r="R2320" i="12"/>
  <c r="R2321" i="12"/>
  <c r="R2322" i="12"/>
  <c r="R2323" i="12"/>
  <c r="R2324" i="12"/>
  <c r="R2325" i="12"/>
  <c r="R2326" i="12"/>
  <c r="R2327" i="12"/>
  <c r="R2328" i="12"/>
  <c r="R2329" i="12"/>
  <c r="R2330" i="12"/>
  <c r="R2331" i="12"/>
  <c r="R2332" i="12"/>
  <c r="R2333" i="12"/>
  <c r="R2334" i="12"/>
  <c r="R2335" i="12"/>
  <c r="R2336" i="12"/>
  <c r="R1003" i="12"/>
  <c r="R2338" i="12"/>
  <c r="R2339" i="12"/>
  <c r="R2340" i="12"/>
  <c r="R2201" i="12"/>
  <c r="R2342" i="12"/>
  <c r="R2343" i="12"/>
  <c r="R2344" i="12"/>
  <c r="R2345" i="12"/>
  <c r="R1030" i="12"/>
  <c r="R2347" i="12"/>
  <c r="R2348" i="12"/>
  <c r="R2035" i="12"/>
  <c r="R2350" i="12"/>
  <c r="R2351" i="12"/>
  <c r="R2352" i="12"/>
  <c r="R2353" i="12"/>
  <c r="R2354" i="12"/>
  <c r="R2355" i="12"/>
  <c r="R2356" i="12"/>
  <c r="R2357" i="12"/>
  <c r="R2358" i="12"/>
  <c r="R2359" i="12"/>
  <c r="R2360" i="12"/>
  <c r="R2361" i="12"/>
  <c r="R2186" i="12"/>
  <c r="R2363" i="12"/>
  <c r="R2191" i="12"/>
  <c r="R2365" i="12"/>
  <c r="R2366" i="12"/>
  <c r="R2367" i="12"/>
  <c r="R2368" i="12"/>
  <c r="R759" i="12"/>
  <c r="R2370" i="12"/>
  <c r="R2371" i="12"/>
  <c r="R2372" i="12"/>
  <c r="R2373" i="12"/>
  <c r="R2374" i="12"/>
  <c r="R2375" i="12"/>
  <c r="R2376" i="12"/>
  <c r="R2377" i="12"/>
  <c r="R2378" i="12"/>
  <c r="R2379" i="12"/>
  <c r="R2380" i="12"/>
  <c r="R2381" i="12"/>
  <c r="R2382" i="12"/>
  <c r="R2383" i="12"/>
  <c r="R2384" i="12"/>
  <c r="R2385" i="12"/>
  <c r="R2386" i="12"/>
  <c r="R2387" i="12"/>
  <c r="R2388" i="12"/>
  <c r="R2389" i="12"/>
  <c r="R2390" i="12"/>
  <c r="R2391" i="12"/>
  <c r="R2392" i="12"/>
  <c r="R2393" i="12"/>
  <c r="R2394" i="12"/>
  <c r="R2395" i="12"/>
  <c r="R2396" i="12"/>
  <c r="R2397" i="12"/>
  <c r="R2398" i="12"/>
  <c r="R2399" i="12"/>
  <c r="R2400" i="12"/>
  <c r="R2222" i="12"/>
  <c r="R2402" i="12"/>
  <c r="R2403" i="12"/>
  <c r="R2404" i="12"/>
  <c r="R2405" i="12"/>
  <c r="R2406" i="12"/>
  <c r="R2407" i="12"/>
  <c r="R2408" i="12"/>
  <c r="R2409" i="12"/>
  <c r="R2410" i="12"/>
  <c r="R2411" i="12"/>
  <c r="R2412" i="12"/>
  <c r="R2413" i="12"/>
  <c r="R2414" i="12"/>
  <c r="R2415" i="12"/>
  <c r="R2416" i="12"/>
  <c r="R2417" i="12"/>
  <c r="R2418" i="12"/>
  <c r="R2419" i="12"/>
  <c r="R2420" i="12"/>
  <c r="R2421" i="12"/>
  <c r="R2422" i="12"/>
  <c r="R2423" i="12"/>
  <c r="R2424" i="12"/>
  <c r="R2425" i="12"/>
  <c r="R2426" i="12"/>
  <c r="R2427" i="12"/>
  <c r="R2428" i="12"/>
  <c r="R2429" i="12"/>
  <c r="R2430" i="12"/>
  <c r="R2431" i="12"/>
  <c r="R2432" i="12"/>
  <c r="R2433" i="12"/>
  <c r="R2434" i="12"/>
  <c r="R2435" i="12"/>
  <c r="R2436" i="12"/>
  <c r="R2437" i="12"/>
  <c r="R2438" i="12"/>
  <c r="R2439" i="12"/>
  <c r="R2440" i="12"/>
  <c r="R2441" i="12"/>
  <c r="R2442" i="12"/>
  <c r="R2443" i="12"/>
  <c r="R2444" i="12"/>
  <c r="R2445" i="12"/>
  <c r="R2446" i="12"/>
  <c r="R2447" i="12"/>
  <c r="R2448" i="12"/>
  <c r="R2073" i="12"/>
  <c r="R2074" i="12"/>
  <c r="R2075" i="12"/>
  <c r="R2076" i="12"/>
  <c r="S1984" i="12"/>
  <c r="R1984" i="12"/>
  <c r="S1018" i="12"/>
  <c r="R1018" i="12"/>
  <c r="S1602" i="12"/>
  <c r="R1602" i="12"/>
  <c r="S798" i="12"/>
  <c r="S2048" i="12"/>
  <c r="R1596" i="12"/>
  <c r="S1596" i="12"/>
  <c r="S1391" i="12"/>
  <c r="S1392" i="12"/>
  <c r="S1393" i="12"/>
  <c r="S1394" i="12"/>
  <c r="S1395" i="12"/>
  <c r="S1396" i="12"/>
  <c r="S1629" i="12"/>
  <c r="S1749" i="12"/>
  <c r="S1795" i="12"/>
  <c r="S1001" i="12"/>
  <c r="R1390" i="12"/>
  <c r="R1391" i="12"/>
  <c r="R1392" i="12"/>
  <c r="R1393" i="12"/>
  <c r="R1394" i="12"/>
  <c r="R1395" i="12"/>
  <c r="R1396" i="12"/>
  <c r="R1629" i="12"/>
  <c r="R1749" i="12"/>
  <c r="R1795" i="12"/>
  <c r="R1001" i="12"/>
  <c r="R1821" i="12"/>
  <c r="S1134" i="12"/>
  <c r="R1134" i="12"/>
  <c r="R1167" i="12"/>
  <c r="S169" i="12"/>
  <c r="R1541" i="12"/>
  <c r="S1644" i="12"/>
  <c r="S1695" i="12"/>
  <c r="S2115" i="12"/>
  <c r="S1820" i="12"/>
  <c r="S1861" i="12"/>
  <c r="S1832" i="12"/>
  <c r="S1645" i="12"/>
  <c r="S427" i="12"/>
  <c r="S2103" i="12"/>
  <c r="S1105" i="12"/>
  <c r="S1117" i="12"/>
  <c r="S1132" i="12"/>
  <c r="S1911" i="12"/>
  <c r="S1815" i="12"/>
  <c r="S922" i="12"/>
  <c r="S70" i="12"/>
  <c r="S1029" i="12"/>
  <c r="S1305" i="12"/>
  <c r="S1900" i="12"/>
  <c r="S2036" i="12"/>
  <c r="S2200" i="12"/>
  <c r="S2203" i="12"/>
  <c r="S1907" i="12"/>
  <c r="S1361" i="12"/>
  <c r="S1474" i="12"/>
  <c r="S976" i="12"/>
  <c r="S1933" i="12"/>
  <c r="S1375" i="12"/>
  <c r="S987" i="12"/>
  <c r="S966" i="12"/>
  <c r="S1247" i="12"/>
  <c r="S2346" i="12"/>
  <c r="S626" i="12"/>
  <c r="S1049" i="12"/>
  <c r="S1775" i="12"/>
  <c r="S1869" i="12"/>
  <c r="S1643" i="12"/>
  <c r="S1896" i="12"/>
  <c r="S1002" i="12"/>
  <c r="S2124" i="12"/>
  <c r="S974" i="12"/>
  <c r="S2132" i="12"/>
  <c r="S1304" i="12"/>
  <c r="S1103" i="12"/>
  <c r="S892" i="12"/>
  <c r="S2072" i="12"/>
  <c r="S1916" i="12"/>
  <c r="S1027" i="12"/>
  <c r="S1875" i="12"/>
  <c r="S1519" i="12"/>
  <c r="S1716" i="12"/>
  <c r="S1914" i="12"/>
  <c r="S1944" i="12"/>
  <c r="S1380" i="12"/>
  <c r="S1915" i="12"/>
  <c r="S909" i="12"/>
  <c r="S1883" i="12"/>
  <c r="S1880" i="12"/>
  <c r="S1885" i="12"/>
  <c r="S1964" i="12"/>
  <c r="S2153" i="12"/>
  <c r="S1857" i="12"/>
  <c r="S2227" i="12"/>
  <c r="S1189" i="12"/>
  <c r="S1677" i="12"/>
  <c r="S1892" i="12"/>
  <c r="S1365" i="12"/>
  <c r="S2119" i="12"/>
  <c r="S1121" i="12"/>
  <c r="S2147" i="12"/>
  <c r="S2027" i="12"/>
  <c r="S1834" i="12"/>
  <c r="S1899" i="12"/>
  <c r="S2454" i="12"/>
  <c r="S1233" i="12"/>
  <c r="S865" i="12"/>
  <c r="S2154" i="12"/>
  <c r="S2107" i="12"/>
  <c r="S2223" i="12"/>
  <c r="S1906" i="12"/>
  <c r="S1694" i="12"/>
  <c r="S1913" i="12"/>
  <c r="S2144" i="12"/>
  <c r="S1248" i="12"/>
  <c r="S2121" i="12"/>
  <c r="S2149" i="12"/>
  <c r="S1935" i="12"/>
  <c r="S1881" i="12"/>
  <c r="S1893" i="12"/>
  <c r="S1873" i="12"/>
  <c r="S1833" i="12"/>
  <c r="S1926" i="12"/>
  <c r="S1385" i="12"/>
  <c r="S2157" i="12"/>
  <c r="S1822" i="12"/>
  <c r="S1922" i="12"/>
  <c r="S1902" i="12"/>
  <c r="S2226" i="12"/>
  <c r="S1824" i="12"/>
  <c r="S1829" i="12"/>
  <c r="S2129" i="12"/>
  <c r="S1366" i="12"/>
  <c r="S1849" i="12"/>
  <c r="S1927" i="12"/>
  <c r="S1059" i="12"/>
  <c r="S1939" i="12"/>
  <c r="S1967" i="12"/>
  <c r="S1830" i="12"/>
  <c r="S2159" i="12"/>
  <c r="S1750" i="12"/>
  <c r="S1398" i="12"/>
  <c r="S1696" i="12"/>
  <c r="S1968" i="12"/>
  <c r="S2162" i="12"/>
  <c r="S1116" i="12"/>
  <c r="S1762" i="12"/>
  <c r="S1828" i="12"/>
  <c r="S2262" i="12"/>
  <c r="S2167" i="12"/>
  <c r="S1070" i="12"/>
  <c r="S1947" i="12"/>
  <c r="S1948" i="12"/>
  <c r="S1949" i="12"/>
  <c r="S1950" i="12"/>
  <c r="S1951" i="12"/>
  <c r="S1952" i="12"/>
  <c r="S1953" i="12"/>
  <c r="S1954" i="12"/>
  <c r="S2202" i="12"/>
  <c r="S1858" i="12"/>
  <c r="S1009" i="12"/>
  <c r="S2248" i="12"/>
  <c r="S2213" i="12"/>
  <c r="S1905" i="12"/>
  <c r="S1898" i="12"/>
  <c r="S1863" i="12"/>
  <c r="S1963" i="12"/>
  <c r="S1895" i="12"/>
  <c r="S804" i="12"/>
  <c r="S978" i="12"/>
  <c r="S1600" i="12"/>
  <c r="S1969" i="12"/>
  <c r="S1970" i="12"/>
  <c r="S1971" i="12"/>
  <c r="S1972" i="12"/>
  <c r="S1973" i="12"/>
  <c r="S1974" i="12"/>
  <c r="S1975" i="12"/>
  <c r="S1976" i="12"/>
  <c r="S1977" i="12"/>
  <c r="S1978" i="12"/>
  <c r="S1979" i="12"/>
  <c r="S2026" i="12"/>
  <c r="S1903" i="12"/>
  <c r="S1938" i="12"/>
  <c r="S1983" i="12"/>
  <c r="S1985" i="12"/>
  <c r="S1986" i="12"/>
  <c r="S1987" i="12"/>
  <c r="S1988" i="12"/>
  <c r="S1989" i="12"/>
  <c r="S1990" i="12"/>
  <c r="S1991" i="12"/>
  <c r="S1992" i="12"/>
  <c r="S1993" i="12"/>
  <c r="S1994" i="12"/>
  <c r="S1995" i="12"/>
  <c r="S1996" i="12"/>
  <c r="S1997" i="12"/>
  <c r="S1998" i="12"/>
  <c r="S1999" i="12"/>
  <c r="S1719" i="12"/>
  <c r="S2001" i="12"/>
  <c r="S2002" i="12"/>
  <c r="S2003" i="12"/>
  <c r="S2004" i="12"/>
  <c r="S2005" i="12"/>
  <c r="S2006" i="12"/>
  <c r="S2007" i="12"/>
  <c r="S2008" i="12"/>
  <c r="S2009" i="12"/>
  <c r="S2010" i="12"/>
  <c r="S2011" i="12"/>
  <c r="S2012" i="12"/>
  <c r="S2013" i="12"/>
  <c r="S2014" i="12"/>
  <c r="S2015" i="12"/>
  <c r="S2016" i="12"/>
  <c r="S2017" i="12"/>
  <c r="S2018" i="12"/>
  <c r="S2019" i="12"/>
  <c r="S2020" i="12"/>
  <c r="S2021" i="12"/>
  <c r="S2022" i="12"/>
  <c r="S2023" i="12"/>
  <c r="S2024" i="12"/>
  <c r="S2025" i="12"/>
  <c r="S1712" i="12"/>
  <c r="S1368" i="12"/>
  <c r="S2028" i="12"/>
  <c r="S2029" i="12"/>
  <c r="S2030" i="12"/>
  <c r="S1589" i="12"/>
  <c r="S1378" i="12"/>
  <c r="S1015" i="12"/>
  <c r="S2216" i="12"/>
  <c r="S2252" i="12"/>
  <c r="S1846" i="12"/>
  <c r="S2037" i="12"/>
  <c r="S2038" i="12"/>
  <c r="S2039" i="12"/>
  <c r="S2040" i="12"/>
  <c r="S2041" i="12"/>
  <c r="S2042" i="12"/>
  <c r="S2043" i="12"/>
  <c r="S2044" i="12"/>
  <c r="S2045" i="12"/>
  <c r="S2046" i="12"/>
  <c r="S2047" i="12"/>
  <c r="S2049" i="12"/>
  <c r="S2050" i="12"/>
  <c r="S2051" i="12"/>
  <c r="S2052" i="12"/>
  <c r="S2053" i="12"/>
  <c r="S2054" i="12"/>
  <c r="S2055" i="12"/>
  <c r="S2056" i="12"/>
  <c r="S2057" i="12"/>
  <c r="S2058" i="12"/>
  <c r="S2059" i="12"/>
  <c r="S2060" i="12"/>
  <c r="S2061" i="12"/>
  <c r="S2063" i="12"/>
  <c r="S1008" i="12"/>
  <c r="S2064" i="12"/>
  <c r="S2065" i="12"/>
  <c r="S2066" i="12"/>
  <c r="S2067" i="12"/>
  <c r="S2068" i="12"/>
  <c r="S2069" i="12"/>
  <c r="S1960" i="12"/>
  <c r="S1932" i="12"/>
  <c r="S2108" i="12"/>
  <c r="R1644" i="12"/>
  <c r="R1695" i="12"/>
  <c r="R2115" i="12"/>
  <c r="R1820" i="12"/>
  <c r="R1861" i="12"/>
  <c r="R1832" i="12"/>
  <c r="R1645" i="12"/>
  <c r="R427" i="12"/>
  <c r="R2103" i="12"/>
  <c r="R1105" i="12"/>
  <c r="R1117" i="12"/>
  <c r="R1132" i="12"/>
  <c r="R1911" i="12"/>
  <c r="R1815" i="12"/>
  <c r="R922" i="12"/>
  <c r="R70" i="12"/>
  <c r="R1029" i="12"/>
  <c r="R1305" i="12"/>
  <c r="R1900" i="12"/>
  <c r="R2036" i="12"/>
  <c r="R2200" i="12"/>
  <c r="R2203" i="12"/>
  <c r="R1907" i="12"/>
  <c r="R1361" i="12"/>
  <c r="R1474" i="12"/>
  <c r="R976" i="12"/>
  <c r="R1933" i="12"/>
  <c r="R1375" i="12"/>
  <c r="R987" i="12"/>
  <c r="R966" i="12"/>
  <c r="R1247" i="12"/>
  <c r="R2346" i="12"/>
  <c r="R626" i="12"/>
  <c r="R1049" i="12"/>
  <c r="R1775" i="12"/>
  <c r="R1869" i="12"/>
  <c r="R1643" i="12"/>
  <c r="R1896" i="12"/>
  <c r="R1002" i="12"/>
  <c r="R2124" i="12"/>
  <c r="R974" i="12"/>
  <c r="R2132" i="12"/>
  <c r="R1304" i="12"/>
  <c r="R1103" i="12"/>
  <c r="R892" i="12"/>
  <c r="R2072" i="12"/>
  <c r="R1916" i="12"/>
  <c r="R1027" i="12"/>
  <c r="R1875" i="12"/>
  <c r="R1519" i="12"/>
  <c r="R1716" i="12"/>
  <c r="R1914" i="12"/>
  <c r="R1944" i="12"/>
  <c r="R1380" i="12"/>
  <c r="R1915" i="12"/>
  <c r="R909" i="12"/>
  <c r="R1883" i="12"/>
  <c r="R1880" i="12"/>
  <c r="R1885" i="12"/>
  <c r="R1964" i="12"/>
  <c r="R2153" i="12"/>
  <c r="R1857" i="12"/>
  <c r="R2227" i="12"/>
  <c r="R1189" i="12"/>
  <c r="R1677" i="12"/>
  <c r="R1892" i="12"/>
  <c r="R1365" i="12"/>
  <c r="R2119" i="12"/>
  <c r="R1121" i="12"/>
  <c r="R2147" i="12"/>
  <c r="R2027" i="12"/>
  <c r="R1834" i="12"/>
  <c r="R1899" i="12"/>
  <c r="R2454" i="12"/>
  <c r="R1233" i="12"/>
  <c r="R865" i="12"/>
  <c r="R2154" i="12"/>
  <c r="R2107" i="12"/>
  <c r="R2223" i="12"/>
  <c r="R1906" i="12"/>
  <c r="R1694" i="12"/>
  <c r="R1913" i="12"/>
  <c r="R2144" i="12"/>
  <c r="R1248" i="12"/>
  <c r="R2121" i="12"/>
  <c r="R2149" i="12"/>
  <c r="R1935" i="12"/>
  <c r="R1881" i="12"/>
  <c r="R1893" i="12"/>
  <c r="R1873" i="12"/>
  <c r="R1833" i="12"/>
  <c r="R1926" i="12"/>
  <c r="R1385" i="12"/>
  <c r="R2157" i="12"/>
  <c r="R1822" i="12"/>
  <c r="R1922" i="12"/>
  <c r="R1902" i="12"/>
  <c r="R2226" i="12"/>
  <c r="R1824" i="12"/>
  <c r="R1829" i="12"/>
  <c r="R2129" i="12"/>
  <c r="R1366" i="12"/>
  <c r="R1849" i="12"/>
  <c r="R1927" i="12"/>
  <c r="R1059" i="12"/>
  <c r="R1939" i="12"/>
  <c r="R1967" i="12"/>
  <c r="R1830" i="12"/>
  <c r="R2159" i="12"/>
  <c r="R1750" i="12"/>
  <c r="R1398" i="12"/>
  <c r="R1696" i="12"/>
  <c r="R1968" i="12"/>
  <c r="R2162" i="12"/>
  <c r="R1116" i="12"/>
  <c r="R1762" i="12"/>
  <c r="R1828" i="12"/>
  <c r="R2262" i="12"/>
  <c r="R2167" i="12"/>
  <c r="R1070" i="12"/>
  <c r="R1947" i="12"/>
  <c r="R1948" i="12"/>
  <c r="R1949" i="12"/>
  <c r="R1950" i="12"/>
  <c r="R1951" i="12"/>
  <c r="R1952" i="12"/>
  <c r="R1953" i="12"/>
  <c r="R1954" i="12"/>
  <c r="R2202" i="12"/>
  <c r="R1858" i="12"/>
  <c r="R1009" i="12"/>
  <c r="R2248" i="12"/>
  <c r="R2213" i="12"/>
  <c r="R1905" i="12"/>
  <c r="R1898" i="12"/>
  <c r="R1863" i="12"/>
  <c r="R1963" i="12"/>
  <c r="R1895" i="12"/>
  <c r="R804" i="12"/>
  <c r="R978" i="12"/>
  <c r="R1600" i="12"/>
  <c r="R1969" i="12"/>
  <c r="R1970" i="12"/>
  <c r="R1971" i="12"/>
  <c r="R1972" i="12"/>
  <c r="R1973" i="12"/>
  <c r="R1974" i="12"/>
  <c r="R1975" i="12"/>
  <c r="R1976" i="12"/>
  <c r="R1977" i="12"/>
  <c r="R1978" i="12"/>
  <c r="R1979" i="12"/>
  <c r="R2026" i="12"/>
  <c r="R1903" i="12"/>
  <c r="R1938" i="12"/>
  <c r="R1983" i="12"/>
  <c r="R1985" i="12"/>
  <c r="R1986" i="12"/>
  <c r="R1987" i="12"/>
  <c r="R1988" i="12"/>
  <c r="R1989" i="12"/>
  <c r="R1990" i="12"/>
  <c r="R1991" i="12"/>
  <c r="R1992" i="12"/>
  <c r="R1993" i="12"/>
  <c r="R1994" i="12"/>
  <c r="R1995" i="12"/>
  <c r="R1996" i="12"/>
  <c r="R1997" i="12"/>
  <c r="R1998" i="12"/>
  <c r="R1999" i="12"/>
  <c r="R1719" i="12"/>
  <c r="R2001" i="12"/>
  <c r="R2002" i="12"/>
  <c r="R2003" i="12"/>
  <c r="R2004" i="12"/>
  <c r="R2005" i="12"/>
  <c r="R2006" i="12"/>
  <c r="R2007" i="12"/>
  <c r="R2008" i="12"/>
  <c r="R2009" i="12"/>
  <c r="R2010" i="12"/>
  <c r="R2011" i="12"/>
  <c r="R2012" i="12"/>
  <c r="R2013" i="12"/>
  <c r="R2014" i="12"/>
  <c r="R2015" i="12"/>
  <c r="R2016" i="12"/>
  <c r="R2017" i="12"/>
  <c r="R2018" i="12"/>
  <c r="R2019" i="12"/>
  <c r="R2020" i="12"/>
  <c r="R2021" i="12"/>
  <c r="R2022" i="12"/>
  <c r="R2023" i="12"/>
  <c r="R2024" i="12"/>
  <c r="R2025" i="12"/>
  <c r="R1712" i="12"/>
  <c r="R1368" i="12"/>
  <c r="R2028" i="12"/>
  <c r="R2029" i="12"/>
  <c r="R2030" i="12"/>
  <c r="R1589" i="12"/>
  <c r="R1378" i="12"/>
  <c r="R1015" i="12"/>
  <c r="R2216" i="12"/>
  <c r="R2252" i="12"/>
  <c r="R1846" i="12"/>
  <c r="R2037" i="12"/>
  <c r="R2038" i="12"/>
  <c r="R2039" i="12"/>
  <c r="R2040" i="12"/>
  <c r="R2041" i="12"/>
  <c r="R2042" i="12"/>
  <c r="R2043" i="12"/>
  <c r="R2044" i="12"/>
  <c r="R2045" i="12"/>
  <c r="R2046" i="12"/>
  <c r="R2047" i="12"/>
  <c r="R2048" i="12"/>
  <c r="R2049" i="12"/>
  <c r="R2050" i="12"/>
  <c r="R2051" i="12"/>
  <c r="R2052" i="12"/>
  <c r="R2053" i="12"/>
  <c r="R2054" i="12"/>
  <c r="R2055" i="12"/>
  <c r="R2056" i="12"/>
  <c r="R2057" i="12"/>
  <c r="R2058" i="12"/>
  <c r="R2059" i="12"/>
  <c r="R2060" i="12"/>
  <c r="R2061" i="12"/>
  <c r="R2063" i="12"/>
  <c r="R1008" i="12"/>
  <c r="R2064" i="12"/>
  <c r="R2065" i="12"/>
  <c r="R2066" i="12"/>
  <c r="R2067" i="12"/>
  <c r="R2068" i="12"/>
  <c r="R2069" i="12"/>
  <c r="R1960" i="12"/>
  <c r="R1932" i="12"/>
  <c r="R2108" i="12"/>
  <c r="S1737" i="12"/>
  <c r="S1738" i="12"/>
  <c r="S1739" i="12"/>
  <c r="S1740" i="12"/>
  <c r="S1741" i="12"/>
  <c r="S1742" i="12"/>
  <c r="S1743" i="12"/>
  <c r="S1744" i="12"/>
  <c r="S1745" i="12"/>
  <c r="S1746" i="12"/>
  <c r="S765" i="12"/>
  <c r="S1022" i="12"/>
  <c r="S1796" i="12"/>
  <c r="S1036" i="12"/>
  <c r="S1817" i="12"/>
  <c r="S1751" i="12"/>
  <c r="S1752" i="12"/>
  <c r="S1753" i="12"/>
  <c r="S1754" i="12"/>
  <c r="S1755" i="12"/>
  <c r="S1756" i="12"/>
  <c r="S1757" i="12"/>
  <c r="S1758" i="12"/>
  <c r="S1759" i="12"/>
  <c r="S1760" i="12"/>
  <c r="S1761" i="12"/>
  <c r="S1929" i="12"/>
  <c r="S2185" i="12"/>
  <c r="S1841" i="12"/>
  <c r="S1045" i="12"/>
  <c r="S1766" i="12"/>
  <c r="S1767" i="12"/>
  <c r="S1768" i="12"/>
  <c r="S1769" i="12"/>
  <c r="S1770" i="12"/>
  <c r="S1771" i="12"/>
  <c r="S1772" i="12"/>
  <c r="S1773" i="12"/>
  <c r="S1774" i="12"/>
  <c r="S2151" i="12"/>
  <c r="S1776" i="12"/>
  <c r="S1777" i="12"/>
  <c r="S1778" i="12"/>
  <c r="S1779" i="12"/>
  <c r="S1780" i="12"/>
  <c r="S1781" i="12"/>
  <c r="S1782" i="12"/>
  <c r="S2309" i="12"/>
  <c r="S2126" i="12"/>
  <c r="S1367" i="12"/>
  <c r="S379" i="12"/>
  <c r="S1113" i="12"/>
  <c r="S1788" i="12"/>
  <c r="S1374" i="12"/>
  <c r="S1047" i="12"/>
  <c r="S1246" i="12"/>
  <c r="S2141" i="12"/>
  <c r="S1793" i="12"/>
  <c r="S1404" i="12"/>
  <c r="S1904" i="12"/>
  <c r="S1792" i="12"/>
  <c r="S363" i="12"/>
  <c r="S2109" i="12"/>
  <c r="S2215" i="12"/>
  <c r="S764" i="12"/>
  <c r="S613" i="12"/>
  <c r="S1802" i="12"/>
  <c r="S1803" i="12"/>
  <c r="S1804" i="12"/>
  <c r="S2251" i="12"/>
  <c r="S1807" i="12"/>
  <c r="S2188" i="12"/>
  <c r="S1808" i="12"/>
  <c r="S1809" i="12"/>
  <c r="S1810" i="12"/>
  <c r="S1811" i="12"/>
  <c r="S2195" i="12"/>
  <c r="S1790" i="12"/>
  <c r="S878" i="12"/>
  <c r="S1041" i="12"/>
  <c r="S1377" i="12"/>
  <c r="S1840" i="12"/>
  <c r="S1044" i="12"/>
  <c r="S1581" i="12"/>
  <c r="S723" i="12"/>
  <c r="S2155" i="12"/>
  <c r="S2062" i="12"/>
  <c r="S1415" i="12"/>
  <c r="S1095" i="12"/>
  <c r="S633" i="12"/>
  <c r="S1827" i="12"/>
  <c r="R1737" i="12"/>
  <c r="R1738" i="12"/>
  <c r="R1739" i="12"/>
  <c r="R1740" i="12"/>
  <c r="R1741" i="12"/>
  <c r="R1742" i="12"/>
  <c r="R1743" i="12"/>
  <c r="R1744" i="12"/>
  <c r="R1745" i="12"/>
  <c r="R1746" i="12"/>
  <c r="R765" i="12"/>
  <c r="R1022" i="12"/>
  <c r="R1796" i="12"/>
  <c r="R1036" i="12"/>
  <c r="R1817" i="12"/>
  <c r="R1751" i="12"/>
  <c r="R1752" i="12"/>
  <c r="R1753" i="12"/>
  <c r="R1754" i="12"/>
  <c r="R1755" i="12"/>
  <c r="R1756" i="12"/>
  <c r="R1757" i="12"/>
  <c r="R1758" i="12"/>
  <c r="R1759" i="12"/>
  <c r="R1760" i="12"/>
  <c r="R1761" i="12"/>
  <c r="R1929" i="12"/>
  <c r="R2185" i="12"/>
  <c r="R1841" i="12"/>
  <c r="R1045" i="12"/>
  <c r="R1766" i="12"/>
  <c r="R1767" i="12"/>
  <c r="R1768" i="12"/>
  <c r="R1769" i="12"/>
  <c r="R1770" i="12"/>
  <c r="R1771" i="12"/>
  <c r="R1772" i="12"/>
  <c r="R1773" i="12"/>
  <c r="R1774" i="12"/>
  <c r="R2151" i="12"/>
  <c r="R1776" i="12"/>
  <c r="R1777" i="12"/>
  <c r="R1778" i="12"/>
  <c r="R1779" i="12"/>
  <c r="R1780" i="12"/>
  <c r="R1781" i="12"/>
  <c r="R1782" i="12"/>
  <c r="R2309" i="12"/>
  <c r="R2126" i="12"/>
  <c r="R1367" i="12"/>
  <c r="R379" i="12"/>
  <c r="R1113" i="12"/>
  <c r="R1788" i="12"/>
  <c r="R1374" i="12"/>
  <c r="R1047" i="12"/>
  <c r="R1246" i="12"/>
  <c r="R2141" i="12"/>
  <c r="R1793" i="12"/>
  <c r="R1404" i="12"/>
  <c r="R1904" i="12"/>
  <c r="R1792" i="12"/>
  <c r="R363" i="12"/>
  <c r="R2109" i="12"/>
  <c r="R2215" i="12"/>
  <c r="R764" i="12"/>
  <c r="R613" i="12"/>
  <c r="R1802" i="12"/>
  <c r="R1803" i="12"/>
  <c r="R1804" i="12"/>
  <c r="R2251" i="12"/>
  <c r="R1807" i="12"/>
  <c r="R2188" i="12"/>
  <c r="R1808" i="12"/>
  <c r="R1809" i="12"/>
  <c r="R1810" i="12"/>
  <c r="R1811" i="12"/>
  <c r="R2195" i="12"/>
  <c r="R1790" i="12"/>
  <c r="R878" i="12"/>
  <c r="R1041" i="12"/>
  <c r="R1377" i="12"/>
  <c r="R1840" i="12"/>
  <c r="R1044" i="12"/>
  <c r="R1581" i="12"/>
  <c r="R723" i="12"/>
  <c r="R2155" i="12"/>
  <c r="R2062" i="12"/>
  <c r="R1415" i="12"/>
  <c r="R1095" i="12"/>
  <c r="R633" i="12"/>
  <c r="R1827" i="12"/>
  <c r="S450" i="12"/>
  <c r="R450" i="12"/>
  <c r="S1541" i="12"/>
  <c r="R1734" i="12"/>
  <c r="S1734" i="12"/>
  <c r="R1735" i="12"/>
  <c r="S1735" i="12"/>
  <c r="R1736" i="12"/>
  <c r="S1736" i="12"/>
  <c r="R870" i="12"/>
  <c r="S870" i="12"/>
  <c r="R1530" i="12"/>
  <c r="R941" i="12"/>
  <c r="R1100" i="12"/>
  <c r="R290" i="12"/>
  <c r="R291" i="12"/>
  <c r="R1731" i="12"/>
  <c r="S1731" i="12"/>
  <c r="R1732" i="12"/>
  <c r="S1732" i="12"/>
  <c r="R1733" i="12"/>
  <c r="S1733" i="12"/>
  <c r="R1726" i="12"/>
  <c r="S1726" i="12"/>
  <c r="R1727" i="12"/>
  <c r="S1727" i="12"/>
  <c r="R1728" i="12"/>
  <c r="S1728" i="12"/>
  <c r="R1729" i="12"/>
  <c r="S1729" i="12"/>
  <c r="R1910" i="12"/>
  <c r="S1910" i="12"/>
  <c r="S2211" i="12"/>
  <c r="S673" i="12"/>
  <c r="S264" i="12"/>
  <c r="S265" i="12"/>
  <c r="S266" i="12"/>
  <c r="S267" i="12"/>
  <c r="S268" i="12"/>
  <c r="S299" i="12"/>
  <c r="S300" i="12"/>
  <c r="S370" i="12"/>
  <c r="S337" i="12"/>
  <c r="S338" i="12"/>
  <c r="S339" i="12"/>
  <c r="S340" i="12"/>
  <c r="S341" i="12"/>
  <c r="S342" i="12"/>
  <c r="S343" i="12"/>
  <c r="S474" i="12"/>
  <c r="S475" i="12"/>
  <c r="S396" i="12"/>
  <c r="S397" i="12"/>
  <c r="S398" i="12"/>
  <c r="S399" i="12"/>
  <c r="S400" i="12"/>
  <c r="S9" i="12"/>
  <c r="S10" i="12"/>
  <c r="S11" i="12"/>
  <c r="S12" i="12"/>
  <c r="S88" i="12"/>
  <c r="S172" i="12"/>
  <c r="S173" i="12"/>
  <c r="S174" i="12"/>
  <c r="S175" i="12"/>
  <c r="S176" i="12"/>
  <c r="S177" i="12"/>
  <c r="S178" i="12"/>
  <c r="S179" i="12"/>
  <c r="S453" i="12"/>
  <c r="S454" i="12"/>
  <c r="S455" i="12"/>
  <c r="S401" i="12"/>
  <c r="S536" i="12"/>
  <c r="S13" i="12"/>
  <c r="S14" i="12"/>
  <c r="S68" i="12"/>
  <c r="S89" i="12"/>
  <c r="S67" i="12"/>
  <c r="S90" i="12"/>
  <c r="S74" i="12"/>
  <c r="S91" i="12"/>
  <c r="S92" i="12"/>
  <c r="S93" i="12"/>
  <c r="S94" i="12"/>
  <c r="S144" i="12"/>
  <c r="S95" i="12"/>
  <c r="S242" i="12"/>
  <c r="S96" i="12"/>
  <c r="S145" i="12"/>
  <c r="S146" i="12"/>
  <c r="S78" i="12"/>
  <c r="S79" i="12"/>
  <c r="S147" i="12"/>
  <c r="S80" i="12"/>
  <c r="S148" i="12"/>
  <c r="S75" i="12"/>
  <c r="S81" i="12"/>
  <c r="S166" i="12"/>
  <c r="S167" i="12"/>
  <c r="S149" i="12"/>
  <c r="S150" i="12"/>
  <c r="S301" i="12"/>
  <c r="S392" i="12"/>
  <c r="S674" i="12"/>
  <c r="S243" i="12"/>
  <c r="S97" i="12"/>
  <c r="S77" i="12"/>
  <c r="S244" i="12"/>
  <c r="S98" i="12"/>
  <c r="S245" i="12"/>
  <c r="S99" i="12"/>
  <c r="S246" i="12"/>
  <c r="S15" i="12"/>
  <c r="S252" i="12"/>
  <c r="S100" i="12"/>
  <c r="S101" i="12"/>
  <c r="S253" i="12"/>
  <c r="S102" i="12"/>
  <c r="S254" i="12"/>
  <c r="S103" i="12"/>
  <c r="S104" i="12"/>
  <c r="S255" i="12"/>
  <c r="S302" i="12"/>
  <c r="S303" i="12"/>
  <c r="S304" i="12"/>
  <c r="S305" i="12"/>
  <c r="S306" i="12"/>
  <c r="S307" i="12"/>
  <c r="S308" i="12"/>
  <c r="S256" i="12"/>
  <c r="S16" i="12"/>
  <c r="S17" i="12"/>
  <c r="S18" i="12"/>
  <c r="S19" i="12"/>
  <c r="S20" i="12"/>
  <c r="S21" i="12"/>
  <c r="S22" i="12"/>
  <c r="S180" i="12"/>
  <c r="S181" i="12"/>
  <c r="S182" i="12"/>
  <c r="S138" i="12"/>
  <c r="S183" i="12"/>
  <c r="S184" i="12"/>
  <c r="S476" i="12"/>
  <c r="S185" i="12"/>
  <c r="S186" i="12"/>
  <c r="S187" i="12"/>
  <c r="S188" i="12"/>
  <c r="S189" i="12"/>
  <c r="S428" i="12"/>
  <c r="S456" i="12"/>
  <c r="S477" i="12"/>
  <c r="S478" i="12"/>
  <c r="S457" i="12"/>
  <c r="S517" i="12"/>
  <c r="S479" i="12"/>
  <c r="S480" i="12"/>
  <c r="S537" i="12"/>
  <c r="S538" i="12"/>
  <c r="S481" i="12"/>
  <c r="S575" i="12"/>
  <c r="S576" i="12"/>
  <c r="S605" i="12"/>
  <c r="S606" i="12"/>
  <c r="S607" i="12"/>
  <c r="S608" i="12"/>
  <c r="S639" i="12"/>
  <c r="S640" i="12"/>
  <c r="S641" i="12"/>
  <c r="S642" i="12"/>
  <c r="S712" i="12"/>
  <c r="S713" i="12"/>
  <c r="S714" i="12"/>
  <c r="S715" i="12"/>
  <c r="S675" i="12"/>
  <c r="S676" i="12"/>
  <c r="S677" i="12"/>
  <c r="S749" i="12"/>
  <c r="S750" i="12"/>
  <c r="S751" i="12"/>
  <c r="S716" i="12"/>
  <c r="S752" i="12"/>
  <c r="S753" i="12"/>
  <c r="S257" i="12"/>
  <c r="S1714" i="12"/>
  <c r="S995" i="12"/>
  <c r="S1812" i="12"/>
  <c r="S269" i="12"/>
  <c r="S371" i="12"/>
  <c r="S518" i="12"/>
  <c r="S539" i="12"/>
  <c r="S482" i="12"/>
  <c r="S105" i="12"/>
  <c r="S704" i="12"/>
  <c r="S483" i="12"/>
  <c r="S23" i="12"/>
  <c r="S678" i="12"/>
  <c r="S484" i="12"/>
  <c r="S1133" i="12"/>
  <c r="S540" i="12"/>
  <c r="S485" i="12"/>
  <c r="S486" i="12"/>
  <c r="S668" i="12"/>
  <c r="S679" i="12"/>
  <c r="S680" i="12"/>
  <c r="S1156" i="12"/>
  <c r="S682" i="12"/>
  <c r="S754" i="12"/>
  <c r="S316" i="12"/>
  <c r="S580" i="12"/>
  <c r="S151" i="12"/>
  <c r="S2111" i="12"/>
  <c r="S344" i="12"/>
  <c r="S345" i="12"/>
  <c r="S346" i="12"/>
  <c r="S347" i="12"/>
  <c r="S348" i="12"/>
  <c r="S24" i="12"/>
  <c r="S106" i="12"/>
  <c r="S487" i="12"/>
  <c r="S577" i="12"/>
  <c r="S190" i="12"/>
  <c r="S191" i="12"/>
  <c r="S541" i="12"/>
  <c r="S578" i="12"/>
  <c r="S25" i="12"/>
  <c r="S192" i="12"/>
  <c r="S76" i="12"/>
  <c r="S402" i="12"/>
  <c r="S258" i="12"/>
  <c r="S1145" i="12"/>
  <c r="S27" i="12"/>
  <c r="S193" i="12"/>
  <c r="S139" i="12"/>
  <c r="S488" i="12"/>
  <c r="S309" i="12"/>
  <c r="S1148" i="12"/>
  <c r="S227" i="12"/>
  <c r="S1153" i="12"/>
  <c r="S1219" i="12"/>
  <c r="S1223" i="12"/>
  <c r="S1154" i="12"/>
  <c r="S1169" i="12"/>
  <c r="S1170" i="12"/>
  <c r="S1178" i="12"/>
  <c r="S1190" i="12"/>
  <c r="S1193" i="12"/>
  <c r="S1198" i="12"/>
  <c r="S1383" i="12"/>
  <c r="S33" i="12"/>
  <c r="S153" i="12"/>
  <c r="S1333" i="12"/>
  <c r="S233" i="12"/>
  <c r="S1332" i="12"/>
  <c r="S1340" i="12"/>
  <c r="S2033" i="12"/>
  <c r="S220" i="12"/>
  <c r="S1236" i="12"/>
  <c r="S109" i="12"/>
  <c r="S1225" i="12"/>
  <c r="S358" i="12"/>
  <c r="S1226" i="12"/>
  <c r="S86" i="12"/>
  <c r="S1239" i="12"/>
  <c r="S1265" i="12"/>
  <c r="S41" i="12"/>
  <c r="S548" i="12"/>
  <c r="S1269" i="12"/>
  <c r="S1283" i="12"/>
  <c r="S42" i="12"/>
  <c r="S458" i="12"/>
  <c r="S1284" i="12"/>
  <c r="S1287" i="12"/>
  <c r="S429" i="12"/>
  <c r="S406" i="12"/>
  <c r="S230" i="12"/>
  <c r="S498" i="12"/>
  <c r="S272" i="12"/>
  <c r="S228" i="12"/>
  <c r="S1297" i="12"/>
  <c r="S36" i="12"/>
  <c r="S212" i="12"/>
  <c r="S359" i="12"/>
  <c r="S205" i="12"/>
  <c r="S531" i="12"/>
  <c r="S197" i="12"/>
  <c r="S198" i="12"/>
  <c r="S283" i="12"/>
  <c r="S315" i="12"/>
  <c r="S463" i="12"/>
  <c r="S461" i="12"/>
  <c r="S544" i="12"/>
  <c r="S409" i="12"/>
  <c r="S489" i="12"/>
  <c r="S373" i="12"/>
  <c r="S490" i="12"/>
  <c r="S354" i="12"/>
  <c r="S493" i="12"/>
  <c r="S460" i="12"/>
  <c r="S542" i="12"/>
  <c r="S351" i="12"/>
  <c r="S439" i="12"/>
  <c r="S356" i="12"/>
  <c r="S352" i="12"/>
  <c r="S378" i="12"/>
  <c r="S496" i="12"/>
  <c r="S349" i="12"/>
  <c r="S430" i="12"/>
  <c r="S431" i="12"/>
  <c r="S350" i="12"/>
  <c r="S543" i="12"/>
  <c r="S141" i="12"/>
  <c r="S494" i="12"/>
  <c r="S567" i="12"/>
  <c r="S241" i="12"/>
  <c r="S66" i="12"/>
  <c r="S1684" i="12"/>
  <c r="S206" i="12"/>
  <c r="S1267" i="12"/>
  <c r="S497" i="12"/>
  <c r="S238" i="12"/>
  <c r="S87" i="12"/>
  <c r="S412" i="12"/>
  <c r="S72" i="12"/>
  <c r="S407" i="12"/>
  <c r="S158" i="12"/>
  <c r="S194" i="12"/>
  <c r="S719" i="12"/>
  <c r="S1298" i="12"/>
  <c r="S32" i="12"/>
  <c r="S546" i="12"/>
  <c r="S353" i="12"/>
  <c r="S271" i="12"/>
  <c r="S403" i="12"/>
  <c r="S82" i="12"/>
  <c r="S376" i="12"/>
  <c r="S247" i="12"/>
  <c r="S404" i="12"/>
  <c r="S355" i="12"/>
  <c r="S418" i="12"/>
  <c r="S234" i="12"/>
  <c r="S374" i="12"/>
  <c r="S459" i="12"/>
  <c r="S1312" i="12"/>
  <c r="S224" i="12"/>
  <c r="S195" i="12"/>
  <c r="S310" i="12"/>
  <c r="S328" i="12"/>
  <c r="S503" i="12"/>
  <c r="S523" i="12"/>
  <c r="S408" i="12"/>
  <c r="S410" i="12"/>
  <c r="S276" i="12"/>
  <c r="S368" i="12"/>
  <c r="S357" i="12"/>
  <c r="S495" i="12"/>
  <c r="S377" i="12"/>
  <c r="S1871" i="12"/>
  <c r="S274" i="12"/>
  <c r="S1747" i="12"/>
  <c r="S313" i="12"/>
  <c r="S63" i="12"/>
  <c r="S425" i="12"/>
  <c r="S492" i="12"/>
  <c r="S411" i="12"/>
  <c r="S31" i="12"/>
  <c r="S34" i="12"/>
  <c r="S213" i="12"/>
  <c r="S35" i="12"/>
  <c r="S270" i="12"/>
  <c r="S143" i="12"/>
  <c r="S1224" i="12"/>
  <c r="S37" i="12"/>
  <c r="S278" i="12"/>
  <c r="S7" i="12"/>
  <c r="S1202" i="12"/>
  <c r="S311" i="12"/>
  <c r="S448" i="12"/>
  <c r="S39" i="12"/>
  <c r="S152" i="12"/>
  <c r="S375" i="12"/>
  <c r="S154" i="12"/>
  <c r="S239" i="12"/>
  <c r="S280" i="12"/>
  <c r="S554" i="12"/>
  <c r="S286" i="12"/>
  <c r="S273" i="12"/>
  <c r="S317" i="12"/>
  <c r="S405" i="12"/>
  <c r="S275" i="12"/>
  <c r="S512" i="12"/>
  <c r="S107" i="12"/>
  <c r="S83" i="12"/>
  <c r="S84" i="12"/>
  <c r="S44" i="12"/>
  <c r="S108" i="12"/>
  <c r="S259" i="12"/>
  <c r="S2" i="12"/>
  <c r="S822" i="12"/>
  <c r="S2181" i="12"/>
  <c r="S393" i="12"/>
  <c r="S977" i="12"/>
  <c r="S2337" i="12"/>
  <c r="S1836" i="12"/>
  <c r="S2178" i="12"/>
  <c r="S663" i="12"/>
  <c r="S969" i="12"/>
  <c r="S557" i="12"/>
  <c r="S2116" i="12"/>
  <c r="S360" i="12"/>
  <c r="S1783" i="12"/>
  <c r="S2205" i="12"/>
  <c r="S585" i="12"/>
  <c r="S519" i="12"/>
  <c r="S876" i="12"/>
  <c r="S499" i="12"/>
  <c r="S520" i="12"/>
  <c r="S558" i="12"/>
  <c r="S1957" i="12"/>
  <c r="S521" i="12"/>
  <c r="S436" i="12"/>
  <c r="S464" i="12"/>
  <c r="S559" i="12"/>
  <c r="S2274" i="12"/>
  <c r="S1206" i="12"/>
  <c r="S1038" i="12"/>
  <c r="S612" i="12"/>
  <c r="S721" i="12"/>
  <c r="S318" i="12"/>
  <c r="S665" i="12"/>
  <c r="S279" i="12"/>
  <c r="S40" i="12"/>
  <c r="S281" i="12"/>
  <c r="S236" i="12"/>
  <c r="S54" i="12"/>
  <c r="S282" i="12"/>
  <c r="S285" i="12"/>
  <c r="S669" i="12"/>
  <c r="S284" i="12"/>
  <c r="S288" i="12"/>
  <c r="S289" i="12"/>
  <c r="S290" i="12"/>
  <c r="S291" i="12"/>
  <c r="S292" i="12"/>
  <c r="S293" i="12"/>
  <c r="S294" i="12"/>
  <c r="S295" i="12"/>
  <c r="S296" i="12"/>
  <c r="S287" i="12"/>
  <c r="S298" i="12"/>
  <c r="S319" i="12"/>
  <c r="S320" i="12"/>
  <c r="S321" i="12"/>
  <c r="S322" i="12"/>
  <c r="S323" i="12"/>
  <c r="S324" i="12"/>
  <c r="S297" i="12"/>
  <c r="S326" i="12"/>
  <c r="S327" i="12"/>
  <c r="S671" i="12"/>
  <c r="S329" i="12"/>
  <c r="S683" i="12"/>
  <c r="S361" i="12"/>
  <c r="S465" i="12"/>
  <c r="S362" i="12"/>
  <c r="S573" i="12"/>
  <c r="S364" i="12"/>
  <c r="S365" i="12"/>
  <c r="S366" i="12"/>
  <c r="S367" i="12"/>
  <c r="S755" i="12"/>
  <c r="S369" i="12"/>
  <c r="S380" i="12"/>
  <c r="S381" i="12"/>
  <c r="S382" i="12"/>
  <c r="S383" i="12"/>
  <c r="S384" i="12"/>
  <c r="S385" i="12"/>
  <c r="S560" i="12"/>
  <c r="S857" i="12"/>
  <c r="S386" i="12"/>
  <c r="S387" i="12"/>
  <c r="S388" i="12"/>
  <c r="S628" i="12"/>
  <c r="S413" i="12"/>
  <c r="S414" i="12"/>
  <c r="S415" i="12"/>
  <c r="S416" i="12"/>
  <c r="S417" i="12"/>
  <c r="S199" i="12"/>
  <c r="S522" i="12"/>
  <c r="S586" i="12"/>
  <c r="S419" i="12"/>
  <c r="S420" i="12"/>
  <c r="S421" i="12"/>
  <c r="S422" i="12"/>
  <c r="S636" i="12"/>
  <c r="S45" i="12"/>
  <c r="S46" i="12"/>
  <c r="S47" i="12"/>
  <c r="S48" i="12"/>
  <c r="S49" i="12"/>
  <c r="S50" i="12"/>
  <c r="S652" i="12"/>
  <c r="S655" i="12"/>
  <c r="S1081" i="12"/>
  <c r="S111" i="12"/>
  <c r="S202" i="12"/>
  <c r="S545" i="12"/>
  <c r="S204" i="12"/>
  <c r="S29" i="12"/>
  <c r="S142" i="12"/>
  <c r="S203" i="12"/>
  <c r="S207" i="12"/>
  <c r="S208" i="12"/>
  <c r="S209" i="12"/>
  <c r="S210" i="12"/>
  <c r="S211" i="12"/>
  <c r="S196" i="12"/>
  <c r="S433" i="12"/>
  <c r="S132" i="12"/>
  <c r="S215" i="12"/>
  <c r="S216" i="12"/>
  <c r="S217" i="12"/>
  <c r="S955" i="12"/>
  <c r="S437" i="12"/>
  <c r="S501" i="12"/>
  <c r="S524" i="12"/>
  <c r="S502" i="12"/>
  <c r="S438" i="12"/>
  <c r="S1329" i="12"/>
  <c r="S440" i="12"/>
  <c r="S884" i="12"/>
  <c r="S1806" i="12"/>
  <c r="S722" i="12"/>
  <c r="S2249" i="12"/>
  <c r="S466" i="12"/>
  <c r="S569" i="12"/>
  <c r="S561" i="12"/>
  <c r="S553" i="12"/>
  <c r="S314" i="12"/>
  <c r="S1618" i="12"/>
  <c r="S685" i="12"/>
  <c r="S603" i="12"/>
  <c r="S877" i="12"/>
  <c r="S686" i="12"/>
  <c r="S766" i="12"/>
  <c r="S442" i="12"/>
  <c r="S525" i="12"/>
  <c r="S526" i="12"/>
  <c r="S549" i="12"/>
  <c r="S333" i="12"/>
  <c r="S505" i="12"/>
  <c r="S587" i="12"/>
  <c r="S956" i="12"/>
  <c r="S527" i="12"/>
  <c r="S506" i="12"/>
  <c r="S507" i="12"/>
  <c r="S588" i="12"/>
  <c r="S51" i="12"/>
  <c r="S112" i="12"/>
  <c r="S113" i="12"/>
  <c r="S114" i="12"/>
  <c r="S115" i="12"/>
  <c r="S116" i="12"/>
  <c r="S117" i="12"/>
  <c r="S118" i="12"/>
  <c r="S119" i="12"/>
  <c r="S120" i="12"/>
  <c r="S121" i="12"/>
  <c r="S122" i="12"/>
  <c r="S123" i="12"/>
  <c r="S124" i="12"/>
  <c r="S125" i="12"/>
  <c r="S126" i="12"/>
  <c r="S957" i="12"/>
  <c r="S155" i="12"/>
  <c r="S156" i="12"/>
  <c r="S157" i="12"/>
  <c r="S168" i="12"/>
  <c r="S110" i="12"/>
  <c r="S159" i="12"/>
  <c r="S160" i="12"/>
  <c r="S161" i="12"/>
  <c r="S508" i="12"/>
  <c r="S162" i="12"/>
  <c r="S444" i="12"/>
  <c r="S248" i="12"/>
  <c r="S163" i="12"/>
  <c r="S164" i="12"/>
  <c r="S165" i="12"/>
  <c r="S330" i="12"/>
  <c r="S643" i="12"/>
  <c r="S529" i="12"/>
  <c r="S647" i="12"/>
  <c r="S390" i="12"/>
  <c r="S958" i="12"/>
  <c r="S1335" i="12"/>
  <c r="S509" i="12"/>
  <c r="S582" i="12"/>
  <c r="S423" i="12"/>
  <c r="S510" i="12"/>
  <c r="S249" i="12"/>
  <c r="S250" i="12"/>
  <c r="S128" i="12"/>
  <c r="S129" i="12"/>
  <c r="S251" i="12"/>
  <c r="S130" i="12"/>
  <c r="S131" i="12"/>
  <c r="S564" i="12"/>
  <c r="S133" i="12"/>
  <c r="S134" i="12"/>
  <c r="S331" i="12"/>
  <c r="S135" i="12"/>
  <c r="S136" i="12"/>
  <c r="S261" i="12"/>
  <c r="S262" i="12"/>
  <c r="S137" i="12"/>
  <c r="S332" i="12"/>
  <c r="S325" i="12"/>
  <c r="S334" i="12"/>
  <c r="S335" i="12"/>
  <c r="S336" i="12"/>
  <c r="S263" i="12"/>
  <c r="S52" i="12"/>
  <c r="S53" i="12"/>
  <c r="S1209" i="12"/>
  <c r="S55" i="12"/>
  <c r="S56" i="12"/>
  <c r="S1157" i="12"/>
  <c r="S693" i="12"/>
  <c r="S801" i="12"/>
  <c r="S60" i="12"/>
  <c r="S61" i="12"/>
  <c r="S62" i="12"/>
  <c r="S389" i="12"/>
  <c r="S874" i="12"/>
  <c r="S65" i="12"/>
  <c r="S852" i="12"/>
  <c r="S391" i="12"/>
  <c r="S711" i="12"/>
  <c r="S218" i="12"/>
  <c r="S219" i="12"/>
  <c r="S38" i="12"/>
  <c r="S1092" i="12"/>
  <c r="S445" i="12"/>
  <c r="S221" i="12"/>
  <c r="S572" i="12"/>
  <c r="S552" i="12"/>
  <c r="S222" i="12"/>
  <c r="S223" i="12"/>
  <c r="S659" i="12"/>
  <c r="S446" i="12"/>
  <c r="S225" i="12"/>
  <c r="S226" i="12"/>
  <c r="S890" i="12"/>
  <c r="S372" i="12"/>
  <c r="S240" i="12"/>
  <c r="S229" i="12"/>
  <c r="S312" i="12"/>
  <c r="S231" i="12"/>
  <c r="S232" i="12"/>
  <c r="S43" i="12"/>
  <c r="S28" i="12"/>
  <c r="S235" i="12"/>
  <c r="S170" i="12"/>
  <c r="S237" i="12"/>
  <c r="S447" i="12"/>
  <c r="S684" i="12"/>
  <c r="S449" i="12"/>
  <c r="S468" i="12"/>
  <c r="S469" i="12"/>
  <c r="S470" i="12"/>
  <c r="S511" i="12"/>
  <c r="S471" i="12"/>
  <c r="S472" i="12"/>
  <c r="S530" i="12"/>
  <c r="S1123" i="12"/>
  <c r="S688" i="12"/>
  <c r="S614" i="12"/>
  <c r="S959" i="12"/>
  <c r="S701" i="12"/>
  <c r="S644" i="12"/>
  <c r="S592" i="12"/>
  <c r="S960" i="12"/>
  <c r="S513" i="12"/>
  <c r="S73" i="12"/>
  <c r="S689" i="12"/>
  <c r="S1232" i="12"/>
  <c r="S648" i="12"/>
  <c r="S690" i="12"/>
  <c r="S593" i="12"/>
  <c r="S833" i="12"/>
  <c r="S961" i="12"/>
  <c r="S962" i="12"/>
  <c r="S532" i="12"/>
  <c r="S64" i="12"/>
  <c r="S794" i="12"/>
  <c r="S681" i="12"/>
  <c r="S514" i="12"/>
  <c r="S718" i="12"/>
  <c r="S565" i="12"/>
  <c r="S963" i="12"/>
  <c r="S473" i="12"/>
  <c r="S515" i="12"/>
  <c r="S533" i="12"/>
  <c r="S595" i="12"/>
  <c r="S581" i="12"/>
  <c r="S566" i="12"/>
  <c r="S691" i="12"/>
  <c r="S938" i="12"/>
  <c r="S692" i="12"/>
  <c r="S426" i="12"/>
  <c r="S58" i="12"/>
  <c r="S596" i="12"/>
  <c r="S597" i="12"/>
  <c r="S598" i="12"/>
  <c r="S599" i="12"/>
  <c r="S600" i="12"/>
  <c r="S601" i="12"/>
  <c r="S616" i="12"/>
  <c r="S617" i="12"/>
  <c r="S615" i="12"/>
  <c r="S619" i="12"/>
  <c r="S609" i="12"/>
  <c r="S594" i="12"/>
  <c r="S622" i="12"/>
  <c r="S623" i="12"/>
  <c r="S504" i="12"/>
  <c r="S625" i="12"/>
  <c r="S829" i="12"/>
  <c r="S583" i="12"/>
  <c r="S140" i="12"/>
  <c r="S629" i="12"/>
  <c r="S768" i="12"/>
  <c r="S631" i="12"/>
  <c r="S632" i="12"/>
  <c r="S516" i="12"/>
  <c r="S634" i="12"/>
  <c r="S635" i="12"/>
  <c r="S434" i="12"/>
  <c r="S637" i="12"/>
  <c r="S649" i="12"/>
  <c r="S650" i="12"/>
  <c r="S610" i="12"/>
  <c r="S570" i="12"/>
  <c r="S59" i="12"/>
  <c r="S653" i="12"/>
  <c r="S214" i="12"/>
  <c r="S656" i="12"/>
  <c r="S657" i="12"/>
  <c r="S1825" i="12"/>
  <c r="S277" i="12"/>
  <c r="S624" i="12"/>
  <c r="S661" i="12"/>
  <c r="S662" i="12"/>
  <c r="S6" i="12"/>
  <c r="S664" i="12"/>
  <c r="S568" i="12"/>
  <c r="S666" i="12"/>
  <c r="S667" i="12"/>
  <c r="S717" i="12"/>
  <c r="S4" i="12"/>
  <c r="S574" i="12"/>
  <c r="S563" i="12"/>
  <c r="S725" i="12"/>
  <c r="S435" i="12"/>
  <c r="S1168" i="12"/>
  <c r="S769" i="12"/>
  <c r="S534" i="12"/>
  <c r="S770" i="12"/>
  <c r="S727" i="12"/>
  <c r="S771" i="12"/>
  <c r="S728" i="12"/>
  <c r="S729" i="12"/>
  <c r="S730" i="12"/>
  <c r="S731" i="12"/>
  <c r="S604" i="12"/>
  <c r="S733" i="12"/>
  <c r="S556" i="12"/>
  <c r="S761" i="12"/>
  <c r="S726" i="12"/>
  <c r="S737" i="12"/>
  <c r="S738" i="12"/>
  <c r="S739" i="12"/>
  <c r="S740" i="12"/>
  <c r="S741" i="12"/>
  <c r="S694" i="12"/>
  <c r="S695" i="12"/>
  <c r="S696" i="12"/>
  <c r="S697" i="12"/>
  <c r="S698" i="12"/>
  <c r="S699" i="12"/>
  <c r="S700" i="12"/>
  <c r="S734" i="12"/>
  <c r="S702" i="12"/>
  <c r="S703" i="12"/>
  <c r="S710" i="12"/>
  <c r="S705" i="12"/>
  <c r="S706" i="12"/>
  <c r="S707" i="12"/>
  <c r="S708" i="12"/>
  <c r="S5" i="12"/>
  <c r="S441" i="12"/>
  <c r="S901" i="12"/>
  <c r="S638" i="12"/>
  <c r="S772" i="12"/>
  <c r="S773" i="12"/>
  <c r="S774" i="12"/>
  <c r="S742" i="12"/>
  <c r="S1379" i="12"/>
  <c r="S776" i="12"/>
  <c r="S424" i="12"/>
  <c r="S743" i="12"/>
  <c r="S744" i="12"/>
  <c r="S779" i="12"/>
  <c r="S555" i="12"/>
  <c r="S780" i="12"/>
  <c r="S781" i="12"/>
  <c r="S745" i="12"/>
  <c r="S782" i="12"/>
  <c r="S660" i="12"/>
  <c r="S551" i="12"/>
  <c r="S746" i="12"/>
  <c r="S785" i="12"/>
  <c r="S786" i="12"/>
  <c r="S1230" i="12"/>
  <c r="S788" i="12"/>
  <c r="S747" i="12"/>
  <c r="S1886" i="12"/>
  <c r="S790" i="12"/>
  <c r="S791" i="12"/>
  <c r="S792" i="12"/>
  <c r="S793" i="12"/>
  <c r="S584" i="12"/>
  <c r="S795" i="12"/>
  <c r="S748" i="12"/>
  <c r="S796" i="12"/>
  <c r="S797" i="12"/>
  <c r="S808" i="12"/>
  <c r="S809" i="12"/>
  <c r="S810" i="12"/>
  <c r="S811" i="12"/>
  <c r="S812" i="12"/>
  <c r="S813" i="12"/>
  <c r="S814" i="12"/>
  <c r="S783" i="12"/>
  <c r="S816" i="12"/>
  <c r="S817" i="12"/>
  <c r="S818" i="12"/>
  <c r="S1278" i="12"/>
  <c r="S547" i="12"/>
  <c r="S672" i="12"/>
  <c r="S799" i="12"/>
  <c r="S800" i="12"/>
  <c r="S981" i="12"/>
  <c r="S803" i="12"/>
  <c r="S845" i="12"/>
  <c r="S867" i="12"/>
  <c r="S620" i="12"/>
  <c r="S819" i="12"/>
  <c r="S820" i="12"/>
  <c r="S821" i="12"/>
  <c r="S589" i="12"/>
  <c r="S855" i="12"/>
  <c r="S550" i="12"/>
  <c r="S1073" i="12"/>
  <c r="S832" i="12"/>
  <c r="S579" i="12"/>
  <c r="S528" i="12"/>
  <c r="S835" i="12"/>
  <c r="S836" i="12"/>
  <c r="S1764" i="12"/>
  <c r="S837" i="12"/>
  <c r="S757" i="12"/>
  <c r="S848" i="12"/>
  <c r="S849" i="12"/>
  <c r="S850" i="12"/>
  <c r="S838" i="12"/>
  <c r="S839" i="12"/>
  <c r="S840" i="12"/>
  <c r="S841" i="12"/>
  <c r="S842" i="12"/>
  <c r="S843" i="12"/>
  <c r="S1043" i="12"/>
  <c r="S856" i="12"/>
  <c r="S571" i="12"/>
  <c r="S732" i="12"/>
  <c r="S868" i="12"/>
  <c r="S3" i="12"/>
  <c r="S720" i="12"/>
  <c r="S171" i="12"/>
  <c r="S491" i="12"/>
  <c r="S885" i="12"/>
  <c r="S861" i="12"/>
  <c r="S862" i="12"/>
  <c r="S863" i="12"/>
  <c r="S452" i="12"/>
  <c r="S825" i="12"/>
  <c r="S1054" i="12"/>
  <c r="S827" i="12"/>
  <c r="S844" i="12"/>
  <c r="S886" i="12"/>
  <c r="S562" i="12"/>
  <c r="S462" i="12"/>
  <c r="S591" i="12"/>
  <c r="S787" i="12"/>
  <c r="S873" i="12"/>
  <c r="S815" i="12"/>
  <c r="S875" i="12"/>
  <c r="S889" i="12"/>
  <c r="S627" i="12"/>
  <c r="S880" i="12"/>
  <c r="S991" i="12"/>
  <c r="S882" i="12"/>
  <c r="S883" i="12"/>
  <c r="S921" i="12"/>
  <c r="S1360" i="12"/>
  <c r="S881" i="12"/>
  <c r="S1020" i="12"/>
  <c r="S758" i="12"/>
  <c r="S590" i="12"/>
  <c r="S824" i="12"/>
  <c r="S611" i="12"/>
  <c r="S896" i="12"/>
  <c r="S618" i="12"/>
  <c r="S898" i="12"/>
  <c r="S899" i="12"/>
  <c r="S900" i="12"/>
  <c r="S1317" i="12"/>
  <c r="S902" i="12"/>
  <c r="S756" i="12"/>
  <c r="S1205" i="12"/>
  <c r="S906" i="12"/>
  <c r="S907" i="12"/>
  <c r="S1024" i="12"/>
  <c r="S908" i="12"/>
  <c r="S912" i="12"/>
  <c r="S913" i="12"/>
  <c r="S914" i="12"/>
  <c r="S1000" i="12"/>
  <c r="S916" i="12"/>
  <c r="S763" i="12"/>
  <c r="S918" i="12"/>
  <c r="S919" i="12"/>
  <c r="S920" i="12"/>
  <c r="S869" i="12"/>
  <c r="S967" i="12"/>
  <c r="S778" i="12"/>
  <c r="S2122" i="12"/>
  <c r="S2158" i="12"/>
  <c r="S897" i="12"/>
  <c r="S924" i="12"/>
  <c r="S1369" i="12"/>
  <c r="S926" i="12"/>
  <c r="S927" i="12"/>
  <c r="S1866" i="12"/>
  <c r="S940" i="12"/>
  <c r="S930" i="12"/>
  <c r="S658" i="12"/>
  <c r="S854" i="12"/>
  <c r="S932" i="12"/>
  <c r="S860" i="12"/>
  <c r="S934" i="12"/>
  <c r="S935" i="12"/>
  <c r="S936" i="12"/>
  <c r="S937" i="12"/>
  <c r="S1183" i="12"/>
  <c r="S1530" i="12"/>
  <c r="S941" i="12"/>
  <c r="S1100" i="12"/>
  <c r="S943" i="12"/>
  <c r="S944" i="12"/>
  <c r="S945" i="12"/>
  <c r="S946" i="12"/>
  <c r="S947" i="12"/>
  <c r="S948" i="12"/>
  <c r="S1309" i="12"/>
  <c r="S950" i="12"/>
  <c r="S951" i="12"/>
  <c r="S952" i="12"/>
  <c r="S395" i="12"/>
  <c r="S2214" i="12"/>
  <c r="S1593" i="12"/>
  <c r="S1255" i="12"/>
  <c r="S1245" i="12"/>
  <c r="S201" i="12"/>
  <c r="S968" i="12"/>
  <c r="S1046" i="12"/>
  <c r="S2194" i="12"/>
  <c r="S2187" i="12"/>
  <c r="S1711" i="12"/>
  <c r="S1114" i="12"/>
  <c r="S1912" i="12"/>
  <c r="S2142" i="12"/>
  <c r="S654" i="12"/>
  <c r="S1165" i="12"/>
  <c r="S1874" i="12"/>
  <c r="S646" i="12"/>
  <c r="S127" i="12"/>
  <c r="S1021" i="12"/>
  <c r="S85" i="12"/>
  <c r="S2032" i="12"/>
  <c r="S2104" i="12"/>
  <c r="S1876" i="12"/>
  <c r="S1943" i="12"/>
  <c r="S1816" i="12"/>
  <c r="S1013" i="12"/>
  <c r="S2131" i="12"/>
  <c r="S1011" i="12"/>
  <c r="S1182" i="12"/>
  <c r="S2218" i="12"/>
  <c r="S1799" i="12"/>
  <c r="S69" i="12"/>
  <c r="S736" i="12"/>
  <c r="S762" i="12"/>
  <c r="S2105" i="12"/>
  <c r="S1376" i="12"/>
  <c r="S1818" i="12"/>
  <c r="S830" i="12"/>
  <c r="S1271" i="12"/>
  <c r="S2362" i="12"/>
  <c r="S1187" i="12"/>
  <c r="S1115" i="12"/>
  <c r="S1004" i="12"/>
  <c r="S1698" i="12"/>
  <c r="S999" i="12"/>
  <c r="S1959" i="12"/>
  <c r="S2176" i="12"/>
  <c r="S1141" i="12"/>
  <c r="S1835" i="12"/>
  <c r="S2260" i="12"/>
  <c r="S2308" i="12"/>
  <c r="S984" i="12"/>
  <c r="S1204" i="12"/>
  <c r="S1942" i="12"/>
  <c r="S1607" i="12"/>
  <c r="S2136" i="12"/>
  <c r="S1862" i="12"/>
  <c r="S1877" i="12"/>
  <c r="S1023" i="12"/>
  <c r="S1855" i="12"/>
  <c r="S1837" i="12"/>
  <c r="S925" i="12"/>
  <c r="S1135" i="12"/>
  <c r="S1028" i="12"/>
  <c r="S1852" i="12"/>
  <c r="S500" i="12"/>
  <c r="S1031" i="12"/>
  <c r="S1032" i="12"/>
  <c r="S1033" i="12"/>
  <c r="S2138" i="12"/>
  <c r="S1842" i="12"/>
  <c r="S1934" i="12"/>
  <c r="S1878" i="12"/>
  <c r="S1435" i="12"/>
  <c r="S1894" i="12"/>
  <c r="S1173" i="12"/>
  <c r="S1560" i="12"/>
  <c r="S1715" i="12"/>
  <c r="S2127" i="12"/>
  <c r="S1956" i="12"/>
  <c r="S1847" i="12"/>
  <c r="S2199" i="12"/>
  <c r="S2217" i="12"/>
  <c r="S2208" i="12"/>
  <c r="S2160" i="12"/>
  <c r="S911" i="12"/>
  <c r="S1051" i="12"/>
  <c r="S939" i="12"/>
  <c r="S1053" i="12"/>
  <c r="S1330" i="12"/>
  <c r="S1055" i="12"/>
  <c r="S1056" i="12"/>
  <c r="S806" i="12"/>
  <c r="S970" i="12"/>
  <c r="S2259" i="12"/>
  <c r="S1060" i="12"/>
  <c r="S1061" i="12"/>
  <c r="S831" i="12"/>
  <c r="S1064" i="12"/>
  <c r="S985" i="12"/>
  <c r="S823" i="12"/>
  <c r="S1067" i="12"/>
  <c r="S1005" i="12"/>
  <c r="S1069" i="12"/>
  <c r="S954" i="12"/>
  <c r="S1118" i="12"/>
  <c r="S1072" i="12"/>
  <c r="S888" i="12"/>
  <c r="S1074" i="12"/>
  <c r="S443" i="12"/>
  <c r="S1076" i="12"/>
  <c r="S917" i="12"/>
  <c r="S1078" i="12"/>
  <c r="S1079" i="12"/>
  <c r="S953" i="12"/>
  <c r="S775" i="12"/>
  <c r="S807" i="12"/>
  <c r="S1083" i="12"/>
  <c r="S1084" i="12"/>
  <c r="S1085" i="12"/>
  <c r="S467" i="12"/>
  <c r="S1087" i="12"/>
  <c r="S1088" i="12"/>
  <c r="S1089" i="12"/>
  <c r="S1090" i="12"/>
  <c r="S1091" i="12"/>
  <c r="S1207" i="12"/>
  <c r="S1093" i="12"/>
  <c r="S1094" i="12"/>
  <c r="S846" i="12"/>
  <c r="S1096" i="12"/>
  <c r="S1147" i="12"/>
  <c r="S859" i="12"/>
  <c r="S1099" i="12"/>
  <c r="S1007" i="12"/>
  <c r="S1101" i="12"/>
  <c r="S1102" i="12"/>
  <c r="S1062" i="12"/>
  <c r="S1104" i="12"/>
  <c r="S2118" i="12"/>
  <c r="S1222" i="12"/>
  <c r="S1418" i="12"/>
  <c r="S1108" i="12"/>
  <c r="S1109" i="12"/>
  <c r="S1110" i="12"/>
  <c r="S1718" i="12"/>
  <c r="S1235" i="12"/>
  <c r="S864" i="12"/>
  <c r="S709" i="12"/>
  <c r="S1794" i="12"/>
  <c r="S2364" i="12"/>
  <c r="S1889" i="12"/>
  <c r="S1765" i="12"/>
  <c r="S2349" i="12"/>
  <c r="S1561" i="12"/>
  <c r="S1980" i="12"/>
  <c r="S1909" i="12"/>
  <c r="S1482" i="12"/>
  <c r="S1363" i="12"/>
  <c r="S847" i="12"/>
  <c r="S853" i="12"/>
  <c r="S1127" i="12"/>
  <c r="S1128" i="12"/>
  <c r="S851" i="12"/>
  <c r="S1130" i="12"/>
  <c r="S451" i="12"/>
  <c r="S1086" i="12"/>
  <c r="S997" i="12"/>
  <c r="S887" i="12"/>
  <c r="S1136" i="12"/>
  <c r="S983" i="12"/>
  <c r="S893" i="12"/>
  <c r="S1139" i="12"/>
  <c r="S1140" i="12"/>
  <c r="S879" i="12"/>
  <c r="S1142" i="12"/>
  <c r="S949" i="12"/>
  <c r="S1080" i="12"/>
  <c r="S905" i="12"/>
  <c r="S915" i="12"/>
  <c r="S1814" i="12"/>
  <c r="S432" i="12"/>
  <c r="S923" i="12"/>
  <c r="S1149" i="12"/>
  <c r="S1150" i="12"/>
  <c r="S1034" i="12"/>
  <c r="S1152" i="12"/>
  <c r="S891" i="12"/>
  <c r="S871" i="12"/>
  <c r="S1155" i="12"/>
  <c r="S1025" i="12"/>
  <c r="S1097" i="12"/>
  <c r="S1158" i="12"/>
  <c r="S1159" i="12"/>
  <c r="S1160" i="12"/>
  <c r="S1161" i="12"/>
  <c r="S1162" i="12"/>
  <c r="S1143" i="12"/>
  <c r="S1164" i="12"/>
  <c r="S1151" i="12"/>
  <c r="S1166" i="12"/>
  <c r="S602" i="12"/>
  <c r="S1146" i="12"/>
  <c r="S1065" i="12"/>
  <c r="S931" i="12"/>
  <c r="S1171" i="12"/>
  <c r="S1386" i="12"/>
  <c r="S1955" i="12"/>
  <c r="S1174" i="12"/>
  <c r="S1175" i="12"/>
  <c r="S1513" i="12"/>
  <c r="S1177" i="12"/>
  <c r="S1098" i="12"/>
  <c r="S1179" i="12"/>
  <c r="S2196" i="12"/>
  <c r="S1181" i="12"/>
  <c r="S2212" i="12"/>
  <c r="S1483" i="12"/>
  <c r="S1184" i="12"/>
  <c r="S1185" i="12"/>
  <c r="S1186" i="12"/>
  <c r="S802" i="12"/>
  <c r="S1475" i="12"/>
  <c r="S1599" i="12"/>
  <c r="S1851" i="12"/>
  <c r="S1191" i="12"/>
  <c r="S1683" i="12"/>
  <c r="S1057" i="12"/>
  <c r="S1194" i="12"/>
  <c r="S1195" i="12"/>
  <c r="S1196" i="12"/>
  <c r="S1197" i="12"/>
  <c r="S996" i="12"/>
  <c r="S1199" i="12"/>
  <c r="S1200" i="12"/>
  <c r="S1201" i="12"/>
  <c r="S992" i="12"/>
  <c r="S777" i="12"/>
  <c r="S929" i="12"/>
  <c r="S1026" i="12"/>
  <c r="S972" i="12"/>
  <c r="S687" i="12"/>
  <c r="S1208" i="12"/>
  <c r="S1058" i="12"/>
  <c r="S1210" i="12"/>
  <c r="S1211" i="12"/>
  <c r="S1212" i="12"/>
  <c r="S904" i="12"/>
  <c r="S1214" i="12"/>
  <c r="S1215" i="12"/>
  <c r="S1216" i="12"/>
  <c r="S1217" i="12"/>
  <c r="S1218" i="12"/>
  <c r="S1107" i="12"/>
  <c r="S1220" i="12"/>
  <c r="S1221" i="12"/>
  <c r="S2102" i="12"/>
  <c r="S1077" i="12"/>
  <c r="S1082" i="12"/>
  <c r="S1006" i="12"/>
  <c r="S1040" i="12"/>
  <c r="S1227" i="12"/>
  <c r="S1228" i="12"/>
  <c r="S1075" i="12"/>
  <c r="S1042" i="12"/>
  <c r="S1231" i="12"/>
  <c r="S1249" i="12"/>
  <c r="S1908" i="12"/>
  <c r="S1234" i="12"/>
  <c r="S2101" i="12"/>
  <c r="S2250" i="12"/>
  <c r="S1237" i="12"/>
  <c r="S1238" i="12"/>
  <c r="S1066" i="12"/>
  <c r="S1240" i="12"/>
  <c r="S1241" i="12"/>
  <c r="S1242" i="12"/>
  <c r="S1243" i="12"/>
  <c r="S1244" i="12"/>
  <c r="S971" i="12"/>
  <c r="S2341" i="12"/>
  <c r="S2169" i="12"/>
  <c r="S1839" i="12"/>
  <c r="S2209" i="12"/>
  <c r="S1250" i="12"/>
  <c r="S1251" i="12"/>
  <c r="S1252" i="12"/>
  <c r="S1253" i="12"/>
  <c r="S1254" i="12"/>
  <c r="S1372" i="12"/>
  <c r="S1256" i="12"/>
  <c r="S1257" i="12"/>
  <c r="S1258" i="12"/>
  <c r="S1259" i="12"/>
  <c r="S1260" i="12"/>
  <c r="S1261" i="12"/>
  <c r="S1303" i="12"/>
  <c r="S1263" i="12"/>
  <c r="S1264" i="12"/>
  <c r="S942" i="12"/>
  <c r="S1266" i="12"/>
  <c r="S979" i="12"/>
  <c r="S1268" i="12"/>
  <c r="S1012" i="12"/>
  <c r="S1270" i="12"/>
  <c r="S1940" i="12"/>
  <c r="S1272" i="12"/>
  <c r="S1273" i="12"/>
  <c r="S1274" i="12"/>
  <c r="S1275" i="12"/>
  <c r="S1052" i="12"/>
  <c r="S1277" i="12"/>
  <c r="S1713" i="12"/>
  <c r="S1279" i="12"/>
  <c r="S1280" i="12"/>
  <c r="S1281" i="12"/>
  <c r="S1282" i="12"/>
  <c r="S1112" i="12"/>
  <c r="S1710" i="12"/>
  <c r="S1286" i="12"/>
  <c r="S1289" i="12"/>
  <c r="S1125" i="12"/>
  <c r="S1288" i="12"/>
  <c r="S1291" i="12"/>
  <c r="S1290" i="12"/>
  <c r="S1307" i="12"/>
  <c r="S1937" i="12"/>
  <c r="S1293" i="12"/>
  <c r="S1294" i="12"/>
  <c r="S1295" i="12"/>
  <c r="S1296" i="12"/>
  <c r="S1137" i="12"/>
  <c r="S1071" i="12"/>
  <c r="S1299" i="12"/>
  <c r="S1300" i="12"/>
  <c r="S1301" i="12"/>
  <c r="S1573" i="12"/>
  <c r="S1572" i="12"/>
  <c r="S2140" i="12"/>
  <c r="S894" i="12"/>
  <c r="S1918" i="12"/>
  <c r="S1308" i="12"/>
  <c r="S1124" i="12"/>
  <c r="S1310" i="12"/>
  <c r="S1314" i="12"/>
  <c r="S1010" i="12"/>
  <c r="S1111" i="12"/>
  <c r="S1313" i="12"/>
  <c r="S1318" i="12"/>
  <c r="S1315" i="12"/>
  <c r="S1879" i="12"/>
  <c r="S1888" i="12"/>
  <c r="S1388" i="12"/>
  <c r="S1319" i="12"/>
  <c r="S1320" i="12"/>
  <c r="S1321" i="12"/>
  <c r="S1322" i="12"/>
  <c r="S1323" i="12"/>
  <c r="S1324" i="12"/>
  <c r="S1325" i="12"/>
  <c r="S1326" i="12"/>
  <c r="S1327" i="12"/>
  <c r="S1138" i="12"/>
  <c r="S1167" i="12"/>
  <c r="S1331" i="12"/>
  <c r="S1126" i="12"/>
  <c r="S1129" i="12"/>
  <c r="S57" i="12"/>
  <c r="S1203" i="12"/>
  <c r="S1336" i="12"/>
  <c r="S1337" i="12"/>
  <c r="S1338" i="12"/>
  <c r="S1339" i="12"/>
  <c r="S1144" i="12"/>
  <c r="S1341" i="12"/>
  <c r="S1342" i="12"/>
  <c r="S1343" i="12"/>
  <c r="S1344" i="12"/>
  <c r="S1345" i="12"/>
  <c r="S1346" i="12"/>
  <c r="S1347" i="12"/>
  <c r="S1348" i="12"/>
  <c r="S993" i="12"/>
  <c r="S1351" i="12"/>
  <c r="S1352" i="12"/>
  <c r="S1353" i="12"/>
  <c r="S1048" i="12"/>
  <c r="S1355" i="12"/>
  <c r="S1356" i="12"/>
  <c r="S1357" i="12"/>
  <c r="S1358" i="12"/>
  <c r="S1359" i="12"/>
  <c r="S784" i="12"/>
  <c r="S2174" i="12"/>
  <c r="S1887" i="12"/>
  <c r="S1890" i="12"/>
  <c r="S1262" i="12"/>
  <c r="S2123" i="12"/>
  <c r="S651" i="12"/>
  <c r="S1897" i="12"/>
  <c r="S1945" i="12"/>
  <c r="S1785" i="12"/>
  <c r="S1860" i="12"/>
  <c r="S828" i="12"/>
  <c r="S986" i="12"/>
  <c r="S834" i="12"/>
  <c r="S1019" i="12"/>
  <c r="S1870" i="12"/>
  <c r="S2180" i="12"/>
  <c r="S965" i="12"/>
  <c r="S1789" i="12"/>
  <c r="S1884" i="12"/>
  <c r="S1946" i="12"/>
  <c r="S2099" i="12"/>
  <c r="S1119" i="12"/>
  <c r="S1882" i="12"/>
  <c r="S1384" i="12"/>
  <c r="S1921" i="12"/>
  <c r="S2190" i="12"/>
  <c r="S2117" i="12"/>
  <c r="S1416" i="12"/>
  <c r="S1389" i="12"/>
  <c r="S1390" i="12"/>
  <c r="S1285" i="12"/>
  <c r="S1821" i="12"/>
  <c r="S1039" i="12"/>
  <c r="S1962" i="12"/>
  <c r="S1192" i="12"/>
  <c r="S1405" i="12"/>
  <c r="S1406" i="12"/>
  <c r="S1407" i="12"/>
  <c r="S1408" i="12"/>
  <c r="S1409" i="12"/>
  <c r="S1410" i="12"/>
  <c r="S1411" i="12"/>
  <c r="S1412" i="12"/>
  <c r="S1413" i="12"/>
  <c r="S1414" i="12"/>
  <c r="S1826" i="12"/>
  <c r="S1595" i="12"/>
  <c r="S2221" i="12"/>
  <c r="S2135" i="12"/>
  <c r="S1419" i="12"/>
  <c r="S1420" i="12"/>
  <c r="S1421" i="12"/>
  <c r="S1422" i="12"/>
  <c r="S1423" i="12"/>
  <c r="S1424" i="12"/>
  <c r="S1425" i="12"/>
  <c r="S1426" i="12"/>
  <c r="S1427" i="12"/>
  <c r="S1428" i="12"/>
  <c r="S1429" i="12"/>
  <c r="S1430" i="12"/>
  <c r="S1431" i="12"/>
  <c r="S1432" i="12"/>
  <c r="S1433" i="12"/>
  <c r="S1434" i="12"/>
  <c r="S789" i="12"/>
  <c r="S1436" i="12"/>
  <c r="S1437" i="12"/>
  <c r="S1438" i="12"/>
  <c r="S1439" i="12"/>
  <c r="S1440" i="12"/>
  <c r="S1441" i="12"/>
  <c r="S1442" i="12"/>
  <c r="S1443" i="12"/>
  <c r="S1444" i="12"/>
  <c r="S1445" i="12"/>
  <c r="S1446" i="12"/>
  <c r="S1447" i="12"/>
  <c r="S1448" i="12"/>
  <c r="S1449" i="12"/>
  <c r="S1450" i="12"/>
  <c r="S1451" i="12"/>
  <c r="S1452" i="12"/>
  <c r="S1453" i="12"/>
  <c r="S1454" i="12"/>
  <c r="S1455" i="12"/>
  <c r="S1456" i="12"/>
  <c r="S1457" i="12"/>
  <c r="S1458" i="12"/>
  <c r="S1316" i="12"/>
  <c r="S1460" i="12"/>
  <c r="S1461" i="12"/>
  <c r="S1462" i="12"/>
  <c r="S1463" i="12"/>
  <c r="S1464" i="12"/>
  <c r="S1465" i="12"/>
  <c r="S1466" i="12"/>
  <c r="S1467" i="12"/>
  <c r="S1468" i="12"/>
  <c r="S1469" i="12"/>
  <c r="S1470" i="12"/>
  <c r="S1471" i="12"/>
  <c r="S1472" i="12"/>
  <c r="S1163" i="12"/>
  <c r="S1697" i="12"/>
  <c r="S858" i="12"/>
  <c r="S1476" i="12"/>
  <c r="S1477" i="12"/>
  <c r="S1478" i="12"/>
  <c r="S1479" i="12"/>
  <c r="S1480" i="12"/>
  <c r="S1481" i="12"/>
  <c r="S1598" i="12"/>
  <c r="S1387" i="12"/>
  <c r="S1484" i="12"/>
  <c r="S1485" i="12"/>
  <c r="S1486" i="12"/>
  <c r="S1487" i="12"/>
  <c r="S1488" i="12"/>
  <c r="S1489" i="12"/>
  <c r="S1490" i="12"/>
  <c r="S1491" i="12"/>
  <c r="S1492" i="12"/>
  <c r="S1493" i="12"/>
  <c r="S1494" i="12"/>
  <c r="S1495" i="12"/>
  <c r="S1496" i="12"/>
  <c r="S1497" i="12"/>
  <c r="S1498" i="12"/>
  <c r="S1499" i="12"/>
  <c r="S1500" i="12"/>
  <c r="S1501" i="12"/>
  <c r="S1502" i="12"/>
  <c r="S1503" i="12"/>
  <c r="S1504" i="12"/>
  <c r="S1505" i="12"/>
  <c r="S1506" i="12"/>
  <c r="S1507" i="12"/>
  <c r="S1508" i="12"/>
  <c r="S1509" i="12"/>
  <c r="S1510" i="12"/>
  <c r="S1511" i="12"/>
  <c r="S1512" i="12"/>
  <c r="S1213" i="12"/>
  <c r="S1514" i="12"/>
  <c r="S1515" i="12"/>
  <c r="S1516" i="12"/>
  <c r="S1517" i="12"/>
  <c r="S1518" i="12"/>
  <c r="S2297" i="12"/>
  <c r="S1520" i="12"/>
  <c r="S1521" i="12"/>
  <c r="S1522" i="12"/>
  <c r="S1523" i="12"/>
  <c r="S1524" i="12"/>
  <c r="S1525" i="12"/>
  <c r="S1526" i="12"/>
  <c r="S1527" i="12"/>
  <c r="S1528" i="12"/>
  <c r="S1302" i="12"/>
  <c r="S1063" i="12"/>
  <c r="S1531" i="12"/>
  <c r="S1532" i="12"/>
  <c r="S1533" i="12"/>
  <c r="S1534" i="12"/>
  <c r="S1535" i="12"/>
  <c r="S1536" i="12"/>
  <c r="S1537" i="12"/>
  <c r="S1538" i="12"/>
  <c r="S1539" i="12"/>
  <c r="S1540" i="12"/>
  <c r="S1542" i="12"/>
  <c r="S1543" i="12"/>
  <c r="S1544" i="12"/>
  <c r="S1545" i="12"/>
  <c r="S1546" i="12"/>
  <c r="S1547" i="12"/>
  <c r="S1548" i="12"/>
  <c r="S1549" i="12"/>
  <c r="S1550" i="12"/>
  <c r="S1551" i="12"/>
  <c r="S1552" i="12"/>
  <c r="S1553" i="12"/>
  <c r="S1554" i="12"/>
  <c r="S1555" i="12"/>
  <c r="S1556" i="12"/>
  <c r="S1557" i="12"/>
  <c r="S1558" i="12"/>
  <c r="S1748" i="12"/>
  <c r="S989" i="12"/>
  <c r="S895" i="12"/>
  <c r="S1562" i="12"/>
  <c r="S1563" i="12"/>
  <c r="S1564" i="12"/>
  <c r="S1565" i="12"/>
  <c r="S1566" i="12"/>
  <c r="S1567" i="12"/>
  <c r="S1568" i="12"/>
  <c r="S1569" i="12"/>
  <c r="S1570" i="12"/>
  <c r="S1571" i="12"/>
  <c r="S1106" i="12"/>
  <c r="S2000" i="12"/>
  <c r="S1574" i="12"/>
  <c r="S1575" i="12"/>
  <c r="S1576" i="12"/>
  <c r="S1577" i="12"/>
  <c r="S1578" i="12"/>
  <c r="S1579" i="12"/>
  <c r="S1580" i="12"/>
  <c r="S1050" i="12"/>
  <c r="S1901" i="12"/>
  <c r="S1583" i="12"/>
  <c r="S1584" i="12"/>
  <c r="S1585" i="12"/>
  <c r="S1586" i="12"/>
  <c r="S1587" i="12"/>
  <c r="S1588" i="12"/>
  <c r="S1131" i="12"/>
  <c r="S1590" i="12"/>
  <c r="S1591" i="12"/>
  <c r="S1592" i="12"/>
  <c r="S988" i="12"/>
  <c r="S1354" i="12"/>
  <c r="S982" i="12"/>
  <c r="S1014" i="12"/>
  <c r="S1925" i="12"/>
  <c r="S2134" i="12"/>
  <c r="S2137" i="12"/>
  <c r="S1823" i="12"/>
  <c r="S1601" i="12"/>
  <c r="S1603" i="12"/>
  <c r="S1604" i="12"/>
  <c r="S1605" i="12"/>
  <c r="S1606" i="12"/>
  <c r="S1608" i="12"/>
  <c r="S1609" i="12"/>
  <c r="S1276" i="12"/>
  <c r="S1611" i="12"/>
  <c r="S1612" i="12"/>
  <c r="S1613" i="12"/>
  <c r="S1614" i="12"/>
  <c r="S1615" i="12"/>
  <c r="S621" i="12"/>
  <c r="S2071" i="12"/>
  <c r="S1920" i="12"/>
  <c r="S1619" i="12"/>
  <c r="S1620" i="12"/>
  <c r="S1621" i="12"/>
  <c r="S1623" i="12"/>
  <c r="S1624" i="12"/>
  <c r="S1625" i="12"/>
  <c r="S1626" i="12"/>
  <c r="S1627" i="12"/>
  <c r="S1628" i="12"/>
  <c r="S1017" i="12"/>
  <c r="S1630" i="12"/>
  <c r="S1631" i="12"/>
  <c r="S1632" i="12"/>
  <c r="S1633" i="12"/>
  <c r="S1634" i="12"/>
  <c r="S1635" i="12"/>
  <c r="S1636" i="12"/>
  <c r="S1637" i="12"/>
  <c r="S1638" i="12"/>
  <c r="S1639" i="12"/>
  <c r="S1640" i="12"/>
  <c r="S1641" i="12"/>
  <c r="S1642" i="12"/>
  <c r="S1930" i="12"/>
  <c r="S1868" i="12"/>
  <c r="S1646" i="12"/>
  <c r="S1647" i="12"/>
  <c r="S1648" i="12"/>
  <c r="S1649" i="12"/>
  <c r="S1650" i="12"/>
  <c r="S1651" i="12"/>
  <c r="S1652" i="12"/>
  <c r="S1653" i="12"/>
  <c r="S1654" i="12"/>
  <c r="S1655" i="12"/>
  <c r="S1656" i="12"/>
  <c r="S1657" i="12"/>
  <c r="S1658" i="12"/>
  <c r="S1659" i="12"/>
  <c r="S1660" i="12"/>
  <c r="S1661" i="12"/>
  <c r="S1662" i="12"/>
  <c r="S1663" i="12"/>
  <c r="S1664" i="12"/>
  <c r="S1665" i="12"/>
  <c r="S1666" i="12"/>
  <c r="S1667" i="12"/>
  <c r="S1668" i="12"/>
  <c r="S1669" i="12"/>
  <c r="S1670" i="12"/>
  <c r="S1672" i="12"/>
  <c r="S1673" i="12"/>
  <c r="S1674" i="12"/>
  <c r="S1675" i="12"/>
  <c r="S1676" i="12"/>
  <c r="S2148" i="12"/>
  <c r="S1678" i="12"/>
  <c r="S1679" i="12"/>
  <c r="S1680" i="12"/>
  <c r="S1681" i="12"/>
  <c r="S1682" i="12"/>
  <c r="S1381" i="12"/>
  <c r="S872" i="12"/>
  <c r="S1685" i="12"/>
  <c r="S1686" i="12"/>
  <c r="S1687" i="12"/>
  <c r="S1688" i="12"/>
  <c r="S1689" i="12"/>
  <c r="S1690" i="12"/>
  <c r="S1691" i="12"/>
  <c r="S1692" i="12"/>
  <c r="S1693" i="12"/>
  <c r="S2164" i="12"/>
  <c r="S1981" i="12"/>
  <c r="S1982" i="12"/>
  <c r="S1891" i="12"/>
  <c r="S826" i="12"/>
  <c r="S1699" i="12"/>
  <c r="S1700" i="12"/>
  <c r="S1701" i="12"/>
  <c r="S1702" i="12"/>
  <c r="S1703" i="12"/>
  <c r="S1704" i="12"/>
  <c r="S1705" i="12"/>
  <c r="S1706" i="12"/>
  <c r="S1707" i="12"/>
  <c r="S1708" i="12"/>
  <c r="S1709" i="12"/>
  <c r="S1867" i="12"/>
  <c r="S2098" i="12"/>
  <c r="S1717" i="12"/>
  <c r="S1229" i="12"/>
  <c r="S1035" i="12"/>
  <c r="S1864" i="12"/>
  <c r="S1594" i="12"/>
  <c r="S1859" i="12"/>
  <c r="S2452" i="12"/>
  <c r="S2184" i="12"/>
  <c r="S1720" i="12"/>
  <c r="S1721" i="12"/>
  <c r="S1722" i="12"/>
  <c r="S1723" i="12"/>
  <c r="S1724" i="12"/>
  <c r="S1725" i="12"/>
  <c r="S30" i="12"/>
  <c r="S535" i="12"/>
  <c r="S394" i="12"/>
  <c r="S1399" i="12"/>
  <c r="S1872" i="12"/>
  <c r="S8" i="12"/>
  <c r="R825" i="12"/>
  <c r="R1054" i="12"/>
  <c r="R827" i="12"/>
  <c r="R844" i="12"/>
  <c r="R886" i="12"/>
  <c r="R562" i="12"/>
  <c r="R462" i="12"/>
  <c r="R591" i="12"/>
  <c r="R787" i="12"/>
  <c r="R873" i="12"/>
  <c r="R815" i="12"/>
  <c r="R875" i="12"/>
  <c r="R889" i="12"/>
  <c r="R781" i="12"/>
  <c r="R745" i="12"/>
  <c r="R750" i="12"/>
  <c r="R740" i="12"/>
  <c r="R351" i="12"/>
  <c r="R741" i="12"/>
  <c r="R694" i="12"/>
  <c r="R675" i="12"/>
  <c r="R537" i="12"/>
  <c r="R239" i="12"/>
  <c r="R532" i="12"/>
  <c r="R538" i="12"/>
  <c r="R394" i="12"/>
  <c r="R145" i="12"/>
  <c r="R536" i="12"/>
  <c r="R39" i="12"/>
  <c r="R1725" i="12"/>
  <c r="R1724" i="12"/>
  <c r="R1723" i="12"/>
  <c r="R1722" i="12"/>
  <c r="R1721" i="12"/>
  <c r="R1720" i="12"/>
  <c r="R2184" i="12"/>
  <c r="R2452" i="12"/>
  <c r="R1859" i="12"/>
  <c r="R1594" i="12"/>
  <c r="R1864" i="12"/>
  <c r="R1035" i="12"/>
  <c r="R1229" i="12"/>
  <c r="R1717" i="12"/>
  <c r="R2098" i="12"/>
  <c r="R1867" i="12"/>
  <c r="R1709" i="12"/>
  <c r="R1708" i="12"/>
  <c r="R1707" i="12"/>
  <c r="R1706" i="12"/>
  <c r="R1705" i="12"/>
  <c r="R1704" i="12"/>
  <c r="R1703" i="12"/>
  <c r="R1702" i="12"/>
  <c r="R1701" i="12"/>
  <c r="R1700" i="12"/>
  <c r="R1699" i="12"/>
  <c r="R826" i="12"/>
  <c r="R1891" i="12"/>
  <c r="R1982" i="12"/>
  <c r="R1981" i="12"/>
  <c r="R2164" i="12"/>
  <c r="R1693" i="12"/>
  <c r="R1692" i="12"/>
  <c r="R1691" i="12"/>
  <c r="R1690" i="12"/>
  <c r="R1689" i="12"/>
  <c r="R1688" i="12"/>
  <c r="R1687" i="12"/>
  <c r="R1686" i="12"/>
  <c r="R1685" i="12"/>
  <c r="R872" i="12"/>
  <c r="R1381" i="12"/>
  <c r="R1682" i="12"/>
  <c r="R1681" i="12"/>
  <c r="R1680" i="12"/>
  <c r="R1679" i="12"/>
  <c r="R1678" i="12"/>
  <c r="R2148" i="12"/>
  <c r="R1676" i="12"/>
  <c r="R1675" i="12"/>
  <c r="R1674" i="12"/>
  <c r="R1673" i="12"/>
  <c r="R1672" i="12"/>
  <c r="R1941" i="12"/>
  <c r="R1670" i="12"/>
  <c r="R1669" i="12"/>
  <c r="R1668" i="12"/>
  <c r="R1667" i="12"/>
  <c r="R1666" i="12"/>
  <c r="R1665" i="12"/>
  <c r="R1664" i="12"/>
  <c r="R1663" i="12"/>
  <c r="R1662" i="12"/>
  <c r="R1661" i="12"/>
  <c r="R1660" i="12"/>
  <c r="R1659" i="12"/>
  <c r="R1658" i="12"/>
  <c r="R1657" i="12"/>
  <c r="R1656" i="12"/>
  <c r="R1655" i="12"/>
  <c r="R1654" i="12"/>
  <c r="R1653" i="12"/>
  <c r="R1652" i="12"/>
  <c r="R1651" i="12"/>
  <c r="R1650" i="12"/>
  <c r="R1649" i="12"/>
  <c r="R1648" i="12"/>
  <c r="R1647" i="12"/>
  <c r="R1646" i="12"/>
  <c r="R1868" i="12"/>
  <c r="R1930" i="12"/>
  <c r="R169" i="12"/>
  <c r="R1642" i="12"/>
  <c r="R1641" i="12"/>
  <c r="R1640" i="12"/>
  <c r="R1639" i="12"/>
  <c r="R1638" i="12"/>
  <c r="R1637" i="12"/>
  <c r="R1636" i="12"/>
  <c r="R1635" i="12"/>
  <c r="R1634" i="12"/>
  <c r="R1633" i="12"/>
  <c r="R1632" i="12"/>
  <c r="R1631" i="12"/>
  <c r="R1630" i="12"/>
  <c r="R1017" i="12"/>
  <c r="R1628" i="12"/>
  <c r="R1627" i="12"/>
  <c r="R1626" i="12"/>
  <c r="R1625" i="12"/>
  <c r="R1624" i="12"/>
  <c r="R1623" i="12"/>
  <c r="R1621" i="12"/>
  <c r="R1620" i="12"/>
  <c r="R1619" i="12"/>
  <c r="R1920" i="12"/>
  <c r="R2071" i="12"/>
  <c r="R621" i="12"/>
  <c r="R1615" i="12"/>
  <c r="R1614" i="12"/>
  <c r="R1613" i="12"/>
  <c r="R1612" i="12"/>
  <c r="R1611" i="12"/>
  <c r="R1276" i="12"/>
  <c r="R1609" i="12"/>
  <c r="R1608" i="12"/>
  <c r="R1606" i="12"/>
  <c r="R1605" i="12"/>
  <c r="R1604" i="12"/>
  <c r="R1603" i="12"/>
  <c r="R1601" i="12"/>
  <c r="R1823" i="12"/>
  <c r="R2137" i="12"/>
  <c r="R2134" i="12"/>
  <c r="R1925" i="12"/>
  <c r="R1014" i="12"/>
  <c r="R982" i="12"/>
  <c r="R1354" i="12"/>
  <c r="R988" i="12"/>
  <c r="R1592" i="12"/>
  <c r="R1591" i="12"/>
  <c r="R1590" i="12"/>
  <c r="R1131" i="12"/>
  <c r="R1588" i="12"/>
  <c r="R1587" i="12"/>
  <c r="R1586" i="12"/>
  <c r="R1585" i="12"/>
  <c r="R1584" i="12"/>
  <c r="R1583" i="12"/>
  <c r="R1901" i="12"/>
  <c r="R1050" i="12"/>
  <c r="R1580" i="12"/>
  <c r="R1579" i="12"/>
  <c r="R1578" i="12"/>
  <c r="R1577" i="12"/>
  <c r="R1576" i="12"/>
  <c r="R1575" i="12"/>
  <c r="R1574" i="12"/>
  <c r="R2000" i="12"/>
  <c r="R1106" i="12"/>
  <c r="R1571" i="12"/>
  <c r="R1570" i="12"/>
  <c r="R1569" i="12"/>
  <c r="R1568" i="12"/>
  <c r="R1567" i="12"/>
  <c r="R1566" i="12"/>
  <c r="R1565" i="12"/>
  <c r="R1564" i="12"/>
  <c r="R1563" i="12"/>
  <c r="R1562" i="12"/>
  <c r="R895" i="12"/>
  <c r="R989" i="12"/>
  <c r="R1748" i="12"/>
  <c r="R1558" i="12"/>
  <c r="R1557" i="12"/>
  <c r="R1556" i="12"/>
  <c r="R1555" i="12"/>
  <c r="R1554" i="12"/>
  <c r="R1553" i="12"/>
  <c r="R1552" i="12"/>
  <c r="R1551" i="12"/>
  <c r="R1550" i="12"/>
  <c r="R1549" i="12"/>
  <c r="R1548" i="12"/>
  <c r="R1547" i="12"/>
  <c r="R1546" i="12"/>
  <c r="R1545" i="12"/>
  <c r="R1544" i="12"/>
  <c r="R1543" i="12"/>
  <c r="R1542" i="12"/>
  <c r="R1540" i="12"/>
  <c r="R1539" i="12"/>
  <c r="R1538" i="12"/>
  <c r="R1537" i="12"/>
  <c r="R1536" i="12"/>
  <c r="R1535" i="12"/>
  <c r="R1534" i="12"/>
  <c r="R1533" i="12"/>
  <c r="R1532" i="12"/>
  <c r="R1531" i="12"/>
  <c r="R1063" i="12"/>
  <c r="R1302" i="12"/>
  <c r="R1528" i="12"/>
  <c r="R1527" i="12"/>
  <c r="R1526" i="12"/>
  <c r="R1525" i="12"/>
  <c r="R1524" i="12"/>
  <c r="R1523" i="12"/>
  <c r="R1522" i="12"/>
  <c r="R1521" i="12"/>
  <c r="R1520" i="12"/>
  <c r="R2297" i="12"/>
  <c r="R1518" i="12"/>
  <c r="R1517" i="12"/>
  <c r="R1516" i="12"/>
  <c r="R1515" i="12"/>
  <c r="R1514" i="12"/>
  <c r="R1213" i="12"/>
  <c r="R1512" i="12"/>
  <c r="R1511" i="12"/>
  <c r="R1510" i="12"/>
  <c r="R1509" i="12"/>
  <c r="R1508" i="12"/>
  <c r="R1507" i="12"/>
  <c r="R1506" i="12"/>
  <c r="R1505" i="12"/>
  <c r="R1504" i="12"/>
  <c r="R1503" i="12"/>
  <c r="R1502" i="12"/>
  <c r="R1501" i="12"/>
  <c r="R1500" i="12"/>
  <c r="R1499" i="12"/>
  <c r="R1498" i="12"/>
  <c r="R1497" i="12"/>
  <c r="R1496" i="12"/>
  <c r="R1495" i="12"/>
  <c r="R1494" i="12"/>
  <c r="R1493" i="12"/>
  <c r="R1492" i="12"/>
  <c r="R1491" i="12"/>
  <c r="R1490" i="12"/>
  <c r="R1489" i="12"/>
  <c r="R1488" i="12"/>
  <c r="R1487" i="12"/>
  <c r="R1486" i="12"/>
  <c r="R1485" i="12"/>
  <c r="R1484" i="12"/>
  <c r="R1387" i="12"/>
  <c r="R1598" i="12"/>
  <c r="R1481" i="12"/>
  <c r="R1480" i="12"/>
  <c r="R1479" i="12"/>
  <c r="R1478" i="12"/>
  <c r="R1477" i="12"/>
  <c r="R1476" i="12"/>
  <c r="R858" i="12"/>
  <c r="R1697" i="12"/>
  <c r="R1163" i="12"/>
  <c r="R1472" i="12"/>
  <c r="R1471" i="12"/>
  <c r="R1470" i="12"/>
  <c r="R1469" i="12"/>
  <c r="R1468" i="12"/>
  <c r="R1467" i="12"/>
  <c r="R1466" i="12"/>
  <c r="R1465" i="12"/>
  <c r="R1464" i="12"/>
  <c r="R1463" i="12"/>
  <c r="R1462" i="12"/>
  <c r="R1461" i="12"/>
  <c r="R1460" i="12"/>
  <c r="R1316" i="12"/>
  <c r="R1458" i="12"/>
  <c r="R1457" i="12"/>
  <c r="R1456" i="12"/>
  <c r="R1455" i="12"/>
  <c r="R1454" i="12"/>
  <c r="R1453" i="12"/>
  <c r="R1452" i="12"/>
  <c r="R1451" i="12"/>
  <c r="R1450" i="12"/>
  <c r="R1449" i="12"/>
  <c r="R1448" i="12"/>
  <c r="R1447" i="12"/>
  <c r="R1446" i="12"/>
  <c r="R1445" i="12"/>
  <c r="R1444" i="12"/>
  <c r="R1443" i="12"/>
  <c r="R1442" i="12"/>
  <c r="R1441" i="12"/>
  <c r="R1440" i="12"/>
  <c r="R1439" i="12"/>
  <c r="R1438" i="12"/>
  <c r="R1437" i="12"/>
  <c r="R1436" i="12"/>
  <c r="R789" i="12"/>
  <c r="R1434" i="12"/>
  <c r="R1433" i="12"/>
  <c r="R1432" i="12"/>
  <c r="R1431" i="12"/>
  <c r="R1430" i="12"/>
  <c r="R1429" i="12"/>
  <c r="R1428" i="12"/>
  <c r="R1427" i="12"/>
  <c r="R1426" i="12"/>
  <c r="R1425" i="12"/>
  <c r="R1424" i="12"/>
  <c r="R1423" i="12"/>
  <c r="R1422" i="12"/>
  <c r="R1421" i="12"/>
  <c r="R1420" i="12"/>
  <c r="R1419" i="12"/>
  <c r="R2135" i="12"/>
  <c r="R2221" i="12"/>
  <c r="R1595" i="12"/>
  <c r="R1826" i="12"/>
  <c r="R1414" i="12"/>
  <c r="R1413" i="12"/>
  <c r="R1412" i="12"/>
  <c r="R1411" i="12"/>
  <c r="R1410" i="12"/>
  <c r="R1409" i="12"/>
  <c r="R1408" i="12"/>
  <c r="R1407" i="12"/>
  <c r="R1406" i="12"/>
  <c r="R1405" i="12"/>
  <c r="R1192" i="12"/>
  <c r="R1962" i="12"/>
  <c r="R1039" i="12"/>
  <c r="R1285" i="12"/>
  <c r="R1389" i="12"/>
  <c r="R1416" i="12"/>
  <c r="R2117" i="12"/>
  <c r="R2190" i="12"/>
  <c r="R1921" i="12"/>
  <c r="R1384" i="12"/>
  <c r="R1882" i="12"/>
  <c r="R1119" i="12"/>
  <c r="R2099" i="12"/>
  <c r="R1946" i="12"/>
  <c r="R1884" i="12"/>
  <c r="R1789" i="12"/>
  <c r="R965" i="12"/>
  <c r="R2180" i="12"/>
  <c r="R1870" i="12"/>
  <c r="R1019" i="12"/>
  <c r="R834" i="12"/>
  <c r="R986" i="12"/>
  <c r="R828" i="12"/>
  <c r="R1860" i="12"/>
  <c r="R1785" i="12"/>
  <c r="R1945" i="12"/>
  <c r="R1897" i="12"/>
  <c r="R651" i="12"/>
  <c r="R2123" i="12"/>
  <c r="R1262" i="12"/>
  <c r="R1890" i="12"/>
  <c r="R1887" i="12"/>
  <c r="R2174" i="12"/>
  <c r="R784" i="12"/>
  <c r="R1359" i="12"/>
  <c r="R1358" i="12"/>
  <c r="R1357" i="12"/>
  <c r="R1356" i="12"/>
  <c r="R1355" i="12"/>
  <c r="R1048" i="12"/>
  <c r="R1353" i="12"/>
  <c r="R1352" i="12"/>
  <c r="R1351" i="12"/>
  <c r="R993" i="12"/>
  <c r="R1348" i="12"/>
  <c r="R1347" i="12"/>
  <c r="R1346" i="12"/>
  <c r="R1345" i="12"/>
  <c r="R1344" i="12"/>
  <c r="R1343" i="12"/>
  <c r="R1342" i="12"/>
  <c r="R1341" i="12"/>
  <c r="R1144" i="12"/>
  <c r="R1339" i="12"/>
  <c r="R1338" i="12"/>
  <c r="R1337" i="12"/>
  <c r="R1336" i="12"/>
  <c r="R1203" i="12"/>
  <c r="R57" i="12"/>
  <c r="R1129" i="12"/>
  <c r="R1126" i="12"/>
  <c r="R1331" i="12"/>
  <c r="R1138" i="12"/>
  <c r="R1327" i="12"/>
  <c r="R1326" i="12"/>
  <c r="R1325" i="12"/>
  <c r="R1324" i="12"/>
  <c r="R1323" i="12"/>
  <c r="R1322" i="12"/>
  <c r="R1321" i="12"/>
  <c r="R1320" i="12"/>
  <c r="R1319" i="12"/>
  <c r="R1388" i="12"/>
  <c r="R1888" i="12"/>
  <c r="R1879" i="12"/>
  <c r="R1315" i="12"/>
  <c r="R1318" i="12"/>
  <c r="R1313" i="12"/>
  <c r="R1111" i="12"/>
  <c r="R1010" i="12"/>
  <c r="R1314" i="12"/>
  <c r="R1310" i="12"/>
  <c r="R1124" i="12"/>
  <c r="R1308" i="12"/>
  <c r="R1918" i="12"/>
  <c r="R894" i="12"/>
  <c r="R2140" i="12"/>
  <c r="R1572" i="12"/>
  <c r="R1573" i="12"/>
  <c r="R1301" i="12"/>
  <c r="R1300" i="12"/>
  <c r="R1299" i="12"/>
  <c r="R1071" i="12"/>
  <c r="R1137" i="12"/>
  <c r="R1296" i="12"/>
  <c r="R1295" i="12"/>
  <c r="R1294" i="12"/>
  <c r="R1293" i="12"/>
  <c r="R1937" i="12"/>
  <c r="R1307" i="12"/>
  <c r="R1290" i="12"/>
  <c r="R1291" i="12"/>
  <c r="R1288" i="12"/>
  <c r="R1125" i="12"/>
  <c r="R1289" i="12"/>
  <c r="R1286" i="12"/>
  <c r="R1710" i="12"/>
  <c r="R1112" i="12"/>
  <c r="R1282" i="12"/>
  <c r="R1281" i="12"/>
  <c r="R1280" i="12"/>
  <c r="R1279" i="12"/>
  <c r="R1713" i="12"/>
  <c r="R1277" i="12"/>
  <c r="R1052" i="12"/>
  <c r="R1275" i="12"/>
  <c r="R1274" i="12"/>
  <c r="R1273" i="12"/>
  <c r="R1272" i="12"/>
  <c r="R1940" i="12"/>
  <c r="R1270" i="12"/>
  <c r="R1012" i="12"/>
  <c r="R1268" i="12"/>
  <c r="R979" i="12"/>
  <c r="R1266" i="12"/>
  <c r="R942" i="12"/>
  <c r="R1264" i="12"/>
  <c r="R1263" i="12"/>
  <c r="R1303" i="12"/>
  <c r="R1261" i="12"/>
  <c r="R1260" i="12"/>
  <c r="R1259" i="12"/>
  <c r="R1258" i="12"/>
  <c r="R1257" i="12"/>
  <c r="R1256" i="12"/>
  <c r="R1372" i="12"/>
  <c r="R1254" i="12"/>
  <c r="R1253" i="12"/>
  <c r="R1252" i="12"/>
  <c r="R1251" i="12"/>
  <c r="R1250" i="12"/>
  <c r="R2209" i="12"/>
  <c r="R1839" i="12"/>
  <c r="R2169" i="12"/>
  <c r="R2341" i="12"/>
  <c r="R971" i="12"/>
  <c r="R1244" i="12"/>
  <c r="R1243" i="12"/>
  <c r="R1242" i="12"/>
  <c r="R1241" i="12"/>
  <c r="R1240" i="12"/>
  <c r="R1066" i="12"/>
  <c r="R1238" i="12"/>
  <c r="R1237" i="12"/>
  <c r="R2250" i="12"/>
  <c r="R2101" i="12"/>
  <c r="R1234" i="12"/>
  <c r="R1908" i="12"/>
  <c r="R1249" i="12"/>
  <c r="R1231" i="12"/>
  <c r="R1042" i="12"/>
  <c r="R1075" i="12"/>
  <c r="R1228" i="12"/>
  <c r="R1227" i="12"/>
  <c r="R1040" i="12"/>
  <c r="R1006" i="12"/>
  <c r="R1082" i="12"/>
  <c r="R1077" i="12"/>
  <c r="R2102" i="12"/>
  <c r="R1221" i="12"/>
  <c r="R1220" i="12"/>
  <c r="R1107" i="12"/>
  <c r="R1218" i="12"/>
  <c r="R1217" i="12"/>
  <c r="R1216" i="12"/>
  <c r="R1215" i="12"/>
  <c r="R1214" i="12"/>
  <c r="R904" i="12"/>
  <c r="R1212" i="12"/>
  <c r="R1211" i="12"/>
  <c r="R1210" i="12"/>
  <c r="R1058" i="12"/>
  <c r="R1208" i="12"/>
  <c r="R687" i="12"/>
  <c r="R972" i="12"/>
  <c r="R1026" i="12"/>
  <c r="R929" i="12"/>
  <c r="R777" i="12"/>
  <c r="R992" i="12"/>
  <c r="R1201" i="12"/>
  <c r="R1200" i="12"/>
  <c r="R1199" i="12"/>
  <c r="R996" i="12"/>
  <c r="R1197" i="12"/>
  <c r="R1196" i="12"/>
  <c r="R1195" i="12"/>
  <c r="R1194" i="12"/>
  <c r="R1057" i="12"/>
  <c r="R1683" i="12"/>
  <c r="R1191" i="12"/>
  <c r="R1851" i="12"/>
  <c r="R1599" i="12"/>
  <c r="R1475" i="12"/>
  <c r="R802" i="12"/>
  <c r="R1186" i="12"/>
  <c r="R1185" i="12"/>
  <c r="R1184" i="12"/>
  <c r="R1483" i="12"/>
  <c r="R2212" i="12"/>
  <c r="R1181" i="12"/>
  <c r="R2196" i="12"/>
  <c r="R1179" i="12"/>
  <c r="R1098" i="12"/>
  <c r="R1177" i="12"/>
  <c r="R1513" i="12"/>
  <c r="R1175" i="12"/>
  <c r="R1174" i="12"/>
  <c r="R1955" i="12"/>
  <c r="R1386" i="12"/>
  <c r="R1171" i="12"/>
  <c r="R931" i="12"/>
  <c r="R1065" i="12"/>
  <c r="R1146" i="12"/>
  <c r="R602" i="12"/>
  <c r="R1166" i="12"/>
  <c r="R1151" i="12"/>
  <c r="R1164" i="12"/>
  <c r="R1143" i="12"/>
  <c r="R1162" i="12"/>
  <c r="R1161" i="12"/>
  <c r="R1160" i="12"/>
  <c r="R1159" i="12"/>
  <c r="R1158" i="12"/>
  <c r="R1097" i="12"/>
  <c r="R1025" i="12"/>
  <c r="R1155" i="12"/>
  <c r="R871" i="12"/>
  <c r="R891" i="12"/>
  <c r="R1152" i="12"/>
  <c r="R1034" i="12"/>
  <c r="R1150" i="12"/>
  <c r="R1149" i="12"/>
  <c r="R923" i="12"/>
  <c r="R432" i="12"/>
  <c r="R1814" i="12"/>
  <c r="R915" i="12"/>
  <c r="R905" i="12"/>
  <c r="R1080" i="12"/>
  <c r="R949" i="12"/>
  <c r="R1142" i="12"/>
  <c r="R879" i="12"/>
  <c r="R1140" i="12"/>
  <c r="R893" i="12"/>
  <c r="R983" i="12"/>
  <c r="R1136" i="12"/>
  <c r="R887" i="12"/>
  <c r="R997" i="12"/>
  <c r="R1086" i="12"/>
  <c r="R451" i="12"/>
  <c r="R1130" i="12"/>
  <c r="R851" i="12"/>
  <c r="R1128" i="12"/>
  <c r="R1127" i="12"/>
  <c r="R853" i="12"/>
  <c r="R847" i="12"/>
  <c r="R1363" i="12"/>
  <c r="R1482" i="12"/>
  <c r="R1909" i="12"/>
  <c r="R1980" i="12"/>
  <c r="R1561" i="12"/>
  <c r="R2349" i="12"/>
  <c r="R1765" i="12"/>
  <c r="R1889" i="12"/>
  <c r="R2364" i="12"/>
  <c r="R1794" i="12"/>
  <c r="R709" i="12"/>
  <c r="R864" i="12"/>
  <c r="R1235" i="12"/>
  <c r="R1718" i="12"/>
  <c r="R1110" i="12"/>
  <c r="R1109" i="12"/>
  <c r="R1108" i="12"/>
  <c r="R1418" i="12"/>
  <c r="R1222" i="12"/>
  <c r="R2118" i="12"/>
  <c r="R1104" i="12"/>
  <c r="R1062" i="12"/>
  <c r="R1102" i="12"/>
  <c r="R1101" i="12"/>
  <c r="R1007" i="12"/>
  <c r="R1099" i="12"/>
  <c r="R859" i="12"/>
  <c r="R1147" i="12"/>
  <c r="R1096" i="12"/>
  <c r="R846" i="12"/>
  <c r="R1094" i="12"/>
  <c r="R1093" i="12"/>
  <c r="R1207" i="12"/>
  <c r="R1091" i="12"/>
  <c r="R1090" i="12"/>
  <c r="R1089" i="12"/>
  <c r="R1088" i="12"/>
  <c r="R1087" i="12"/>
  <c r="R467" i="12"/>
  <c r="R1085" i="12"/>
  <c r="R1084" i="12"/>
  <c r="R1083" i="12"/>
  <c r="R807" i="12"/>
  <c r="R775" i="12"/>
  <c r="R953" i="12"/>
  <c r="R1079" i="12"/>
  <c r="R1078" i="12"/>
  <c r="R917" i="12"/>
  <c r="R1076" i="12"/>
  <c r="R443" i="12"/>
  <c r="R1074" i="12"/>
  <c r="R888" i="12"/>
  <c r="R1072" i="12"/>
  <c r="R1118" i="12"/>
  <c r="R954" i="12"/>
  <c r="R1069" i="12"/>
  <c r="R1005" i="12"/>
  <c r="R1067" i="12"/>
  <c r="R823" i="12"/>
  <c r="R985" i="12"/>
  <c r="R1064" i="12"/>
  <c r="R964" i="12"/>
  <c r="R831" i="12"/>
  <c r="R1061" i="12"/>
  <c r="R1060" i="12"/>
  <c r="R2259" i="12"/>
  <c r="R970" i="12"/>
  <c r="R806" i="12"/>
  <c r="R1056" i="12"/>
  <c r="R1055" i="12"/>
  <c r="R1330" i="12"/>
  <c r="R1053" i="12"/>
  <c r="R939" i="12"/>
  <c r="R1051" i="12"/>
  <c r="R911" i="12"/>
  <c r="R2160" i="12"/>
  <c r="R2208" i="12"/>
  <c r="R2217" i="12"/>
  <c r="R2199" i="12"/>
  <c r="R1847" i="12"/>
  <c r="R1956" i="12"/>
  <c r="R2127" i="12"/>
  <c r="R1715" i="12"/>
  <c r="R1560" i="12"/>
  <c r="R1173" i="12"/>
  <c r="R1894" i="12"/>
  <c r="R1435" i="12"/>
  <c r="R1878" i="12"/>
  <c r="R1934" i="12"/>
  <c r="R1842" i="12"/>
  <c r="R2138" i="12"/>
  <c r="R1033" i="12"/>
  <c r="R1032" i="12"/>
  <c r="R1031" i="12"/>
  <c r="R500" i="12"/>
  <c r="R1852" i="12"/>
  <c r="R1028" i="12"/>
  <c r="R1135" i="12"/>
  <c r="R925" i="12"/>
  <c r="R1837" i="12"/>
  <c r="R1855" i="12"/>
  <c r="R1023" i="12"/>
  <c r="R1877" i="12"/>
  <c r="R1862" i="12"/>
  <c r="R2136" i="12"/>
  <c r="R1607" i="12"/>
  <c r="R1942" i="12"/>
  <c r="R1204" i="12"/>
  <c r="R984" i="12"/>
  <c r="R2308" i="12"/>
  <c r="R2260" i="12"/>
  <c r="R1835" i="12"/>
  <c r="R1141" i="12"/>
  <c r="R2176" i="12"/>
  <c r="R1959" i="12"/>
  <c r="R999" i="12"/>
  <c r="R1698" i="12"/>
  <c r="R1004" i="12"/>
  <c r="R1115" i="12"/>
  <c r="R1187" i="12"/>
  <c r="R2362" i="12"/>
  <c r="R1271" i="12"/>
  <c r="R830" i="12"/>
  <c r="R1818" i="12"/>
  <c r="R1376" i="12"/>
  <c r="R2105" i="12"/>
  <c r="R762" i="12"/>
  <c r="R736" i="12"/>
  <c r="R69" i="12"/>
  <c r="R1799" i="12"/>
  <c r="R2218" i="12"/>
  <c r="R1182" i="12"/>
  <c r="R1011" i="12"/>
  <c r="R2131" i="12"/>
  <c r="R1013" i="12"/>
  <c r="R1816" i="12"/>
  <c r="R1943" i="12"/>
  <c r="R1876" i="12"/>
  <c r="R2104" i="12"/>
  <c r="R2032" i="12"/>
  <c r="R85" i="12"/>
  <c r="R1021" i="12"/>
  <c r="R127" i="12"/>
  <c r="R646" i="12"/>
  <c r="R1874" i="12"/>
  <c r="R1165" i="12"/>
  <c r="R654" i="12"/>
  <c r="R2142" i="12"/>
  <c r="R1912" i="12"/>
  <c r="R1114" i="12"/>
  <c r="R1711" i="12"/>
  <c r="R2187" i="12"/>
  <c r="R2194" i="12"/>
  <c r="R1046" i="12"/>
  <c r="R968" i="12"/>
  <c r="R201" i="12"/>
  <c r="R1245" i="12"/>
  <c r="R1255" i="12"/>
  <c r="R1593" i="12"/>
  <c r="R2214" i="12"/>
  <c r="R395" i="12"/>
  <c r="R952" i="12"/>
  <c r="R951" i="12"/>
  <c r="R950" i="12"/>
  <c r="R1309" i="12"/>
  <c r="R948" i="12"/>
  <c r="R947" i="12"/>
  <c r="R946" i="12"/>
  <c r="R945" i="12"/>
  <c r="R944" i="12"/>
  <c r="R943" i="12"/>
  <c r="R1183" i="12"/>
  <c r="R937" i="12"/>
  <c r="R936" i="12"/>
  <c r="R935" i="12"/>
  <c r="R934" i="12"/>
  <c r="R860" i="12"/>
  <c r="R932" i="12"/>
  <c r="R854" i="12"/>
  <c r="R658" i="12"/>
  <c r="R930" i="12"/>
  <c r="R940" i="12"/>
  <c r="R1866" i="12"/>
  <c r="R927" i="12"/>
  <c r="R926" i="12"/>
  <c r="R1369" i="12"/>
  <c r="R924" i="12"/>
  <c r="R897" i="12"/>
  <c r="R2158" i="12"/>
  <c r="R2122" i="12"/>
  <c r="R778" i="12"/>
  <c r="R967" i="12"/>
  <c r="R869" i="12"/>
  <c r="R920" i="12"/>
  <c r="R919" i="12"/>
  <c r="R918" i="12"/>
  <c r="R763" i="12"/>
  <c r="R916" i="12"/>
  <c r="R1000" i="12"/>
  <c r="R914" i="12"/>
  <c r="R913" i="12"/>
  <c r="R912" i="12"/>
  <c r="R908" i="12"/>
  <c r="R1024" i="12"/>
  <c r="R907" i="12"/>
  <c r="R906" i="12"/>
  <c r="R1205" i="12"/>
  <c r="R756" i="12"/>
  <c r="R902" i="12"/>
  <c r="R1317" i="12"/>
  <c r="R900" i="12"/>
  <c r="R899" i="12"/>
  <c r="R898" i="12"/>
  <c r="R618" i="12"/>
  <c r="R896" i="12"/>
  <c r="R611" i="12"/>
  <c r="R824" i="12"/>
  <c r="R590" i="12"/>
  <c r="R758" i="12"/>
  <c r="R881" i="12"/>
  <c r="R1360" i="12"/>
  <c r="R921" i="12"/>
  <c r="R883" i="12"/>
  <c r="R882" i="12"/>
  <c r="R991" i="12"/>
  <c r="R880" i="12"/>
  <c r="R627" i="12"/>
  <c r="R580" i="12"/>
  <c r="R582" i="12"/>
  <c r="R720" i="12"/>
  <c r="R857" i="12"/>
  <c r="R3" i="12"/>
  <c r="R868" i="12"/>
  <c r="R612" i="12"/>
  <c r="R732" i="12"/>
  <c r="R571" i="12"/>
  <c r="R863" i="12"/>
  <c r="R862" i="12"/>
  <c r="R861" i="12"/>
  <c r="R885" i="12"/>
  <c r="R491" i="12"/>
  <c r="R1038" i="12"/>
  <c r="R1043" i="12"/>
  <c r="R856" i="12"/>
  <c r="R1073" i="12"/>
  <c r="R1764" i="12"/>
  <c r="R550" i="12"/>
  <c r="R855" i="12"/>
  <c r="R843" i="12"/>
  <c r="R842" i="12"/>
  <c r="R841" i="12"/>
  <c r="R840" i="12"/>
  <c r="R839" i="12"/>
  <c r="R838" i="12"/>
  <c r="R850" i="12"/>
  <c r="R849" i="12"/>
  <c r="R512" i="12"/>
  <c r="R848" i="12"/>
  <c r="R757" i="12"/>
  <c r="R837" i="12"/>
  <c r="R543" i="12"/>
  <c r="R1206" i="12"/>
  <c r="R836" i="12"/>
  <c r="R835" i="12"/>
  <c r="R528" i="12"/>
  <c r="R579" i="12"/>
  <c r="R832" i="12"/>
  <c r="R620" i="12"/>
  <c r="R867" i="12"/>
  <c r="R589" i="12"/>
  <c r="R821" i="12"/>
  <c r="R820" i="12"/>
  <c r="R819" i="12"/>
  <c r="R1812" i="12"/>
  <c r="R845" i="12"/>
  <c r="R798" i="12"/>
  <c r="R2205" i="12"/>
  <c r="R799" i="12"/>
  <c r="R800" i="12"/>
  <c r="R803" i="12"/>
  <c r="R350" i="12"/>
  <c r="R981" i="12"/>
  <c r="R2274" i="12"/>
  <c r="R1747" i="12"/>
  <c r="R1957" i="12"/>
  <c r="R818" i="12"/>
  <c r="R817" i="12"/>
  <c r="R816" i="12"/>
  <c r="R783" i="12"/>
  <c r="R814" i="12"/>
  <c r="R430" i="12"/>
  <c r="R495" i="12"/>
  <c r="R813" i="12"/>
  <c r="R812" i="12"/>
  <c r="R811" i="12"/>
  <c r="R810" i="12"/>
  <c r="R809" i="12"/>
  <c r="R808" i="12"/>
  <c r="R797" i="12"/>
  <c r="R796" i="12"/>
  <c r="R357" i="12"/>
  <c r="R748" i="12"/>
  <c r="R753" i="12"/>
  <c r="R795" i="12"/>
  <c r="R752" i="12"/>
  <c r="R584" i="12"/>
  <c r="R793" i="12"/>
  <c r="R716" i="12"/>
  <c r="R349" i="12"/>
  <c r="R792" i="12"/>
  <c r="R791" i="12"/>
  <c r="R368" i="12"/>
  <c r="R790" i="12"/>
  <c r="R496" i="12"/>
  <c r="R1886" i="12"/>
  <c r="R747" i="12"/>
  <c r="R788" i="12"/>
  <c r="R1230" i="12"/>
  <c r="R786" i="12"/>
  <c r="R751" i="12"/>
  <c r="R785" i="12"/>
  <c r="R746" i="12"/>
  <c r="R378" i="12"/>
  <c r="R316" i="12"/>
  <c r="R551" i="12"/>
  <c r="R660" i="12"/>
  <c r="R782" i="12"/>
  <c r="R352" i="12"/>
  <c r="R780" i="12"/>
  <c r="R356" i="12"/>
  <c r="R555" i="12"/>
  <c r="R779" i="12"/>
  <c r="R744" i="12"/>
  <c r="R439" i="12"/>
  <c r="R743" i="12"/>
  <c r="R424" i="12"/>
  <c r="R776" i="12"/>
  <c r="R1379" i="12"/>
  <c r="R742" i="12"/>
  <c r="R754" i="12"/>
  <c r="R774" i="12"/>
  <c r="R773" i="12"/>
  <c r="R772" i="12"/>
  <c r="R749" i="12"/>
  <c r="R901" i="12"/>
  <c r="R672" i="12"/>
  <c r="R431" i="12"/>
  <c r="R547" i="12"/>
  <c r="R1278" i="12"/>
  <c r="R708" i="12"/>
  <c r="R682" i="12"/>
  <c r="R707" i="12"/>
  <c r="R706" i="12"/>
  <c r="R677" i="12"/>
  <c r="R1156" i="12"/>
  <c r="R705" i="12"/>
  <c r="R710" i="12"/>
  <c r="R703" i="12"/>
  <c r="R680" i="12"/>
  <c r="R702" i="12"/>
  <c r="R734" i="12"/>
  <c r="R700" i="12"/>
  <c r="R679" i="12"/>
  <c r="R699" i="12"/>
  <c r="R676" i="12"/>
  <c r="R698" i="12"/>
  <c r="R697" i="12"/>
  <c r="R696" i="12"/>
  <c r="R695" i="12"/>
  <c r="R715" i="12"/>
  <c r="R542" i="12"/>
  <c r="R460" i="12"/>
  <c r="R739" i="12"/>
  <c r="R738" i="12"/>
  <c r="R714" i="12"/>
  <c r="R737" i="12"/>
  <c r="R726" i="12"/>
  <c r="R668" i="12"/>
  <c r="R410" i="12"/>
  <c r="R761" i="12"/>
  <c r="R275" i="12"/>
  <c r="R556" i="12"/>
  <c r="R733" i="12"/>
  <c r="R604" i="12"/>
  <c r="R731" i="12"/>
  <c r="R730" i="12"/>
  <c r="R405" i="12"/>
  <c r="R713" i="12"/>
  <c r="R729" i="12"/>
  <c r="R728" i="12"/>
  <c r="R771" i="12"/>
  <c r="R727" i="12"/>
  <c r="R712" i="12"/>
  <c r="R317" i="12"/>
  <c r="R770" i="12"/>
  <c r="R534" i="12"/>
  <c r="R769" i="12"/>
  <c r="R1168" i="12"/>
  <c r="R435" i="12"/>
  <c r="R725" i="12"/>
  <c r="R408" i="12"/>
  <c r="R563" i="12"/>
  <c r="R574" i="12"/>
  <c r="R276" i="12"/>
  <c r="R717" i="12"/>
  <c r="R667" i="12"/>
  <c r="R642" i="12"/>
  <c r="R666" i="12"/>
  <c r="R568" i="12"/>
  <c r="R664" i="12"/>
  <c r="R6" i="12"/>
  <c r="R662" i="12"/>
  <c r="R493" i="12"/>
  <c r="R523" i="12"/>
  <c r="R661" i="12"/>
  <c r="R624" i="12"/>
  <c r="R277" i="12"/>
  <c r="R1825" i="12"/>
  <c r="R657" i="12"/>
  <c r="R641" i="12"/>
  <c r="R640" i="12"/>
  <c r="R354" i="12"/>
  <c r="R656" i="12"/>
  <c r="R214" i="12"/>
  <c r="R653" i="12"/>
  <c r="R59" i="12"/>
  <c r="R503" i="12"/>
  <c r="R570" i="12"/>
  <c r="R610" i="12"/>
  <c r="R650" i="12"/>
  <c r="R639" i="12"/>
  <c r="R649" i="12"/>
  <c r="R608" i="12"/>
  <c r="R637" i="12"/>
  <c r="R434" i="12"/>
  <c r="R635" i="12"/>
  <c r="R634" i="12"/>
  <c r="R516" i="12"/>
  <c r="R632" i="12"/>
  <c r="R328" i="12"/>
  <c r="R607" i="12"/>
  <c r="R631" i="12"/>
  <c r="R768" i="12"/>
  <c r="R490" i="12"/>
  <c r="R629" i="12"/>
  <c r="R1340" i="12"/>
  <c r="R140" i="12"/>
  <c r="R583" i="12"/>
  <c r="R829" i="12"/>
  <c r="R625" i="12"/>
  <c r="R273" i="12"/>
  <c r="R504" i="12"/>
  <c r="R623" i="12"/>
  <c r="R606" i="12"/>
  <c r="R286" i="12"/>
  <c r="R605" i="12"/>
  <c r="R622" i="12"/>
  <c r="R594" i="12"/>
  <c r="R609" i="12"/>
  <c r="R310" i="12"/>
  <c r="R619" i="12"/>
  <c r="R615" i="12"/>
  <c r="R617" i="12"/>
  <c r="R616" i="12"/>
  <c r="R1783" i="12"/>
  <c r="R601" i="12"/>
  <c r="R576" i="12"/>
  <c r="R578" i="12"/>
  <c r="R600" i="12"/>
  <c r="R599" i="12"/>
  <c r="R598" i="12"/>
  <c r="R597" i="12"/>
  <c r="R373" i="12"/>
  <c r="R596" i="12"/>
  <c r="R224" i="12"/>
  <c r="R575" i="12"/>
  <c r="R481" i="12"/>
  <c r="R58" i="12"/>
  <c r="R1332" i="12"/>
  <c r="R426" i="12"/>
  <c r="R489" i="12"/>
  <c r="R233" i="12"/>
  <c r="R692" i="12"/>
  <c r="R938" i="12"/>
  <c r="R691" i="12"/>
  <c r="R566" i="12"/>
  <c r="R554" i="12"/>
  <c r="R581" i="12"/>
  <c r="R595" i="12"/>
  <c r="R533" i="12"/>
  <c r="R280" i="12"/>
  <c r="R515" i="12"/>
  <c r="R473" i="12"/>
  <c r="R963" i="12"/>
  <c r="R565" i="12"/>
  <c r="R718" i="12"/>
  <c r="R514" i="12"/>
  <c r="R681" i="12"/>
  <c r="R1312" i="12"/>
  <c r="R794" i="12"/>
  <c r="R486" i="12"/>
  <c r="R638" i="12"/>
  <c r="R195" i="12"/>
  <c r="R480" i="12"/>
  <c r="R459" i="12"/>
  <c r="R309" i="12"/>
  <c r="R154" i="12"/>
  <c r="R375" i="12"/>
  <c r="R962" i="12"/>
  <c r="R961" i="12"/>
  <c r="R833" i="12"/>
  <c r="R593" i="12"/>
  <c r="R690" i="12"/>
  <c r="R152" i="12"/>
  <c r="R648" i="12"/>
  <c r="R1232" i="12"/>
  <c r="R541" i="12"/>
  <c r="R689" i="12"/>
  <c r="R479" i="12"/>
  <c r="R517" i="12"/>
  <c r="R73" i="12"/>
  <c r="R457" i="12"/>
  <c r="R2116" i="12"/>
  <c r="R488" i="12"/>
  <c r="R513" i="12"/>
  <c r="R960" i="12"/>
  <c r="R592" i="12"/>
  <c r="R567" i="12"/>
  <c r="R409" i="12"/>
  <c r="R644" i="12"/>
  <c r="R1333" i="12"/>
  <c r="R701" i="12"/>
  <c r="R485" i="12"/>
  <c r="R959" i="12"/>
  <c r="R540" i="12"/>
  <c r="R478" i="12"/>
  <c r="R374" i="12"/>
  <c r="R153" i="12"/>
  <c r="R614" i="12"/>
  <c r="R688" i="12"/>
  <c r="R1123" i="12"/>
  <c r="R234" i="12"/>
  <c r="R530" i="12"/>
  <c r="R472" i="12"/>
  <c r="R477" i="12"/>
  <c r="R471" i="12"/>
  <c r="R511" i="12"/>
  <c r="R456" i="12"/>
  <c r="R470" i="12"/>
  <c r="R469" i="12"/>
  <c r="R468" i="12"/>
  <c r="R449" i="12"/>
  <c r="R684" i="12"/>
  <c r="R447" i="12"/>
  <c r="R428" i="12"/>
  <c r="R1133" i="12"/>
  <c r="R448" i="12"/>
  <c r="R418" i="12"/>
  <c r="R484" i="12"/>
  <c r="R189" i="12"/>
  <c r="R237" i="12"/>
  <c r="R311" i="12"/>
  <c r="R170" i="12"/>
  <c r="R188" i="12"/>
  <c r="R235" i="12"/>
  <c r="R187" i="12"/>
  <c r="R186" i="12"/>
  <c r="R191" i="12"/>
  <c r="R28" i="12"/>
  <c r="R43" i="12"/>
  <c r="R185" i="12"/>
  <c r="R232" i="12"/>
  <c r="R231" i="12"/>
  <c r="R544" i="12"/>
  <c r="R312" i="12"/>
  <c r="R229" i="12"/>
  <c r="R240" i="12"/>
  <c r="R372" i="12"/>
  <c r="R461" i="12"/>
  <c r="R890" i="12"/>
  <c r="R226" i="12"/>
  <c r="R225" i="12"/>
  <c r="R446" i="12"/>
  <c r="R659" i="12"/>
  <c r="R33" i="12"/>
  <c r="R476" i="12"/>
  <c r="R184" i="12"/>
  <c r="R223" i="12"/>
  <c r="R190" i="12"/>
  <c r="R139" i="12"/>
  <c r="R222" i="12"/>
  <c r="R552" i="12"/>
  <c r="R1383" i="12"/>
  <c r="R572" i="12"/>
  <c r="R221" i="12"/>
  <c r="R678" i="12"/>
  <c r="R193" i="12"/>
  <c r="R445" i="12"/>
  <c r="R183" i="12"/>
  <c r="R1092" i="12"/>
  <c r="R138" i="12"/>
  <c r="R355" i="12"/>
  <c r="R38" i="12"/>
  <c r="R219" i="12"/>
  <c r="R182" i="12"/>
  <c r="R218" i="12"/>
  <c r="R181" i="12"/>
  <c r="R711" i="12"/>
  <c r="R391" i="12"/>
  <c r="R404" i="12"/>
  <c r="R180" i="12"/>
  <c r="R852" i="12"/>
  <c r="R65" i="12"/>
  <c r="R874" i="12"/>
  <c r="R247" i="12"/>
  <c r="R1198" i="12"/>
  <c r="R23" i="12"/>
  <c r="R1202" i="12"/>
  <c r="R389" i="12"/>
  <c r="R62" i="12"/>
  <c r="R22" i="12"/>
  <c r="R61" i="12"/>
  <c r="R60" i="12"/>
  <c r="R21" i="12"/>
  <c r="R1193" i="12"/>
  <c r="R20" i="12"/>
  <c r="R27" i="12"/>
  <c r="R801" i="12"/>
  <c r="R7" i="12"/>
  <c r="R1190" i="12"/>
  <c r="R1178" i="12"/>
  <c r="R693" i="12"/>
  <c r="R19" i="12"/>
  <c r="R1170" i="12"/>
  <c r="R1169" i="12"/>
  <c r="R18" i="12"/>
  <c r="R1154" i="12"/>
  <c r="R1157" i="12"/>
  <c r="R56" i="12"/>
  <c r="R55" i="12"/>
  <c r="R17" i="12"/>
  <c r="R30" i="12"/>
  <c r="R16" i="12"/>
  <c r="R1145" i="12"/>
  <c r="R1209" i="12"/>
  <c r="R278" i="12"/>
  <c r="R53" i="12"/>
  <c r="R52" i="12"/>
  <c r="R256" i="12"/>
  <c r="R263" i="12"/>
  <c r="R483" i="12"/>
  <c r="R308" i="12"/>
  <c r="R307" i="12"/>
  <c r="R306" i="12"/>
  <c r="R336" i="12"/>
  <c r="R463" i="12"/>
  <c r="R305" i="12"/>
  <c r="R335" i="12"/>
  <c r="R334" i="12"/>
  <c r="R304" i="12"/>
  <c r="R303" i="12"/>
  <c r="R325" i="12"/>
  <c r="R302" i="12"/>
  <c r="R332" i="12"/>
  <c r="R255" i="12"/>
  <c r="R104" i="12"/>
  <c r="R259" i="12"/>
  <c r="R137" i="12"/>
  <c r="R262" i="12"/>
  <c r="R261" i="12"/>
  <c r="R103" i="12"/>
  <c r="R254" i="12"/>
  <c r="R102" i="12"/>
  <c r="R253" i="12"/>
  <c r="R136" i="12"/>
  <c r="R135" i="12"/>
  <c r="R108" i="12"/>
  <c r="R44" i="12"/>
  <c r="R331" i="12"/>
  <c r="R134" i="12"/>
  <c r="R133" i="12"/>
  <c r="R101" i="12"/>
  <c r="R100" i="12"/>
  <c r="R252" i="12"/>
  <c r="R564" i="12"/>
  <c r="R15" i="12"/>
  <c r="R246" i="12"/>
  <c r="R258" i="12"/>
  <c r="R99" i="12"/>
  <c r="R131" i="12"/>
  <c r="R245" i="12"/>
  <c r="R98" i="12"/>
  <c r="R130" i="12"/>
  <c r="R251" i="12"/>
  <c r="R244" i="12"/>
  <c r="R77" i="12"/>
  <c r="R129" i="12"/>
  <c r="R128" i="12"/>
  <c r="R84" i="12"/>
  <c r="R97" i="12"/>
  <c r="R243" i="12"/>
  <c r="R250" i="12"/>
  <c r="R249" i="12"/>
  <c r="R510" i="12"/>
  <c r="R674" i="12"/>
  <c r="R423" i="12"/>
  <c r="R441" i="12"/>
  <c r="R509" i="12"/>
  <c r="R1335" i="12"/>
  <c r="R392" i="12"/>
  <c r="R958" i="12"/>
  <c r="R402" i="12"/>
  <c r="R390" i="12"/>
  <c r="R647" i="12"/>
  <c r="R494" i="12"/>
  <c r="R529" i="12"/>
  <c r="R376" i="12"/>
  <c r="R643" i="12"/>
  <c r="R330" i="12"/>
  <c r="R301" i="12"/>
  <c r="R76" i="12"/>
  <c r="R165" i="12"/>
  <c r="R150" i="12"/>
  <c r="R164" i="12"/>
  <c r="R83" i="12"/>
  <c r="R163" i="12"/>
  <c r="R1223" i="12"/>
  <c r="R248" i="12"/>
  <c r="R444" i="12"/>
  <c r="R162" i="12"/>
  <c r="R508" i="12"/>
  <c r="R37" i="12"/>
  <c r="R161" i="12"/>
  <c r="R160" i="12"/>
  <c r="R149" i="12"/>
  <c r="R167" i="12"/>
  <c r="R166" i="12"/>
  <c r="R159" i="12"/>
  <c r="R110" i="12"/>
  <c r="R81" i="12"/>
  <c r="R704" i="12"/>
  <c r="R75" i="12"/>
  <c r="R168" i="12"/>
  <c r="R1224" i="12"/>
  <c r="R157" i="12"/>
  <c r="R156" i="12"/>
  <c r="R82" i="12"/>
  <c r="R148" i="12"/>
  <c r="R80" i="12"/>
  <c r="R147" i="12"/>
  <c r="R79" i="12"/>
  <c r="R155" i="12"/>
  <c r="R78" i="12"/>
  <c r="R146" i="12"/>
  <c r="R957" i="12"/>
  <c r="R96" i="12"/>
  <c r="R242" i="12"/>
  <c r="R126" i="12"/>
  <c r="R125" i="12"/>
  <c r="R95" i="12"/>
  <c r="R124" i="12"/>
  <c r="R144" i="12"/>
  <c r="R123" i="12"/>
  <c r="R107" i="12"/>
  <c r="R94" i="12"/>
  <c r="R122" i="12"/>
  <c r="R121" i="12"/>
  <c r="R120" i="12"/>
  <c r="R93" i="12"/>
  <c r="R119" i="12"/>
  <c r="R92" i="12"/>
  <c r="R118" i="12"/>
  <c r="R117" i="12"/>
  <c r="R91" i="12"/>
  <c r="R116" i="12"/>
  <c r="R74" i="12"/>
  <c r="R115" i="12"/>
  <c r="R315" i="12"/>
  <c r="R114" i="12"/>
  <c r="R90" i="12"/>
  <c r="R105" i="12"/>
  <c r="R113" i="12"/>
  <c r="R112" i="12"/>
  <c r="R67" i="12"/>
  <c r="R89" i="12"/>
  <c r="R68" i="12"/>
  <c r="R14" i="12"/>
  <c r="R13" i="12"/>
  <c r="R8" i="12"/>
  <c r="R51" i="12"/>
  <c r="R283" i="12"/>
  <c r="R198" i="12"/>
  <c r="R588" i="12"/>
  <c r="R197" i="12"/>
  <c r="R507" i="12"/>
  <c r="R401" i="12"/>
  <c r="R403" i="12"/>
  <c r="R506" i="12"/>
  <c r="R271" i="12"/>
  <c r="R353" i="12"/>
  <c r="R577" i="12"/>
  <c r="R527" i="12"/>
  <c r="R531" i="12"/>
  <c r="R956" i="12"/>
  <c r="R587" i="12"/>
  <c r="R505" i="12"/>
  <c r="R333" i="12"/>
  <c r="R482" i="12"/>
  <c r="R549" i="12"/>
  <c r="R526" i="12"/>
  <c r="R143" i="12"/>
  <c r="R442" i="12"/>
  <c r="R766" i="12"/>
  <c r="R205" i="12"/>
  <c r="R686" i="12"/>
  <c r="R877" i="12"/>
  <c r="R603" i="12"/>
  <c r="R546" i="12"/>
  <c r="R685" i="12"/>
  <c r="R1618" i="12"/>
  <c r="R314" i="12"/>
  <c r="R270" i="12"/>
  <c r="R553" i="12"/>
  <c r="R561" i="12"/>
  <c r="R569" i="12"/>
  <c r="R455" i="12"/>
  <c r="R466" i="12"/>
  <c r="R5" i="12"/>
  <c r="R454" i="12"/>
  <c r="R722" i="12"/>
  <c r="R453" i="12"/>
  <c r="R487" i="12"/>
  <c r="R377" i="12"/>
  <c r="R884" i="12"/>
  <c r="R359" i="12"/>
  <c r="R440" i="12"/>
  <c r="R1329" i="12"/>
  <c r="R438" i="12"/>
  <c r="R502" i="12"/>
  <c r="R35" i="12"/>
  <c r="R524" i="12"/>
  <c r="R501" i="12"/>
  <c r="R213" i="12"/>
  <c r="R212" i="12"/>
  <c r="R437" i="12"/>
  <c r="R955" i="12"/>
  <c r="R217" i="12"/>
  <c r="R216" i="12"/>
  <c r="R215" i="12"/>
  <c r="R192" i="12"/>
  <c r="R179" i="12"/>
  <c r="R539" i="12"/>
  <c r="R132" i="12"/>
  <c r="R433" i="12"/>
  <c r="R196" i="12"/>
  <c r="R211" i="12"/>
  <c r="R178" i="12"/>
  <c r="R210" i="12"/>
  <c r="R177" i="12"/>
  <c r="R141" i="12"/>
  <c r="R209" i="12"/>
  <c r="R34" i="12"/>
  <c r="R176" i="12"/>
  <c r="R208" i="12"/>
  <c r="R207" i="12"/>
  <c r="R175" i="12"/>
  <c r="R203" i="12"/>
  <c r="R174" i="12"/>
  <c r="R32" i="12"/>
  <c r="R142" i="12"/>
  <c r="R29" i="12"/>
  <c r="R204" i="12"/>
  <c r="R545" i="12"/>
  <c r="R173" i="12"/>
  <c r="R202" i="12"/>
  <c r="R172" i="12"/>
  <c r="R111" i="12"/>
  <c r="R88" i="12"/>
  <c r="R1081" i="12"/>
  <c r="R1219" i="12"/>
  <c r="R655" i="12"/>
  <c r="R652" i="12"/>
  <c r="R106" i="12"/>
  <c r="R50" i="12"/>
  <c r="R36" i="12"/>
  <c r="R25" i="12"/>
  <c r="R49" i="12"/>
  <c r="R12" i="12"/>
  <c r="R11" i="12"/>
  <c r="R48" i="12"/>
  <c r="R10" i="12"/>
  <c r="R47" i="12"/>
  <c r="R24" i="12"/>
  <c r="R1153" i="12"/>
  <c r="R31" i="12"/>
  <c r="R46" i="12"/>
  <c r="R227" i="12"/>
  <c r="R1148" i="12"/>
  <c r="R9" i="12"/>
  <c r="R45" i="12"/>
  <c r="R636" i="12"/>
  <c r="R400" i="12"/>
  <c r="R399" i="12"/>
  <c r="R422" i="12"/>
  <c r="R421" i="12"/>
  <c r="R1298" i="12"/>
  <c r="R419" i="12"/>
  <c r="R586" i="12"/>
  <c r="R522" i="12"/>
  <c r="R1297" i="12"/>
  <c r="R398" i="12"/>
  <c r="R199" i="12"/>
  <c r="R411" i="12"/>
  <c r="R228" i="12"/>
  <c r="R417" i="12"/>
  <c r="R416" i="12"/>
  <c r="R272" i="12"/>
  <c r="R415" i="12"/>
  <c r="R397" i="12"/>
  <c r="R414" i="12"/>
  <c r="R413" i="12"/>
  <c r="R719" i="12"/>
  <c r="R396" i="12"/>
  <c r="R475" i="12"/>
  <c r="R194" i="12"/>
  <c r="R518" i="12"/>
  <c r="R158" i="12"/>
  <c r="R628" i="12"/>
  <c r="R498" i="12"/>
  <c r="R388" i="12"/>
  <c r="R371" i="12"/>
  <c r="R387" i="12"/>
  <c r="R230" i="12"/>
  <c r="R386" i="12"/>
  <c r="R969" i="12"/>
  <c r="R560" i="12"/>
  <c r="R406" i="12"/>
  <c r="R407" i="12"/>
  <c r="R429" i="12"/>
  <c r="R385" i="12"/>
  <c r="R474" i="12"/>
  <c r="R72" i="12"/>
  <c r="R384" i="12"/>
  <c r="R492" i="12"/>
  <c r="R383" i="12"/>
  <c r="R412" i="12"/>
  <c r="R382" i="12"/>
  <c r="R381" i="12"/>
  <c r="R380" i="12"/>
  <c r="R369" i="12"/>
  <c r="R348" i="12"/>
  <c r="R343" i="12"/>
  <c r="R1287" i="12"/>
  <c r="R755" i="12"/>
  <c r="R347" i="12"/>
  <c r="R342" i="12"/>
  <c r="R346" i="12"/>
  <c r="R367" i="12"/>
  <c r="R366" i="12"/>
  <c r="R341" i="12"/>
  <c r="R87" i="12"/>
  <c r="R238" i="12"/>
  <c r="R1284" i="12"/>
  <c r="R340" i="12"/>
  <c r="R365" i="12"/>
  <c r="R364" i="12"/>
  <c r="R339" i="12"/>
  <c r="R573" i="12"/>
  <c r="R458" i="12"/>
  <c r="R42" i="12"/>
  <c r="R425" i="12"/>
  <c r="R338" i="12"/>
  <c r="R1283" i="12"/>
  <c r="R362" i="12"/>
  <c r="R465" i="12"/>
  <c r="R63" i="12"/>
  <c r="R345" i="12"/>
  <c r="R361" i="12"/>
  <c r="R337" i="12"/>
  <c r="R370" i="12"/>
  <c r="R344" i="12"/>
  <c r="R1269" i="12"/>
  <c r="R683" i="12"/>
  <c r="R329" i="12"/>
  <c r="R671" i="12"/>
  <c r="R497" i="12"/>
  <c r="R300" i="12"/>
  <c r="R299" i="12"/>
  <c r="R327" i="12"/>
  <c r="R326" i="12"/>
  <c r="R548" i="12"/>
  <c r="R297" i="12"/>
  <c r="R41" i="12"/>
  <c r="R324" i="12"/>
  <c r="R323" i="12"/>
  <c r="R1265" i="12"/>
  <c r="R322" i="12"/>
  <c r="R321" i="12"/>
  <c r="R1267" i="12"/>
  <c r="R320" i="12"/>
  <c r="R319" i="12"/>
  <c r="R1239" i="12"/>
  <c r="R298" i="12"/>
  <c r="R268" i="12"/>
  <c r="R287" i="12"/>
  <c r="R86" i="12"/>
  <c r="R296" i="12"/>
  <c r="R206" i="12"/>
  <c r="R1684" i="12"/>
  <c r="R295" i="12"/>
  <c r="R1226" i="12"/>
  <c r="R267" i="12"/>
  <c r="R294" i="12"/>
  <c r="R293" i="12"/>
  <c r="R292" i="12"/>
  <c r="R266" i="12"/>
  <c r="R358" i="12"/>
  <c r="R265" i="12"/>
  <c r="R264" i="12"/>
  <c r="R1225" i="12"/>
  <c r="R289" i="12"/>
  <c r="R288" i="12"/>
  <c r="R284" i="12"/>
  <c r="R669" i="12"/>
  <c r="R285" i="12"/>
  <c r="R282" i="12"/>
  <c r="R54" i="12"/>
  <c r="R313" i="12"/>
  <c r="R236" i="12"/>
  <c r="R269" i="12"/>
  <c r="R281" i="12"/>
  <c r="R40" i="12"/>
  <c r="R66" i="12"/>
  <c r="R279" i="12"/>
  <c r="R665" i="12"/>
  <c r="R109" i="12"/>
  <c r="R318" i="12"/>
  <c r="R1236" i="12"/>
  <c r="R721" i="12"/>
  <c r="R257" i="12"/>
  <c r="R151" i="12"/>
  <c r="R4" i="12"/>
  <c r="R559" i="12"/>
  <c r="R452" i="12"/>
  <c r="R464" i="12"/>
  <c r="R436" i="12"/>
  <c r="R673" i="12"/>
  <c r="R521" i="12"/>
  <c r="R663" i="12"/>
  <c r="R171" i="12"/>
  <c r="R241" i="12"/>
  <c r="R535" i="12"/>
  <c r="R558" i="12"/>
  <c r="R520" i="12"/>
  <c r="R499" i="12"/>
  <c r="R274" i="12"/>
  <c r="R876" i="12"/>
  <c r="R519" i="12"/>
  <c r="R220" i="12"/>
  <c r="R585" i="12"/>
  <c r="R360" i="12"/>
  <c r="R64" i="12"/>
  <c r="R557" i="12"/>
  <c r="R2178" i="12"/>
  <c r="R1836" i="12"/>
  <c r="R2211" i="12"/>
  <c r="R2337" i="12"/>
  <c r="R2249" i="12"/>
  <c r="R2111" i="12"/>
  <c r="R2033" i="12"/>
  <c r="R2181" i="12"/>
  <c r="R393" i="12"/>
  <c r="R995" i="12"/>
  <c r="R977" i="12"/>
  <c r="R1872" i="12"/>
  <c r="R1714" i="12"/>
  <c r="R822" i="12"/>
  <c r="R1806" i="12"/>
  <c r="R1399" i="12"/>
  <c r="R1871" i="12"/>
  <c r="R2" i="12"/>
</calcChain>
</file>

<file path=xl/sharedStrings.xml><?xml version="1.0" encoding="utf-8"?>
<sst xmlns="http://schemas.openxmlformats.org/spreadsheetml/2006/main" count="27427" uniqueCount="9004">
  <si>
    <t>Details for Count of CDC # - CDC #: P01771</t>
  </si>
  <si>
    <t>Category</t>
  </si>
  <si>
    <t>Inmate's Last Name</t>
  </si>
  <si>
    <t>CDC #</t>
  </si>
  <si>
    <t>PID #</t>
  </si>
  <si>
    <t>Institution</t>
  </si>
  <si>
    <t>County</t>
  </si>
  <si>
    <t>Case #</t>
  </si>
  <si>
    <t>Static
Release 
Date</t>
  </si>
  <si>
    <t>Date Legal
Documents
Printed</t>
  </si>
  <si>
    <t>Date Letter Created</t>
  </si>
  <si>
    <t>Date Letter Sent to Secretary's Office</t>
  </si>
  <si>
    <t>Secretary's Decision</t>
  </si>
  <si>
    <t>Date Letter Mailed To Court</t>
  </si>
  <si>
    <t>Date Response Received by Court</t>
  </si>
  <si>
    <t>Resentencing Hearing Date</t>
  </si>
  <si>
    <t>Action Taken</t>
  </si>
  <si>
    <t>Days Term Reduced By</t>
  </si>
  <si>
    <t>Years Term Reduced By</t>
  </si>
  <si>
    <t>Cost Savings</t>
  </si>
  <si>
    <t>Notes</t>
  </si>
  <si>
    <t>Completion Date</t>
  </si>
  <si>
    <t>Post Release</t>
  </si>
  <si>
    <t>ISL/DSL</t>
  </si>
  <si>
    <t>PED Date</t>
  </si>
  <si>
    <t>667(a) Prior Prison</t>
  </si>
  <si>
    <t>Lane</t>
  </si>
  <si>
    <t>P01771</t>
  </si>
  <si>
    <t>CAL-MSF</t>
  </si>
  <si>
    <t>Riverside*</t>
  </si>
  <si>
    <t>RIF1312018</t>
  </si>
  <si>
    <t>Approved</t>
  </si>
  <si>
    <t/>
  </si>
  <si>
    <t>DSL</t>
  </si>
  <si>
    <t>VSP - Facility C</t>
  </si>
  <si>
    <t>Reduced</t>
  </si>
  <si>
    <t>DAPO</t>
  </si>
  <si>
    <t>Gun Enhancements</t>
  </si>
  <si>
    <t xml:space="preserve">VSP FAC C </t>
  </si>
  <si>
    <t>ROF131018</t>
  </si>
  <si>
    <t>Commutation-Not 1170(d)</t>
  </si>
  <si>
    <t>Jordan</t>
  </si>
  <si>
    <t>J27227</t>
  </si>
  <si>
    <t>MCSP-Facility C</t>
  </si>
  <si>
    <t>Los Angeles*</t>
  </si>
  <si>
    <t>Commuted</t>
  </si>
  <si>
    <t>Commutation</t>
  </si>
  <si>
    <t>Huffsmith</t>
  </si>
  <si>
    <t>G50555</t>
  </si>
  <si>
    <t>CMF-Facility A</t>
  </si>
  <si>
    <t>Solano*</t>
  </si>
  <si>
    <t>FCR240953</t>
  </si>
  <si>
    <t>No action - reason provided</t>
  </si>
  <si>
    <t>Due to commitment offense and the court is unpersuaded that he will not do the crime again if he felthe needed some cash</t>
  </si>
  <si>
    <t>Bitter</t>
  </si>
  <si>
    <t>AW7425</t>
  </si>
  <si>
    <t>CIM-Facility B</t>
  </si>
  <si>
    <t>Orange</t>
  </si>
  <si>
    <t>13CF3862</t>
  </si>
  <si>
    <t>Downs</t>
  </si>
  <si>
    <t>BB1808</t>
  </si>
  <si>
    <t>COR-Facility 03A</t>
  </si>
  <si>
    <t>Fresno*</t>
  </si>
  <si>
    <t>F16902522</t>
  </si>
  <si>
    <t>Reduced by  5 years</t>
  </si>
  <si>
    <t>vs. Gonzalez</t>
  </si>
  <si>
    <t>Reed</t>
  </si>
  <si>
    <t>T44028</t>
  </si>
  <si>
    <t>TA056694-03</t>
  </si>
  <si>
    <t>No reduction - AOJ corrected</t>
  </si>
  <si>
    <t>vs. Rodriguez</t>
  </si>
  <si>
    <t>Buchannan</t>
  </si>
  <si>
    <t>G09478</t>
  </si>
  <si>
    <t>HDSP-Facility B</t>
  </si>
  <si>
    <t>FCR262484</t>
  </si>
  <si>
    <t>No action - no reason specified</t>
  </si>
  <si>
    <t>declined req for recall</t>
  </si>
  <si>
    <t>vs. Lopez</t>
  </si>
  <si>
    <t xml:space="preserve">Lua </t>
  </si>
  <si>
    <t>AS1183</t>
  </si>
  <si>
    <t>SATF-Facility E</t>
  </si>
  <si>
    <t>Merced</t>
  </si>
  <si>
    <t>15CR05186</t>
  </si>
  <si>
    <t>may re-refer - still waiting for transcripts per email</t>
  </si>
  <si>
    <t>ISL</t>
  </si>
  <si>
    <t>vs. Le</t>
  </si>
  <si>
    <t>Johnson</t>
  </si>
  <si>
    <t>V20440</t>
  </si>
  <si>
    <t>SCC-Facility A</t>
  </si>
  <si>
    <t>BA248080</t>
  </si>
  <si>
    <t>Released</t>
  </si>
  <si>
    <t>Paroled 08/07/2018</t>
  </si>
  <si>
    <t>Timberlake</t>
  </si>
  <si>
    <t>G13646</t>
  </si>
  <si>
    <t>NKSP-Facility B</t>
  </si>
  <si>
    <t>Sonoma</t>
  </si>
  <si>
    <t>SCR577619</t>
  </si>
  <si>
    <t>Contreras</t>
  </si>
  <si>
    <t>AY7209</t>
  </si>
  <si>
    <t>SCC-Facility C</t>
  </si>
  <si>
    <t>Yolo</t>
  </si>
  <si>
    <t>CRF20149572</t>
  </si>
  <si>
    <t>Ruiz</t>
  </si>
  <si>
    <t>AB4127</t>
  </si>
  <si>
    <t>SAC-Facility C</t>
  </si>
  <si>
    <t>Butte</t>
  </si>
  <si>
    <t>CM030425</t>
  </si>
  <si>
    <t>186.22 stayed</t>
  </si>
  <si>
    <t>Gonzalez</t>
  </si>
  <si>
    <t>AC3002</t>
  </si>
  <si>
    <t>NA081958</t>
  </si>
  <si>
    <t>Life to 13y 4m released 5-17-18</t>
  </si>
  <si>
    <t>Romero</t>
  </si>
  <si>
    <t>AC3465</t>
  </si>
  <si>
    <t>WSP-Facility D</t>
  </si>
  <si>
    <t>RIF146231</t>
  </si>
  <si>
    <t>life to 11 years DSL, released 8/28/18</t>
  </si>
  <si>
    <t>vs. McCart</t>
  </si>
  <si>
    <t>Bernandez</t>
  </si>
  <si>
    <t>X00454</t>
  </si>
  <si>
    <t>CCWF-Facility C</t>
  </si>
  <si>
    <t>San Bernardino*</t>
  </si>
  <si>
    <t>16CR038939</t>
  </si>
  <si>
    <t>Leanos</t>
  </si>
  <si>
    <t>V46937</t>
  </si>
  <si>
    <t>PRMCCF-Central Valley</t>
  </si>
  <si>
    <t>SWF003428</t>
  </si>
  <si>
    <t>Paroled on 05/10/2018</t>
  </si>
  <si>
    <t>Knotchapone</t>
  </si>
  <si>
    <t>AK9696</t>
  </si>
  <si>
    <t>SATF-Facility A</t>
  </si>
  <si>
    <t>SCR549215</t>
  </si>
  <si>
    <t>Loza</t>
  </si>
  <si>
    <t>AY7084</t>
  </si>
  <si>
    <t>San Diego*</t>
  </si>
  <si>
    <t>SCN342087</t>
  </si>
  <si>
    <t>Rojas</t>
  </si>
  <si>
    <t>G38089</t>
  </si>
  <si>
    <t>PVSP-STRH</t>
  </si>
  <si>
    <t>Tulare</t>
  </si>
  <si>
    <t>178796A</t>
  </si>
  <si>
    <t>T88013</t>
  </si>
  <si>
    <t>CTF-Facility A</t>
  </si>
  <si>
    <t>Santa Clara</t>
  </si>
  <si>
    <t>CC511865</t>
  </si>
  <si>
    <t>Garcia</t>
  </si>
  <si>
    <t>AC9408</t>
  </si>
  <si>
    <t>CVSP-Facility D</t>
  </si>
  <si>
    <t>Kern*</t>
  </si>
  <si>
    <t>DF008726C</t>
  </si>
  <si>
    <t>Paroled 4/25/2019</t>
  </si>
  <si>
    <t>Quiroz</t>
  </si>
  <si>
    <t>G21913</t>
  </si>
  <si>
    <t>SVSP-Facility B</t>
  </si>
  <si>
    <t>SCR525551</t>
  </si>
  <si>
    <t>Tabares</t>
  </si>
  <si>
    <t>AP1112</t>
  </si>
  <si>
    <t>SOL-Facility B</t>
  </si>
  <si>
    <t>FCR296019</t>
  </si>
  <si>
    <t>reduced by 1 year</t>
  </si>
  <si>
    <t>Bustamante</t>
  </si>
  <si>
    <t>AP9292</t>
  </si>
  <si>
    <t>CAC-Facility B</t>
  </si>
  <si>
    <t>SCD244472</t>
  </si>
  <si>
    <t>Moore</t>
  </si>
  <si>
    <t>G31977</t>
  </si>
  <si>
    <t>SCC-Facility B</t>
  </si>
  <si>
    <t>NA076808</t>
  </si>
  <si>
    <t>Exceptional Conduct</t>
  </si>
  <si>
    <t>Abbago</t>
  </si>
  <si>
    <t>WA0014</t>
  </si>
  <si>
    <t>CIW - Facility A</t>
  </si>
  <si>
    <t>BA323415</t>
  </si>
  <si>
    <t>Chavez</t>
  </si>
  <si>
    <t>AZ8028</t>
  </si>
  <si>
    <t>VSP-Facility C</t>
  </si>
  <si>
    <t>Ventura</t>
  </si>
  <si>
    <t>chose to impose then stay a 12022.7</t>
  </si>
  <si>
    <t>Ortiz</t>
  </si>
  <si>
    <t>AM0721</t>
  </si>
  <si>
    <t>NKSP-Facility A</t>
  </si>
  <si>
    <t>NA092190</t>
  </si>
  <si>
    <t>No action - due to plea</t>
  </si>
  <si>
    <t>Espinoza</t>
  </si>
  <si>
    <t>BD5683</t>
  </si>
  <si>
    <t>PVSP-Facility B</t>
  </si>
  <si>
    <t>VA142979</t>
  </si>
  <si>
    <t xml:space="preserve">No reason specified </t>
  </si>
  <si>
    <t>Estrada</t>
  </si>
  <si>
    <t>AK4987</t>
  </si>
  <si>
    <t>San Benito</t>
  </si>
  <si>
    <t>CR1001997</t>
  </si>
  <si>
    <t>removed a 12022.7/ issue still exists/ re-refer</t>
  </si>
  <si>
    <t>Hoffman</t>
  </si>
  <si>
    <t>K49600</t>
  </si>
  <si>
    <t>COR-MSF</t>
  </si>
  <si>
    <t>FSB903904</t>
  </si>
  <si>
    <t>Lopez</t>
  </si>
  <si>
    <t>BC3659</t>
  </si>
  <si>
    <t>CEN-Facility A</t>
  </si>
  <si>
    <t>BA446926</t>
  </si>
  <si>
    <t>245 serious &amp; not becauz of enh.</t>
  </si>
  <si>
    <t>Torres</t>
  </si>
  <si>
    <t>G56539</t>
  </si>
  <si>
    <t>MCSP-Facility A</t>
  </si>
  <si>
    <t>Sacramento*</t>
  </si>
  <si>
    <t>07F08841</t>
  </si>
  <si>
    <t>Prado</t>
  </si>
  <si>
    <t>BD8031</t>
  </si>
  <si>
    <t>CAL-Facility D</t>
  </si>
  <si>
    <t>YA093499</t>
  </si>
  <si>
    <t>vs. Manfredi</t>
  </si>
  <si>
    <t>Davila</t>
  </si>
  <si>
    <t>BC7058</t>
  </si>
  <si>
    <t>MA066758-01</t>
  </si>
  <si>
    <t>G46967</t>
  </si>
  <si>
    <t>ISP-Facility B</t>
  </si>
  <si>
    <t>YA07715001</t>
  </si>
  <si>
    <t>Truong</t>
  </si>
  <si>
    <t>F41159</t>
  </si>
  <si>
    <t>FCR325024</t>
  </si>
  <si>
    <t>Court gathered parties/ sentence is correct per judge and parties</t>
  </si>
  <si>
    <t>Sydow</t>
  </si>
  <si>
    <t>AI2512</t>
  </si>
  <si>
    <t>PBSP-Facility C</t>
  </si>
  <si>
    <t>KA092702</t>
  </si>
  <si>
    <t>Yoon</t>
  </si>
  <si>
    <t>AD1280</t>
  </si>
  <si>
    <t>CCI-Facility E</t>
  </si>
  <si>
    <t>LA62505</t>
  </si>
  <si>
    <t>Buenrostro</t>
  </si>
  <si>
    <t>AC9573</t>
  </si>
  <si>
    <t>CVSP-Facility B</t>
  </si>
  <si>
    <t>08SF0167</t>
  </si>
  <si>
    <t>Morales</t>
  </si>
  <si>
    <t>AU2701</t>
  </si>
  <si>
    <t>PVSP-Facility C</t>
  </si>
  <si>
    <t>F14903012</t>
  </si>
  <si>
    <t>Moua</t>
  </si>
  <si>
    <t>AP1862</t>
  </si>
  <si>
    <t>PUMCCF-Delano</t>
  </si>
  <si>
    <t>F12905682</t>
  </si>
  <si>
    <t>Hernandez</t>
  </si>
  <si>
    <t>AI2502</t>
  </si>
  <si>
    <t>VSP-Facility B</t>
  </si>
  <si>
    <t>Pratt</t>
  </si>
  <si>
    <t>B71679</t>
  </si>
  <si>
    <t>RJD-Facility C</t>
  </si>
  <si>
    <t>SC069495A</t>
  </si>
  <si>
    <t>Disregard Letter</t>
  </si>
  <si>
    <t>Martinez</t>
  </si>
  <si>
    <t>AK8176</t>
  </si>
  <si>
    <t>Contra Costa</t>
  </si>
  <si>
    <t>Active Parole</t>
  </si>
  <si>
    <t>Cardona</t>
  </si>
  <si>
    <t>AU1345</t>
  </si>
  <si>
    <t>COCF-La Palma CC</t>
  </si>
  <si>
    <t>11F08231</t>
  </si>
  <si>
    <t>reduced by 2 years, released 05/21/2019</t>
  </si>
  <si>
    <t>Haqq</t>
  </si>
  <si>
    <t>AW3463</t>
  </si>
  <si>
    <t>CAC-Facility C</t>
  </si>
  <si>
    <t>SCD252583</t>
  </si>
  <si>
    <t>F93355</t>
  </si>
  <si>
    <t>DCF183664A</t>
  </si>
  <si>
    <t>Term restructered</t>
  </si>
  <si>
    <t>Lyons</t>
  </si>
  <si>
    <t>V65828</t>
  </si>
  <si>
    <t>PRMCCF-Desert View</t>
  </si>
  <si>
    <t>BA265115</t>
  </si>
  <si>
    <t>Paroled on 05/01/2019</t>
  </si>
  <si>
    <t>Young</t>
  </si>
  <si>
    <t>BB8674</t>
  </si>
  <si>
    <t>BA391531</t>
  </si>
  <si>
    <t>Stone</t>
  </si>
  <si>
    <t>F53649</t>
  </si>
  <si>
    <t>COR-Central Service</t>
  </si>
  <si>
    <t>Kings*</t>
  </si>
  <si>
    <t>reduced by 8 years 4 months</t>
  </si>
  <si>
    <t>Neves</t>
  </si>
  <si>
    <t>F75007</t>
  </si>
  <si>
    <t>reduced by 10 years</t>
  </si>
  <si>
    <t>Her</t>
  </si>
  <si>
    <t>V30533</t>
  </si>
  <si>
    <t>FOL-Facility MSF</t>
  </si>
  <si>
    <t>MF36990</t>
  </si>
  <si>
    <t>active parole 9/3/2020 (not 1170(d)(1))</t>
  </si>
  <si>
    <t>Blanco</t>
  </si>
  <si>
    <t>AD2034</t>
  </si>
  <si>
    <t>SATF-Facility C</t>
  </si>
  <si>
    <t>VCF228313A</t>
  </si>
  <si>
    <t>Thomas</t>
  </si>
  <si>
    <t>AW7591</t>
  </si>
  <si>
    <t>Alameda</t>
  </si>
  <si>
    <t>H51957A</t>
  </si>
  <si>
    <t>Paroled 2/27/2023</t>
  </si>
  <si>
    <t>Abila</t>
  </si>
  <si>
    <t>AT8323</t>
  </si>
  <si>
    <t>KVSP-Facility D</t>
  </si>
  <si>
    <t>San Joaquin*</t>
  </si>
  <si>
    <t>MF036296A</t>
  </si>
  <si>
    <t>reduced by 3 years</t>
  </si>
  <si>
    <t>Ford</t>
  </si>
  <si>
    <t>WA1812</t>
  </si>
  <si>
    <t>CCWF-Facility B</t>
  </si>
  <si>
    <t>16CR041769</t>
  </si>
  <si>
    <t>Released 7/30/2019 not for 1170 (d)(1)</t>
  </si>
  <si>
    <t>Zendejas</t>
  </si>
  <si>
    <t>T17309</t>
  </si>
  <si>
    <t>Imperial*</t>
  </si>
  <si>
    <t>JCF25158</t>
  </si>
  <si>
    <t>reduced by 2 years 8 months</t>
  </si>
  <si>
    <t>Avila</t>
  </si>
  <si>
    <t>AB3429</t>
  </si>
  <si>
    <t>KVSP-Facility A</t>
  </si>
  <si>
    <t>VA102440-032</t>
  </si>
  <si>
    <t>Hermosillo</t>
  </si>
  <si>
    <t>AF4232</t>
  </si>
  <si>
    <t>SQ-Facility A</t>
  </si>
  <si>
    <t>SCR556246</t>
  </si>
  <si>
    <t>reduced by 2 years</t>
  </si>
  <si>
    <t>AV3416</t>
  </si>
  <si>
    <t>C1367379</t>
  </si>
  <si>
    <t>Rodriguez</t>
  </si>
  <si>
    <t>F21360</t>
  </si>
  <si>
    <t>CVSP-MSF</t>
  </si>
  <si>
    <t>VCF154180</t>
  </si>
  <si>
    <t>G41511</t>
  </si>
  <si>
    <t>PBSP-STRH</t>
  </si>
  <si>
    <t>PA070407</t>
  </si>
  <si>
    <t>Agundez</t>
  </si>
  <si>
    <t>AM3803</t>
  </si>
  <si>
    <t>PUMCCF-Shafter</t>
  </si>
  <si>
    <t>F11900049</t>
  </si>
  <si>
    <t>Pulido</t>
  </si>
  <si>
    <t>T79515</t>
  </si>
  <si>
    <t>reduced by 8 years 8 months</t>
  </si>
  <si>
    <t>Castillo</t>
  </si>
  <si>
    <t>AW9698</t>
  </si>
  <si>
    <t>HDSP-Facility C</t>
  </si>
  <si>
    <t>CR-14-00819</t>
  </si>
  <si>
    <t>PC 186.22(b)(1)© does not apply, deft pled to PC 186.22(b)(1)(A)</t>
  </si>
  <si>
    <t>Murguia</t>
  </si>
  <si>
    <t>V04589</t>
  </si>
  <si>
    <t>RJD-Facility A</t>
  </si>
  <si>
    <t>RIF1401728</t>
  </si>
  <si>
    <t>Cannon</t>
  </si>
  <si>
    <t>X13752</t>
  </si>
  <si>
    <t>FCH1100047</t>
  </si>
  <si>
    <t>Parole 6/5/2018</t>
  </si>
  <si>
    <t>PRCS</t>
  </si>
  <si>
    <t>Aguilera</t>
  </si>
  <si>
    <t>H02599</t>
  </si>
  <si>
    <t>VSP</t>
  </si>
  <si>
    <t>BA150865</t>
  </si>
  <si>
    <t xml:space="preserve">Alaniz </t>
  </si>
  <si>
    <t>WA0134</t>
  </si>
  <si>
    <t>CCWF - Facility D</t>
  </si>
  <si>
    <t>LA053831</t>
  </si>
  <si>
    <t>Declined</t>
  </si>
  <si>
    <t>Alardin</t>
  </si>
  <si>
    <t>T33873</t>
  </si>
  <si>
    <t>PBSP - Facility D</t>
  </si>
  <si>
    <t>Stanislaus</t>
  </si>
  <si>
    <t>Phan</t>
  </si>
  <si>
    <t>AH3051</t>
  </si>
  <si>
    <t>SAC-Facility B</t>
  </si>
  <si>
    <t>08WF0487</t>
  </si>
  <si>
    <t>Gonzalez does not apply</t>
  </si>
  <si>
    <t>vs. Cook</t>
  </si>
  <si>
    <t>Randazzle</t>
  </si>
  <si>
    <t>AS0897</t>
  </si>
  <si>
    <t>BF145781A</t>
  </si>
  <si>
    <t>Miller</t>
  </si>
  <si>
    <t>H58423</t>
  </si>
  <si>
    <t>SCS279592</t>
  </si>
  <si>
    <t>Paroled 06/10/2019</t>
  </si>
  <si>
    <t>AR0300</t>
  </si>
  <si>
    <t>F17903752</t>
  </si>
  <si>
    <t>Paroled 07/02/2018</t>
  </si>
  <si>
    <t>Kindschy</t>
  </si>
  <si>
    <t>D26404</t>
  </si>
  <si>
    <t>SATF-Facility D</t>
  </si>
  <si>
    <t>09F00086</t>
  </si>
  <si>
    <t>Ferreira</t>
  </si>
  <si>
    <t>X25220</t>
  </si>
  <si>
    <t>CIW-Facility A</t>
  </si>
  <si>
    <t>FWV1403923</t>
  </si>
  <si>
    <t>Cuevas</t>
  </si>
  <si>
    <t>WF1024</t>
  </si>
  <si>
    <t>CIW-Central Service</t>
  </si>
  <si>
    <t>16CR066195</t>
  </si>
  <si>
    <t>Paroled 08/08/2019</t>
  </si>
  <si>
    <t>Reeves</t>
  </si>
  <si>
    <t>WA1136</t>
  </si>
  <si>
    <t>FWV1400888</t>
  </si>
  <si>
    <t>sent Mccart letter 9/10/2018</t>
  </si>
  <si>
    <t>Fonseca</t>
  </si>
  <si>
    <t>X14828</t>
  </si>
  <si>
    <t>FWV17002285</t>
  </si>
  <si>
    <t>amend</t>
  </si>
  <si>
    <t>V22138</t>
  </si>
  <si>
    <t>MA06048602</t>
  </si>
  <si>
    <t>refers to look at Imperial/do they want to reduce.</t>
  </si>
  <si>
    <t>J91670</t>
  </si>
  <si>
    <t>PVSP-Facility STRH</t>
  </si>
  <si>
    <t>MA05865002</t>
  </si>
  <si>
    <t>Disregard only</t>
  </si>
  <si>
    <t>C92006</t>
  </si>
  <si>
    <t>CTF-Facility C</t>
  </si>
  <si>
    <t>JCF18914</t>
  </si>
  <si>
    <t>Alexander</t>
  </si>
  <si>
    <t>E50534</t>
  </si>
  <si>
    <t>00E50534</t>
  </si>
  <si>
    <t>CMC-Facility G</t>
  </si>
  <si>
    <t>VA052958</t>
  </si>
  <si>
    <t>Quijada</t>
  </si>
  <si>
    <t>V53680</t>
  </si>
  <si>
    <t>PUMCCF-Taft</t>
  </si>
  <si>
    <t>LA043182-01</t>
  </si>
  <si>
    <t>Gama</t>
  </si>
  <si>
    <t>BA4591</t>
  </si>
  <si>
    <t>AOJ corrected 245 crime description only</t>
  </si>
  <si>
    <t>Alvarado</t>
  </si>
  <si>
    <t>AM5457</t>
  </si>
  <si>
    <t>10WF2663</t>
  </si>
  <si>
    <t>Trouong</t>
  </si>
  <si>
    <t>P45870</t>
  </si>
  <si>
    <t>CMC-Facility B</t>
  </si>
  <si>
    <t>jcf25383</t>
  </si>
  <si>
    <t>Hicks</t>
  </si>
  <si>
    <t>K09979</t>
  </si>
  <si>
    <t>01F01647</t>
  </si>
  <si>
    <t xml:space="preserve">amend    </t>
  </si>
  <si>
    <t>Santana</t>
  </si>
  <si>
    <t>AX3873</t>
  </si>
  <si>
    <t>CHCF-Facility A</t>
  </si>
  <si>
    <t>San Luis Obispo*</t>
  </si>
  <si>
    <t>17F09459</t>
  </si>
  <si>
    <t>2 years</t>
  </si>
  <si>
    <t>Chaires</t>
  </si>
  <si>
    <t>E59533</t>
  </si>
  <si>
    <t>Amador*</t>
  </si>
  <si>
    <t>09CR15395</t>
  </si>
  <si>
    <t>Dukes</t>
  </si>
  <si>
    <t>D33572</t>
  </si>
  <si>
    <t>SAC-Facility A</t>
  </si>
  <si>
    <t>MA055582-01</t>
  </si>
  <si>
    <t>Dicharged 05/06/2019</t>
  </si>
  <si>
    <t>Smith</t>
  </si>
  <si>
    <t>W97393</t>
  </si>
  <si>
    <t>FWV17002190</t>
  </si>
  <si>
    <t>Paroled 03/24/2019</t>
  </si>
  <si>
    <t>Jagerson</t>
  </si>
  <si>
    <t>J37492</t>
  </si>
  <si>
    <t>Lassen*</t>
  </si>
  <si>
    <t>CH026579</t>
  </si>
  <si>
    <t>Reduced to 5 years</t>
  </si>
  <si>
    <t>Snyder</t>
  </si>
  <si>
    <t>H82933</t>
  </si>
  <si>
    <t>LAC-Facility D</t>
  </si>
  <si>
    <t>SS011913</t>
  </si>
  <si>
    <t>Paroled 09/25/2019</t>
  </si>
  <si>
    <t>J03385</t>
  </si>
  <si>
    <t>KVSP-Facility B</t>
  </si>
  <si>
    <t>CF1915</t>
  </si>
  <si>
    <t>Reduced to 10 years, released 12/11/2018</t>
  </si>
  <si>
    <t>Le</t>
  </si>
  <si>
    <t>K19579</t>
  </si>
  <si>
    <t>CF11343</t>
  </si>
  <si>
    <t>Pagan</t>
  </si>
  <si>
    <t>P56652</t>
  </si>
  <si>
    <t>COR-Facility 04A</t>
  </si>
  <si>
    <t>JCF21550</t>
  </si>
  <si>
    <t>reduced 4 years</t>
  </si>
  <si>
    <t>Guardado</t>
  </si>
  <si>
    <t>H69129</t>
  </si>
  <si>
    <t>JCF15358</t>
  </si>
  <si>
    <t>Chambers</t>
  </si>
  <si>
    <t>F45266</t>
  </si>
  <si>
    <t>CAL-Facility C</t>
  </si>
  <si>
    <t>JCF38260</t>
  </si>
  <si>
    <t>Keith</t>
  </si>
  <si>
    <t>P75834</t>
  </si>
  <si>
    <t>CF11940</t>
  </si>
  <si>
    <t>Balderas</t>
  </si>
  <si>
    <t>P23850</t>
  </si>
  <si>
    <t>JCF27450</t>
  </si>
  <si>
    <t>Holmes</t>
  </si>
  <si>
    <t>P01526</t>
  </si>
  <si>
    <t>CEN-Facility B</t>
  </si>
  <si>
    <t>JCF25703</t>
  </si>
  <si>
    <t>Parker</t>
  </si>
  <si>
    <t>J30799</t>
  </si>
  <si>
    <t>CF10795</t>
  </si>
  <si>
    <t xml:space="preserve">SATF made LPU referal </t>
  </si>
  <si>
    <t>Acosta</t>
  </si>
  <si>
    <t>AU2134</t>
  </si>
  <si>
    <t>ASP-Facility B</t>
  </si>
  <si>
    <t>TA131816</t>
  </si>
  <si>
    <t>Harvey</t>
  </si>
  <si>
    <t>C48884</t>
  </si>
  <si>
    <t>Dethphilaphanh</t>
  </si>
  <si>
    <t>K92412</t>
  </si>
  <si>
    <t>MA05243001</t>
  </si>
  <si>
    <t>Esparza</t>
  </si>
  <si>
    <t>AP1653</t>
  </si>
  <si>
    <t>PA072524</t>
  </si>
  <si>
    <t>order in ERMS</t>
  </si>
  <si>
    <t>Gooch</t>
  </si>
  <si>
    <t>X20074</t>
  </si>
  <si>
    <t>FWV17000466</t>
  </si>
  <si>
    <t>Nguyen</t>
  </si>
  <si>
    <t>AN3780</t>
  </si>
  <si>
    <t>CRC-Facility C</t>
  </si>
  <si>
    <t>09WF0656</t>
  </si>
  <si>
    <t>Released on 02/08/2020</t>
  </si>
  <si>
    <t>Keville</t>
  </si>
  <si>
    <t>F04338</t>
  </si>
  <si>
    <t>HDSP-STRH</t>
  </si>
  <si>
    <t>JCF23892</t>
  </si>
  <si>
    <t>reduced by 2 years, released 02/08/2019</t>
  </si>
  <si>
    <t>Alcala</t>
  </si>
  <si>
    <t>P99359</t>
  </si>
  <si>
    <t>JCF25378</t>
  </si>
  <si>
    <t>Brewer</t>
  </si>
  <si>
    <t>K24191</t>
  </si>
  <si>
    <t>CMC-Facility A</t>
  </si>
  <si>
    <t>Monterey*</t>
  </si>
  <si>
    <t>98CR1245</t>
  </si>
  <si>
    <t>Paroled on 09/21/2019</t>
  </si>
  <si>
    <t>Marquez</t>
  </si>
  <si>
    <t>J13327</t>
  </si>
  <si>
    <t>13CM7388B</t>
  </si>
  <si>
    <t>Burton</t>
  </si>
  <si>
    <t>J45095</t>
  </si>
  <si>
    <t>SVSP-STRH</t>
  </si>
  <si>
    <t>F14904679</t>
  </si>
  <si>
    <t>Pifer</t>
  </si>
  <si>
    <t>B86791</t>
  </si>
  <si>
    <t>LAC-Facility B</t>
  </si>
  <si>
    <t>JCF13395</t>
  </si>
  <si>
    <t>reduced by 2 years 4 months, released 06/11/2019</t>
  </si>
  <si>
    <t>Timms</t>
  </si>
  <si>
    <t>D15635</t>
  </si>
  <si>
    <t>SCS226070</t>
  </si>
  <si>
    <t>K05984</t>
  </si>
  <si>
    <t>PVSP-Facility A</t>
  </si>
  <si>
    <t>JCF26356</t>
  </si>
  <si>
    <t>Released 7/28/2020</t>
  </si>
  <si>
    <t>Ronk</t>
  </si>
  <si>
    <t>AE3952</t>
  </si>
  <si>
    <t>KVSP-Facility Z02</t>
  </si>
  <si>
    <t>SS160581A</t>
  </si>
  <si>
    <t>Anderson</t>
  </si>
  <si>
    <t>K08881</t>
  </si>
  <si>
    <t>SS041856A</t>
  </si>
  <si>
    <t>Lepe</t>
  </si>
  <si>
    <t>V97787</t>
  </si>
  <si>
    <t>CCI-Facility A</t>
  </si>
  <si>
    <t>JCF25511</t>
  </si>
  <si>
    <t>reduced 2 years</t>
  </si>
  <si>
    <t>AV6232</t>
  </si>
  <si>
    <t>16CR25051</t>
  </si>
  <si>
    <t>Jefferson</t>
  </si>
  <si>
    <t>V80634</t>
  </si>
  <si>
    <t>16F-09098</t>
  </si>
  <si>
    <t>Released per prop 64 10/10/20 (not 1170(d)(1))</t>
  </si>
  <si>
    <t>Roberson</t>
  </si>
  <si>
    <t>AL6531</t>
  </si>
  <si>
    <t>SVSP-Facility C</t>
  </si>
  <si>
    <t>16CR24381</t>
  </si>
  <si>
    <t>reduced by 10 months</t>
  </si>
  <si>
    <t>Scott</t>
  </si>
  <si>
    <t>E33174</t>
  </si>
  <si>
    <t>09CM7011</t>
  </si>
  <si>
    <t>Paroled 1/23/2023</t>
  </si>
  <si>
    <t>T88883</t>
  </si>
  <si>
    <t>CTF-Facility D</t>
  </si>
  <si>
    <t xml:space="preserve"> 01NF1889</t>
  </si>
  <si>
    <t>released 10/29/2019</t>
  </si>
  <si>
    <t>Direct Release</t>
  </si>
  <si>
    <t>Cuelho</t>
  </si>
  <si>
    <t>H90590</t>
  </si>
  <si>
    <t>CEN-Facility D</t>
  </si>
  <si>
    <t>JCF24282</t>
  </si>
  <si>
    <t>Brock</t>
  </si>
  <si>
    <t>V84367</t>
  </si>
  <si>
    <t>SQ-Facility B</t>
  </si>
  <si>
    <t>FCR312466</t>
  </si>
  <si>
    <t>Diaz</t>
  </si>
  <si>
    <t>W86478</t>
  </si>
  <si>
    <t>16CR064146</t>
  </si>
  <si>
    <t>AOJ rec'd - did not correct. 2nd letter</t>
  </si>
  <si>
    <t>Mendoza</t>
  </si>
  <si>
    <t>D06426</t>
  </si>
  <si>
    <t>98F03686</t>
  </si>
  <si>
    <t>Paroled 12/17/20 (not 1170(d)(1))</t>
  </si>
  <si>
    <t>Green</t>
  </si>
  <si>
    <t>G66899</t>
  </si>
  <si>
    <t>07F06491</t>
  </si>
  <si>
    <t>reduced by 5 years</t>
  </si>
  <si>
    <t>Bayse</t>
  </si>
  <si>
    <t>E28715</t>
  </si>
  <si>
    <t>06CR10987</t>
  </si>
  <si>
    <t>Hunt</t>
  </si>
  <si>
    <t>D41831</t>
  </si>
  <si>
    <t>CEN-Facility C</t>
  </si>
  <si>
    <t>JCF27056</t>
  </si>
  <si>
    <t>Paroled on 7/29/20 (not 1170(d)(1))</t>
  </si>
  <si>
    <t>Coleman</t>
  </si>
  <si>
    <t>P99126</t>
  </si>
  <si>
    <t>JCF28251</t>
  </si>
  <si>
    <t>Hoover</t>
  </si>
  <si>
    <t>P46754</t>
  </si>
  <si>
    <t>KVSP-Facility C</t>
  </si>
  <si>
    <t>JCF27019</t>
  </si>
  <si>
    <t>Cruz</t>
  </si>
  <si>
    <t>V93039</t>
  </si>
  <si>
    <t>SS160407C</t>
  </si>
  <si>
    <t xml:space="preserve">Follow up 9/20/22 sent email to Riverside Court </t>
  </si>
  <si>
    <t>V98408</t>
  </si>
  <si>
    <t>VCF142748</t>
  </si>
  <si>
    <t>Alaniz</t>
  </si>
  <si>
    <t>BC1627</t>
  </si>
  <si>
    <t>VCF343538</t>
  </si>
  <si>
    <t>G29553</t>
  </si>
  <si>
    <t>RIF137407</t>
  </si>
  <si>
    <t>Pending Court (Date in Notes)</t>
  </si>
  <si>
    <t>NCD 2/24/2023</t>
  </si>
  <si>
    <t>Herrera</t>
  </si>
  <si>
    <t>BC9826</t>
  </si>
  <si>
    <t>14NF5117</t>
  </si>
  <si>
    <t>No action - handle thru appeal</t>
  </si>
  <si>
    <t>Appeal process/same issue/AG agrees -formal opinion final will prove resentenced accordingly</t>
  </si>
  <si>
    <t>Jones</t>
  </si>
  <si>
    <t>BA9908</t>
  </si>
  <si>
    <t>CCC-Facility C</t>
  </si>
  <si>
    <t>VCF293185</t>
  </si>
  <si>
    <t>Garibaldi</t>
  </si>
  <si>
    <t>BE2733</t>
  </si>
  <si>
    <t>LAM VA145134-01</t>
  </si>
  <si>
    <t>Datu</t>
  </si>
  <si>
    <t>X22476</t>
  </si>
  <si>
    <t>FCRF-McFarland</t>
  </si>
  <si>
    <t>FCH1200078</t>
  </si>
  <si>
    <t>Munoz</t>
  </si>
  <si>
    <t>V66029</t>
  </si>
  <si>
    <t>F448433</t>
  </si>
  <si>
    <t>Gums</t>
  </si>
  <si>
    <t>K06457</t>
  </si>
  <si>
    <t>CAL-Facility A</t>
  </si>
  <si>
    <t>JCF28417</t>
  </si>
  <si>
    <t>thompson term reduced</t>
  </si>
  <si>
    <t>Lewis/Calip</t>
  </si>
  <si>
    <t>K04527</t>
  </si>
  <si>
    <t>ISP-Facility C</t>
  </si>
  <si>
    <t>CF12026</t>
  </si>
  <si>
    <t>Paroled 06/18/2019</t>
  </si>
  <si>
    <t>Ortega</t>
  </si>
  <si>
    <t>F05173</t>
  </si>
  <si>
    <t>JCF29932</t>
  </si>
  <si>
    <t>Paroled 05/13/2019</t>
  </si>
  <si>
    <t>Alviz</t>
  </si>
  <si>
    <t>H80509</t>
  </si>
  <si>
    <t>05F03511</t>
  </si>
  <si>
    <t>Zamora</t>
  </si>
  <si>
    <t>H39305</t>
  </si>
  <si>
    <t>DF011241A</t>
  </si>
  <si>
    <t>Law Enforcement Agency</t>
  </si>
  <si>
    <t>Healy</t>
  </si>
  <si>
    <t>H01925</t>
  </si>
  <si>
    <t>SACCO</t>
  </si>
  <si>
    <t>C34802</t>
  </si>
  <si>
    <t>reduced by 21 years 4 months</t>
  </si>
  <si>
    <t>BE8130</t>
  </si>
  <si>
    <t>DOW VA142910-01</t>
  </si>
  <si>
    <t>AX4543</t>
  </si>
  <si>
    <t>HDSP-Facility D</t>
  </si>
  <si>
    <t>BA877718</t>
  </si>
  <si>
    <t>also appelate court affirmed</t>
  </si>
  <si>
    <t>Sam</t>
  </si>
  <si>
    <t>AA7548</t>
  </si>
  <si>
    <t>LWOP</t>
  </si>
  <si>
    <t>Reay</t>
  </si>
  <si>
    <t>P17003</t>
  </si>
  <si>
    <t>HDSP-Facility A</t>
  </si>
  <si>
    <t>DF008498A</t>
  </si>
  <si>
    <t>Irigoyen</t>
  </si>
  <si>
    <t>E79852</t>
  </si>
  <si>
    <t>Wasco-Facility B</t>
  </si>
  <si>
    <t>JCF19840</t>
  </si>
  <si>
    <t>T67143</t>
  </si>
  <si>
    <t>Del Norte*</t>
  </si>
  <si>
    <t>CRPB135133</t>
  </si>
  <si>
    <t xml:space="preserve">Deceased - 9/10/2020 </t>
  </si>
  <si>
    <t>Gamez</t>
  </si>
  <si>
    <t>F79091</t>
  </si>
  <si>
    <t>MCSP-FACILITY A</t>
  </si>
  <si>
    <t>YA064878-02</t>
  </si>
  <si>
    <t>"gang alleg not based on Personal inflict GBI"</t>
  </si>
  <si>
    <t>E84526</t>
  </si>
  <si>
    <t>CH014153</t>
  </si>
  <si>
    <t>reduced by 6 years, released 03/19/2019</t>
  </si>
  <si>
    <t>Robinson</t>
  </si>
  <si>
    <t>T87557</t>
  </si>
  <si>
    <t>CAL-Facility B</t>
  </si>
  <si>
    <t>F375992</t>
  </si>
  <si>
    <t>Overdue, released 12/27/2018</t>
  </si>
  <si>
    <t>J87640</t>
  </si>
  <si>
    <t>06F01522</t>
  </si>
  <si>
    <t>Paroled on 6/25/2022</t>
  </si>
  <si>
    <t>Patino</t>
  </si>
  <si>
    <t>AA8037</t>
  </si>
  <si>
    <t>FOL-Facility A</t>
  </si>
  <si>
    <t>CH033419</t>
  </si>
  <si>
    <t>Reduced 1 year</t>
  </si>
  <si>
    <t>D12268</t>
  </si>
  <si>
    <t>SS012002A</t>
  </si>
  <si>
    <t>Jacobo</t>
  </si>
  <si>
    <t>H67368</t>
  </si>
  <si>
    <t>SCS177086</t>
  </si>
  <si>
    <t>reduced by 6 years</t>
  </si>
  <si>
    <t>Davis</t>
  </si>
  <si>
    <t>E51146</t>
  </si>
  <si>
    <t>WSP-Facility B</t>
  </si>
  <si>
    <t>12F08306</t>
  </si>
  <si>
    <t>Stokes</t>
  </si>
  <si>
    <t>X35821</t>
  </si>
  <si>
    <t>CCWF-Facility A</t>
  </si>
  <si>
    <t>FWV1401092</t>
  </si>
  <si>
    <t>discharged 07/01/2019</t>
  </si>
  <si>
    <t>Dockery</t>
  </si>
  <si>
    <t>WE0293</t>
  </si>
  <si>
    <t>FWV1600241</t>
  </si>
  <si>
    <t>Whitner</t>
  </si>
  <si>
    <t>C92539</t>
  </si>
  <si>
    <t>15F05117</t>
  </si>
  <si>
    <t>Archuleta</t>
  </si>
  <si>
    <t>T26012</t>
  </si>
  <si>
    <t>LAC Facility C</t>
  </si>
  <si>
    <t>VA059556</t>
  </si>
  <si>
    <t>Paroled 8/17/2022</t>
  </si>
  <si>
    <t>Proeung</t>
  </si>
  <si>
    <t>AA9332</t>
  </si>
  <si>
    <t>08F06947</t>
  </si>
  <si>
    <t>BC6921</t>
  </si>
  <si>
    <t>CAC-Facility A</t>
  </si>
  <si>
    <t>F16902872</t>
  </si>
  <si>
    <t>AW8112</t>
  </si>
  <si>
    <t>SCD250727</t>
  </si>
  <si>
    <t>Carvajal</t>
  </si>
  <si>
    <t>AM3907</t>
  </si>
  <si>
    <t>MA050224</t>
  </si>
  <si>
    <t>BC5565</t>
  </si>
  <si>
    <t>NA097744</t>
  </si>
  <si>
    <t>BE5463</t>
  </si>
  <si>
    <t>YA092238A</t>
  </si>
  <si>
    <t>AR3064</t>
  </si>
  <si>
    <t>NKSP-Facility D</t>
  </si>
  <si>
    <t>LA081391</t>
  </si>
  <si>
    <t>Institution still waiting for the legal docements.  Per the Court Clerk, PC 12022.5 was stayed, total term 19 years 4 months</t>
  </si>
  <si>
    <t>Mejia</t>
  </si>
  <si>
    <t>AV1997</t>
  </si>
  <si>
    <t>VA129329-01</t>
  </si>
  <si>
    <t>Mateuz</t>
  </si>
  <si>
    <t>G33095</t>
  </si>
  <si>
    <t>BA309786</t>
  </si>
  <si>
    <t>AU3303</t>
  </si>
  <si>
    <t>13F05311</t>
  </si>
  <si>
    <t>Valencia</t>
  </si>
  <si>
    <t>AL9963</t>
  </si>
  <si>
    <t>SWF10001941</t>
  </si>
  <si>
    <t>MEPD</t>
  </si>
  <si>
    <t>Allison</t>
  </si>
  <si>
    <t>V78875</t>
  </si>
  <si>
    <t>GA054782</t>
  </si>
  <si>
    <t>Horn</t>
  </si>
  <si>
    <t>AF4321</t>
  </si>
  <si>
    <t>SCD220652</t>
  </si>
  <si>
    <t>reduced by 20 years</t>
  </si>
  <si>
    <t>Bautista</t>
  </si>
  <si>
    <t>V43719</t>
  </si>
  <si>
    <t>CIM-Facility D</t>
  </si>
  <si>
    <t>PA044318</t>
  </si>
  <si>
    <t>4 months</t>
  </si>
  <si>
    <t>Espino</t>
  </si>
  <si>
    <t>G23291</t>
  </si>
  <si>
    <t>VA099155</t>
  </si>
  <si>
    <t>5 yeas 4 months</t>
  </si>
  <si>
    <t>G20808</t>
  </si>
  <si>
    <t>TA094782</t>
  </si>
  <si>
    <t>Sandoval</t>
  </si>
  <si>
    <t>AS0548</t>
  </si>
  <si>
    <t>BA403584</t>
  </si>
  <si>
    <t>AF0712</t>
  </si>
  <si>
    <t>SWF1000654</t>
  </si>
  <si>
    <t>Lee</t>
  </si>
  <si>
    <t>AN5340</t>
  </si>
  <si>
    <t>08F09791</t>
  </si>
  <si>
    <t>V39131</t>
  </si>
  <si>
    <t>YA055283</t>
  </si>
  <si>
    <t>1 year 8 months</t>
  </si>
  <si>
    <t>AS1089</t>
  </si>
  <si>
    <t>NA093486</t>
  </si>
  <si>
    <t>Sentenced changed, no reduction in total term</t>
  </si>
  <si>
    <t>Trejo</t>
  </si>
  <si>
    <t>AI6660</t>
  </si>
  <si>
    <t>PA068301</t>
  </si>
  <si>
    <t>Sentence restructured, total term remain the same</t>
  </si>
  <si>
    <t>Ferguson</t>
  </si>
  <si>
    <t>AB3687</t>
  </si>
  <si>
    <t>14F06826</t>
  </si>
  <si>
    <t>no change to total term</t>
  </si>
  <si>
    <t>Aguilar</t>
  </si>
  <si>
    <t>BD8160</t>
  </si>
  <si>
    <t>NA104957</t>
  </si>
  <si>
    <t>Murillo</t>
  </si>
  <si>
    <t>F75729</t>
  </si>
  <si>
    <t>YA064878-01</t>
  </si>
  <si>
    <t>Tecuapacho</t>
  </si>
  <si>
    <t>AX5752</t>
  </si>
  <si>
    <t>BA435591-01</t>
  </si>
  <si>
    <t>Danger to community</t>
  </si>
  <si>
    <t>Sulusi</t>
  </si>
  <si>
    <t>G33431</t>
  </si>
  <si>
    <t>RJD-Facility D</t>
  </si>
  <si>
    <t>NA077662</t>
  </si>
  <si>
    <t>T07660</t>
  </si>
  <si>
    <t>SF079707A</t>
  </si>
  <si>
    <t>There was no increased gang enhancement penalty in this case, only the standard gamg enhancment penalty  was imposed</t>
  </si>
  <si>
    <t>AG5496</t>
  </si>
  <si>
    <t>BA360934</t>
  </si>
  <si>
    <t>Palomino</t>
  </si>
  <si>
    <t>G21200</t>
  </si>
  <si>
    <t>PVSP-Facility D</t>
  </si>
  <si>
    <t>PA056138-01</t>
  </si>
  <si>
    <t>Arellano</t>
  </si>
  <si>
    <t>P75366</t>
  </si>
  <si>
    <t>CCI - Facility E</t>
  </si>
  <si>
    <t>BA184992</t>
  </si>
  <si>
    <t xml:space="preserve">Artola </t>
  </si>
  <si>
    <t>E09958</t>
  </si>
  <si>
    <t>BA097414</t>
  </si>
  <si>
    <t>released 11/22/19</t>
  </si>
  <si>
    <t>Fauolo</t>
  </si>
  <si>
    <t>G66898</t>
  </si>
  <si>
    <t>Baldwin</t>
  </si>
  <si>
    <t>AX4686</t>
  </si>
  <si>
    <t>RIF1407001</t>
  </si>
  <si>
    <t>Gaines</t>
  </si>
  <si>
    <t>AW1504</t>
  </si>
  <si>
    <t>SCD252046</t>
  </si>
  <si>
    <t>Reduced by 5 years 186.22 Stricken</t>
  </si>
  <si>
    <t>Flores-Lopez</t>
  </si>
  <si>
    <t>BE5211</t>
  </si>
  <si>
    <t>SWF1500181</t>
  </si>
  <si>
    <t>Valenzuela</t>
  </si>
  <si>
    <t>V94389</t>
  </si>
  <si>
    <t>NA069430</t>
  </si>
  <si>
    <t>186.22 1a NOT b1c  OLA?</t>
  </si>
  <si>
    <t>F64079</t>
  </si>
  <si>
    <t>VA095461</t>
  </si>
  <si>
    <t>reduced by 4 years 8 months</t>
  </si>
  <si>
    <t>Ariaz</t>
  </si>
  <si>
    <t>G19851</t>
  </si>
  <si>
    <t>PBSP-Facility A</t>
  </si>
  <si>
    <t>BA367914</t>
  </si>
  <si>
    <t>BE7341</t>
  </si>
  <si>
    <t>15F03781</t>
  </si>
  <si>
    <t>Wright</t>
  </si>
  <si>
    <t>BD6988</t>
  </si>
  <si>
    <t>TA139004</t>
  </si>
  <si>
    <t>Gutierrez</t>
  </si>
  <si>
    <t>AS2317</t>
  </si>
  <si>
    <t>INF1201437</t>
  </si>
  <si>
    <t>Garfias</t>
  </si>
  <si>
    <t>K85631</t>
  </si>
  <si>
    <t>ASP-Facility F</t>
  </si>
  <si>
    <t>Sentence imposed by the court was not unauthorized.</t>
  </si>
  <si>
    <t>K93976</t>
  </si>
  <si>
    <t>SVSP-Facility D</t>
  </si>
  <si>
    <t>SC071649A</t>
  </si>
  <si>
    <t>without prejudice</t>
  </si>
  <si>
    <t>Vasquez</t>
  </si>
  <si>
    <t>AA9441</t>
  </si>
  <si>
    <t>reduced by 4 months</t>
  </si>
  <si>
    <t>AS5899</t>
  </si>
  <si>
    <t>12F00705</t>
  </si>
  <si>
    <t>reduced by 5 years 186.22 stayed</t>
  </si>
  <si>
    <t>Ramirez</t>
  </si>
  <si>
    <t>WE7054</t>
  </si>
  <si>
    <t>CCWF-Facility D</t>
  </si>
  <si>
    <t>11F01694</t>
  </si>
  <si>
    <t>reduced by 1 year 4 months</t>
  </si>
  <si>
    <t>BD5810</t>
  </si>
  <si>
    <t>MA068749</t>
  </si>
  <si>
    <t>G18640</t>
  </si>
  <si>
    <t>BAF1500017</t>
  </si>
  <si>
    <t>reduced by 14 years</t>
  </si>
  <si>
    <t>Barral</t>
  </si>
  <si>
    <t>AC4304</t>
  </si>
  <si>
    <t>NA083714</t>
  </si>
  <si>
    <t>Deceased- 2/28/2023</t>
  </si>
  <si>
    <t>AZ8037</t>
  </si>
  <si>
    <t>NA102213</t>
  </si>
  <si>
    <t>V91209</t>
  </si>
  <si>
    <t>DVI-Facility A</t>
  </si>
  <si>
    <t>CC585260</t>
  </si>
  <si>
    <t>Khamphoumy</t>
  </si>
  <si>
    <t>AC2080</t>
  </si>
  <si>
    <t>09f00804</t>
  </si>
  <si>
    <t>Giron</t>
  </si>
  <si>
    <t>AI2501</t>
  </si>
  <si>
    <t>AZ4083</t>
  </si>
  <si>
    <t>VA139446</t>
  </si>
  <si>
    <t>186.22 bb NOT b1c - Question to OLA?</t>
  </si>
  <si>
    <t>Duenas</t>
  </si>
  <si>
    <t>AI3734</t>
  </si>
  <si>
    <t>BA377637</t>
  </si>
  <si>
    <t>Padilla</t>
  </si>
  <si>
    <t>BB7107</t>
  </si>
  <si>
    <t>SA091011</t>
  </si>
  <si>
    <t>Medrano</t>
  </si>
  <si>
    <t>G53972</t>
  </si>
  <si>
    <t>F09906964</t>
  </si>
  <si>
    <t>Carcamo</t>
  </si>
  <si>
    <t>AE6748</t>
  </si>
  <si>
    <t>ISP-Facility A</t>
  </si>
  <si>
    <t>RIF137980</t>
  </si>
  <si>
    <t>AH3406</t>
  </si>
  <si>
    <t>KA092805</t>
  </si>
  <si>
    <t>Leon</t>
  </si>
  <si>
    <t>BC7816</t>
  </si>
  <si>
    <t>Napa</t>
  </si>
  <si>
    <t>CR180773</t>
  </si>
  <si>
    <t>Miranda</t>
  </si>
  <si>
    <t>AF7819</t>
  </si>
  <si>
    <t>BA365489</t>
  </si>
  <si>
    <t>Chavarria</t>
  </si>
  <si>
    <t>F77743</t>
  </si>
  <si>
    <t>CMF-Facility F</t>
  </si>
  <si>
    <t>VA093605</t>
  </si>
  <si>
    <t>Term Restructured</t>
  </si>
  <si>
    <t>Williams</t>
  </si>
  <si>
    <t>F87791</t>
  </si>
  <si>
    <t>CTF-Facility B</t>
  </si>
  <si>
    <t>SF104256A</t>
  </si>
  <si>
    <t>Montes</t>
  </si>
  <si>
    <t>BA8123</t>
  </si>
  <si>
    <t>ASP-Facility C</t>
  </si>
  <si>
    <t>F15901534</t>
  </si>
  <si>
    <t>2 separate occasions</t>
  </si>
  <si>
    <t>Carmona</t>
  </si>
  <si>
    <t>BA7868</t>
  </si>
  <si>
    <t>TA139450</t>
  </si>
  <si>
    <t>Campos</t>
  </si>
  <si>
    <t>AN0064</t>
  </si>
  <si>
    <t>CVSP-Facility C</t>
  </si>
  <si>
    <t>RIF1201498</t>
  </si>
  <si>
    <t>Fimbres</t>
  </si>
  <si>
    <t>V60794</t>
  </si>
  <si>
    <t>CCI-Facility C</t>
  </si>
  <si>
    <t>RIF114979</t>
  </si>
  <si>
    <t>Paroled 2/26/21 (not 1170(d)(1))</t>
  </si>
  <si>
    <t>Stevens</t>
  </si>
  <si>
    <t>BF2713</t>
  </si>
  <si>
    <t>FCR324894</t>
  </si>
  <si>
    <t>Court/DA state Gonzalez does not apply</t>
  </si>
  <si>
    <t>Sith</t>
  </si>
  <si>
    <t>F97277</t>
  </si>
  <si>
    <t>SF09281</t>
  </si>
  <si>
    <t>Ferra</t>
  </si>
  <si>
    <t>V60819</t>
  </si>
  <si>
    <t>CCI-Facility CS</t>
  </si>
  <si>
    <t>BA349994</t>
  </si>
  <si>
    <t>Paroled 12/09/2020 (not 1170(d)(1))</t>
  </si>
  <si>
    <t>Barrera</t>
  </si>
  <si>
    <t>WF4894</t>
  </si>
  <si>
    <t>Tuolumne*</t>
  </si>
  <si>
    <t>CRF46999</t>
  </si>
  <si>
    <t>D58268</t>
  </si>
  <si>
    <t>F389814</t>
  </si>
  <si>
    <t>4 years, discharged 10/18/2018</t>
  </si>
  <si>
    <t>T92124</t>
  </si>
  <si>
    <t>MF009907A</t>
  </si>
  <si>
    <t>AC5138</t>
  </si>
  <si>
    <t>17F05809A</t>
  </si>
  <si>
    <t>Nycz</t>
  </si>
  <si>
    <t>J00952</t>
  </si>
  <si>
    <t>CH024614</t>
  </si>
  <si>
    <t>Reduced to 10 years</t>
  </si>
  <si>
    <t>Jaramillo</t>
  </si>
  <si>
    <t>G07678</t>
  </si>
  <si>
    <t>15F00492</t>
  </si>
  <si>
    <t>Victoria</t>
  </si>
  <si>
    <t>AR7712</t>
  </si>
  <si>
    <t>COR-Facility 03C</t>
  </si>
  <si>
    <t>F11906747</t>
  </si>
  <si>
    <t>Peo v. Vega</t>
  </si>
  <si>
    <t>Martin</t>
  </si>
  <si>
    <t>AK5697</t>
  </si>
  <si>
    <t>MF011194A</t>
  </si>
  <si>
    <t>Chezick</t>
  </si>
  <si>
    <t>F48419</t>
  </si>
  <si>
    <t>Cal-Facility D</t>
  </si>
  <si>
    <t>10CM7230</t>
  </si>
  <si>
    <t>reduced by 4 years</t>
  </si>
  <si>
    <t>Vallin</t>
  </si>
  <si>
    <t>AZ0953</t>
  </si>
  <si>
    <t>SHS-Coalinga State</t>
  </si>
  <si>
    <t>17F00235</t>
  </si>
  <si>
    <t>Shaw</t>
  </si>
  <si>
    <t>V71251</t>
  </si>
  <si>
    <t>CH033288</t>
  </si>
  <si>
    <t>Reduced 8 months</t>
  </si>
  <si>
    <t xml:space="preserve">Williams </t>
  </si>
  <si>
    <t>H23300</t>
  </si>
  <si>
    <t>MCSP-Facility B</t>
  </si>
  <si>
    <t>SCS237186</t>
  </si>
  <si>
    <t>Paroled 08/22/2018</t>
  </si>
  <si>
    <t>Galvan</t>
  </si>
  <si>
    <t>V86206</t>
  </si>
  <si>
    <t>16F07542</t>
  </si>
  <si>
    <t>Besheer</t>
  </si>
  <si>
    <t>P88128</t>
  </si>
  <si>
    <t>LAC-STRH</t>
  </si>
  <si>
    <t>STKCR20171916</t>
  </si>
  <si>
    <t>Gallegos</t>
  </si>
  <si>
    <t>J70418</t>
  </si>
  <si>
    <t>CH022704</t>
  </si>
  <si>
    <t xml:space="preserve">Knuth </t>
  </si>
  <si>
    <t>AZ5462</t>
  </si>
  <si>
    <t xml:space="preserve">PBSP-Facility C </t>
  </si>
  <si>
    <t>FWV17001534</t>
  </si>
  <si>
    <t>Gussner</t>
  </si>
  <si>
    <t>AA9843</t>
  </si>
  <si>
    <t>CCC-Washington Ridge Camp</t>
  </si>
  <si>
    <t>SS091939</t>
  </si>
  <si>
    <t>Awaiting court docs/courts put in mail, released 10/26/2018</t>
  </si>
  <si>
    <t>Lizarraga</t>
  </si>
  <si>
    <t>WE2162</t>
  </si>
  <si>
    <t>FWV1300889</t>
  </si>
  <si>
    <t>J05478</t>
  </si>
  <si>
    <t>98020X</t>
  </si>
  <si>
    <t>Ayala</t>
  </si>
  <si>
    <t>G33222</t>
  </si>
  <si>
    <t>PBSP - Facility A</t>
  </si>
  <si>
    <t>NA074693</t>
  </si>
  <si>
    <t>AV8617</t>
  </si>
  <si>
    <t>COR-Facility 04 A</t>
  </si>
  <si>
    <t>SS160060A</t>
  </si>
  <si>
    <t>H92609</t>
  </si>
  <si>
    <t>15CM7088B</t>
  </si>
  <si>
    <t>Hamblet</t>
  </si>
  <si>
    <t>K81397</t>
  </si>
  <si>
    <t>16CM-0263A</t>
  </si>
  <si>
    <t>Cisneros</t>
  </si>
  <si>
    <t>F93379</t>
  </si>
  <si>
    <t>VCF157620</t>
  </si>
  <si>
    <t>F71170</t>
  </si>
  <si>
    <t>VA105541-01</t>
  </si>
  <si>
    <t>Burgess</t>
  </si>
  <si>
    <t>F14969</t>
  </si>
  <si>
    <t>ASP-Facility A</t>
  </si>
  <si>
    <t>SS041505A</t>
  </si>
  <si>
    <t>Alatorre</t>
  </si>
  <si>
    <t>G06472</t>
  </si>
  <si>
    <t>KA077015-02</t>
  </si>
  <si>
    <t>Paroled 11/08/2018</t>
  </si>
  <si>
    <t>Velasco</t>
  </si>
  <si>
    <t>V88605</t>
  </si>
  <si>
    <t>Released 09/18/2018</t>
  </si>
  <si>
    <t>AI6969</t>
  </si>
  <si>
    <t>09F04182</t>
  </si>
  <si>
    <t>Paroled 05/16/2019</t>
  </si>
  <si>
    <t>Olson</t>
  </si>
  <si>
    <t>K54762</t>
  </si>
  <si>
    <t>MCSP-FACILITY B</t>
  </si>
  <si>
    <t>SC075785</t>
  </si>
  <si>
    <t>Hatfield</t>
  </si>
  <si>
    <t>BA0583</t>
  </si>
  <si>
    <t>RJD-Facility E</t>
  </si>
  <si>
    <t>F15902135</t>
  </si>
  <si>
    <t>Offenses were committed on three distinct dates</t>
  </si>
  <si>
    <t>Ceballos</t>
  </si>
  <si>
    <t>BG0767</t>
  </si>
  <si>
    <t>Ybarra</t>
  </si>
  <si>
    <t>AN1801</t>
  </si>
  <si>
    <t>COR-STRH</t>
  </si>
  <si>
    <t>SF118509A</t>
  </si>
  <si>
    <t>Arreola</t>
  </si>
  <si>
    <t>BC8678</t>
  </si>
  <si>
    <t>BA446149</t>
  </si>
  <si>
    <t>Gonzales</t>
  </si>
  <si>
    <t>AN0069</t>
  </si>
  <si>
    <t>COCF-La Palma CC, Arizona (AZ2)</t>
  </si>
  <si>
    <t>Millard</t>
  </si>
  <si>
    <t>AR2798</t>
  </si>
  <si>
    <t xml:space="preserve">COCF-La Palma </t>
  </si>
  <si>
    <t>SCD244053</t>
  </si>
  <si>
    <t>Recall/Resent not warranted due to leniency of court</t>
  </si>
  <si>
    <t>T96844</t>
  </si>
  <si>
    <t>PBSP-Facility B</t>
  </si>
  <si>
    <t>BA278185</t>
  </si>
  <si>
    <t>Melgoza</t>
  </si>
  <si>
    <t>T28288</t>
  </si>
  <si>
    <t>BF103063A</t>
  </si>
  <si>
    <t>AC5806</t>
  </si>
  <si>
    <t>CCC-MSF</t>
  </si>
  <si>
    <t>Vargas</t>
  </si>
  <si>
    <t>AZ8780</t>
  </si>
  <si>
    <t>DF012197</t>
  </si>
  <si>
    <t>Edwards</t>
  </si>
  <si>
    <t>AT2814</t>
  </si>
  <si>
    <t>PUMCCF - Taft</t>
  </si>
  <si>
    <t>RIF1303394</t>
  </si>
  <si>
    <t>Navarro</t>
  </si>
  <si>
    <t>AX7343</t>
  </si>
  <si>
    <t>VA132593-01</t>
  </si>
  <si>
    <t>Higgins</t>
  </si>
  <si>
    <t>AP5143</t>
  </si>
  <si>
    <t>SCN277498</t>
  </si>
  <si>
    <t>Flores</t>
  </si>
  <si>
    <t>BB5350</t>
  </si>
  <si>
    <t>BA391531-02</t>
  </si>
  <si>
    <t>Bolanos</t>
  </si>
  <si>
    <t>AE6393</t>
  </si>
  <si>
    <t>GA070933-03</t>
  </si>
  <si>
    <t>Negrete</t>
  </si>
  <si>
    <t>F88763</t>
  </si>
  <si>
    <t>FVI902085</t>
  </si>
  <si>
    <t>Chithavong</t>
  </si>
  <si>
    <t>V37022</t>
  </si>
  <si>
    <t>SCD181219</t>
  </si>
  <si>
    <t>AL6241</t>
  </si>
  <si>
    <t>NA090650-02</t>
  </si>
  <si>
    <t>Granados</t>
  </si>
  <si>
    <t>AT0462</t>
  </si>
  <si>
    <t>BA406579</t>
  </si>
  <si>
    <t>Paroled on 6/10/2021.</t>
  </si>
  <si>
    <t>AM7058</t>
  </si>
  <si>
    <t>F35246</t>
  </si>
  <si>
    <t>SOL-Facility A</t>
  </si>
  <si>
    <t>CC596372</t>
  </si>
  <si>
    <t>reduced 3 years, released 08/14/2018</t>
  </si>
  <si>
    <t>Rodarte</t>
  </si>
  <si>
    <t>G46407</t>
  </si>
  <si>
    <t>VA106941-02</t>
  </si>
  <si>
    <t>Paroled on 12/28/2021</t>
  </si>
  <si>
    <t>G67924</t>
  </si>
  <si>
    <t>VSP-Facility A</t>
  </si>
  <si>
    <t>RIF123808</t>
  </si>
  <si>
    <t>Paroled on 11/15/2020</t>
  </si>
  <si>
    <t>Moreno</t>
  </si>
  <si>
    <t>G26162</t>
  </si>
  <si>
    <t>SATF-Facility G</t>
  </si>
  <si>
    <t>H43946A</t>
  </si>
  <si>
    <t>reduced by 3 years, released 10/04/2018</t>
  </si>
  <si>
    <t>G60527</t>
  </si>
  <si>
    <t>GA070933-02</t>
  </si>
  <si>
    <t>reduced 3 years, Paroled 02/02/2019</t>
  </si>
  <si>
    <t>Alonzo</t>
  </si>
  <si>
    <t>V26646</t>
  </si>
  <si>
    <t>Lobretto</t>
  </si>
  <si>
    <t>V61301</t>
  </si>
  <si>
    <t>01CM2044</t>
  </si>
  <si>
    <t>F76404</t>
  </si>
  <si>
    <t>NKSP-MSF</t>
  </si>
  <si>
    <t>CC641562</t>
  </si>
  <si>
    <t>reduced by 3 years/Released 10/15/18</t>
  </si>
  <si>
    <t>Rivas</t>
  </si>
  <si>
    <t>AG6385</t>
  </si>
  <si>
    <t>BA354035-02</t>
  </si>
  <si>
    <t>Almeida</t>
  </si>
  <si>
    <t>G30247</t>
  </si>
  <si>
    <t>VCF199028</t>
  </si>
  <si>
    <t>Harris</t>
  </si>
  <si>
    <t>K08294</t>
  </si>
  <si>
    <t>F324116</t>
  </si>
  <si>
    <t>3 years 4 months</t>
  </si>
  <si>
    <t xml:space="preserve">Huerta </t>
  </si>
  <si>
    <t>G41188</t>
  </si>
  <si>
    <t xml:space="preserve"> MR012550C</t>
  </si>
  <si>
    <t>P23973</t>
  </si>
  <si>
    <t>CRC-Facility D</t>
  </si>
  <si>
    <t>FCH1200347</t>
  </si>
  <si>
    <t>Sanders</t>
  </si>
  <si>
    <t>X15891</t>
  </si>
  <si>
    <t>FWV17000119</t>
  </si>
  <si>
    <t>Hart</t>
  </si>
  <si>
    <t>WE8925</t>
  </si>
  <si>
    <t>FWV1303448</t>
  </si>
  <si>
    <t>Baltierra</t>
  </si>
  <si>
    <t>V47379</t>
  </si>
  <si>
    <t>JCF34814</t>
  </si>
  <si>
    <t>Zuniga</t>
  </si>
  <si>
    <t>AM3314</t>
  </si>
  <si>
    <t>MA068687-01</t>
  </si>
  <si>
    <t>P70183</t>
  </si>
  <si>
    <t>LAC-Facility C</t>
  </si>
  <si>
    <t>MA067880-01</t>
  </si>
  <si>
    <t>Sample</t>
  </si>
  <si>
    <t>AE9923</t>
  </si>
  <si>
    <t>SCD224512</t>
  </si>
  <si>
    <t>Two diff occassions/sent correct</t>
  </si>
  <si>
    <t>BA7630</t>
  </si>
  <si>
    <t>GA096019-01</t>
  </si>
  <si>
    <t>The case law cited is distinguishable and not controlling.</t>
  </si>
  <si>
    <t>Deharo</t>
  </si>
  <si>
    <t>T44423</t>
  </si>
  <si>
    <t>RIF096847</t>
  </si>
  <si>
    <t>Roa</t>
  </si>
  <si>
    <t>T24491</t>
  </si>
  <si>
    <t>RIF091711</t>
  </si>
  <si>
    <t>Cline</t>
  </si>
  <si>
    <t>AM0951</t>
  </si>
  <si>
    <t>RIF1102114</t>
  </si>
  <si>
    <t>Motion denied, no reason</t>
  </si>
  <si>
    <t>Espitia</t>
  </si>
  <si>
    <t>AU8701</t>
  </si>
  <si>
    <t>VCF280353B</t>
  </si>
  <si>
    <t xml:space="preserve">Court declined </t>
  </si>
  <si>
    <t>Hodges</t>
  </si>
  <si>
    <t>AW4223</t>
  </si>
  <si>
    <t>Shasta</t>
  </si>
  <si>
    <t>14F1380</t>
  </si>
  <si>
    <t>Saenz</t>
  </si>
  <si>
    <t>V18152</t>
  </si>
  <si>
    <t>F03902925-7</t>
  </si>
  <si>
    <t>Facundo</t>
  </si>
  <si>
    <t>AI6854</t>
  </si>
  <si>
    <t>KVSP-Facility Z01-STRH</t>
  </si>
  <si>
    <t>SF118024A</t>
  </si>
  <si>
    <t>Perez</t>
  </si>
  <si>
    <t>T97718</t>
  </si>
  <si>
    <t>CEN-MSF</t>
  </si>
  <si>
    <t>BA242198</t>
  </si>
  <si>
    <t>Paroled on 9/12/2021</t>
  </si>
  <si>
    <t>Parra</t>
  </si>
  <si>
    <t>F79644</t>
  </si>
  <si>
    <t>06CM7602</t>
  </si>
  <si>
    <t>F87852</t>
  </si>
  <si>
    <t>FF513517</t>
  </si>
  <si>
    <t>AP4664</t>
  </si>
  <si>
    <t>RIF1204540</t>
  </si>
  <si>
    <t>AI3995</t>
  </si>
  <si>
    <t>SWF025883</t>
  </si>
  <si>
    <t>BA4911</t>
  </si>
  <si>
    <t>RIF1403273</t>
  </si>
  <si>
    <t>Whelan</t>
  </si>
  <si>
    <t>AI4020</t>
  </si>
  <si>
    <t>Escobedo</t>
  </si>
  <si>
    <t>AL6438</t>
  </si>
  <si>
    <t>CRF44139</t>
  </si>
  <si>
    <t>AT1523</t>
  </si>
  <si>
    <t>13CM8853A</t>
  </si>
  <si>
    <t>Paroled 12/27/2022</t>
  </si>
  <si>
    <t>Quinones</t>
  </si>
  <si>
    <t>P94626</t>
  </si>
  <si>
    <t>98CF0845</t>
  </si>
  <si>
    <t>Paroled on 1/14/2021</t>
  </si>
  <si>
    <t>F32025</t>
  </si>
  <si>
    <t>TA131816-01</t>
  </si>
  <si>
    <t>The defendant was sentenced pursuant to PC 186.22(B)(1)(B), not PC 186.22(B)(1)(C</t>
  </si>
  <si>
    <t>Sanchez</t>
  </si>
  <si>
    <t>G48567</t>
  </si>
  <si>
    <t>MF41867</t>
  </si>
  <si>
    <t>Paroled on 9/20/2021</t>
  </si>
  <si>
    <t>Tillman</t>
  </si>
  <si>
    <t>H49177</t>
  </si>
  <si>
    <t>CMC-Facility C</t>
  </si>
  <si>
    <t>F482987</t>
  </si>
  <si>
    <t>Nolkemper</t>
  </si>
  <si>
    <t>D01822</t>
  </si>
  <si>
    <t>12CM7498</t>
  </si>
  <si>
    <t>AP5150</t>
  </si>
  <si>
    <t>SVSP-Facility I</t>
  </si>
  <si>
    <t>17F03736</t>
  </si>
  <si>
    <t>T53517</t>
  </si>
  <si>
    <t>KA051387-01</t>
  </si>
  <si>
    <t>Pacheco</t>
  </si>
  <si>
    <t>WE6961</t>
  </si>
  <si>
    <t>16CR040186</t>
  </si>
  <si>
    <t>Harkai</t>
  </si>
  <si>
    <t>V97841</t>
  </si>
  <si>
    <t>JCF31781</t>
  </si>
  <si>
    <t>reduced by 8 months</t>
  </si>
  <si>
    <t>Milne</t>
  </si>
  <si>
    <t>K07998</t>
  </si>
  <si>
    <t>13CR20410</t>
  </si>
  <si>
    <t>Casillas</t>
  </si>
  <si>
    <t>F74546</t>
  </si>
  <si>
    <t>MA053591-01</t>
  </si>
  <si>
    <t>reduced</t>
  </si>
  <si>
    <t>Clopton</t>
  </si>
  <si>
    <t>G53098</t>
  </si>
  <si>
    <t>SCR-540509</t>
  </si>
  <si>
    <t>Newton</t>
  </si>
  <si>
    <t>AK3165</t>
  </si>
  <si>
    <t>PA068301-02</t>
  </si>
  <si>
    <t>Cavesuela</t>
  </si>
  <si>
    <t>AX4240</t>
  </si>
  <si>
    <t>CR-13-01031</t>
  </si>
  <si>
    <t>Tuua</t>
  </si>
  <si>
    <t>AH2175</t>
  </si>
  <si>
    <t>SCN257831</t>
  </si>
  <si>
    <t>Hanson</t>
  </si>
  <si>
    <t>V59526</t>
  </si>
  <si>
    <t>VCF209929A</t>
  </si>
  <si>
    <t>Dubon</t>
  </si>
  <si>
    <t>BA7303</t>
  </si>
  <si>
    <t>BA436574-02</t>
  </si>
  <si>
    <t>V77166</t>
  </si>
  <si>
    <t>VCF134350</t>
  </si>
  <si>
    <t>Sentenced restructured to remain 24 years.</t>
  </si>
  <si>
    <t>WE9501</t>
  </si>
  <si>
    <t>11NF2174</t>
  </si>
  <si>
    <t>Nichelini</t>
  </si>
  <si>
    <t>V74747</t>
  </si>
  <si>
    <t>SCR-33197</t>
  </si>
  <si>
    <t>Bermudez</t>
  </si>
  <si>
    <t>AX3861</t>
  </si>
  <si>
    <t>FCR309611</t>
  </si>
  <si>
    <t>Sisneros</t>
  </si>
  <si>
    <t>AL5068</t>
  </si>
  <si>
    <t>CRF10-2016</t>
  </si>
  <si>
    <t>Scheduled release on 10/6/21</t>
  </si>
  <si>
    <t>Thao</t>
  </si>
  <si>
    <t>AP1869</t>
  </si>
  <si>
    <t>G05445</t>
  </si>
  <si>
    <t>CMC</t>
  </si>
  <si>
    <t>BAF004494</t>
  </si>
  <si>
    <t>AL8174</t>
  </si>
  <si>
    <t>Mendocino</t>
  </si>
  <si>
    <t>SCUKCRCR-11-18433</t>
  </si>
  <si>
    <t>People v. Gonzalez is not applicable.</t>
  </si>
  <si>
    <t>Velazquez</t>
  </si>
  <si>
    <t>AN5531</t>
  </si>
  <si>
    <t>NA090269</t>
  </si>
  <si>
    <t>Haraszewski</t>
  </si>
  <si>
    <t>AC2622</t>
  </si>
  <si>
    <t>SWF1601251</t>
  </si>
  <si>
    <t>Offense occurred in more than one county</t>
  </si>
  <si>
    <t>AA8654</t>
  </si>
  <si>
    <t>SS082592A</t>
  </si>
  <si>
    <t>Barraza</t>
  </si>
  <si>
    <t>F49103</t>
  </si>
  <si>
    <t>BA245638</t>
  </si>
  <si>
    <t>Defendant was sentenced following jury verdict to multiple life terms.</t>
  </si>
  <si>
    <t>Quintana</t>
  </si>
  <si>
    <t>AP6459</t>
  </si>
  <si>
    <t>Sutter</t>
  </si>
  <si>
    <t>CRF12-1727</t>
  </si>
  <si>
    <t>Zambrano</t>
  </si>
  <si>
    <t>AN8492</t>
  </si>
  <si>
    <t>SCUKCRCR12-23611</t>
  </si>
  <si>
    <t>Salcido</t>
  </si>
  <si>
    <t>F48357</t>
  </si>
  <si>
    <t>SS053088A</t>
  </si>
  <si>
    <t>AL7316</t>
  </si>
  <si>
    <t>NA090650-01</t>
  </si>
  <si>
    <t>AN7423</t>
  </si>
  <si>
    <t>09CF0002</t>
  </si>
  <si>
    <t>AK8030</t>
  </si>
  <si>
    <t>10CF2043</t>
  </si>
  <si>
    <t>White</t>
  </si>
  <si>
    <t>AK0149</t>
  </si>
  <si>
    <t>SCD222750</t>
  </si>
  <si>
    <t>Balbuena</t>
  </si>
  <si>
    <t>X33749</t>
  </si>
  <si>
    <t>CCWF -Facility D</t>
  </si>
  <si>
    <t>05F11542</t>
  </si>
  <si>
    <t>Luna</t>
  </si>
  <si>
    <t>AU0264</t>
  </si>
  <si>
    <t>TA130273-01</t>
  </si>
  <si>
    <t>Letter not received</t>
  </si>
  <si>
    <t>Grissom</t>
  </si>
  <si>
    <t>AY1831</t>
  </si>
  <si>
    <t>CRM027056A</t>
  </si>
  <si>
    <t>AF8051</t>
  </si>
  <si>
    <t>RIF154562</t>
  </si>
  <si>
    <t>Calderon</t>
  </si>
  <si>
    <t>BD0870</t>
  </si>
  <si>
    <t>Santa Cruz</t>
  </si>
  <si>
    <t>16CR07109</t>
  </si>
  <si>
    <t>Tellez</t>
  </si>
  <si>
    <t>AY4749</t>
  </si>
  <si>
    <t>13CF2980</t>
  </si>
  <si>
    <t>The error in caculating the 186.22(b) makes no practical difference.</t>
  </si>
  <si>
    <t>Muniz</t>
  </si>
  <si>
    <t>F27414</t>
  </si>
  <si>
    <t>SS053337A</t>
  </si>
  <si>
    <t>V93482</t>
  </si>
  <si>
    <t>03NF0976</t>
  </si>
  <si>
    <t>Woods</t>
  </si>
  <si>
    <t>AF9988</t>
  </si>
  <si>
    <t>TA132249</t>
  </si>
  <si>
    <t>Berumen</t>
  </si>
  <si>
    <t>AM2996</t>
  </si>
  <si>
    <t>CVSP-Facility A</t>
  </si>
  <si>
    <t>SS111017</t>
  </si>
  <si>
    <t>Regalado</t>
  </si>
  <si>
    <t>BA1546</t>
  </si>
  <si>
    <t>SS150087A</t>
  </si>
  <si>
    <t>Nyako</t>
  </si>
  <si>
    <t>BD4555</t>
  </si>
  <si>
    <t>BA436141-01</t>
  </si>
  <si>
    <t>Sent. imp according to P v. Lang 2017 8 Cal App 5 137</t>
  </si>
  <si>
    <t>Salmeron</t>
  </si>
  <si>
    <t>AM2664</t>
  </si>
  <si>
    <t>SCD236853</t>
  </si>
  <si>
    <t>Howard</t>
  </si>
  <si>
    <t>BE8168</t>
  </si>
  <si>
    <t>16CR061333</t>
  </si>
  <si>
    <t>Deefendant admitted and was sentenced to the enhancement of PC186.22(B)(1)(A)</t>
  </si>
  <si>
    <t>AN2057</t>
  </si>
  <si>
    <t>FCR290514</t>
  </si>
  <si>
    <t>Defendant's criminal history and nature of offense.</t>
  </si>
  <si>
    <t>Markarian</t>
  </si>
  <si>
    <t>AT5472</t>
  </si>
  <si>
    <t>CAL-AD-SEG</t>
  </si>
  <si>
    <t>PA077035</t>
  </si>
  <si>
    <t>Banuelos</t>
  </si>
  <si>
    <t>P10937</t>
  </si>
  <si>
    <t>97F05444</t>
  </si>
  <si>
    <t>Two other case numbers 94F06369 &amp; 93F02611/court to be held via zoom</t>
  </si>
  <si>
    <t>F68922</t>
  </si>
  <si>
    <t>160215b</t>
  </si>
  <si>
    <t>AY8718</t>
  </si>
  <si>
    <t>B1688821</t>
  </si>
  <si>
    <t>Cordova</t>
  </si>
  <si>
    <t>AI6882</t>
  </si>
  <si>
    <t>CRF 15-60</t>
  </si>
  <si>
    <t>Duran</t>
  </si>
  <si>
    <t>AL5065</t>
  </si>
  <si>
    <t>CRF 10-2016</t>
  </si>
  <si>
    <t>Reduced by 1 year</t>
  </si>
  <si>
    <t>Weaver</t>
  </si>
  <si>
    <t>AX1369</t>
  </si>
  <si>
    <t>PA082901-01</t>
  </si>
  <si>
    <t>Santiago</t>
  </si>
  <si>
    <t>AD0557</t>
  </si>
  <si>
    <t>SOL-Facility D</t>
  </si>
  <si>
    <t>CC763334</t>
  </si>
  <si>
    <t>BE0735</t>
  </si>
  <si>
    <t>LF011083B</t>
  </si>
  <si>
    <t xml:space="preserve">Denied per Judge Bush of Kern County </t>
  </si>
  <si>
    <t>Vochatzer</t>
  </si>
  <si>
    <t>F24738</t>
  </si>
  <si>
    <t>05-2373</t>
  </si>
  <si>
    <t>NCD 12/22/2022</t>
  </si>
  <si>
    <t>Gray</t>
  </si>
  <si>
    <t>AW4498</t>
  </si>
  <si>
    <t>FVI1400084</t>
  </si>
  <si>
    <t>G04355</t>
  </si>
  <si>
    <t>F07903601</t>
  </si>
  <si>
    <t>Jaime</t>
  </si>
  <si>
    <t>F21616</t>
  </si>
  <si>
    <t>COR-Facility 03B</t>
  </si>
  <si>
    <t>06CM8896</t>
  </si>
  <si>
    <t>BF1416</t>
  </si>
  <si>
    <t>STKCR201711931</t>
  </si>
  <si>
    <t>term restructerd reduced by 1 year</t>
  </si>
  <si>
    <t>Escobar</t>
  </si>
  <si>
    <t>X01785</t>
  </si>
  <si>
    <t>Madera*</t>
  </si>
  <si>
    <t>MCR032867</t>
  </si>
  <si>
    <t>Bao</t>
  </si>
  <si>
    <t>P77497</t>
  </si>
  <si>
    <t>BA180230</t>
  </si>
  <si>
    <t>Released Per BPH on YPED</t>
  </si>
  <si>
    <t>Matthews</t>
  </si>
  <si>
    <t>AK9020</t>
  </si>
  <si>
    <t>MCSP-MSF</t>
  </si>
  <si>
    <t>10F06839</t>
  </si>
  <si>
    <t>Lyles</t>
  </si>
  <si>
    <t>AF1826</t>
  </si>
  <si>
    <t>Sentenced Reduced to 19 Years, 4 months</t>
  </si>
  <si>
    <t>Nelson</t>
  </si>
  <si>
    <t>AB2213</t>
  </si>
  <si>
    <t>06F04398</t>
  </si>
  <si>
    <t>PC 12022.7 stricken</t>
  </si>
  <si>
    <t>Copado</t>
  </si>
  <si>
    <t>AK4985</t>
  </si>
  <si>
    <t>CR-11-00512</t>
  </si>
  <si>
    <t>Lawrence</t>
  </si>
  <si>
    <t>AR7749</t>
  </si>
  <si>
    <t>11F04221</t>
  </si>
  <si>
    <t>F16865</t>
  </si>
  <si>
    <t>VA069767-06</t>
  </si>
  <si>
    <t>Carrera</t>
  </si>
  <si>
    <t>AI2284</t>
  </si>
  <si>
    <t>06F00314</t>
  </si>
  <si>
    <t>Reduced to 1461 years</t>
  </si>
  <si>
    <t>BD8320</t>
  </si>
  <si>
    <t>SCN327213-A</t>
  </si>
  <si>
    <t>BF2758</t>
  </si>
  <si>
    <t>INF1403189</t>
  </si>
  <si>
    <t>BE8898</t>
  </si>
  <si>
    <t>BA455436-01</t>
  </si>
  <si>
    <t>Londono</t>
  </si>
  <si>
    <t>AH1424</t>
  </si>
  <si>
    <t>CCC-Sugar Pine Camp</t>
  </si>
  <si>
    <t>BA366448-01</t>
  </si>
  <si>
    <t>Koger</t>
  </si>
  <si>
    <t>F70647</t>
  </si>
  <si>
    <t>FVI900985</t>
  </si>
  <si>
    <t>Valdez</t>
  </si>
  <si>
    <t>BA2063</t>
  </si>
  <si>
    <t>SS131939A</t>
  </si>
  <si>
    <t>Bryand</t>
  </si>
  <si>
    <t>AW9697</t>
  </si>
  <si>
    <t>CR-14-00581</t>
  </si>
  <si>
    <t>AD5373</t>
  </si>
  <si>
    <t>TA131816-04</t>
  </si>
  <si>
    <t>Not sentenced for PC 186.22(B)(1)©</t>
  </si>
  <si>
    <t>BE4640</t>
  </si>
  <si>
    <t>17CR05066</t>
  </si>
  <si>
    <t>Larios</t>
  </si>
  <si>
    <t>BA9121</t>
  </si>
  <si>
    <t>SWF1601095</t>
  </si>
  <si>
    <t>Sentenced to PC 1186.22(B)(1)(a), not PC 186.22(b)(1)©</t>
  </si>
  <si>
    <t>Wheeler</t>
  </si>
  <si>
    <t>G40697</t>
  </si>
  <si>
    <t>RJD-Facility B</t>
  </si>
  <si>
    <t>VCF290999A</t>
  </si>
  <si>
    <t>Bojorquez</t>
  </si>
  <si>
    <t>T83297</t>
  </si>
  <si>
    <t>LAC-Central Service</t>
  </si>
  <si>
    <t>BA240074</t>
  </si>
  <si>
    <t>Change to  PC 186.22(B)(1)</t>
  </si>
  <si>
    <t>Lucas</t>
  </si>
  <si>
    <t>AI6792</t>
  </si>
  <si>
    <t>NA086347</t>
  </si>
  <si>
    <t>Whitman</t>
  </si>
  <si>
    <t>V32119</t>
  </si>
  <si>
    <t>MA041538-03</t>
  </si>
  <si>
    <t>V70693</t>
  </si>
  <si>
    <t>LAC-Facility A</t>
  </si>
  <si>
    <t>02WF2028</t>
  </si>
  <si>
    <t>Reduced by 3 years</t>
  </si>
  <si>
    <t>Duarte</t>
  </si>
  <si>
    <t>AU4015</t>
  </si>
  <si>
    <t>AL4701</t>
  </si>
  <si>
    <t>VCF247994A</t>
  </si>
  <si>
    <t>J35952</t>
  </si>
  <si>
    <t>DF009878A</t>
  </si>
  <si>
    <t>McCart issue not address, court only added Del Norte Case in the Section 5 of the AOJ</t>
  </si>
  <si>
    <t>Magana</t>
  </si>
  <si>
    <t>AS9606</t>
  </si>
  <si>
    <t>INF1501678</t>
  </si>
  <si>
    <t>Walker</t>
  </si>
  <si>
    <t>T60369</t>
  </si>
  <si>
    <t>G57608</t>
  </si>
  <si>
    <t>TA138385-01</t>
  </si>
  <si>
    <t>reducded by 1 years</t>
  </si>
  <si>
    <t>Ibarra</t>
  </si>
  <si>
    <t>F18295</t>
  </si>
  <si>
    <t>VA083280</t>
  </si>
  <si>
    <t>Latscha</t>
  </si>
  <si>
    <t>BF2698</t>
  </si>
  <si>
    <t>KA111966-01</t>
  </si>
  <si>
    <t>AN2316</t>
  </si>
  <si>
    <t>C1199340</t>
  </si>
  <si>
    <t>AC4698</t>
  </si>
  <si>
    <t>CCI-Facility B</t>
  </si>
  <si>
    <t>RIF150145</t>
  </si>
  <si>
    <t>BB0115</t>
  </si>
  <si>
    <t>15F03571</t>
  </si>
  <si>
    <t>Referral received 12/12/2018</t>
  </si>
  <si>
    <t>Barajas</t>
  </si>
  <si>
    <t>K92078</t>
  </si>
  <si>
    <t>CMC - Facility B</t>
  </si>
  <si>
    <t>BA142177 &amp; BA127930</t>
  </si>
  <si>
    <t>V06649</t>
  </si>
  <si>
    <t>Robledo</t>
  </si>
  <si>
    <t>BF6760</t>
  </si>
  <si>
    <t>SS161957A</t>
  </si>
  <si>
    <t>Beatty</t>
  </si>
  <si>
    <t>AP9505</t>
  </si>
  <si>
    <t>GA087135-01</t>
  </si>
  <si>
    <t>Saephanh</t>
  </si>
  <si>
    <t>G08312</t>
  </si>
  <si>
    <t>LF44885</t>
  </si>
  <si>
    <t>Barnes</t>
  </si>
  <si>
    <t>C47694</t>
  </si>
  <si>
    <t>SQ-FAC-A</t>
  </si>
  <si>
    <t>San Mateo</t>
  </si>
  <si>
    <t>SC43431</t>
  </si>
  <si>
    <t>Disposition:</t>
  </si>
  <si>
    <t>Starr</t>
  </si>
  <si>
    <t>G10419</t>
  </si>
  <si>
    <t>LA065393</t>
  </si>
  <si>
    <t>Simmons</t>
  </si>
  <si>
    <t>F46860</t>
  </si>
  <si>
    <t>NA069029</t>
  </si>
  <si>
    <t>court declined to modify sentence</t>
  </si>
  <si>
    <t>Carrillo</t>
  </si>
  <si>
    <t>AL4938</t>
  </si>
  <si>
    <t>VA116025-01</t>
  </si>
  <si>
    <t>Belmontez</t>
  </si>
  <si>
    <t>AM4245</t>
  </si>
  <si>
    <t>LAC-facility A</t>
  </si>
  <si>
    <t>FVA1101852</t>
  </si>
  <si>
    <t>reduced by 5 years 4 months</t>
  </si>
  <si>
    <t>Luu</t>
  </si>
  <si>
    <t>V57668</t>
  </si>
  <si>
    <t>03WF0601</t>
  </si>
  <si>
    <t>reduced by 1 year term restructured</t>
  </si>
  <si>
    <t>Belmontes</t>
  </si>
  <si>
    <t>H11079</t>
  </si>
  <si>
    <t>SCR58658</t>
  </si>
  <si>
    <t>Reyes</t>
  </si>
  <si>
    <t>AI0580</t>
  </si>
  <si>
    <t>VCF225420</t>
  </si>
  <si>
    <t>Salgado</t>
  </si>
  <si>
    <t>P92839</t>
  </si>
  <si>
    <t>99NF0291A</t>
  </si>
  <si>
    <t>Landry</t>
  </si>
  <si>
    <t>AR9266</t>
  </si>
  <si>
    <t>CCC-Salt Creek Camp</t>
  </si>
  <si>
    <t>12F03126</t>
  </si>
  <si>
    <t>reduced 10 years, released 12/11/2018</t>
  </si>
  <si>
    <t>BC1212</t>
  </si>
  <si>
    <t>C1361295</t>
  </si>
  <si>
    <t>AL7793</t>
  </si>
  <si>
    <t>Released 8/18/2020 unsure if he was released based on 1170 (d) legal documents are not in ERMS</t>
  </si>
  <si>
    <t>Clayton</t>
  </si>
  <si>
    <t>AH4333</t>
  </si>
  <si>
    <t>CRF45231</t>
  </si>
  <si>
    <t>Madero</t>
  </si>
  <si>
    <t>BC3063</t>
  </si>
  <si>
    <t>C1508685</t>
  </si>
  <si>
    <t>Marroquin</t>
  </si>
  <si>
    <t>BE6192</t>
  </si>
  <si>
    <t>PCF305430</t>
  </si>
  <si>
    <t>Saechaeo</t>
  </si>
  <si>
    <t>T48880</t>
  </si>
  <si>
    <t>Cabrera</t>
  </si>
  <si>
    <t>G05432</t>
  </si>
  <si>
    <t>SS070928A</t>
  </si>
  <si>
    <t>Motion denied, no document yet, requested</t>
  </si>
  <si>
    <t>G49941</t>
  </si>
  <si>
    <t>SCR482609</t>
  </si>
  <si>
    <t>reduced by 6 years 8 months</t>
  </si>
  <si>
    <t>AI6804</t>
  </si>
  <si>
    <t>C1066876</t>
  </si>
  <si>
    <t>Kenton</t>
  </si>
  <si>
    <t>AL0196</t>
  </si>
  <si>
    <t>SOL-Facility C</t>
  </si>
  <si>
    <t>CR159898</t>
  </si>
  <si>
    <t>Total term changed from consecutive to concurrent, remains at 15 years.</t>
  </si>
  <si>
    <t>Bernardo</t>
  </si>
  <si>
    <t>BC1232</t>
  </si>
  <si>
    <t>SCS287470</t>
  </si>
  <si>
    <t>T53083</t>
  </si>
  <si>
    <t>Huynh</t>
  </si>
  <si>
    <t>T19203</t>
  </si>
  <si>
    <t>ASP-Facility E</t>
  </si>
  <si>
    <t>YA044096-01</t>
  </si>
  <si>
    <t>V75955</t>
  </si>
  <si>
    <t>SVSP-Facility A</t>
  </si>
  <si>
    <t>TA116449-01</t>
  </si>
  <si>
    <t>Velasquez</t>
  </si>
  <si>
    <t>V18440</t>
  </si>
  <si>
    <t>BA241537-01</t>
  </si>
  <si>
    <t>10 years</t>
  </si>
  <si>
    <t>Ramos</t>
  </si>
  <si>
    <t>AA0028</t>
  </si>
  <si>
    <t>LA056790-02</t>
  </si>
  <si>
    <t>reduced by 3 years 4 months</t>
  </si>
  <si>
    <t>Avalos</t>
  </si>
  <si>
    <t>AZ0609</t>
  </si>
  <si>
    <t>CR167551</t>
  </si>
  <si>
    <t>AW6081</t>
  </si>
  <si>
    <t>PA076398-01</t>
  </si>
  <si>
    <t>PC186.22(B)(1)© was amended on 6/7/16 to reflect the allegation being PC186.22(B)(1)(B).</t>
  </si>
  <si>
    <t>Lueras</t>
  </si>
  <si>
    <t>AZ0611</t>
  </si>
  <si>
    <t>CR167641</t>
  </si>
  <si>
    <t>Carbajal</t>
  </si>
  <si>
    <t>F48300</t>
  </si>
  <si>
    <t>BA297663</t>
  </si>
  <si>
    <t>Ledesma</t>
  </si>
  <si>
    <t>BF0751</t>
  </si>
  <si>
    <t>SS150327</t>
  </si>
  <si>
    <t>Benites</t>
  </si>
  <si>
    <t>AE1719</t>
  </si>
  <si>
    <t>NA077735</t>
  </si>
  <si>
    <t>reduced by 10 years/Commutation 11/28/2019</t>
  </si>
  <si>
    <t>Blackmon</t>
  </si>
  <si>
    <t>AV9985</t>
  </si>
  <si>
    <t>F121779</t>
  </si>
  <si>
    <t>186.22 and 12022.5n stayed</t>
  </si>
  <si>
    <t>T91581</t>
  </si>
  <si>
    <t>LA040441-01</t>
  </si>
  <si>
    <t>AY6281</t>
  </si>
  <si>
    <t>F25697</t>
  </si>
  <si>
    <t>Mesa</t>
  </si>
  <si>
    <t>P85323</t>
  </si>
  <si>
    <t>RIF137046</t>
  </si>
  <si>
    <t>Letter not received by court</t>
  </si>
  <si>
    <t>DeGuzman</t>
  </si>
  <si>
    <t>T54286</t>
  </si>
  <si>
    <t>BA207288</t>
  </si>
  <si>
    <t>F79219</t>
  </si>
  <si>
    <t>SS060949A</t>
  </si>
  <si>
    <t>F08621</t>
  </si>
  <si>
    <t>Mithchell</t>
  </si>
  <si>
    <t>BD5026</t>
  </si>
  <si>
    <t>BF159352</t>
  </si>
  <si>
    <t>changed from 221m yr 8 m to 211 years</t>
  </si>
  <si>
    <t>Vang</t>
  </si>
  <si>
    <t>AZ2001</t>
  </si>
  <si>
    <t>CM042013</t>
  </si>
  <si>
    <t>changed from 86 years to 82 year</t>
  </si>
  <si>
    <t>Brown</t>
  </si>
  <si>
    <t>V83411</t>
  </si>
  <si>
    <t>BA264768</t>
  </si>
  <si>
    <t>Cardiff</t>
  </si>
  <si>
    <t>F57731</t>
  </si>
  <si>
    <t>KA075569-01</t>
  </si>
  <si>
    <t>Manson</t>
  </si>
  <si>
    <t>V68084</t>
  </si>
  <si>
    <t>4 years, Paroled 01/15/2019</t>
  </si>
  <si>
    <t>Millsap</t>
  </si>
  <si>
    <t>P71830</t>
  </si>
  <si>
    <t>VA042199</t>
  </si>
  <si>
    <t>Condemd</t>
  </si>
  <si>
    <t>Oakley</t>
  </si>
  <si>
    <t>AG7311</t>
  </si>
  <si>
    <t>VA113106</t>
  </si>
  <si>
    <t>P12022.5(A) stricken</t>
  </si>
  <si>
    <t>BA3795</t>
  </si>
  <si>
    <t>YA093018</t>
  </si>
  <si>
    <t>reduced 3 years</t>
  </si>
  <si>
    <t>F21932</t>
  </si>
  <si>
    <t>YA059986</t>
  </si>
  <si>
    <t>reduced 3 years, released 09/14/2018</t>
  </si>
  <si>
    <t>T95915</t>
  </si>
  <si>
    <t>CCC-Devils Garden Camp</t>
  </si>
  <si>
    <t>VA069128-02</t>
  </si>
  <si>
    <t>10 years, released 09/29/2018</t>
  </si>
  <si>
    <t>AZ6945</t>
  </si>
  <si>
    <t>LA080066</t>
  </si>
  <si>
    <t>G57059</t>
  </si>
  <si>
    <t>VA105795-01</t>
  </si>
  <si>
    <t>BE2219</t>
  </si>
  <si>
    <t>SS152114A</t>
  </si>
  <si>
    <t>case dismissed  2/21/19   -3/8/19 term restructured for reduction of 4 months</t>
  </si>
  <si>
    <t>F55326</t>
  </si>
  <si>
    <t>SATF-Facility B</t>
  </si>
  <si>
    <t>BA289523</t>
  </si>
  <si>
    <t>Tinajero</t>
  </si>
  <si>
    <t>G49558</t>
  </si>
  <si>
    <t>ISP-Facility D</t>
  </si>
  <si>
    <t>YA076970-01</t>
  </si>
  <si>
    <t>P34156</t>
  </si>
  <si>
    <t>KA055146</t>
  </si>
  <si>
    <t>Sentence restructured, term remains.</t>
  </si>
  <si>
    <t>Pitts</t>
  </si>
  <si>
    <t>AT6448</t>
  </si>
  <si>
    <t>GA086382</t>
  </si>
  <si>
    <t>Previously stayed gang in March</t>
  </si>
  <si>
    <t>Yang</t>
  </si>
  <si>
    <t>K14679</t>
  </si>
  <si>
    <t>KA020348</t>
  </si>
  <si>
    <t>Defendant's action  warranted the imposition of the full sentence.</t>
  </si>
  <si>
    <t>Cardenas</t>
  </si>
  <si>
    <t>G35731</t>
  </si>
  <si>
    <t>NA078125</t>
  </si>
  <si>
    <t>AD2067</t>
  </si>
  <si>
    <t>CIM-Facility C</t>
  </si>
  <si>
    <t>NA081703</t>
  </si>
  <si>
    <t>Boyd</t>
  </si>
  <si>
    <t>AS0785</t>
  </si>
  <si>
    <t>MA060055-01</t>
  </si>
  <si>
    <t>G53055</t>
  </si>
  <si>
    <t>CR150352</t>
  </si>
  <si>
    <t>Inojosa</t>
  </si>
  <si>
    <t>AH3506</t>
  </si>
  <si>
    <t>PA066250</t>
  </si>
  <si>
    <t>Appeal exhausted. Apellate court did not use Le</t>
  </si>
  <si>
    <t>Jimenez</t>
  </si>
  <si>
    <t>AK9882</t>
  </si>
  <si>
    <t>F11900854</t>
  </si>
  <si>
    <t>The court already stayed PC 12022.7 (People v.Gonzalez)</t>
  </si>
  <si>
    <t>AX8874</t>
  </si>
  <si>
    <t>BA408283-01</t>
  </si>
  <si>
    <t>BE1300</t>
  </si>
  <si>
    <t>17F-05573-B</t>
  </si>
  <si>
    <t xml:space="preserve">Sentence restructured.  Total term remains the same.  </t>
  </si>
  <si>
    <t>Figueroa</t>
  </si>
  <si>
    <t>F48624</t>
  </si>
  <si>
    <t>MA053591</t>
  </si>
  <si>
    <t>Arzate</t>
  </si>
  <si>
    <t>AU9779</t>
  </si>
  <si>
    <t>BA396381-01</t>
  </si>
  <si>
    <t>Bailey</t>
  </si>
  <si>
    <t>G22528</t>
  </si>
  <si>
    <t>SCC La Cima Camp</t>
  </si>
  <si>
    <t>SWF013195</t>
  </si>
  <si>
    <t>Paroled on 4/23/2021</t>
  </si>
  <si>
    <t xml:space="preserve">Cuevas </t>
  </si>
  <si>
    <t>BC3058</t>
  </si>
  <si>
    <t>AD6944</t>
  </si>
  <si>
    <t>TA103093-03</t>
  </si>
  <si>
    <t>AB5778</t>
  </si>
  <si>
    <t>SC067485A</t>
  </si>
  <si>
    <t xml:space="preserve">Sentence imposed strictly abides by the rules of PC1170.1.  </t>
  </si>
  <si>
    <t>G02612</t>
  </si>
  <si>
    <t>SS052960C</t>
  </si>
  <si>
    <t>Goodwin</t>
  </si>
  <si>
    <t>G20890</t>
  </si>
  <si>
    <t>TA092304-01</t>
  </si>
  <si>
    <t>Paroled 01/02/2021 (not 1170 (d)(1))</t>
  </si>
  <si>
    <t>Hendrix</t>
  </si>
  <si>
    <t>G26567</t>
  </si>
  <si>
    <t>RIF118998</t>
  </si>
  <si>
    <t>AB7969</t>
  </si>
  <si>
    <t>BA348244-01</t>
  </si>
  <si>
    <t>Holcomb</t>
  </si>
  <si>
    <t>AC5882</t>
  </si>
  <si>
    <t>CRF121950</t>
  </si>
  <si>
    <t>Kim</t>
  </si>
  <si>
    <t>AG4208</t>
  </si>
  <si>
    <t>NA073193-01</t>
  </si>
  <si>
    <t>changed from 44year to 34 year</t>
  </si>
  <si>
    <t>Leblanc</t>
  </si>
  <si>
    <t>AP0369</t>
  </si>
  <si>
    <t>RIF1100769</t>
  </si>
  <si>
    <t>Paroled on 11/05/2020</t>
  </si>
  <si>
    <t>Mercado</t>
  </si>
  <si>
    <t>WA2487</t>
  </si>
  <si>
    <t>Bowers</t>
  </si>
  <si>
    <t>BG0974</t>
  </si>
  <si>
    <t>TA142434-01</t>
  </si>
  <si>
    <t>Pimental</t>
  </si>
  <si>
    <t>BF0189</t>
  </si>
  <si>
    <t>SS161477B</t>
  </si>
  <si>
    <t>Trujillo</t>
  </si>
  <si>
    <t>K85572</t>
  </si>
  <si>
    <t>F259163</t>
  </si>
  <si>
    <t>Reduced by 4 years</t>
  </si>
  <si>
    <t>AH0663</t>
  </si>
  <si>
    <t>10F05712</t>
  </si>
  <si>
    <t>F36912</t>
  </si>
  <si>
    <t>BA310289-02</t>
  </si>
  <si>
    <t xml:space="preserve">Court says People v Gonzalez isnt applicable </t>
  </si>
  <si>
    <t>Reveles</t>
  </si>
  <si>
    <t>G20897</t>
  </si>
  <si>
    <t>LA055116-02</t>
  </si>
  <si>
    <t>Cano</t>
  </si>
  <si>
    <t>T81195</t>
  </si>
  <si>
    <t>RIF097483</t>
  </si>
  <si>
    <t>reduced by 10 years 186.22 s</t>
  </si>
  <si>
    <t>Ammons</t>
  </si>
  <si>
    <t>T68607</t>
  </si>
  <si>
    <t>BA215765</t>
  </si>
  <si>
    <t>Paroled on 4/22/2021</t>
  </si>
  <si>
    <t>T00843</t>
  </si>
  <si>
    <t>VA056754</t>
  </si>
  <si>
    <t>Bell III</t>
  </si>
  <si>
    <t>AK6725</t>
  </si>
  <si>
    <t>11F02687</t>
  </si>
  <si>
    <t>Term reduced by 5 years</t>
  </si>
  <si>
    <t>Chinchilla</t>
  </si>
  <si>
    <t>BE6271</t>
  </si>
  <si>
    <t>BA432553-01</t>
  </si>
  <si>
    <t>AP7673</t>
  </si>
  <si>
    <t>F13901075</t>
  </si>
  <si>
    <t>There was no impermissible dual imposition of the two enhancements</t>
  </si>
  <si>
    <t>Curry</t>
  </si>
  <si>
    <t>T29338</t>
  </si>
  <si>
    <t>BA214317-02</t>
  </si>
  <si>
    <t>Reduced by 9 years</t>
  </si>
  <si>
    <t>V97436</t>
  </si>
  <si>
    <t>RIF099598</t>
  </si>
  <si>
    <t>Gomez</t>
  </si>
  <si>
    <t>T61599</t>
  </si>
  <si>
    <t>BA335199-01</t>
  </si>
  <si>
    <t>Guimary</t>
  </si>
  <si>
    <t>AV6308</t>
  </si>
  <si>
    <t>NA088042</t>
  </si>
  <si>
    <t>BG1311</t>
  </si>
  <si>
    <t>Hwang</t>
  </si>
  <si>
    <t>T18946</t>
  </si>
  <si>
    <t>KA048652</t>
  </si>
  <si>
    <t>AT0165</t>
  </si>
  <si>
    <t>BA358831-01</t>
  </si>
  <si>
    <t>Guerra</t>
  </si>
  <si>
    <t>AV6392</t>
  </si>
  <si>
    <t>VCF295874</t>
  </si>
  <si>
    <t>Soto</t>
  </si>
  <si>
    <t>F94424</t>
  </si>
  <si>
    <t>YA064697-01</t>
  </si>
  <si>
    <t>reduced by 4 years 4 months</t>
  </si>
  <si>
    <t>F56545</t>
  </si>
  <si>
    <t>GA057279-01</t>
  </si>
  <si>
    <t>Delgado</t>
  </si>
  <si>
    <t>F56751</t>
  </si>
  <si>
    <t>LA049196-01</t>
  </si>
  <si>
    <t>Barnhill</t>
  </si>
  <si>
    <t>BC5464</t>
  </si>
  <si>
    <t>16CF05594</t>
  </si>
  <si>
    <t>reduced to 1 year 8 months, discharged 06/09/2019</t>
  </si>
  <si>
    <t>Hitchcock</t>
  </si>
  <si>
    <t>AV6022</t>
  </si>
  <si>
    <t>SCE342257</t>
  </si>
  <si>
    <t>Paroled 06/24/2019</t>
  </si>
  <si>
    <t>Shimp</t>
  </si>
  <si>
    <t>AB8578</t>
  </si>
  <si>
    <t>SCC-La Cima Camp</t>
  </si>
  <si>
    <t>SCE282395</t>
  </si>
  <si>
    <t>Paroled 01/19/2019</t>
  </si>
  <si>
    <t>Stringer</t>
  </si>
  <si>
    <t>BF5107</t>
  </si>
  <si>
    <t>SS151402A</t>
  </si>
  <si>
    <t>original amendment for 2 years 8 months on 10/11/18</t>
  </si>
  <si>
    <t>Creed</t>
  </si>
  <si>
    <t>AZ8116</t>
  </si>
  <si>
    <t>SCUK-CRCR-14-76399</t>
  </si>
  <si>
    <t>AA1627</t>
  </si>
  <si>
    <t>MA039687-01</t>
  </si>
  <si>
    <t>Rios</t>
  </si>
  <si>
    <t>AR1749</t>
  </si>
  <si>
    <t>VSP-Facility D</t>
  </si>
  <si>
    <t>MF035540A</t>
  </si>
  <si>
    <t>sentence restructured</t>
  </si>
  <si>
    <t>AK9919</t>
  </si>
  <si>
    <t>SS110751A</t>
  </si>
  <si>
    <t>Casas</t>
  </si>
  <si>
    <t>BF6757</t>
  </si>
  <si>
    <t>SS161489A</t>
  </si>
  <si>
    <t>Carreon</t>
  </si>
  <si>
    <t>AK1890</t>
  </si>
  <si>
    <t>SS11296a</t>
  </si>
  <si>
    <t>AP6098</t>
  </si>
  <si>
    <t>LA068862</t>
  </si>
  <si>
    <t>Fatu</t>
  </si>
  <si>
    <t>AL5281</t>
  </si>
  <si>
    <t>NA090775</t>
  </si>
  <si>
    <t>Original sentence imposed is legal</t>
  </si>
  <si>
    <t>Tanori</t>
  </si>
  <si>
    <t>F55238</t>
  </si>
  <si>
    <t>NA070869</t>
  </si>
  <si>
    <t>G49528</t>
  </si>
  <si>
    <t>LA058292-01</t>
  </si>
  <si>
    <t>BD7959</t>
  </si>
  <si>
    <t>XNWLA083649-01</t>
  </si>
  <si>
    <t>Released on 11/27/2019</t>
  </si>
  <si>
    <t xml:space="preserve">Jones </t>
  </si>
  <si>
    <t>AS4138</t>
  </si>
  <si>
    <t xml:space="preserve">MCSP-Facility A </t>
  </si>
  <si>
    <t>YA085420</t>
  </si>
  <si>
    <t>AT8972</t>
  </si>
  <si>
    <t>BA392650-04</t>
  </si>
  <si>
    <t>Macias</t>
  </si>
  <si>
    <t>G20803</t>
  </si>
  <si>
    <t>MCSP-Facility E</t>
  </si>
  <si>
    <t>VCF174152</t>
  </si>
  <si>
    <t>F94827</t>
  </si>
  <si>
    <t>MCR026873C</t>
  </si>
  <si>
    <t>Voit</t>
  </si>
  <si>
    <t>AD5684</t>
  </si>
  <si>
    <t>CC800816</t>
  </si>
  <si>
    <t xml:space="preserve">M.O. dated 09/21/2018-No Action by the Courts </t>
  </si>
  <si>
    <t>Picazo</t>
  </si>
  <si>
    <t>AF5108</t>
  </si>
  <si>
    <t>MA050320-01</t>
  </si>
  <si>
    <t>AE7626</t>
  </si>
  <si>
    <t>07CF2465</t>
  </si>
  <si>
    <t>Defendant's sentence does not materially affect defendant's total aggregate sentence; therefore, the court will not take action.</t>
  </si>
  <si>
    <t>Ackerman</t>
  </si>
  <si>
    <t>BF3218</t>
  </si>
  <si>
    <t>SCD271741</t>
  </si>
  <si>
    <t>Baker</t>
  </si>
  <si>
    <t>BD9582</t>
  </si>
  <si>
    <t>SWF160251</t>
  </si>
  <si>
    <t>Bigelow</t>
  </si>
  <si>
    <t>BC0192</t>
  </si>
  <si>
    <t>14C-38648</t>
  </si>
  <si>
    <t>Bucci</t>
  </si>
  <si>
    <t>G49048</t>
  </si>
  <si>
    <t>FCR238111</t>
  </si>
  <si>
    <t>Reduced by 5 years/released on 1/1/21</t>
  </si>
  <si>
    <t>Eggleston</t>
  </si>
  <si>
    <t>AV6961</t>
  </si>
  <si>
    <t>KA106649-01</t>
  </si>
  <si>
    <t>Paroled on 11/14/2021</t>
  </si>
  <si>
    <t>F56418</t>
  </si>
  <si>
    <t>YA065023</t>
  </si>
  <si>
    <t>extensive criminal history and disciplinary record</t>
  </si>
  <si>
    <t>Baxter</t>
  </si>
  <si>
    <t>F03111</t>
  </si>
  <si>
    <t>CHCF-Facility B</t>
  </si>
  <si>
    <t>MF41249A</t>
  </si>
  <si>
    <t>Paroled on 7/15/2020</t>
  </si>
  <si>
    <t>McLeod</t>
  </si>
  <si>
    <t>AM7117</t>
  </si>
  <si>
    <t>LAC-MSF</t>
  </si>
  <si>
    <t>CRF53967</t>
  </si>
  <si>
    <t>Buchnofactor</t>
  </si>
  <si>
    <t>G62980</t>
  </si>
  <si>
    <t>13F07887</t>
  </si>
  <si>
    <t>AOJ corrected count 4 to reflect 2011</t>
  </si>
  <si>
    <t>Webb</t>
  </si>
  <si>
    <t>AB9876</t>
  </si>
  <si>
    <t>El Dorado</t>
  </si>
  <si>
    <t>P08CRF0371</t>
  </si>
  <si>
    <t>AZ7510</t>
  </si>
  <si>
    <t>BF159623A</t>
  </si>
  <si>
    <t>Ricketts</t>
  </si>
  <si>
    <t>T30309</t>
  </si>
  <si>
    <t>RIF103852</t>
  </si>
  <si>
    <t>reduced by 13 years</t>
  </si>
  <si>
    <t>F05349</t>
  </si>
  <si>
    <t>CC444051</t>
  </si>
  <si>
    <t>AB5804</t>
  </si>
  <si>
    <t>SA068707-04</t>
  </si>
  <si>
    <t xml:space="preserve">courts declined to take action </t>
  </si>
  <si>
    <t>Justus</t>
  </si>
  <si>
    <t>AZ2751</t>
  </si>
  <si>
    <t>CIM</t>
  </si>
  <si>
    <t>VCF329047/VCF330533</t>
  </si>
  <si>
    <t>Court did not find reason for resentencing</t>
  </si>
  <si>
    <t>AN7924</t>
  </si>
  <si>
    <t>SCN297958</t>
  </si>
  <si>
    <t xml:space="preserve">Court affirmed original sentence </t>
  </si>
  <si>
    <t>Tillard</t>
  </si>
  <si>
    <t>AL3653</t>
  </si>
  <si>
    <t>RIF1105567</t>
  </si>
  <si>
    <t>Xiong</t>
  </si>
  <si>
    <t>AF1983</t>
  </si>
  <si>
    <t>SF112025A</t>
  </si>
  <si>
    <t>AY9919</t>
  </si>
  <si>
    <t>CHCF-Facility C</t>
  </si>
  <si>
    <t>3 years reduced</t>
  </si>
  <si>
    <t>Acuff</t>
  </si>
  <si>
    <t>T08415</t>
  </si>
  <si>
    <t>VCF224747</t>
  </si>
  <si>
    <t>reduced 4 months</t>
  </si>
  <si>
    <t>AW5615</t>
  </si>
  <si>
    <t>SCN340553</t>
  </si>
  <si>
    <t>Sentenced was restructured total term remains</t>
  </si>
  <si>
    <t>Oseguera</t>
  </si>
  <si>
    <t>BC8851</t>
  </si>
  <si>
    <t>FCR322078</t>
  </si>
  <si>
    <t>Court orders abstract to be amended to reflect enhancement as PC 186.22 (b)(1)(B)</t>
  </si>
  <si>
    <t>Frazier</t>
  </si>
  <si>
    <t>BG8364</t>
  </si>
  <si>
    <t>FOL-Central Service</t>
  </si>
  <si>
    <t>sentence is legal and appropriate one based on the specific Penal Code sections the defendant pled to and find no error in the sentence</t>
  </si>
  <si>
    <t>F00519</t>
  </si>
  <si>
    <t>BA272734</t>
  </si>
  <si>
    <t>Sentence was affirmed on appeal.  Nothing about the facts or defendant's history would warrant recall.</t>
  </si>
  <si>
    <t>P93437</t>
  </si>
  <si>
    <t>KA047524</t>
  </si>
  <si>
    <t>AA8362</t>
  </si>
  <si>
    <t>CMF</t>
  </si>
  <si>
    <t>FVI901923</t>
  </si>
  <si>
    <t>Court declines to take action</t>
  </si>
  <si>
    <t>G24900</t>
  </si>
  <si>
    <t>PA056138-02</t>
  </si>
  <si>
    <t>AR5280</t>
  </si>
  <si>
    <t>PA074947-01</t>
  </si>
  <si>
    <t>court concluded sentence would not be modified</t>
  </si>
  <si>
    <t>AX8395</t>
  </si>
  <si>
    <t>SCR646260</t>
  </si>
  <si>
    <t>Colon</t>
  </si>
  <si>
    <t>AV0025</t>
  </si>
  <si>
    <t>CEN-AD SEG</t>
  </si>
  <si>
    <t>INF1302894</t>
  </si>
  <si>
    <t>AW7672</t>
  </si>
  <si>
    <t>FVI1303443</t>
  </si>
  <si>
    <t>AV3417</t>
  </si>
  <si>
    <t>C1484487</t>
  </si>
  <si>
    <t>Clasby</t>
  </si>
  <si>
    <t>K46356</t>
  </si>
  <si>
    <t>03F06893</t>
  </si>
  <si>
    <t>Lottie</t>
  </si>
  <si>
    <t>AP1426</t>
  </si>
  <si>
    <t>TA126786</t>
  </si>
  <si>
    <t>Evans</t>
  </si>
  <si>
    <t>F51346</t>
  </si>
  <si>
    <t>CRC-Facility B</t>
  </si>
  <si>
    <t>FWV037244</t>
  </si>
  <si>
    <t>In the interest of justice</t>
  </si>
  <si>
    <t>AW0067</t>
  </si>
  <si>
    <t>CMC-Facility D</t>
  </si>
  <si>
    <t>FVI1300398</t>
  </si>
  <si>
    <t>AY2875</t>
  </si>
  <si>
    <t>CRF15-3412</t>
  </si>
  <si>
    <t>Soletti</t>
  </si>
  <si>
    <t>J55701</t>
  </si>
  <si>
    <t>CR166658</t>
  </si>
  <si>
    <t>AU5401</t>
  </si>
  <si>
    <t>C1232961</t>
  </si>
  <si>
    <t>AZ7463</t>
  </si>
  <si>
    <t>Yuba</t>
  </si>
  <si>
    <t>CRF15-143</t>
  </si>
  <si>
    <t>BA4596</t>
  </si>
  <si>
    <t>Sabido</t>
  </si>
  <si>
    <t>BA9977</t>
  </si>
  <si>
    <t>Joseph</t>
  </si>
  <si>
    <t>BB5062</t>
  </si>
  <si>
    <t>CRF15319</t>
  </si>
  <si>
    <t>Casarez</t>
  </si>
  <si>
    <t>BB6100</t>
  </si>
  <si>
    <t>Sentence restructured and reduced by 1 years</t>
  </si>
  <si>
    <t>T25482</t>
  </si>
  <si>
    <t>00F01901</t>
  </si>
  <si>
    <t>Nunez</t>
  </si>
  <si>
    <t>AN2285</t>
  </si>
  <si>
    <t xml:space="preserve">PRMCCF-Golden State </t>
  </si>
  <si>
    <t>11CF3422</t>
  </si>
  <si>
    <t>Federico</t>
  </si>
  <si>
    <t>G20850</t>
  </si>
  <si>
    <t>SWF017423</t>
  </si>
  <si>
    <t>AD2721</t>
  </si>
  <si>
    <t>08NF1017</t>
  </si>
  <si>
    <t>Quiles</t>
  </si>
  <si>
    <t>K28106</t>
  </si>
  <si>
    <t>VA069128-01</t>
  </si>
  <si>
    <t>Lucatero</t>
  </si>
  <si>
    <t>F91607</t>
  </si>
  <si>
    <t>VCF175691</t>
  </si>
  <si>
    <t>Sinsun</t>
  </si>
  <si>
    <t>F26468</t>
  </si>
  <si>
    <t>F58918</t>
  </si>
  <si>
    <t>CR0600610</t>
  </si>
  <si>
    <t>AP8721</t>
  </si>
  <si>
    <t>SA077735-01</t>
  </si>
  <si>
    <t>Townsend</t>
  </si>
  <si>
    <t>AB8337</t>
  </si>
  <si>
    <t>SCD219147</t>
  </si>
  <si>
    <t>Wolfe</t>
  </si>
  <si>
    <t>AN4269</t>
  </si>
  <si>
    <t>SCC-Oak Glen Camp</t>
  </si>
  <si>
    <t>12CF1495</t>
  </si>
  <si>
    <t>Zaueta</t>
  </si>
  <si>
    <t>AH0000</t>
  </si>
  <si>
    <t>YA076980</t>
  </si>
  <si>
    <t>Barreto</t>
  </si>
  <si>
    <t>T42556</t>
  </si>
  <si>
    <t>VSP - Facility D</t>
  </si>
  <si>
    <t>FSB024827</t>
  </si>
  <si>
    <t>Munguia</t>
  </si>
  <si>
    <t>AV0035</t>
  </si>
  <si>
    <t>G61478</t>
  </si>
  <si>
    <t>RIF116615</t>
  </si>
  <si>
    <t>G41699</t>
  </si>
  <si>
    <t>INF062938</t>
  </si>
  <si>
    <t>Paroled on 10/7/2021</t>
  </si>
  <si>
    <t>Odell</t>
  </si>
  <si>
    <t>G56707</t>
  </si>
  <si>
    <t>NA078198</t>
  </si>
  <si>
    <t>Starling</t>
  </si>
  <si>
    <t>AE0647</t>
  </si>
  <si>
    <t>CIM-Facility A</t>
  </si>
  <si>
    <t>SCR568139</t>
  </si>
  <si>
    <t>Alvarez</t>
  </si>
  <si>
    <t>G61886</t>
  </si>
  <si>
    <t>VCF211481</t>
  </si>
  <si>
    <t>Cole</t>
  </si>
  <si>
    <t>WA7462</t>
  </si>
  <si>
    <t>H49239</t>
  </si>
  <si>
    <t>Court declines request</t>
  </si>
  <si>
    <t>Abelar</t>
  </si>
  <si>
    <t>AK1830</t>
  </si>
  <si>
    <t>WSP-MSF</t>
  </si>
  <si>
    <t>VA115570</t>
  </si>
  <si>
    <t>Arias</t>
  </si>
  <si>
    <t>F86430</t>
  </si>
  <si>
    <t>SCR494159</t>
  </si>
  <si>
    <t>Esquivel</t>
  </si>
  <si>
    <t>F99787</t>
  </si>
  <si>
    <t>13F03568</t>
  </si>
  <si>
    <t>Santos</t>
  </si>
  <si>
    <t>T70070</t>
  </si>
  <si>
    <t>CR-F-02-89554-2</t>
  </si>
  <si>
    <t>Entler</t>
  </si>
  <si>
    <t>G09036</t>
  </si>
  <si>
    <t>RIF120260</t>
  </si>
  <si>
    <t>Abolos</t>
  </si>
  <si>
    <t>AY4652</t>
  </si>
  <si>
    <t>SCC - Facility A</t>
  </si>
  <si>
    <t>FWV1500267</t>
  </si>
  <si>
    <t>Kube</t>
  </si>
  <si>
    <t>F68970</t>
  </si>
  <si>
    <t>NA071216</t>
  </si>
  <si>
    <t>Camacho</t>
  </si>
  <si>
    <t>T83380</t>
  </si>
  <si>
    <t>G32912</t>
  </si>
  <si>
    <t>CRC-Facility A</t>
  </si>
  <si>
    <t>BA324229</t>
  </si>
  <si>
    <t xml:space="preserve">Barroso </t>
  </si>
  <si>
    <t>W91305</t>
  </si>
  <si>
    <t>RIF087208</t>
  </si>
  <si>
    <t>Botello</t>
  </si>
  <si>
    <t>G39950</t>
  </si>
  <si>
    <t>DF011520B</t>
  </si>
  <si>
    <t>F35590</t>
  </si>
  <si>
    <t>XNWLA054217</t>
  </si>
  <si>
    <t>AD6334</t>
  </si>
  <si>
    <t>CIM - Facility D</t>
  </si>
  <si>
    <t>BA358480</t>
  </si>
  <si>
    <t>NCD-12/09/2020</t>
  </si>
  <si>
    <t>F37790</t>
  </si>
  <si>
    <t>DF011520A</t>
  </si>
  <si>
    <t>Pina</t>
  </si>
  <si>
    <t>AN0034</t>
  </si>
  <si>
    <t>BA385031-01</t>
  </si>
  <si>
    <t>Cordero</t>
  </si>
  <si>
    <t>BC2963</t>
  </si>
  <si>
    <t>VA129304-02</t>
  </si>
  <si>
    <t>Mora</t>
  </si>
  <si>
    <t>F56080</t>
  </si>
  <si>
    <t>06CM4475</t>
  </si>
  <si>
    <t>Thornburg</t>
  </si>
  <si>
    <t>AZ2253</t>
  </si>
  <si>
    <t>13HF2342</t>
  </si>
  <si>
    <t>Frias</t>
  </si>
  <si>
    <t>AD1319</t>
  </si>
  <si>
    <t>DF011694A</t>
  </si>
  <si>
    <t>Fuentes</t>
  </si>
  <si>
    <t>AA6355</t>
  </si>
  <si>
    <t>LA053831-01</t>
  </si>
  <si>
    <t>AA6139</t>
  </si>
  <si>
    <t>BA346793-01</t>
  </si>
  <si>
    <t>AX2226</t>
  </si>
  <si>
    <t>VCF296900A</t>
  </si>
  <si>
    <t>AF5688</t>
  </si>
  <si>
    <t>NA066405</t>
  </si>
  <si>
    <t>Penaloza</t>
  </si>
  <si>
    <t>AY3965</t>
  </si>
  <si>
    <t>INF1403312</t>
  </si>
  <si>
    <t>AX6068</t>
  </si>
  <si>
    <t>C1484838  B1472728</t>
  </si>
  <si>
    <t>PAROLED 4/27/2022</t>
  </si>
  <si>
    <t>Bedolla</t>
  </si>
  <si>
    <t>W92502</t>
  </si>
  <si>
    <t>CRF01-40316</t>
  </si>
  <si>
    <t>Follow up 9/20/2022 called San Benito Courthouse. Court declined to take action</t>
  </si>
  <si>
    <t>Jackson</t>
  </si>
  <si>
    <t>AB8468</t>
  </si>
  <si>
    <t>PBSP-facility B</t>
  </si>
  <si>
    <t>SCD218179</t>
  </si>
  <si>
    <t>Toatal term changed 20y&lt;18y</t>
  </si>
  <si>
    <t>Rocha</t>
  </si>
  <si>
    <t>AC6353</t>
  </si>
  <si>
    <t>RIF1303076</t>
  </si>
  <si>
    <t>Solis</t>
  </si>
  <si>
    <t>AC6536</t>
  </si>
  <si>
    <t>VCF188760A</t>
  </si>
  <si>
    <t>AC1991</t>
  </si>
  <si>
    <t>VA105616-01</t>
  </si>
  <si>
    <t>Behnke</t>
  </si>
  <si>
    <t>F38068</t>
  </si>
  <si>
    <t>SCD183245</t>
  </si>
  <si>
    <t>Resentencing denied</t>
  </si>
  <si>
    <t>G36729</t>
  </si>
  <si>
    <t>AF46887</t>
  </si>
  <si>
    <t>Barriga</t>
  </si>
  <si>
    <t>AA9449</t>
  </si>
  <si>
    <t>Beinlick</t>
  </si>
  <si>
    <t>V00252</t>
  </si>
  <si>
    <t>MCSP-Facility E, D-206-3L</t>
  </si>
  <si>
    <t>02WF1809</t>
  </si>
  <si>
    <t>Frutos</t>
  </si>
  <si>
    <t>AW2707</t>
  </si>
  <si>
    <t>CRL008941</t>
  </si>
  <si>
    <t xml:space="preserve"> court declined to take action </t>
  </si>
  <si>
    <t>AA8730</t>
  </si>
  <si>
    <t>07F05646</t>
  </si>
  <si>
    <t>Gurrola</t>
  </si>
  <si>
    <t>AA4203</t>
  </si>
  <si>
    <t>GA066930-01</t>
  </si>
  <si>
    <t>AP2224</t>
  </si>
  <si>
    <t>CR163544</t>
  </si>
  <si>
    <t>NCD - 02/06/2020</t>
  </si>
  <si>
    <t>Manzo</t>
  </si>
  <si>
    <t>BD7448</t>
  </si>
  <si>
    <t>CRM036161</t>
  </si>
  <si>
    <t>AN2086</t>
  </si>
  <si>
    <t>BA383348-01</t>
  </si>
  <si>
    <t>Paroled 1/18/2020</t>
  </si>
  <si>
    <t>Sahibi</t>
  </si>
  <si>
    <t>T66695</t>
  </si>
  <si>
    <t>DF011676A</t>
  </si>
  <si>
    <t>T55812</t>
  </si>
  <si>
    <t>LA037430-01</t>
  </si>
  <si>
    <t xml:space="preserve">Term Restructured </t>
  </si>
  <si>
    <t>Bell</t>
  </si>
  <si>
    <t>P80445</t>
  </si>
  <si>
    <t>Placer</t>
  </si>
  <si>
    <t>released 3/21/2019</t>
  </si>
  <si>
    <t>T39293</t>
  </si>
  <si>
    <t>WF00550</t>
  </si>
  <si>
    <t>AW1870</t>
  </si>
  <si>
    <t>CRM023652C</t>
  </si>
  <si>
    <t>Speck</t>
  </si>
  <si>
    <t>AS2281</t>
  </si>
  <si>
    <t>SC076554A</t>
  </si>
  <si>
    <t>Santa Anna</t>
  </si>
  <si>
    <t>V00104</t>
  </si>
  <si>
    <t>VA095753-01</t>
  </si>
  <si>
    <t>AE9746</t>
  </si>
  <si>
    <t>BA368554</t>
  </si>
  <si>
    <t>AY7203</t>
  </si>
  <si>
    <t>CRM016537</t>
  </si>
  <si>
    <t>Bergeron</t>
  </si>
  <si>
    <t>F04597</t>
  </si>
  <si>
    <t>SQ - Facility A</t>
  </si>
  <si>
    <t>04WF1694A</t>
  </si>
  <si>
    <t>Cardoza</t>
  </si>
  <si>
    <t>T74260</t>
  </si>
  <si>
    <t>courts declined to take action /released on 4/8/19</t>
  </si>
  <si>
    <t>F55468</t>
  </si>
  <si>
    <t>BA308619</t>
  </si>
  <si>
    <t>Paroled on 3/18/2022</t>
  </si>
  <si>
    <t>Bellows</t>
  </si>
  <si>
    <t>F37020</t>
  </si>
  <si>
    <t>LAC-facility B</t>
  </si>
  <si>
    <t>SF112707A</t>
  </si>
  <si>
    <t>T97619</t>
  </si>
  <si>
    <t>JCF22139</t>
  </si>
  <si>
    <t>reduced  2 years</t>
  </si>
  <si>
    <t>Bryant</t>
  </si>
  <si>
    <t>T48794</t>
  </si>
  <si>
    <t>MA059608-01</t>
  </si>
  <si>
    <t>K24235</t>
  </si>
  <si>
    <t>CH026971</t>
  </si>
  <si>
    <t>Reduced to 8 years</t>
  </si>
  <si>
    <t>Beteta</t>
  </si>
  <si>
    <t>F07006</t>
  </si>
  <si>
    <t>CH033415</t>
  </si>
  <si>
    <t>Mallory</t>
  </si>
  <si>
    <t>G29397</t>
  </si>
  <si>
    <t>CAF-Facility B</t>
  </si>
  <si>
    <t>JCF26358</t>
  </si>
  <si>
    <t>T01738</t>
  </si>
  <si>
    <t>SS170285A</t>
  </si>
  <si>
    <t>Solorio</t>
  </si>
  <si>
    <t>G18663</t>
  </si>
  <si>
    <t>SS151723A</t>
  </si>
  <si>
    <t>Trevino</t>
  </si>
  <si>
    <t>AK5122</t>
  </si>
  <si>
    <t>BF132419A</t>
  </si>
  <si>
    <t>P64997</t>
  </si>
  <si>
    <t>SS062133A</t>
  </si>
  <si>
    <t>AM3146</t>
  </si>
  <si>
    <t>MF50509</t>
  </si>
  <si>
    <t>V08170</t>
  </si>
  <si>
    <t>SCC-Growlersburg Camp</t>
  </si>
  <si>
    <t>MF36687</t>
  </si>
  <si>
    <t>F98909</t>
  </si>
  <si>
    <t>JCF29001</t>
  </si>
  <si>
    <t>reduced 1 year</t>
  </si>
  <si>
    <t>T07889</t>
  </si>
  <si>
    <t>JCF18574</t>
  </si>
  <si>
    <t>V65831</t>
  </si>
  <si>
    <t>13CM7429</t>
  </si>
  <si>
    <t>Richard</t>
  </si>
  <si>
    <t>F98513</t>
  </si>
  <si>
    <t>MA057503</t>
  </si>
  <si>
    <t>T19416</t>
  </si>
  <si>
    <t>JCF25160</t>
  </si>
  <si>
    <t>Reduced 2 years 8 Months</t>
  </si>
  <si>
    <t>P88941</t>
  </si>
  <si>
    <t>CF10177</t>
  </si>
  <si>
    <t>Reduced 1 year 4 months</t>
  </si>
  <si>
    <t>H47466</t>
  </si>
  <si>
    <t>CH018005</t>
  </si>
  <si>
    <t>redcuced 8 months</t>
  </si>
  <si>
    <t>Vigil</t>
  </si>
  <si>
    <t>T43082</t>
  </si>
  <si>
    <t>SF084153A</t>
  </si>
  <si>
    <t>Vanderhorst</t>
  </si>
  <si>
    <t>V39436</t>
  </si>
  <si>
    <t>F453966</t>
  </si>
  <si>
    <t>Joy</t>
  </si>
  <si>
    <t>P00918</t>
  </si>
  <si>
    <t>SCS206751</t>
  </si>
  <si>
    <t>D87616</t>
  </si>
  <si>
    <t>MA035194-01</t>
  </si>
  <si>
    <t>reduced by 4 yeas</t>
  </si>
  <si>
    <t>Duff</t>
  </si>
  <si>
    <t>G17101</t>
  </si>
  <si>
    <t>12CR19197-02</t>
  </si>
  <si>
    <t>Maxwell</t>
  </si>
  <si>
    <t>J75143</t>
  </si>
  <si>
    <t>MF008926A</t>
  </si>
  <si>
    <t>Comaduran</t>
  </si>
  <si>
    <t>K32226</t>
  </si>
  <si>
    <t>09CM7467A</t>
  </si>
  <si>
    <t>D18168</t>
  </si>
  <si>
    <t>JCF25555</t>
  </si>
  <si>
    <t>Palomares</t>
  </si>
  <si>
    <t>BE1896</t>
  </si>
  <si>
    <t>CRM03616C</t>
  </si>
  <si>
    <t>T69456</t>
  </si>
  <si>
    <t>DF011983B</t>
  </si>
  <si>
    <t>Denied per Judge Bush of Kern County/Requested Legal Documents</t>
  </si>
  <si>
    <t>Iniguez</t>
  </si>
  <si>
    <t>F01535</t>
  </si>
  <si>
    <t>JCF36615</t>
  </si>
  <si>
    <t>Talavera</t>
  </si>
  <si>
    <t>AS2327</t>
  </si>
  <si>
    <t xml:space="preserve"> 16CM3756</t>
  </si>
  <si>
    <t>J73568</t>
  </si>
  <si>
    <t>09CM7562B</t>
  </si>
  <si>
    <t>K87662</t>
  </si>
  <si>
    <t>FCR180027</t>
  </si>
  <si>
    <t xml:space="preserve">reduced by 3 years </t>
  </si>
  <si>
    <t>McCoy</t>
  </si>
  <si>
    <t>P42455</t>
  </si>
  <si>
    <t>15F-01735</t>
  </si>
  <si>
    <t>Gutirrez</t>
  </si>
  <si>
    <t>T64056</t>
  </si>
  <si>
    <t>JCF33850</t>
  </si>
  <si>
    <t>reduced 1 yeaar</t>
  </si>
  <si>
    <t>Berlin</t>
  </si>
  <si>
    <t>T01637</t>
  </si>
  <si>
    <t>CHCF FAC E</t>
  </si>
  <si>
    <t>SCD15421  SCD152715  SCD150935</t>
  </si>
  <si>
    <t>Released 6/3/2020</t>
  </si>
  <si>
    <t>Patterson</t>
  </si>
  <si>
    <t>T06267</t>
  </si>
  <si>
    <t>DF012374A</t>
  </si>
  <si>
    <t>AA3108</t>
  </si>
  <si>
    <t>reduced by 15 years</t>
  </si>
  <si>
    <t>Franklin</t>
  </si>
  <si>
    <t>AM8766</t>
  </si>
  <si>
    <t>BA455291</t>
  </si>
  <si>
    <t>reduced  3 years</t>
  </si>
  <si>
    <t>AG5964</t>
  </si>
  <si>
    <t>BA354035-04</t>
  </si>
  <si>
    <t>AE5115</t>
  </si>
  <si>
    <t>Jacobs</t>
  </si>
  <si>
    <t>AL2435</t>
  </si>
  <si>
    <t>BF161419A</t>
  </si>
  <si>
    <t>Viera</t>
  </si>
  <si>
    <t>AG5980</t>
  </si>
  <si>
    <t>BA354035-03</t>
  </si>
  <si>
    <t>Ponce-Velasco</t>
  </si>
  <si>
    <t>AW4477</t>
  </si>
  <si>
    <t>CRM023652A</t>
  </si>
  <si>
    <t>Tuggle</t>
  </si>
  <si>
    <t>AU4738</t>
  </si>
  <si>
    <t>CRM025784</t>
  </si>
  <si>
    <t>Cathalifaud</t>
  </si>
  <si>
    <t>AZ0470</t>
  </si>
  <si>
    <t>SATF-Facility F</t>
  </si>
  <si>
    <t>15F02607</t>
  </si>
  <si>
    <t>no 311.11</t>
  </si>
  <si>
    <t>WA8097</t>
  </si>
  <si>
    <t>CCWF</t>
  </si>
  <si>
    <t>FVA900652</t>
  </si>
  <si>
    <t>G30375</t>
  </si>
  <si>
    <t>SS072156A</t>
  </si>
  <si>
    <t>P76834</t>
  </si>
  <si>
    <t>JCF16608</t>
  </si>
  <si>
    <t>Agustin</t>
  </si>
  <si>
    <t>F02872</t>
  </si>
  <si>
    <t>CEN - Facility D</t>
  </si>
  <si>
    <t>PA060354</t>
  </si>
  <si>
    <t>Alderette</t>
  </si>
  <si>
    <t>AS3929</t>
  </si>
  <si>
    <t>SF118089</t>
  </si>
  <si>
    <t>PAROLED 10/12/2021</t>
  </si>
  <si>
    <t>Blyleven</t>
  </si>
  <si>
    <t>X04795</t>
  </si>
  <si>
    <t>PA058162-01</t>
  </si>
  <si>
    <t>AD7192</t>
  </si>
  <si>
    <t>RIF135607</t>
  </si>
  <si>
    <t xml:space="preserve">was not sentenced under 186.22 (b)(1)( c ) but  186.22 (b)(1)(b) </t>
  </si>
  <si>
    <t>AF3648</t>
  </si>
  <si>
    <t>BA354566-01</t>
  </si>
  <si>
    <t>Wu</t>
  </si>
  <si>
    <t>AM6310</t>
  </si>
  <si>
    <t>GA081789-03</t>
  </si>
  <si>
    <t>Godino</t>
  </si>
  <si>
    <t>T53287</t>
  </si>
  <si>
    <t>GA045979-01</t>
  </si>
  <si>
    <t>Escalona</t>
  </si>
  <si>
    <t>AL9087</t>
  </si>
  <si>
    <t>10SF0012</t>
  </si>
  <si>
    <t>Azevedo</t>
  </si>
  <si>
    <t>AV3960</t>
  </si>
  <si>
    <t>14NF3728</t>
  </si>
  <si>
    <t>Melendez</t>
  </si>
  <si>
    <t>AK2360</t>
  </si>
  <si>
    <t>SOL</t>
  </si>
  <si>
    <t>EE907212</t>
  </si>
  <si>
    <t>AF4889</t>
  </si>
  <si>
    <t>08WF3542</t>
  </si>
  <si>
    <t>P57034</t>
  </si>
  <si>
    <t>DF012037A</t>
  </si>
  <si>
    <t>Judge declines to resentence</t>
  </si>
  <si>
    <t>T44631</t>
  </si>
  <si>
    <t>SOL - Facility D</t>
  </si>
  <si>
    <t>FSB023832</t>
  </si>
  <si>
    <t>Birch</t>
  </si>
  <si>
    <t>J53333</t>
  </si>
  <si>
    <t>00J53333</t>
  </si>
  <si>
    <t>94F08004</t>
  </si>
  <si>
    <t>released on 5/31/2019</t>
  </si>
  <si>
    <t>Adams</t>
  </si>
  <si>
    <t>AE9384</t>
  </si>
  <si>
    <t>RIF153181</t>
  </si>
  <si>
    <t>Nissen</t>
  </si>
  <si>
    <t>T58362</t>
  </si>
  <si>
    <t>SCS165116</t>
  </si>
  <si>
    <t>AD9683</t>
  </si>
  <si>
    <t>SCD223098</t>
  </si>
  <si>
    <t>AL4192</t>
  </si>
  <si>
    <t>CAL- AD SEG</t>
  </si>
  <si>
    <t>Corona</t>
  </si>
  <si>
    <t>F34366</t>
  </si>
  <si>
    <t>CR F 03-489</t>
  </si>
  <si>
    <t xml:space="preserve">reduced by 6 years </t>
  </si>
  <si>
    <t>Nava</t>
  </si>
  <si>
    <t>AL5765</t>
  </si>
  <si>
    <t>BA407175-03</t>
  </si>
  <si>
    <t>Paroled on 12/21/2020</t>
  </si>
  <si>
    <t>AG0813</t>
  </si>
  <si>
    <t>INF065586</t>
  </si>
  <si>
    <t>PC  12022.5 was stayed, not the 12022.7 per in Re Gonzalez</t>
  </si>
  <si>
    <t>AH4265</t>
  </si>
  <si>
    <t>97WF1452</t>
  </si>
  <si>
    <t>AK9268</t>
  </si>
  <si>
    <t>BA388327-01</t>
  </si>
  <si>
    <t>AL3837</t>
  </si>
  <si>
    <t>GA079277-05</t>
  </si>
  <si>
    <t>Sheeley</t>
  </si>
  <si>
    <t>X23712</t>
  </si>
  <si>
    <t>PA052227-04</t>
  </si>
  <si>
    <t>Yun</t>
  </si>
  <si>
    <t>AI3812</t>
  </si>
  <si>
    <t>GA078803-01</t>
  </si>
  <si>
    <t>F14206</t>
  </si>
  <si>
    <t>04WF1875</t>
  </si>
  <si>
    <t>AN7634</t>
  </si>
  <si>
    <t>TA126547-01</t>
  </si>
  <si>
    <t>AR6911</t>
  </si>
  <si>
    <t>TA136685</t>
  </si>
  <si>
    <t>Jenkins</t>
  </si>
  <si>
    <t>V77336</t>
  </si>
  <si>
    <t>04F07641</t>
  </si>
  <si>
    <t>Whitfield</t>
  </si>
  <si>
    <t>AP2554</t>
  </si>
  <si>
    <t>AZ7789</t>
  </si>
  <si>
    <t>RIF1400926</t>
  </si>
  <si>
    <t>reduced by 1 year 8 months</t>
  </si>
  <si>
    <t>AY8312</t>
  </si>
  <si>
    <t>12CF2110</t>
  </si>
  <si>
    <t xml:space="preserve">Bocanegra </t>
  </si>
  <si>
    <t>AK7487</t>
  </si>
  <si>
    <t>FVA1101476</t>
  </si>
  <si>
    <t>Espana</t>
  </si>
  <si>
    <t>BG1255</t>
  </si>
  <si>
    <t>Garcia-Salbalsa</t>
  </si>
  <si>
    <t>AN5105</t>
  </si>
  <si>
    <t>SCR605426</t>
  </si>
  <si>
    <t>Bleecker</t>
  </si>
  <si>
    <t>AK3746</t>
  </si>
  <si>
    <t>LAC - Facility A</t>
  </si>
  <si>
    <t>RIF147458 &amp; SWF1101747</t>
  </si>
  <si>
    <t>Discharged 9/16/2022</t>
  </si>
  <si>
    <t>AF2381</t>
  </si>
  <si>
    <t>PA062451</t>
  </si>
  <si>
    <t>PAROLED 12/31/2021</t>
  </si>
  <si>
    <t>AN0084</t>
  </si>
  <si>
    <t>Bolden</t>
  </si>
  <si>
    <t>W72963</t>
  </si>
  <si>
    <t>CIW A</t>
  </si>
  <si>
    <t>BA134574</t>
  </si>
  <si>
    <t>reduced by 41 years</t>
  </si>
  <si>
    <t>AY9215</t>
  </si>
  <si>
    <t>12F02578</t>
  </si>
  <si>
    <t>f</t>
  </si>
  <si>
    <t>Bowker</t>
  </si>
  <si>
    <t>AB8018</t>
  </si>
  <si>
    <t>07SF0610</t>
  </si>
  <si>
    <t>Case pulled due to change in EPRD</t>
  </si>
  <si>
    <t>Bravo</t>
  </si>
  <si>
    <t>X36697</t>
  </si>
  <si>
    <t>CCWF - Facility C</t>
  </si>
  <si>
    <t>GA063991</t>
  </si>
  <si>
    <t>Per : Diana M. Teran &lt;dteran@da.lacounty.gov</t>
  </si>
  <si>
    <t>AI2282</t>
  </si>
  <si>
    <t>Brinckman</t>
  </si>
  <si>
    <t>G00920</t>
  </si>
  <si>
    <t>06F3582</t>
  </si>
  <si>
    <t>G36763</t>
  </si>
  <si>
    <t>SCD208734</t>
  </si>
  <si>
    <t>Cortez</t>
  </si>
  <si>
    <t>AT7244</t>
  </si>
  <si>
    <t>Santa Barbara</t>
  </si>
  <si>
    <t xml:space="preserve">Reduced by 3 years </t>
  </si>
  <si>
    <t>Dominguez</t>
  </si>
  <si>
    <t>V50475</t>
  </si>
  <si>
    <t>CC323663</t>
  </si>
  <si>
    <t>released on 08/23/2019</t>
  </si>
  <si>
    <t>AT1522</t>
  </si>
  <si>
    <t>13CM8853B</t>
  </si>
  <si>
    <t>Earl</t>
  </si>
  <si>
    <t>F13870</t>
  </si>
  <si>
    <t>GA075690-01</t>
  </si>
  <si>
    <t>Natividad</t>
  </si>
  <si>
    <t>AR5695</t>
  </si>
  <si>
    <t>12CM3581</t>
  </si>
  <si>
    <t>E61401</t>
  </si>
  <si>
    <t>MA051433-01</t>
  </si>
  <si>
    <t>AS8239</t>
  </si>
  <si>
    <t>SWF1207306</t>
  </si>
  <si>
    <t>Appellate Court Opinion denying the motion to recall and resentence defendant pursuant to section 1170, subdivision (d) is affirmed</t>
  </si>
  <si>
    <t>AI4089</t>
  </si>
  <si>
    <t>Hodge</t>
  </si>
  <si>
    <t>K98364</t>
  </si>
  <si>
    <t>NA090420</t>
  </si>
  <si>
    <t>Allen</t>
  </si>
  <si>
    <t>AF2500</t>
  </si>
  <si>
    <t>LA060460</t>
  </si>
  <si>
    <t>Paroled on 10/3/2021</t>
  </si>
  <si>
    <t>AH3570</t>
  </si>
  <si>
    <t>VCF247729</t>
  </si>
  <si>
    <t>AP1471</t>
  </si>
  <si>
    <t>BA392615-01</t>
  </si>
  <si>
    <t xml:space="preserve">12022.7 stricken </t>
  </si>
  <si>
    <t>Owens</t>
  </si>
  <si>
    <t>AN9784</t>
  </si>
  <si>
    <t>MA054730-01</t>
  </si>
  <si>
    <t>Rivera</t>
  </si>
  <si>
    <t>AY1834</t>
  </si>
  <si>
    <t>CRM025095A</t>
  </si>
  <si>
    <t>186.22 stricken</t>
  </si>
  <si>
    <t>G08825</t>
  </si>
  <si>
    <t>INF051666</t>
  </si>
  <si>
    <t>BA3511</t>
  </si>
  <si>
    <t>CCC FAC B</t>
  </si>
  <si>
    <t>NA103449</t>
  </si>
  <si>
    <t>Hidalgo</t>
  </si>
  <si>
    <t>AR9536</t>
  </si>
  <si>
    <t>11F08026</t>
  </si>
  <si>
    <t>AR6516</t>
  </si>
  <si>
    <t>C1230608</t>
  </si>
  <si>
    <t>reducded by 8 months</t>
  </si>
  <si>
    <t>Pollack</t>
  </si>
  <si>
    <t>AA1886</t>
  </si>
  <si>
    <t>NA079977</t>
  </si>
  <si>
    <t>AR5696</t>
  </si>
  <si>
    <t>12CM3560</t>
  </si>
  <si>
    <t>G21778</t>
  </si>
  <si>
    <t>13F04000</t>
  </si>
  <si>
    <t>Legal documents requested by CMF staff on 5/4/2020</t>
  </si>
  <si>
    <t>V37673</t>
  </si>
  <si>
    <t>07CM3449</t>
  </si>
  <si>
    <t>Stephens</t>
  </si>
  <si>
    <t>BC7656</t>
  </si>
  <si>
    <t>Siskiyou</t>
  </si>
  <si>
    <t>2011-1731</t>
  </si>
  <si>
    <t>F84843</t>
  </si>
  <si>
    <t>AR5577</t>
  </si>
  <si>
    <t>SWF1300770</t>
  </si>
  <si>
    <t>AZ5422</t>
  </si>
  <si>
    <t>BA446149-03</t>
  </si>
  <si>
    <t>V75736</t>
  </si>
  <si>
    <t>BA342273</t>
  </si>
  <si>
    <t>Zavala</t>
  </si>
  <si>
    <t>F83774</t>
  </si>
  <si>
    <t>07CM0126</t>
  </si>
  <si>
    <t>V36338</t>
  </si>
  <si>
    <t>KA060714-01</t>
  </si>
  <si>
    <t>Reduced by 3 years, released 01/09/2019</t>
  </si>
  <si>
    <t>F30470</t>
  </si>
  <si>
    <t>RJD-MSF</t>
  </si>
  <si>
    <t>RIF151134</t>
  </si>
  <si>
    <t>Willis</t>
  </si>
  <si>
    <t>F90477</t>
  </si>
  <si>
    <t>BA286179</t>
  </si>
  <si>
    <t>Van Otten</t>
  </si>
  <si>
    <t>AP0141</t>
  </si>
  <si>
    <t>RJD</t>
  </si>
  <si>
    <t>SCD237822</t>
  </si>
  <si>
    <t>AH4955</t>
  </si>
  <si>
    <t>CC817517</t>
  </si>
  <si>
    <t>Brinkman</t>
  </si>
  <si>
    <t>E19751</t>
  </si>
  <si>
    <t>SOL FAC D</t>
  </si>
  <si>
    <t>95F3388</t>
  </si>
  <si>
    <t>released on 03/27/2020</t>
  </si>
  <si>
    <t>Mokri</t>
  </si>
  <si>
    <t>AN3663</t>
  </si>
  <si>
    <t>SQ</t>
  </si>
  <si>
    <t>Released 6/17/2020</t>
  </si>
  <si>
    <t>Broglia</t>
  </si>
  <si>
    <t>WA6103</t>
  </si>
  <si>
    <t>BA362037</t>
  </si>
  <si>
    <t>Brooks</t>
  </si>
  <si>
    <t>W91474</t>
  </si>
  <si>
    <t>BA195570</t>
  </si>
  <si>
    <t>Released 8/17/21</t>
  </si>
  <si>
    <t>G39850</t>
  </si>
  <si>
    <t>BA336027</t>
  </si>
  <si>
    <t>AT5107</t>
  </si>
  <si>
    <t>SCC-Bautista Camp</t>
  </si>
  <si>
    <t>12CF2610</t>
  </si>
  <si>
    <t>AF3633</t>
  </si>
  <si>
    <t>SS081888B</t>
  </si>
  <si>
    <t>Paroled on 5/18/2022</t>
  </si>
  <si>
    <t>Claudio</t>
  </si>
  <si>
    <t>AF9785</t>
  </si>
  <si>
    <t>NA085301</t>
  </si>
  <si>
    <t>Sentence restructured</t>
  </si>
  <si>
    <t>Ramsey</t>
  </si>
  <si>
    <t>AG1438</t>
  </si>
  <si>
    <t>AK8438</t>
  </si>
  <si>
    <t>06NF1325</t>
  </si>
  <si>
    <t>Paroled 09/14/20 (not 1170(d)(1))</t>
  </si>
  <si>
    <t>Leadbetter</t>
  </si>
  <si>
    <t>AK8668</t>
  </si>
  <si>
    <t>MA053478-01</t>
  </si>
  <si>
    <t>Rouston</t>
  </si>
  <si>
    <t>AK9273</t>
  </si>
  <si>
    <t>SCD234128</t>
  </si>
  <si>
    <t>Felix</t>
  </si>
  <si>
    <t>F73824</t>
  </si>
  <si>
    <t>RIF135981</t>
  </si>
  <si>
    <t>Paroled 01/08/21 (not 1170(d)(1))</t>
  </si>
  <si>
    <t>Grozav</t>
  </si>
  <si>
    <t>F15289</t>
  </si>
  <si>
    <t>05F03297</t>
  </si>
  <si>
    <t>AK4736</t>
  </si>
  <si>
    <t>10F06846</t>
  </si>
  <si>
    <t>Casarez Jr.</t>
  </si>
  <si>
    <t>AG8481</t>
  </si>
  <si>
    <t>10F05366</t>
  </si>
  <si>
    <t>Rodarte Jr.</t>
  </si>
  <si>
    <t>AG9501</t>
  </si>
  <si>
    <t>VA121786-01</t>
  </si>
  <si>
    <t>Galloway</t>
  </si>
  <si>
    <t>AH2604</t>
  </si>
  <si>
    <t>CH034636</t>
  </si>
  <si>
    <t>reducded by 1 year</t>
  </si>
  <si>
    <t>AL3418</t>
  </si>
  <si>
    <t>DF012674A</t>
  </si>
  <si>
    <t>Kinosian</t>
  </si>
  <si>
    <t>AT0505</t>
  </si>
  <si>
    <t>SS151770A</t>
  </si>
  <si>
    <t>E89868</t>
  </si>
  <si>
    <t>reduced by 17 years and released on Own Recognizance on 10/02/2018</t>
  </si>
  <si>
    <t>Elam</t>
  </si>
  <si>
    <t>WA3431</t>
  </si>
  <si>
    <t>F06905176</t>
  </si>
  <si>
    <t>Navarrete</t>
  </si>
  <si>
    <t>AA1819</t>
  </si>
  <si>
    <t>CCI-Central Service</t>
  </si>
  <si>
    <t>SS081056</t>
  </si>
  <si>
    <t>reduced by 5 years 4 months, released 02/16/2019</t>
  </si>
  <si>
    <t>Amaro</t>
  </si>
  <si>
    <t>V83580</t>
  </si>
  <si>
    <t>CAC - Facility B</t>
  </si>
  <si>
    <t>KA070281</t>
  </si>
  <si>
    <t>Foust</t>
  </si>
  <si>
    <t>AM9774</t>
  </si>
  <si>
    <t>09CF1387</t>
  </si>
  <si>
    <t>Arciniega</t>
  </si>
  <si>
    <t>K32992</t>
  </si>
  <si>
    <t xml:space="preserve">CTF FAC D </t>
  </si>
  <si>
    <t>BA334596 BA366063 BA333299 GA070865</t>
  </si>
  <si>
    <t>Urena</t>
  </si>
  <si>
    <t>G23173</t>
  </si>
  <si>
    <t>RIF131491</t>
  </si>
  <si>
    <t>X08560</t>
  </si>
  <si>
    <t>VCR164648</t>
  </si>
  <si>
    <t>WF0366</t>
  </si>
  <si>
    <t>FOL-Facility B</t>
  </si>
  <si>
    <t>BH1933</t>
  </si>
  <si>
    <t>17CR-04410D</t>
  </si>
  <si>
    <t>Romano</t>
  </si>
  <si>
    <t>V04289</t>
  </si>
  <si>
    <t>BA230279</t>
  </si>
  <si>
    <t>Denied as 12022.5 ran concurrent and made no impact on time imposed</t>
  </si>
  <si>
    <t>J48386</t>
  </si>
  <si>
    <t>RJD FAC D</t>
  </si>
  <si>
    <t>98HF0128</t>
  </si>
  <si>
    <t>Guzman</t>
  </si>
  <si>
    <t>BG9173</t>
  </si>
  <si>
    <t>17CR04410</t>
  </si>
  <si>
    <t>Case Dismissed, no reduction LWOP</t>
  </si>
  <si>
    <t>BG4667</t>
  </si>
  <si>
    <t>INF1500923</t>
  </si>
  <si>
    <t>BF7606</t>
  </si>
  <si>
    <t>BA451969</t>
  </si>
  <si>
    <t>PC  12022.5 was stayed, 186.22 b dismissed</t>
  </si>
  <si>
    <t>BG0831</t>
  </si>
  <si>
    <t>05-170717-3</t>
  </si>
  <si>
    <t>Court denied resentencing</t>
  </si>
  <si>
    <t>AN2987</t>
  </si>
  <si>
    <t>INF1601397</t>
  </si>
  <si>
    <t>G66406</t>
  </si>
  <si>
    <t>KA114877-01</t>
  </si>
  <si>
    <t>BH0550</t>
  </si>
  <si>
    <t>C1513346</t>
  </si>
  <si>
    <t>reduced by 5 years 8 months</t>
  </si>
  <si>
    <t>BG6573</t>
  </si>
  <si>
    <t>RIF1701228</t>
  </si>
  <si>
    <t>Follow up 12/19/2022 No CD</t>
  </si>
  <si>
    <t>Acevedo</t>
  </si>
  <si>
    <t>BF4942</t>
  </si>
  <si>
    <t>BA459754-01</t>
  </si>
  <si>
    <t xml:space="preserve">Casillas </t>
  </si>
  <si>
    <t>G30749</t>
  </si>
  <si>
    <t xml:space="preserve">VSP-Facility B </t>
  </si>
  <si>
    <t>Day</t>
  </si>
  <si>
    <t>AB8854</t>
  </si>
  <si>
    <t>GA076835</t>
  </si>
  <si>
    <t>Tarantino</t>
  </si>
  <si>
    <t>AV9769</t>
  </si>
  <si>
    <t>13WF2693</t>
  </si>
  <si>
    <t>AT7798</t>
  </si>
  <si>
    <t>FSB1202970</t>
  </si>
  <si>
    <t>BG2693</t>
  </si>
  <si>
    <t>BG2813</t>
  </si>
  <si>
    <t>PBSP-Facility D</t>
  </si>
  <si>
    <t>05-131067-1</t>
  </si>
  <si>
    <t>Paroled 8/18/2022</t>
  </si>
  <si>
    <t>BG1589</t>
  </si>
  <si>
    <t>BA442133-02</t>
  </si>
  <si>
    <t>Lewis</t>
  </si>
  <si>
    <t>AL4322</t>
  </si>
  <si>
    <t>BF123070C</t>
  </si>
  <si>
    <t>AP4404</t>
  </si>
  <si>
    <t>VA117928</t>
  </si>
  <si>
    <t>Axberg</t>
  </si>
  <si>
    <t>AR1877</t>
  </si>
  <si>
    <t>MA056336</t>
  </si>
  <si>
    <t xml:space="preserve">Walton </t>
  </si>
  <si>
    <t>X16146</t>
  </si>
  <si>
    <t xml:space="preserve">CIW-Facility A </t>
  </si>
  <si>
    <t>SWF024443</t>
  </si>
  <si>
    <t>reduced by 10 years 186.22 ps</t>
  </si>
  <si>
    <t>BA7523</t>
  </si>
  <si>
    <t>MCCF- Shafter</t>
  </si>
  <si>
    <t>KA111455</t>
  </si>
  <si>
    <t>Singh</t>
  </si>
  <si>
    <t>P91172</t>
  </si>
  <si>
    <t>CMC-Facility E</t>
  </si>
  <si>
    <t>99NF3030</t>
  </si>
  <si>
    <t>Govenor commuted sentence from 32y to life to 20y to life new date of 4/27/2019</t>
  </si>
  <si>
    <t>W19836</t>
  </si>
  <si>
    <t>CCWF Facility B</t>
  </si>
  <si>
    <t>NA042723</t>
  </si>
  <si>
    <t>Released 10/9/2020</t>
  </si>
  <si>
    <t>Myers</t>
  </si>
  <si>
    <t>AC7960</t>
  </si>
  <si>
    <t>MA056625</t>
  </si>
  <si>
    <t>Alvidrez</t>
  </si>
  <si>
    <t>AV6893</t>
  </si>
  <si>
    <t>MA059617</t>
  </si>
  <si>
    <t>Court finds it is not in the interest of justice</t>
  </si>
  <si>
    <t>Madera</t>
  </si>
  <si>
    <t>F07813</t>
  </si>
  <si>
    <t>06WF3312</t>
  </si>
  <si>
    <t>AB3617</t>
  </si>
  <si>
    <t>CC767952</t>
  </si>
  <si>
    <t>AV2021</t>
  </si>
  <si>
    <t>FWV1300577</t>
  </si>
  <si>
    <t>P75550</t>
  </si>
  <si>
    <t>CTF FAC C</t>
  </si>
  <si>
    <t>99F9303</t>
  </si>
  <si>
    <t>AL3483</t>
  </si>
  <si>
    <t>CAL - Facility D</t>
  </si>
  <si>
    <t>LA066707</t>
  </si>
  <si>
    <t>Artega</t>
  </si>
  <si>
    <t>AM1586</t>
  </si>
  <si>
    <t>RJD - Facility A</t>
  </si>
  <si>
    <t>MF034958</t>
  </si>
  <si>
    <t>Paroled prior to resentencing</t>
  </si>
  <si>
    <t>Wood</t>
  </si>
  <si>
    <t>X27537</t>
  </si>
  <si>
    <t>SCD207311</t>
  </si>
  <si>
    <t>reduced by 10 years, released 04/05/2019</t>
  </si>
  <si>
    <t>Piggie</t>
  </si>
  <si>
    <t>WF0763</t>
  </si>
  <si>
    <t>F14903969</t>
  </si>
  <si>
    <t>Austin</t>
  </si>
  <si>
    <t>BD2069</t>
  </si>
  <si>
    <t>MA062046</t>
  </si>
  <si>
    <t>AE1184</t>
  </si>
  <si>
    <t>SCC Level III SNY</t>
  </si>
  <si>
    <t>F13900807</t>
  </si>
  <si>
    <t>Would not have exercised such discretion</t>
  </si>
  <si>
    <t>Black</t>
  </si>
  <si>
    <t>AH1704</t>
  </si>
  <si>
    <t>PA056470</t>
  </si>
  <si>
    <t>Dale</t>
  </si>
  <si>
    <t>P52359</t>
  </si>
  <si>
    <t>16CM1025E</t>
  </si>
  <si>
    <t>Active parole</t>
  </si>
  <si>
    <t>Rogers</t>
  </si>
  <si>
    <t>V13939</t>
  </si>
  <si>
    <t>CC062329</t>
  </si>
  <si>
    <t>Medina</t>
  </si>
  <si>
    <t>AC9562</t>
  </si>
  <si>
    <t>DF008726B</t>
  </si>
  <si>
    <t>Active Parole 12/18/2019 issue moot</t>
  </si>
  <si>
    <t>G14764</t>
  </si>
  <si>
    <t>BA309468</t>
  </si>
  <si>
    <t>reduced by 3 years, overdue released 03/14/2019</t>
  </si>
  <si>
    <t>Anaya</t>
  </si>
  <si>
    <t>AZ6849</t>
  </si>
  <si>
    <t>SCE351772</t>
  </si>
  <si>
    <t xml:space="preserve">12022.7 (s) </t>
  </si>
  <si>
    <t>AZ9726</t>
  </si>
  <si>
    <t>VCF318418</t>
  </si>
  <si>
    <t xml:space="preserve">12022.7 (s) Term restructured </t>
  </si>
  <si>
    <t>Bryley</t>
  </si>
  <si>
    <t>G63389</t>
  </si>
  <si>
    <t>SATF - Facility G</t>
  </si>
  <si>
    <t>LA056903</t>
  </si>
  <si>
    <t>Release on 5/26/21</t>
  </si>
  <si>
    <t>Boulden</t>
  </si>
  <si>
    <t>P28446</t>
  </si>
  <si>
    <t>SWF1300445</t>
  </si>
  <si>
    <t>Valle</t>
  </si>
  <si>
    <t>WE6527</t>
  </si>
  <si>
    <t>12F04506</t>
  </si>
  <si>
    <t>Carranza</t>
  </si>
  <si>
    <t>AM6042</t>
  </si>
  <si>
    <t>ASP</t>
  </si>
  <si>
    <t>12F01034</t>
  </si>
  <si>
    <t>Per the institution Sac Superior court will send the Minute Order once they order the file</t>
  </si>
  <si>
    <t>Humes</t>
  </si>
  <si>
    <t>AN6994</t>
  </si>
  <si>
    <t>SWF028727</t>
  </si>
  <si>
    <t>G33899</t>
  </si>
  <si>
    <t>MCCF Golden State</t>
  </si>
  <si>
    <t>07CF3925</t>
  </si>
  <si>
    <t>Paroled on 3/11/2022</t>
  </si>
  <si>
    <t>Bin</t>
  </si>
  <si>
    <t>G36037</t>
  </si>
  <si>
    <t>Hurtado</t>
  </si>
  <si>
    <t>G29031</t>
  </si>
  <si>
    <t>H41196</t>
  </si>
  <si>
    <t>Pillsbury</t>
  </si>
  <si>
    <t>AS3812</t>
  </si>
  <si>
    <t>12F07593</t>
  </si>
  <si>
    <t xml:space="preserve">paroled by BPH </t>
  </si>
  <si>
    <t>P53136</t>
  </si>
  <si>
    <t>11NF0843</t>
  </si>
  <si>
    <t>Maye</t>
  </si>
  <si>
    <t>AU3737</t>
  </si>
  <si>
    <t>CMF-MSF</t>
  </si>
  <si>
    <t>FVI1303049</t>
  </si>
  <si>
    <t>T58319</t>
  </si>
  <si>
    <t>CHCF</t>
  </si>
  <si>
    <t>SCD159581/SCD159938</t>
  </si>
  <si>
    <t>Eguiluz</t>
  </si>
  <si>
    <t>F99858</t>
  </si>
  <si>
    <t>SA058161</t>
  </si>
  <si>
    <t>AH0721</t>
  </si>
  <si>
    <t>FMB900221</t>
  </si>
  <si>
    <t>Bullette</t>
  </si>
  <si>
    <t>X19057</t>
  </si>
  <si>
    <t>CCWF - Facility B</t>
  </si>
  <si>
    <t>RIF112496</t>
  </si>
  <si>
    <t xml:space="preserve">Follow up 12/19/2022 No CD </t>
  </si>
  <si>
    <t>Hill</t>
  </si>
  <si>
    <t>AU7359</t>
  </si>
  <si>
    <t>KA102950</t>
  </si>
  <si>
    <t>Bun</t>
  </si>
  <si>
    <t>K91753</t>
  </si>
  <si>
    <t>SQ FAC A</t>
  </si>
  <si>
    <t>97NF1524  CH025583</t>
  </si>
  <si>
    <t>Burch</t>
  </si>
  <si>
    <t>K87975</t>
  </si>
  <si>
    <t>SQ - Central Service</t>
  </si>
  <si>
    <t>S609576</t>
  </si>
  <si>
    <t>Inmate deseased as of 11/6/19</t>
  </si>
  <si>
    <t>Avina</t>
  </si>
  <si>
    <t>AE2185</t>
  </si>
  <si>
    <t>VSP-C</t>
  </si>
  <si>
    <t>INF054992</t>
  </si>
  <si>
    <t xml:space="preserve"> </t>
  </si>
  <si>
    <t>Urbano</t>
  </si>
  <si>
    <t>AG3229</t>
  </si>
  <si>
    <t>Dirden</t>
  </si>
  <si>
    <t>AL0824</t>
  </si>
  <si>
    <t>RIF10004205</t>
  </si>
  <si>
    <t xml:space="preserve">Faria </t>
  </si>
  <si>
    <t>AK9553</t>
  </si>
  <si>
    <t>BA366634</t>
  </si>
  <si>
    <t>Reduced and will release on 2/28/2020</t>
  </si>
  <si>
    <t>Shea</t>
  </si>
  <si>
    <t>WF1952</t>
  </si>
  <si>
    <t>13F07165</t>
  </si>
  <si>
    <t>reduced by 10 years 12022.53 (d) stricken, released 05/25/2019</t>
  </si>
  <si>
    <t>Mondragon</t>
  </si>
  <si>
    <t>F12788</t>
  </si>
  <si>
    <t xml:space="preserve">CIM-Facility D </t>
  </si>
  <si>
    <t>08WF0760</t>
  </si>
  <si>
    <t>Released per 1170 €</t>
  </si>
  <si>
    <t>Burks</t>
  </si>
  <si>
    <t>H55852</t>
  </si>
  <si>
    <t>CMF - Facility A</t>
  </si>
  <si>
    <t>F06902141</t>
  </si>
  <si>
    <t>Ahquin</t>
  </si>
  <si>
    <t>AP9061</t>
  </si>
  <si>
    <t>YA083017</t>
  </si>
  <si>
    <t>P58314</t>
  </si>
  <si>
    <t xml:space="preserve">HDSP-Facility A </t>
  </si>
  <si>
    <t>SC056655</t>
  </si>
  <si>
    <t>Wimberly</t>
  </si>
  <si>
    <t>AP2295</t>
  </si>
  <si>
    <t>VA127079</t>
  </si>
  <si>
    <t xml:space="preserve">Tyson </t>
  </si>
  <si>
    <t>BF2830</t>
  </si>
  <si>
    <t>VA144863</t>
  </si>
  <si>
    <t xml:space="preserve">Byrd </t>
  </si>
  <si>
    <t>AG0359</t>
  </si>
  <si>
    <t>10F02783</t>
  </si>
  <si>
    <t>V12711</t>
  </si>
  <si>
    <t>KVSP - Facility D</t>
  </si>
  <si>
    <t>PA062154</t>
  </si>
  <si>
    <t>Badillo</t>
  </si>
  <si>
    <t>AY6903</t>
  </si>
  <si>
    <t>VSP - Facility B</t>
  </si>
  <si>
    <t>CRFE20157401</t>
  </si>
  <si>
    <t>Baines</t>
  </si>
  <si>
    <t>G48486</t>
  </si>
  <si>
    <t>00G48486</t>
  </si>
  <si>
    <t>SATF FAC B</t>
  </si>
  <si>
    <t>NA092104</t>
  </si>
  <si>
    <t>McNutt</t>
  </si>
  <si>
    <t>AM1023</t>
  </si>
  <si>
    <t>FVI700226</t>
  </si>
  <si>
    <t>Stamper</t>
  </si>
  <si>
    <t>AP3252</t>
  </si>
  <si>
    <t>NA094476</t>
  </si>
  <si>
    <t>G03155</t>
  </si>
  <si>
    <t>SCN31827/SCN320832</t>
  </si>
  <si>
    <t>BF140820A</t>
  </si>
  <si>
    <t>Schlesinger</t>
  </si>
  <si>
    <t>BD5931</t>
  </si>
  <si>
    <t>BA402009</t>
  </si>
  <si>
    <t>AW0193</t>
  </si>
  <si>
    <t>MA059369</t>
  </si>
  <si>
    <t>Rhodes</t>
  </si>
  <si>
    <t>BA5807</t>
  </si>
  <si>
    <t>C1351929</t>
  </si>
  <si>
    <t>AP9523</t>
  </si>
  <si>
    <t>MA056027</t>
  </si>
  <si>
    <t>Souza</t>
  </si>
  <si>
    <t>AP8462</t>
  </si>
  <si>
    <t>VCF261002</t>
  </si>
  <si>
    <t>Paroled on 11/12/2019</t>
  </si>
  <si>
    <t>Kenney</t>
  </si>
  <si>
    <t>V06773</t>
  </si>
  <si>
    <t>CTF</t>
  </si>
  <si>
    <t>01F03583</t>
  </si>
  <si>
    <t>Bustos</t>
  </si>
  <si>
    <t>WA2229</t>
  </si>
  <si>
    <t>BA314861</t>
  </si>
  <si>
    <t>Sentence Restructured no change in TT</t>
  </si>
  <si>
    <t>P75681</t>
  </si>
  <si>
    <t>13F5143</t>
  </si>
  <si>
    <t>No mitigating Factors to justify a lessor sentence</t>
  </si>
  <si>
    <t>Castellanos</t>
  </si>
  <si>
    <t>AC6538</t>
  </si>
  <si>
    <t>VCF215254</t>
  </si>
  <si>
    <t>Butler</t>
  </si>
  <si>
    <t>J59632</t>
  </si>
  <si>
    <t>CMC B NDPF 3-260L</t>
  </si>
  <si>
    <t>SC057659</t>
  </si>
  <si>
    <t>denied based on extreme violence</t>
  </si>
  <si>
    <t>Woodmore</t>
  </si>
  <si>
    <t>AG4661</t>
  </si>
  <si>
    <t xml:space="preserve">SQ-Facility A </t>
  </si>
  <si>
    <t>FV1802606</t>
  </si>
  <si>
    <t>McKissic</t>
  </si>
  <si>
    <t>AG6041</t>
  </si>
  <si>
    <t>VA115047</t>
  </si>
  <si>
    <t>Balderrama</t>
  </si>
  <si>
    <t>V08237</t>
  </si>
  <si>
    <t>CC244958</t>
  </si>
  <si>
    <t>Release date change 6/5/21</t>
  </si>
  <si>
    <t>AX0388</t>
  </si>
  <si>
    <t>BA425644</t>
  </si>
  <si>
    <t>AN5046</t>
  </si>
  <si>
    <t>FSB1201482</t>
  </si>
  <si>
    <t>Goldbaum</t>
  </si>
  <si>
    <t>AN8996</t>
  </si>
  <si>
    <t>SCN297637</t>
  </si>
  <si>
    <t>Lawson Jr.</t>
  </si>
  <si>
    <t>AT9238</t>
  </si>
  <si>
    <t>INF1203166</t>
  </si>
  <si>
    <t>Cabanillas</t>
  </si>
  <si>
    <t>AB5067</t>
  </si>
  <si>
    <t>ASP - Facility E</t>
  </si>
  <si>
    <t>Selitto</t>
  </si>
  <si>
    <t>AX7928</t>
  </si>
  <si>
    <t>13WF1475</t>
  </si>
  <si>
    <t>NCD - 06/05/2020</t>
  </si>
  <si>
    <t>Shank</t>
  </si>
  <si>
    <t>BA9849</t>
  </si>
  <si>
    <t>VCR217230</t>
  </si>
  <si>
    <t>Deloney</t>
  </si>
  <si>
    <t>BB2988</t>
  </si>
  <si>
    <t>BF147375 A</t>
  </si>
  <si>
    <t>Porter</t>
  </si>
  <si>
    <t>BD0163</t>
  </si>
  <si>
    <t>BA406056</t>
  </si>
  <si>
    <t>reduced  by 10 years</t>
  </si>
  <si>
    <t>AL4327</t>
  </si>
  <si>
    <t>BF123070B</t>
  </si>
  <si>
    <t>Cox</t>
  </si>
  <si>
    <t>G12804</t>
  </si>
  <si>
    <t>06WF2987</t>
  </si>
  <si>
    <t xml:space="preserve">NCD - 03/18/2020 - Court follow up on 03/27/2020, Courts are closed due to COVID-19/Per Maria, Attorney Clerk II, gang division 714-834-3600... on 10/16/2020 petition for resentence was denied on case #06WF2987.  On 12/10/2020 case was closed. 
</t>
  </si>
  <si>
    <t>Wiley</t>
  </si>
  <si>
    <t>AF0404</t>
  </si>
  <si>
    <t>00AF0404</t>
  </si>
  <si>
    <t>SCC Level I</t>
  </si>
  <si>
    <t>BA354809</t>
  </si>
  <si>
    <t>Faulkner</t>
  </si>
  <si>
    <t>AN0405</t>
  </si>
  <si>
    <t>SCS256806</t>
  </si>
  <si>
    <t>Topete</t>
  </si>
  <si>
    <t>AH9110</t>
  </si>
  <si>
    <t>YA078845</t>
  </si>
  <si>
    <t>Page</t>
  </si>
  <si>
    <t>AP5268</t>
  </si>
  <si>
    <t>13F2986/10-0369</t>
  </si>
  <si>
    <t>AP9718</t>
  </si>
  <si>
    <t>12F05245</t>
  </si>
  <si>
    <t>Bates</t>
  </si>
  <si>
    <t>AS6597</t>
  </si>
  <si>
    <t>VA122627</t>
  </si>
  <si>
    <t>Najera</t>
  </si>
  <si>
    <t>AX5693</t>
  </si>
  <si>
    <t>BF150312 A</t>
  </si>
  <si>
    <t>Stoneburg</t>
  </si>
  <si>
    <t>AX8781</t>
  </si>
  <si>
    <t>FSB1102105</t>
  </si>
  <si>
    <t>BG3760</t>
  </si>
  <si>
    <t>13F01373</t>
  </si>
  <si>
    <t>Paroled  10/22/2022</t>
  </si>
  <si>
    <t>Godinez</t>
  </si>
  <si>
    <t>P41241</t>
  </si>
  <si>
    <t>AT0463</t>
  </si>
  <si>
    <t>TA125843</t>
  </si>
  <si>
    <t>Wilson</t>
  </si>
  <si>
    <t>AY7912</t>
  </si>
  <si>
    <t>INF1201979</t>
  </si>
  <si>
    <t xml:space="preserve">Scarbrough </t>
  </si>
  <si>
    <t>BG8999</t>
  </si>
  <si>
    <t>San Francisco</t>
  </si>
  <si>
    <t>Alford</t>
  </si>
  <si>
    <t>T15750</t>
  </si>
  <si>
    <t>CHCF-Facility E</t>
  </si>
  <si>
    <t>SCN295548</t>
  </si>
  <si>
    <t>AV6173</t>
  </si>
  <si>
    <t>NCD - 04/01/2020</t>
  </si>
  <si>
    <t>P83612</t>
  </si>
  <si>
    <t>CH019019</t>
  </si>
  <si>
    <t>Paroled 6/27/2019</t>
  </si>
  <si>
    <t>AW1464</t>
  </si>
  <si>
    <t>Hogan</t>
  </si>
  <si>
    <t>F97521</t>
  </si>
  <si>
    <t>YA067176</t>
  </si>
  <si>
    <t>Paroled 9/5/2021</t>
  </si>
  <si>
    <t>T50658</t>
  </si>
  <si>
    <t>CH026497</t>
  </si>
  <si>
    <t>AE9770</t>
  </si>
  <si>
    <t>Paroled on 12/20/2020</t>
  </si>
  <si>
    <t>Petersen</t>
  </si>
  <si>
    <t>J13386</t>
  </si>
  <si>
    <t>SS002532</t>
  </si>
  <si>
    <t>Paroled 5/19/2022</t>
  </si>
  <si>
    <t>H01753</t>
  </si>
  <si>
    <t>Paroled on 9/21/2018</t>
  </si>
  <si>
    <t>Salazar</t>
  </si>
  <si>
    <t>P21942</t>
  </si>
  <si>
    <t>CH026107</t>
  </si>
  <si>
    <t>Turner</t>
  </si>
  <si>
    <t>WA9559</t>
  </si>
  <si>
    <t>FWV1400965</t>
  </si>
  <si>
    <t>Deltoro</t>
  </si>
  <si>
    <t>WE4544</t>
  </si>
  <si>
    <t>INF064920</t>
  </si>
  <si>
    <t>Ball</t>
  </si>
  <si>
    <t>AH3673</t>
  </si>
  <si>
    <t>CMF FAC A</t>
  </si>
  <si>
    <t>RIF10005104</t>
  </si>
  <si>
    <t>Hearing for Opposition to Resentence</t>
  </si>
  <si>
    <t>Baltazar</t>
  </si>
  <si>
    <t>AH4325</t>
  </si>
  <si>
    <t>CTF - Facility B</t>
  </si>
  <si>
    <t>MF49001</t>
  </si>
  <si>
    <t>Follow up 9/20/2022 sent fax to Monterey Court</t>
  </si>
  <si>
    <t>AF9754</t>
  </si>
  <si>
    <t>BF128174</t>
  </si>
  <si>
    <t>AG1161</t>
  </si>
  <si>
    <t>KA090361</t>
  </si>
  <si>
    <t>Calvin</t>
  </si>
  <si>
    <t>J17246</t>
  </si>
  <si>
    <t>WSP-Facility A</t>
  </si>
  <si>
    <t>98CF2324</t>
  </si>
  <si>
    <t>AT3355</t>
  </si>
  <si>
    <t>PA073890</t>
  </si>
  <si>
    <t>AV6452</t>
  </si>
  <si>
    <t>SOL FAC A</t>
  </si>
  <si>
    <t>H54520</t>
  </si>
  <si>
    <t>Piovesan</t>
  </si>
  <si>
    <t>AU8789</t>
  </si>
  <si>
    <t>C1243808</t>
  </si>
  <si>
    <t>Barrett</t>
  </si>
  <si>
    <t>AF7355</t>
  </si>
  <si>
    <t>ISP - Facility A</t>
  </si>
  <si>
    <t>Beasley</t>
  </si>
  <si>
    <t>AW2783</t>
  </si>
  <si>
    <t>WSP - Facility A</t>
  </si>
  <si>
    <t>13CF1318</t>
  </si>
  <si>
    <t>Campbell</t>
  </si>
  <si>
    <t>H86953</t>
  </si>
  <si>
    <t>SCE173863</t>
  </si>
  <si>
    <t>Benitez</t>
  </si>
  <si>
    <t>AP1954</t>
  </si>
  <si>
    <t>ASP - Facility F</t>
  </si>
  <si>
    <t>C1118634</t>
  </si>
  <si>
    <t>NCD 6/9/2023</t>
  </si>
  <si>
    <t>P96000</t>
  </si>
  <si>
    <t>SF076265</t>
  </si>
  <si>
    <t>WA5683</t>
  </si>
  <si>
    <t>JCF19024</t>
  </si>
  <si>
    <t>Linares</t>
  </si>
  <si>
    <t>AP0874</t>
  </si>
  <si>
    <t>GA085331</t>
  </si>
  <si>
    <t>P97195</t>
  </si>
  <si>
    <t>SATF - Facility A</t>
  </si>
  <si>
    <t>E50718</t>
  </si>
  <si>
    <t>CR59651</t>
  </si>
  <si>
    <t>released 7/4/2019</t>
  </si>
  <si>
    <t>Carter</t>
  </si>
  <si>
    <t>X32287</t>
  </si>
  <si>
    <t>PA054745</t>
  </si>
  <si>
    <t>Previously denied on 2/28/2020 with no reason given. Released 11/05/2021</t>
  </si>
  <si>
    <t>McGirt</t>
  </si>
  <si>
    <t>AU4833</t>
  </si>
  <si>
    <t>MA059814</t>
  </si>
  <si>
    <t>Castaneda</t>
  </si>
  <si>
    <t>W99076</t>
  </si>
  <si>
    <t>CIW</t>
  </si>
  <si>
    <t>TA064954</t>
  </si>
  <si>
    <t>WF1387</t>
  </si>
  <si>
    <t>KA100178</t>
  </si>
  <si>
    <t>Bennett</t>
  </si>
  <si>
    <t>F91287</t>
  </si>
  <si>
    <t>CVSP FAC D</t>
  </si>
  <si>
    <t>SCD206784  SC206931</t>
  </si>
  <si>
    <t>Bernal</t>
  </si>
  <si>
    <t>AT3512</t>
  </si>
  <si>
    <t>CAC - Facility C</t>
  </si>
  <si>
    <t>VCF283483</t>
  </si>
  <si>
    <t>Berry</t>
  </si>
  <si>
    <t>AK1794</t>
  </si>
  <si>
    <t>KA094914</t>
  </si>
  <si>
    <t>P74895</t>
  </si>
  <si>
    <t>00F06896</t>
  </si>
  <si>
    <t xml:space="preserve">Released 9/2/2020 from County Jail </t>
  </si>
  <si>
    <t>Boner</t>
  </si>
  <si>
    <t>AC5862</t>
  </si>
  <si>
    <t>SATF - Facility E</t>
  </si>
  <si>
    <t>SF108698</t>
  </si>
  <si>
    <t>Morrissey</t>
  </si>
  <si>
    <t>T39443</t>
  </si>
  <si>
    <t>CC110400</t>
  </si>
  <si>
    <t>released 07/16/2019</t>
  </si>
  <si>
    <t xml:space="preserve">Ward </t>
  </si>
  <si>
    <t>AV0647</t>
  </si>
  <si>
    <t>F13910409</t>
  </si>
  <si>
    <t>AS7467</t>
  </si>
  <si>
    <t>SCD246384</t>
  </si>
  <si>
    <t>reduced by 2 years 4 months, released 02/21/2020</t>
  </si>
  <si>
    <t>Catalan</t>
  </si>
  <si>
    <t>V45489</t>
  </si>
  <si>
    <t>FOL - Facility A</t>
  </si>
  <si>
    <t>02NF0517</t>
  </si>
  <si>
    <t>Chamberlin</t>
  </si>
  <si>
    <t>T43078</t>
  </si>
  <si>
    <t>SC083227</t>
  </si>
  <si>
    <t>Cooper</t>
  </si>
  <si>
    <t>H67964</t>
  </si>
  <si>
    <t>GA037077</t>
  </si>
  <si>
    <t>Mitchell</t>
  </si>
  <si>
    <t>AL0055</t>
  </si>
  <si>
    <t>07F05356</t>
  </si>
  <si>
    <t>Christian</t>
  </si>
  <si>
    <t>J61853</t>
  </si>
  <si>
    <t>SATF - Facility D</t>
  </si>
  <si>
    <t>KA041439</t>
  </si>
  <si>
    <t>Clark</t>
  </si>
  <si>
    <t>T17467</t>
  </si>
  <si>
    <t>ASP-Facility B SNY</t>
  </si>
  <si>
    <t>CR06464B</t>
  </si>
  <si>
    <t>Paroled on 7/31/2021</t>
  </si>
  <si>
    <t>Rosas</t>
  </si>
  <si>
    <t>BE8057</t>
  </si>
  <si>
    <t>VCF279745C</t>
  </si>
  <si>
    <t>V39721</t>
  </si>
  <si>
    <t>CAC FAC B</t>
  </si>
  <si>
    <t>F429514</t>
  </si>
  <si>
    <t>Released 9/10/2020</t>
  </si>
  <si>
    <t>Corcoran</t>
  </si>
  <si>
    <t>V65912</t>
  </si>
  <si>
    <t>CVSP - Facility B</t>
  </si>
  <si>
    <t>MA025979</t>
  </si>
  <si>
    <t>denied without prejudice on 7/27/21-resentenced on</t>
  </si>
  <si>
    <t>WE1726</t>
  </si>
  <si>
    <t>BA345971</t>
  </si>
  <si>
    <t>Cotton</t>
  </si>
  <si>
    <t>W60911</t>
  </si>
  <si>
    <t>623083-3</t>
  </si>
  <si>
    <t>Sweed</t>
  </si>
  <si>
    <t>WE4748</t>
  </si>
  <si>
    <t>BA409795</t>
  </si>
  <si>
    <t>Nuno</t>
  </si>
  <si>
    <t>AU2910</t>
  </si>
  <si>
    <t>VA127412</t>
  </si>
  <si>
    <t xml:space="preserve">Bracamontes </t>
  </si>
  <si>
    <t>T69299</t>
  </si>
  <si>
    <t>CIM - Facility A</t>
  </si>
  <si>
    <t>BA224202</t>
  </si>
  <si>
    <t>Crabtree</t>
  </si>
  <si>
    <t>W88649</t>
  </si>
  <si>
    <t>FCF1291</t>
  </si>
  <si>
    <t>Chatman</t>
  </si>
  <si>
    <t>F05635</t>
  </si>
  <si>
    <t>NA087422</t>
  </si>
  <si>
    <t>Cristobal</t>
  </si>
  <si>
    <t>V78614</t>
  </si>
  <si>
    <t>CTF-Facility B SNY</t>
  </si>
  <si>
    <t>PA044991-01</t>
  </si>
  <si>
    <t>AW9449</t>
  </si>
  <si>
    <t>KA102293</t>
  </si>
  <si>
    <t>Crosby</t>
  </si>
  <si>
    <t>G45035</t>
  </si>
  <si>
    <t>FSB702668</t>
  </si>
  <si>
    <t>Cross</t>
  </si>
  <si>
    <t>G29793</t>
  </si>
  <si>
    <t>CMF - Facility B</t>
  </si>
  <si>
    <t>04F08966</t>
  </si>
  <si>
    <t>Crowell</t>
  </si>
  <si>
    <t>K24042</t>
  </si>
  <si>
    <t>06F715</t>
  </si>
  <si>
    <t>Paroled 7/31/2023</t>
  </si>
  <si>
    <t>Crowley</t>
  </si>
  <si>
    <t>H01633</t>
  </si>
  <si>
    <t>CCI - Facility D</t>
  </si>
  <si>
    <t>Reduced from 116 years to 32 years</t>
  </si>
  <si>
    <t>E80400</t>
  </si>
  <si>
    <t>CMF Facility A</t>
  </si>
  <si>
    <t>GA020271</t>
  </si>
  <si>
    <t>Released per BPH</t>
  </si>
  <si>
    <t>Bridgers</t>
  </si>
  <si>
    <t>AX0619</t>
  </si>
  <si>
    <t>14F05764</t>
  </si>
  <si>
    <t>Released 3/25/2021</t>
  </si>
  <si>
    <t>Briseno</t>
  </si>
  <si>
    <t>K41407</t>
  </si>
  <si>
    <t>CAL FAC D</t>
  </si>
  <si>
    <t>INF042283</t>
  </si>
  <si>
    <t>2nd letter to be sent to Los Angeles Co MA058237. Follow up 12/19/2022 No CD</t>
  </si>
  <si>
    <t>Baca</t>
  </si>
  <si>
    <t>F70636</t>
  </si>
  <si>
    <t>FBA008476</t>
  </si>
  <si>
    <t>reduced by 4 years and 4 months, released 08/22/2019</t>
  </si>
  <si>
    <t>AS5495</t>
  </si>
  <si>
    <t>00AS5495</t>
  </si>
  <si>
    <t>BA401101</t>
  </si>
  <si>
    <t>Bui</t>
  </si>
  <si>
    <t>AK0371</t>
  </si>
  <si>
    <t xml:space="preserve">ASP - Facility A </t>
  </si>
  <si>
    <t>CC894877</t>
  </si>
  <si>
    <t>G11968</t>
  </si>
  <si>
    <t>SVSP Facility B</t>
  </si>
  <si>
    <t>CC313775  11F05197</t>
  </si>
  <si>
    <t>Villarruel</t>
  </si>
  <si>
    <t>V36343</t>
  </si>
  <si>
    <t>KA069402</t>
  </si>
  <si>
    <t>Previously Denied on 05/3/19 Court decided to revisit court date set for 8/8/19, released 08/27/2019</t>
  </si>
  <si>
    <t>Mosqueda</t>
  </si>
  <si>
    <t>AH3082</t>
  </si>
  <si>
    <t>DF011064A</t>
  </si>
  <si>
    <t>P86157</t>
  </si>
  <si>
    <t>CMC-Facilty F</t>
  </si>
  <si>
    <t>FSB029719</t>
  </si>
  <si>
    <t>Busby</t>
  </si>
  <si>
    <t>P79798</t>
  </si>
  <si>
    <t>98-341-C</t>
  </si>
  <si>
    <t>Court deemed sentence appropriate</t>
  </si>
  <si>
    <t>Pomier</t>
  </si>
  <si>
    <t>G24723</t>
  </si>
  <si>
    <t>CVSP MSF</t>
  </si>
  <si>
    <t>FVA022717</t>
  </si>
  <si>
    <t>T92210</t>
  </si>
  <si>
    <t>CMC - Facility G</t>
  </si>
  <si>
    <t>LA040073</t>
  </si>
  <si>
    <t>Cunningham</t>
  </si>
  <si>
    <t>E94622</t>
  </si>
  <si>
    <t>SF113913</t>
  </si>
  <si>
    <t>Saephan</t>
  </si>
  <si>
    <t>T68094</t>
  </si>
  <si>
    <t>00T68094</t>
  </si>
  <si>
    <t>CAC Facility A</t>
  </si>
  <si>
    <t>060248-2</t>
  </si>
  <si>
    <t>G19570</t>
  </si>
  <si>
    <t>CIM Facility D</t>
  </si>
  <si>
    <t>VA102449-01  TA088685-01</t>
  </si>
  <si>
    <t>AK6286</t>
  </si>
  <si>
    <t>00AK6286</t>
  </si>
  <si>
    <t>SCC Facility A GP</t>
  </si>
  <si>
    <t>Lebar</t>
  </si>
  <si>
    <t>AG4266</t>
  </si>
  <si>
    <t>F08906665</t>
  </si>
  <si>
    <t>Cypert</t>
  </si>
  <si>
    <t>P15294</t>
  </si>
  <si>
    <t xml:space="preserve">ISP - Facility D </t>
  </si>
  <si>
    <t>RIF72410</t>
  </si>
  <si>
    <t>Buzo</t>
  </si>
  <si>
    <t>AR5025</t>
  </si>
  <si>
    <t>SOL - Facility B</t>
  </si>
  <si>
    <t>SF120913</t>
  </si>
  <si>
    <t>Second case number SF1202536</t>
  </si>
  <si>
    <t>Caballero</t>
  </si>
  <si>
    <t>AE6326</t>
  </si>
  <si>
    <t>VA112060</t>
  </si>
  <si>
    <t>Czajar</t>
  </si>
  <si>
    <t>V86621</t>
  </si>
  <si>
    <t>RIF139319</t>
  </si>
  <si>
    <t>Daniels</t>
  </si>
  <si>
    <t>T46088</t>
  </si>
  <si>
    <t>SATF FAC G</t>
  </si>
  <si>
    <t>98F3428</t>
  </si>
  <si>
    <t>Salih</t>
  </si>
  <si>
    <t>AT5930</t>
  </si>
  <si>
    <t>SCE323564</t>
  </si>
  <si>
    <t>G23416</t>
  </si>
  <si>
    <t>BA301458</t>
  </si>
  <si>
    <t>released 9/15/21</t>
  </si>
  <si>
    <t>AP5081</t>
  </si>
  <si>
    <t>CMF-Facility C</t>
  </si>
  <si>
    <t>BA393694</t>
  </si>
  <si>
    <t>Pitones</t>
  </si>
  <si>
    <t>AK1553</t>
  </si>
  <si>
    <t>10HF0921</t>
  </si>
  <si>
    <t>reduced by 10 years, released 09/13/2019</t>
  </si>
  <si>
    <t>AD1395</t>
  </si>
  <si>
    <t>MA046660</t>
  </si>
  <si>
    <t>David</t>
  </si>
  <si>
    <t>G14689</t>
  </si>
  <si>
    <t xml:space="preserve">VSP - Facillity D </t>
  </si>
  <si>
    <t>BA315610</t>
  </si>
  <si>
    <t>D93401</t>
  </si>
  <si>
    <t>CMC-Facility F</t>
  </si>
  <si>
    <t>BA152570</t>
  </si>
  <si>
    <t>Discharged 5/17/2019</t>
  </si>
  <si>
    <t>T69368</t>
  </si>
  <si>
    <t>GA047737</t>
  </si>
  <si>
    <t>Hecker</t>
  </si>
  <si>
    <t>AS2774</t>
  </si>
  <si>
    <t>SCD248411</t>
  </si>
  <si>
    <t>Cabral</t>
  </si>
  <si>
    <t>AI8530</t>
  </si>
  <si>
    <t>BA379073</t>
  </si>
  <si>
    <t>Carrasco</t>
  </si>
  <si>
    <t>V53505</t>
  </si>
  <si>
    <t>PA047352</t>
  </si>
  <si>
    <t>Fowler</t>
  </si>
  <si>
    <t>AM3667</t>
  </si>
  <si>
    <t>MCSP-Facility D</t>
  </si>
  <si>
    <t>FSB1105668</t>
  </si>
  <si>
    <t>Cepeda</t>
  </si>
  <si>
    <t>BG0980</t>
  </si>
  <si>
    <t>NA090365</t>
  </si>
  <si>
    <t>NCD - 04/13/2020</t>
  </si>
  <si>
    <t>G18710</t>
  </si>
  <si>
    <t>BA414039</t>
  </si>
  <si>
    <t>Leber</t>
  </si>
  <si>
    <t>F97626</t>
  </si>
  <si>
    <t>RIF096220</t>
  </si>
  <si>
    <t>Bracamonte</t>
  </si>
  <si>
    <t>AY0406</t>
  </si>
  <si>
    <t>PA077741</t>
  </si>
  <si>
    <t>Hersey</t>
  </si>
  <si>
    <t>AU8362</t>
  </si>
  <si>
    <t>CRM034963</t>
  </si>
  <si>
    <t>not in the interest of Justice</t>
  </si>
  <si>
    <t>AT3361</t>
  </si>
  <si>
    <t>GA089109</t>
  </si>
  <si>
    <t>I/M sentence was final as of 2014</t>
  </si>
  <si>
    <t xml:space="preserve">Carrasco </t>
  </si>
  <si>
    <t>AH3576</t>
  </si>
  <si>
    <t>TA110264</t>
  </si>
  <si>
    <t>Harrison</t>
  </si>
  <si>
    <t>WA4735</t>
  </si>
  <si>
    <t>CRF090202</t>
  </si>
  <si>
    <t>WF0437</t>
  </si>
  <si>
    <t>SACCO-CCTRP Santa FE Springs</t>
  </si>
  <si>
    <t>GA090089</t>
  </si>
  <si>
    <t>Judicial Action taken on 06/21/2019. Request for documents.</t>
  </si>
  <si>
    <t>Ervin</t>
  </si>
  <si>
    <t>AE6475</t>
  </si>
  <si>
    <t>MA047039</t>
  </si>
  <si>
    <t>Redding</t>
  </si>
  <si>
    <t>BE5010</t>
  </si>
  <si>
    <t>CCC-Deadwood Camp</t>
  </si>
  <si>
    <t>Sims</t>
  </si>
  <si>
    <t>WE6373</t>
  </si>
  <si>
    <t>BA403883</t>
  </si>
  <si>
    <t>Paroled on 1/21/2022</t>
  </si>
  <si>
    <t>AN8010</t>
  </si>
  <si>
    <t>Canter</t>
  </si>
  <si>
    <t>AU2788</t>
  </si>
  <si>
    <t>10WF2706</t>
  </si>
  <si>
    <t>Origianl sentence should not be disturbed</t>
  </si>
  <si>
    <t>Marks</t>
  </si>
  <si>
    <t>WE5142</t>
  </si>
  <si>
    <t>11F01025</t>
  </si>
  <si>
    <t>T07852</t>
  </si>
  <si>
    <t>CTF - Facility A</t>
  </si>
  <si>
    <t>YA040078</t>
  </si>
  <si>
    <t>Gonsalves</t>
  </si>
  <si>
    <t>WG0104</t>
  </si>
  <si>
    <t>CM036102</t>
  </si>
  <si>
    <t xml:space="preserve">Carter </t>
  </si>
  <si>
    <t>T99237</t>
  </si>
  <si>
    <t>CHCF - Facility A</t>
  </si>
  <si>
    <t>01F02232</t>
  </si>
  <si>
    <t>NCD- 8/5/2022</t>
  </si>
  <si>
    <t>Frushon</t>
  </si>
  <si>
    <t>AR2274</t>
  </si>
  <si>
    <t>NA095146</t>
  </si>
  <si>
    <t>Mooney</t>
  </si>
  <si>
    <t>AZ4523</t>
  </si>
  <si>
    <t>SCN317406</t>
  </si>
  <si>
    <t>No justification for the court to exercise its discretion and resentence defendant</t>
  </si>
  <si>
    <t>Original sentence should not be disturbed</t>
  </si>
  <si>
    <t>Collins</t>
  </si>
  <si>
    <t>BC7016</t>
  </si>
  <si>
    <t>13NF3319</t>
  </si>
  <si>
    <t>AL7172</t>
  </si>
  <si>
    <t>Released 7/2/2020</t>
  </si>
  <si>
    <t>Vinci</t>
  </si>
  <si>
    <t>AI3255</t>
  </si>
  <si>
    <t>SCN274520</t>
  </si>
  <si>
    <t>Released on 10/17/2019</t>
  </si>
  <si>
    <t>AR3666</t>
  </si>
  <si>
    <t>13CF2910</t>
  </si>
  <si>
    <t>AS9876</t>
  </si>
  <si>
    <t>CMF-Facility B</t>
  </si>
  <si>
    <t>K69724</t>
  </si>
  <si>
    <t>FSB027493</t>
  </si>
  <si>
    <t>Parks</t>
  </si>
  <si>
    <t>P57932</t>
  </si>
  <si>
    <t>SCD227973</t>
  </si>
  <si>
    <t>Montenegro</t>
  </si>
  <si>
    <t>AR3348</t>
  </si>
  <si>
    <t>12CF0209</t>
  </si>
  <si>
    <t>Released 9/8/2020 released from parole 9/28/2020</t>
  </si>
  <si>
    <t>F84637</t>
  </si>
  <si>
    <t>KA095713</t>
  </si>
  <si>
    <t>AX7149</t>
  </si>
  <si>
    <t>VCF270283</t>
  </si>
  <si>
    <t xml:space="preserve">Denied by Judical officer on 06/27/2019. Request to obtain denial letter. </t>
  </si>
  <si>
    <t>AV7173</t>
  </si>
  <si>
    <t>13WF0278</t>
  </si>
  <si>
    <t>AK0711</t>
  </si>
  <si>
    <t>FCR262979</t>
  </si>
  <si>
    <t>V76480</t>
  </si>
  <si>
    <t>10CF0356</t>
  </si>
  <si>
    <t>Released 8/4/2020</t>
  </si>
  <si>
    <t>Gaston</t>
  </si>
  <si>
    <t>AW1728</t>
  </si>
  <si>
    <t>Beltran</t>
  </si>
  <si>
    <t>AA5919</t>
  </si>
  <si>
    <t xml:space="preserve">ASP-Facility B </t>
  </si>
  <si>
    <t>SCS218232</t>
  </si>
  <si>
    <t>Harley</t>
  </si>
  <si>
    <t>BA9156</t>
  </si>
  <si>
    <t>YA086609</t>
  </si>
  <si>
    <t>AA9660</t>
  </si>
  <si>
    <t>SCD218231</t>
  </si>
  <si>
    <t>AT3713</t>
  </si>
  <si>
    <t>BA405490</t>
  </si>
  <si>
    <t>E13423</t>
  </si>
  <si>
    <t>CC010012</t>
  </si>
  <si>
    <t>Forrest</t>
  </si>
  <si>
    <t>AU5246</t>
  </si>
  <si>
    <t>RIF1301685</t>
  </si>
  <si>
    <t>AU1454</t>
  </si>
  <si>
    <t>GA089508</t>
  </si>
  <si>
    <t>AD6337</t>
  </si>
  <si>
    <t>CVSP - Facility D</t>
  </si>
  <si>
    <t>Minchaca</t>
  </si>
  <si>
    <t>AU0121</t>
  </si>
  <si>
    <t>RIF1105666</t>
  </si>
  <si>
    <t>AM5387</t>
  </si>
  <si>
    <t>FWV1002925</t>
  </si>
  <si>
    <t>AP9488</t>
  </si>
  <si>
    <t>TA127465</t>
  </si>
  <si>
    <t>Colussi</t>
  </si>
  <si>
    <t>AC6820</t>
  </si>
  <si>
    <t>09HF0949</t>
  </si>
  <si>
    <t>H15809B</t>
  </si>
  <si>
    <t>AG0024</t>
  </si>
  <si>
    <t>FWV1000920</t>
  </si>
  <si>
    <t>Madrigal</t>
  </si>
  <si>
    <t>AD5854</t>
  </si>
  <si>
    <t>G58429</t>
  </si>
  <si>
    <t>AM7262</t>
  </si>
  <si>
    <t>SCE320055</t>
  </si>
  <si>
    <t>DeGroff</t>
  </si>
  <si>
    <t>G66668</t>
  </si>
  <si>
    <t>07F000393</t>
  </si>
  <si>
    <t>Castro</t>
  </si>
  <si>
    <t>V55995</t>
  </si>
  <si>
    <t>11F03112</t>
  </si>
  <si>
    <t>Perry</t>
  </si>
  <si>
    <t>AR6557</t>
  </si>
  <si>
    <t>BA402439</t>
  </si>
  <si>
    <t>Cook</t>
  </si>
  <si>
    <t>AR6940</t>
  </si>
  <si>
    <t>MA056009</t>
  </si>
  <si>
    <t>Knapp</t>
  </si>
  <si>
    <t>K89861</t>
  </si>
  <si>
    <t>VA092676</t>
  </si>
  <si>
    <t>Paroled 4/9/2021</t>
  </si>
  <si>
    <t>Aguayo</t>
  </si>
  <si>
    <t>AM3291</t>
  </si>
  <si>
    <t>CCI-Facility D</t>
  </si>
  <si>
    <t>BA387239</t>
  </si>
  <si>
    <t>Chacon</t>
  </si>
  <si>
    <t>AR8181</t>
  </si>
  <si>
    <t>BA398108</t>
  </si>
  <si>
    <t>AR4083</t>
  </si>
  <si>
    <t>SCD245557</t>
  </si>
  <si>
    <t>DeJesus</t>
  </si>
  <si>
    <t>F73062</t>
  </si>
  <si>
    <t>HDSP - Facility A</t>
  </si>
  <si>
    <t>VCF158409</t>
  </si>
  <si>
    <t xml:space="preserve">DeLongis </t>
  </si>
  <si>
    <t>V12863</t>
  </si>
  <si>
    <t>SCR32538</t>
  </si>
  <si>
    <t>declined in the interest of justice</t>
  </si>
  <si>
    <t>K42849</t>
  </si>
  <si>
    <t>FSP-Facility A 1-A5-22L</t>
  </si>
  <si>
    <t>SA023829</t>
  </si>
  <si>
    <t>reduced 36 years, released 09/11/2019</t>
  </si>
  <si>
    <t>Dickens</t>
  </si>
  <si>
    <t>H22267</t>
  </si>
  <si>
    <t>DVI - Facility A</t>
  </si>
  <si>
    <t>03F11006</t>
  </si>
  <si>
    <t>Disandro</t>
  </si>
  <si>
    <t>F53002</t>
  </si>
  <si>
    <t>Released on 2/14/21</t>
  </si>
  <si>
    <t>F21554</t>
  </si>
  <si>
    <t>CCI FAC E</t>
  </si>
  <si>
    <t>F04905379</t>
  </si>
  <si>
    <t>Douglas</t>
  </si>
  <si>
    <t>X33508</t>
  </si>
  <si>
    <t>CIW FAC A</t>
  </si>
  <si>
    <t>BA310304</t>
  </si>
  <si>
    <t>F36775</t>
  </si>
  <si>
    <t>NA068046</t>
  </si>
  <si>
    <t>Chaidez</t>
  </si>
  <si>
    <t>AU4061</t>
  </si>
  <si>
    <t>BA380010</t>
  </si>
  <si>
    <t>Reduced and scheduled release date 8/3/21</t>
  </si>
  <si>
    <t>Dudley</t>
  </si>
  <si>
    <t>F98163</t>
  </si>
  <si>
    <t>F394933</t>
  </si>
  <si>
    <t>Moreland</t>
  </si>
  <si>
    <t>AU3843</t>
  </si>
  <si>
    <t>YA084177</t>
  </si>
  <si>
    <t>TT change from 233 yrs 4 mos to 180 yrs 4 mos</t>
  </si>
  <si>
    <t>Aragon</t>
  </si>
  <si>
    <t>AT0987</t>
  </si>
  <si>
    <t>SC079561</t>
  </si>
  <si>
    <t>NCD - 05/08/2020</t>
  </si>
  <si>
    <t>Egoavil</t>
  </si>
  <si>
    <t>F72169</t>
  </si>
  <si>
    <t>Cen-Facility D</t>
  </si>
  <si>
    <t>GA085366</t>
  </si>
  <si>
    <t>Stewart</t>
  </si>
  <si>
    <t>AM3276</t>
  </si>
  <si>
    <t>SCD240719</t>
  </si>
  <si>
    <t>Arnold</t>
  </si>
  <si>
    <t>AM8417</t>
  </si>
  <si>
    <t>GA077104</t>
  </si>
  <si>
    <t>Judicial Action on 07/29/2019. Request legal documents</t>
  </si>
  <si>
    <t>Birrueta</t>
  </si>
  <si>
    <t>AP9998</t>
  </si>
  <si>
    <t>BA399427</t>
  </si>
  <si>
    <t>Hall</t>
  </si>
  <si>
    <t>AS7830</t>
  </si>
  <si>
    <t>SCD233892</t>
  </si>
  <si>
    <t>Harrelson</t>
  </si>
  <si>
    <t>AY0758</t>
  </si>
  <si>
    <t>SCN325418</t>
  </si>
  <si>
    <t>Pineda</t>
  </si>
  <si>
    <t>AG1233</t>
  </si>
  <si>
    <t>Paroled 3/27/2023</t>
  </si>
  <si>
    <t>Dunham</t>
  </si>
  <si>
    <t>F17925</t>
  </si>
  <si>
    <t>BA274152</t>
  </si>
  <si>
    <t>T16083</t>
  </si>
  <si>
    <t>SS002126B</t>
  </si>
  <si>
    <t>Vizcarra</t>
  </si>
  <si>
    <t>AL1547</t>
  </si>
  <si>
    <t>JCF25950</t>
  </si>
  <si>
    <t>AH1042</t>
  </si>
  <si>
    <t>00AH1042</t>
  </si>
  <si>
    <t>ASP Facility A Integrated Housing</t>
  </si>
  <si>
    <t>SF114966</t>
  </si>
  <si>
    <t>Fair</t>
  </si>
  <si>
    <t>AP5504</t>
  </si>
  <si>
    <t>BA393996</t>
  </si>
  <si>
    <t>AB0935</t>
  </si>
  <si>
    <t>SA077990</t>
  </si>
  <si>
    <t>the victim is in vegetative state and unresponsive / i/m has several RVR's</t>
  </si>
  <si>
    <t>V99597</t>
  </si>
  <si>
    <t>SHS-Atascadero State Hospital</t>
  </si>
  <si>
    <t>F13905428</t>
  </si>
  <si>
    <t>AV2788</t>
  </si>
  <si>
    <t>TA133379</t>
  </si>
  <si>
    <t>Mays</t>
  </si>
  <si>
    <t>BB1853</t>
  </si>
  <si>
    <t>PA078261</t>
  </si>
  <si>
    <t>Paroled 11/23/2019</t>
  </si>
  <si>
    <t>F77990</t>
  </si>
  <si>
    <t>CCI</t>
  </si>
  <si>
    <t>TA084148-01</t>
  </si>
  <si>
    <t>P31399</t>
  </si>
  <si>
    <t>SA033466</t>
  </si>
  <si>
    <t>Vega</t>
  </si>
  <si>
    <t>AU9026</t>
  </si>
  <si>
    <t>PA062376</t>
  </si>
  <si>
    <t>AA2181</t>
  </si>
  <si>
    <t>FVI1002669</t>
  </si>
  <si>
    <t>AI4199</t>
  </si>
  <si>
    <t>F1033711</t>
  </si>
  <si>
    <t>Sentence correctly imposed pursuant to People v. Vega</t>
  </si>
  <si>
    <t>AN5168</t>
  </si>
  <si>
    <t>SCN305431</t>
  </si>
  <si>
    <t>Pettway</t>
  </si>
  <si>
    <t>AD5571</t>
  </si>
  <si>
    <t>Terraza</t>
  </si>
  <si>
    <t>AD5070</t>
  </si>
  <si>
    <t>BA35563501</t>
  </si>
  <si>
    <t>Vicente</t>
  </si>
  <si>
    <t>AH5857</t>
  </si>
  <si>
    <t>TA113196</t>
  </si>
  <si>
    <t>Guerrero</t>
  </si>
  <si>
    <t>AH0800</t>
  </si>
  <si>
    <t>FCH800038</t>
  </si>
  <si>
    <t>Paroled 9/23/2019 Issue moot</t>
  </si>
  <si>
    <t>SCD236953</t>
  </si>
  <si>
    <t>AR6286</t>
  </si>
  <si>
    <t>KA101599</t>
  </si>
  <si>
    <t>Jacquett</t>
  </si>
  <si>
    <t>AR1009</t>
  </si>
  <si>
    <t>SCD246226</t>
  </si>
  <si>
    <t>G44378</t>
  </si>
  <si>
    <t>FOL-MSF</t>
  </si>
  <si>
    <t>08F01468</t>
  </si>
  <si>
    <t>Released on 10/07/2018 - Resentenced Per People V. Le &amp; People V. Rodriguez</t>
  </si>
  <si>
    <t>Leonard</t>
  </si>
  <si>
    <t>AX7967</t>
  </si>
  <si>
    <t>D57393</t>
  </si>
  <si>
    <t>SS151769A</t>
  </si>
  <si>
    <t>Resentenced/No reduction LWOP</t>
  </si>
  <si>
    <t>Barron</t>
  </si>
  <si>
    <t>F86321</t>
  </si>
  <si>
    <t>SC060485A</t>
  </si>
  <si>
    <t>Paroled and detained by ICE on 10/29/19</t>
  </si>
  <si>
    <t>Cephus</t>
  </si>
  <si>
    <t>BC7015</t>
  </si>
  <si>
    <t>BF8450</t>
  </si>
  <si>
    <t>C1078244</t>
  </si>
  <si>
    <t>The court declines until further hearing</t>
  </si>
  <si>
    <t>AR6529</t>
  </si>
  <si>
    <t>PA076211</t>
  </si>
  <si>
    <t>P80342</t>
  </si>
  <si>
    <t>SAC-MSF</t>
  </si>
  <si>
    <t>YA078234</t>
  </si>
  <si>
    <t>AR1863</t>
  </si>
  <si>
    <t>KA101873</t>
  </si>
  <si>
    <t>Cherry</t>
  </si>
  <si>
    <t>AL2696</t>
  </si>
  <si>
    <t>NA095631</t>
  </si>
  <si>
    <t>AL7255</t>
  </si>
  <si>
    <t>SCD232456</t>
  </si>
  <si>
    <t>Dye</t>
  </si>
  <si>
    <t>V56880</t>
  </si>
  <si>
    <t>CIM-Facility C, C-239L</t>
  </si>
  <si>
    <t>SCD172719</t>
  </si>
  <si>
    <t>AM8854</t>
  </si>
  <si>
    <t>11CF2178</t>
  </si>
  <si>
    <t>AL9172</t>
  </si>
  <si>
    <t>VCF258962</t>
  </si>
  <si>
    <t>AI1554</t>
  </si>
  <si>
    <t>07CF3336</t>
  </si>
  <si>
    <t>AU2518</t>
  </si>
  <si>
    <t>SCN324938</t>
  </si>
  <si>
    <t>F93998</t>
  </si>
  <si>
    <t>06F04456</t>
  </si>
  <si>
    <t>Hancock</t>
  </si>
  <si>
    <t>AP0183</t>
  </si>
  <si>
    <t>Ellis</t>
  </si>
  <si>
    <t>J89782</t>
  </si>
  <si>
    <t>GA060255</t>
  </si>
  <si>
    <t>Scheduled release 12/09/2021</t>
  </si>
  <si>
    <t>Escareno</t>
  </si>
  <si>
    <t>H83031</t>
  </si>
  <si>
    <t>SATF FAC A</t>
  </si>
  <si>
    <t>KA055189  VA068367</t>
  </si>
  <si>
    <t>Rincon</t>
  </si>
  <si>
    <t>AT2518</t>
  </si>
  <si>
    <t>Mansir</t>
  </si>
  <si>
    <t>BA4120</t>
  </si>
  <si>
    <t>Eskridge</t>
  </si>
  <si>
    <t>K07041</t>
  </si>
  <si>
    <t>NA024604</t>
  </si>
  <si>
    <t>Garza</t>
  </si>
  <si>
    <t>AS1501</t>
  </si>
  <si>
    <t>SF017107A</t>
  </si>
  <si>
    <t>Zurita</t>
  </si>
  <si>
    <t>AA5921</t>
  </si>
  <si>
    <t>SCN25200</t>
  </si>
  <si>
    <t>Maldonado</t>
  </si>
  <si>
    <t>E33033</t>
  </si>
  <si>
    <t>00E33033</t>
  </si>
  <si>
    <t>CTF Facility A SNY</t>
  </si>
  <si>
    <t>209185  07CM7295</t>
  </si>
  <si>
    <t>F60038</t>
  </si>
  <si>
    <t>BA290826</t>
  </si>
  <si>
    <t>Gordon</t>
  </si>
  <si>
    <t>X18495</t>
  </si>
  <si>
    <t>RIF1300616</t>
  </si>
  <si>
    <t>F76336</t>
  </si>
  <si>
    <t>CCI-Facility E SNY</t>
  </si>
  <si>
    <t>06F02330</t>
  </si>
  <si>
    <t xml:space="preserve">reduced by 1 year and court orders deft time served </t>
  </si>
  <si>
    <t>Eiras</t>
  </si>
  <si>
    <t>BF0678</t>
  </si>
  <si>
    <t>INF1301997</t>
  </si>
  <si>
    <t>T64691</t>
  </si>
  <si>
    <t>MA038272</t>
  </si>
  <si>
    <t>AS0458</t>
  </si>
  <si>
    <t>GA088571</t>
  </si>
  <si>
    <t>Hyde</t>
  </si>
  <si>
    <t>F28223</t>
  </si>
  <si>
    <t>H35398</t>
  </si>
  <si>
    <t>F46035</t>
  </si>
  <si>
    <t>00F46035</t>
  </si>
  <si>
    <t>ASP-Facility A SNY</t>
  </si>
  <si>
    <t>VA085149-01</t>
  </si>
  <si>
    <t>Faulkenberry</t>
  </si>
  <si>
    <t>T11384</t>
  </si>
  <si>
    <t>Lake</t>
  </si>
  <si>
    <t>CR4931</t>
  </si>
  <si>
    <t>F40437</t>
  </si>
  <si>
    <t>F27457</t>
  </si>
  <si>
    <t>T82155</t>
  </si>
  <si>
    <t>Porras</t>
  </si>
  <si>
    <t>AS2449</t>
  </si>
  <si>
    <t>SCS255229</t>
  </si>
  <si>
    <t>released 1/30/2019</t>
  </si>
  <si>
    <t>T43011</t>
  </si>
  <si>
    <t xml:space="preserve">VSP FAC A </t>
  </si>
  <si>
    <t>LA037158</t>
  </si>
  <si>
    <t>Released date 1/23/2020</t>
  </si>
  <si>
    <t>Coronel</t>
  </si>
  <si>
    <t>T43144</t>
  </si>
  <si>
    <t>Napier</t>
  </si>
  <si>
    <t>AV6458</t>
  </si>
  <si>
    <t>H54603</t>
  </si>
  <si>
    <t>Court denies to resentence</t>
  </si>
  <si>
    <t>AR2051</t>
  </si>
  <si>
    <t>SC076581</t>
  </si>
  <si>
    <t>Derosas</t>
  </si>
  <si>
    <t>AS2093</t>
  </si>
  <si>
    <t>11CF3037</t>
  </si>
  <si>
    <t>Paroled 11/7/2020 issue moot</t>
  </si>
  <si>
    <t>Flippin</t>
  </si>
  <si>
    <t>FA1084</t>
  </si>
  <si>
    <t>VCR214418</t>
  </si>
  <si>
    <t>Paroled 9/30/2023</t>
  </si>
  <si>
    <t>G24158</t>
  </si>
  <si>
    <t>F07906484</t>
  </si>
  <si>
    <t>AP4876</t>
  </si>
  <si>
    <t>PCF270944</t>
  </si>
  <si>
    <t>Paroled on 3/29/2022</t>
  </si>
  <si>
    <t>Cervantes</t>
  </si>
  <si>
    <t>J66270</t>
  </si>
  <si>
    <t>Reduced by 5 years</t>
  </si>
  <si>
    <t>Alcantara</t>
  </si>
  <si>
    <t>AM9286</t>
  </si>
  <si>
    <t>SCN315462</t>
  </si>
  <si>
    <t>NCD - 12/02/2019</t>
  </si>
  <si>
    <t>V68386</t>
  </si>
  <si>
    <t>SF091291A</t>
  </si>
  <si>
    <t>Gadson</t>
  </si>
  <si>
    <t>C41033</t>
  </si>
  <si>
    <t>FCR252220</t>
  </si>
  <si>
    <t>Fill</t>
  </si>
  <si>
    <t>X03953</t>
  </si>
  <si>
    <t>CIW-A</t>
  </si>
  <si>
    <t>FSB040619</t>
  </si>
  <si>
    <t xml:space="preserve">Mendoza </t>
  </si>
  <si>
    <t>AF8052</t>
  </si>
  <si>
    <t>RIF149675</t>
  </si>
  <si>
    <t>H43209</t>
  </si>
  <si>
    <t>SCD116295</t>
  </si>
  <si>
    <t>Released to ICE on 02/15/2019</t>
  </si>
  <si>
    <t>AB0395</t>
  </si>
  <si>
    <t>SOL - Facility C</t>
  </si>
  <si>
    <t xml:space="preserve">BA360124  </t>
  </si>
  <si>
    <t>Berryman</t>
  </si>
  <si>
    <t>AX4398</t>
  </si>
  <si>
    <t>MA056720</t>
  </si>
  <si>
    <t>A just and appropriate sentence</t>
  </si>
  <si>
    <t>Phom</t>
  </si>
  <si>
    <t>V59687</t>
  </si>
  <si>
    <t>NA052060</t>
  </si>
  <si>
    <t>Whittington</t>
  </si>
  <si>
    <t>P55331</t>
  </si>
  <si>
    <t>Humboldt</t>
  </si>
  <si>
    <t>CR974622</t>
  </si>
  <si>
    <t>Rose</t>
  </si>
  <si>
    <t>AT1400</t>
  </si>
  <si>
    <t>BA409588</t>
  </si>
  <si>
    <t>Cuba</t>
  </si>
  <si>
    <t>C95390</t>
  </si>
  <si>
    <t>BA325622</t>
  </si>
  <si>
    <t>Corothers</t>
  </si>
  <si>
    <t>J08113</t>
  </si>
  <si>
    <t>Released on 04/15/2020</t>
  </si>
  <si>
    <t>AF0865</t>
  </si>
  <si>
    <t>SACCO-MCRP LOS ANGELES</t>
  </si>
  <si>
    <t>VA111493</t>
  </si>
  <si>
    <t>Paroled 8/20/2020 issue moot</t>
  </si>
  <si>
    <t>AS6805</t>
  </si>
  <si>
    <t>BA412063</t>
  </si>
  <si>
    <t>Paroled 10/8/2020 issue moot</t>
  </si>
  <si>
    <t>AS3109</t>
  </si>
  <si>
    <t>released 10/09/2019</t>
  </si>
  <si>
    <t>AN7058</t>
  </si>
  <si>
    <t>KVSP-MSF</t>
  </si>
  <si>
    <t>F11906752</t>
  </si>
  <si>
    <t>Paroled 9/18/2020 issue moot</t>
  </si>
  <si>
    <t>Roberts</t>
  </si>
  <si>
    <t>AL7796</t>
  </si>
  <si>
    <t>BA389938</t>
  </si>
  <si>
    <t>will be released 1/10/20</t>
  </si>
  <si>
    <t>T45872</t>
  </si>
  <si>
    <t xml:space="preserve">SHS-Atascadero </t>
  </si>
  <si>
    <t>CR106957</t>
  </si>
  <si>
    <t>Spragan</t>
  </si>
  <si>
    <t>AK8183</t>
  </si>
  <si>
    <t>Paroled 10/22/2020 issue moot</t>
  </si>
  <si>
    <t>T35363</t>
  </si>
  <si>
    <t>SCE303416</t>
  </si>
  <si>
    <t>Paroled 09/19/2020 issue moot</t>
  </si>
  <si>
    <t>F51715</t>
  </si>
  <si>
    <t>VSP FAC D</t>
  </si>
  <si>
    <t>VCF124890</t>
  </si>
  <si>
    <t>Released on 7/7/2020</t>
  </si>
  <si>
    <t>F57443</t>
  </si>
  <si>
    <t>CRF41810</t>
  </si>
  <si>
    <t>stipulated &amp; case law</t>
  </si>
  <si>
    <t>F75027</t>
  </si>
  <si>
    <t>12F05591</t>
  </si>
  <si>
    <t>AV1625</t>
  </si>
  <si>
    <t>PA079520-01</t>
  </si>
  <si>
    <t>The court did not impose more than one enhancement for the infliction of great bodily injury on the same conviction in the commission of a single offense.</t>
  </si>
  <si>
    <t>G49000</t>
  </si>
  <si>
    <t>INF059114</t>
  </si>
  <si>
    <t>Katepa</t>
  </si>
  <si>
    <t>AD7343</t>
  </si>
  <si>
    <t>VCF290631</t>
  </si>
  <si>
    <t>Paroled 6/5/2023</t>
  </si>
  <si>
    <t>AZ0580</t>
  </si>
  <si>
    <t>Court date 01/15/2020</t>
  </si>
  <si>
    <t>AH5506</t>
  </si>
  <si>
    <t>FCR347279</t>
  </si>
  <si>
    <t>NCD - 06/17/2020</t>
  </si>
  <si>
    <t>AR6180</t>
  </si>
  <si>
    <t>SF16860D</t>
  </si>
  <si>
    <t xml:space="preserve">Active Parole issue Moot per Judge Bush Kern County </t>
  </si>
  <si>
    <t>AM2464</t>
  </si>
  <si>
    <t>VA122177</t>
  </si>
  <si>
    <t>AZ1328</t>
  </si>
  <si>
    <t>BA425421-01</t>
  </si>
  <si>
    <t>Chavira</t>
  </si>
  <si>
    <t>AR5035</t>
  </si>
  <si>
    <t>PVSP - Facility B</t>
  </si>
  <si>
    <t>13F03617</t>
  </si>
  <si>
    <t>AP3198</t>
  </si>
  <si>
    <t>X30874</t>
  </si>
  <si>
    <t>CCWF FAC C</t>
  </si>
  <si>
    <t>BA331474</t>
  </si>
  <si>
    <t>Robles</t>
  </si>
  <si>
    <t>V94227</t>
  </si>
  <si>
    <t>SS051476A</t>
  </si>
  <si>
    <t>AU2800</t>
  </si>
  <si>
    <t>C1360701</t>
  </si>
  <si>
    <t>AT2176</t>
  </si>
  <si>
    <t>VCF234736B</t>
  </si>
  <si>
    <t>F09401</t>
  </si>
  <si>
    <t>VCF146315B</t>
  </si>
  <si>
    <t>AT5414</t>
  </si>
  <si>
    <t>CRF133618</t>
  </si>
  <si>
    <t>Aston</t>
  </si>
  <si>
    <t>P54857</t>
  </si>
  <si>
    <t>SCD244270</t>
  </si>
  <si>
    <t>Oceguera</t>
  </si>
  <si>
    <t>G20151</t>
  </si>
  <si>
    <t>VA083120</t>
  </si>
  <si>
    <t>AM3988</t>
  </si>
  <si>
    <t>KVSP-Facility  A</t>
  </si>
  <si>
    <t>BF150131A</t>
  </si>
  <si>
    <t>AR9229</t>
  </si>
  <si>
    <t>FSB1300161</t>
  </si>
  <si>
    <t>AF7685</t>
  </si>
  <si>
    <t>00AF7685</t>
  </si>
  <si>
    <t>BA412608</t>
  </si>
  <si>
    <t>Frisch</t>
  </si>
  <si>
    <t>AW2999</t>
  </si>
  <si>
    <t>CTF - Facility C</t>
  </si>
  <si>
    <t>LA074018</t>
  </si>
  <si>
    <t>WA9963</t>
  </si>
  <si>
    <t>RIF10002980</t>
  </si>
  <si>
    <t>Paroled 9/11/2022</t>
  </si>
  <si>
    <t>Coogler</t>
  </si>
  <si>
    <t>AK2127</t>
  </si>
  <si>
    <t>VSP - Facility A</t>
  </si>
  <si>
    <t>VA116629</t>
  </si>
  <si>
    <t>Paroled on 7/6/2022</t>
  </si>
  <si>
    <t>Gaffeney</t>
  </si>
  <si>
    <t>P41264</t>
  </si>
  <si>
    <t>CTF- Facility C</t>
  </si>
  <si>
    <t>SCO76281</t>
  </si>
  <si>
    <t>Mojica</t>
  </si>
  <si>
    <t>T92734</t>
  </si>
  <si>
    <t>BA411045</t>
  </si>
  <si>
    <t>AX9456</t>
  </si>
  <si>
    <t>RIF1411865</t>
  </si>
  <si>
    <t>Oneal</t>
  </si>
  <si>
    <t>AS0432</t>
  </si>
  <si>
    <t>Elshire</t>
  </si>
  <si>
    <t>WE8838</t>
  </si>
  <si>
    <t>SCD248774</t>
  </si>
  <si>
    <t>T29390</t>
  </si>
  <si>
    <t>YA076170</t>
  </si>
  <si>
    <t>AF1506</t>
  </si>
  <si>
    <t xml:space="preserve">COCF-La Palma CC, Arizona </t>
  </si>
  <si>
    <t>TA112952</t>
  </si>
  <si>
    <t xml:space="preserve">Berry </t>
  </si>
  <si>
    <t>AS8812</t>
  </si>
  <si>
    <t>BA413129</t>
  </si>
  <si>
    <t>NCD - 04/21/2020</t>
  </si>
  <si>
    <t>Kaumblulu</t>
  </si>
  <si>
    <t>AU5562</t>
  </si>
  <si>
    <t>5-130930</t>
  </si>
  <si>
    <t>AG7157</t>
  </si>
  <si>
    <t>FSB1002902</t>
  </si>
  <si>
    <t>Washington</t>
  </si>
  <si>
    <t>AG9466</t>
  </si>
  <si>
    <t>COR-Facilty 03B</t>
  </si>
  <si>
    <t>BA393136</t>
  </si>
  <si>
    <t>Smothers</t>
  </si>
  <si>
    <t>AP5446</t>
  </si>
  <si>
    <t>STK-CR-2016-1265</t>
  </si>
  <si>
    <t>AT1445</t>
  </si>
  <si>
    <t>SCD250578</t>
  </si>
  <si>
    <t>CIM FAC C</t>
  </si>
  <si>
    <t>GA03707701</t>
  </si>
  <si>
    <t>Dancy</t>
  </si>
  <si>
    <t>H79567</t>
  </si>
  <si>
    <t>GA080605</t>
  </si>
  <si>
    <t>Paroled on 02/22/2020  - BPH NVPP</t>
  </si>
  <si>
    <t>Matus</t>
  </si>
  <si>
    <t>C26302</t>
  </si>
  <si>
    <t>LA070126</t>
  </si>
  <si>
    <t>Paroled on 8/31/2020</t>
  </si>
  <si>
    <t>AS9596</t>
  </si>
  <si>
    <t>VCF263415</t>
  </si>
  <si>
    <t>AI1254</t>
  </si>
  <si>
    <t>released 11/15/2020</t>
  </si>
  <si>
    <t>V11362</t>
  </si>
  <si>
    <t>CC247793</t>
  </si>
  <si>
    <t>also has an ISL / would be un-impactful</t>
  </si>
  <si>
    <t>G02325</t>
  </si>
  <si>
    <t>G00653</t>
  </si>
  <si>
    <t>TA089691</t>
  </si>
  <si>
    <t>AH8925</t>
  </si>
  <si>
    <t>DVI-MSF</t>
  </si>
  <si>
    <t>C1357712</t>
  </si>
  <si>
    <t>V46016</t>
  </si>
  <si>
    <t>AL045067</t>
  </si>
  <si>
    <t>Jennings</t>
  </si>
  <si>
    <t>F09329</t>
  </si>
  <si>
    <t>TA080045</t>
  </si>
  <si>
    <t>Guevara</t>
  </si>
  <si>
    <t>AS2610</t>
  </si>
  <si>
    <t>Tobilla</t>
  </si>
  <si>
    <t>AR8519</t>
  </si>
  <si>
    <t>BA385523</t>
  </si>
  <si>
    <t>G51326</t>
  </si>
  <si>
    <t>07F08075</t>
  </si>
  <si>
    <t>Paroled 8/24/2023</t>
  </si>
  <si>
    <t>T01879</t>
  </si>
  <si>
    <t>SS021235</t>
  </si>
  <si>
    <t>Reduced 5 years</t>
  </si>
  <si>
    <t>AT9646</t>
  </si>
  <si>
    <t>11CF3038</t>
  </si>
  <si>
    <t>Paroled 5/28/2023</t>
  </si>
  <si>
    <t>AK9861</t>
  </si>
  <si>
    <t>11CF1475</t>
  </si>
  <si>
    <t>NCD - 05/29/2020 - Currently Out to Court</t>
  </si>
  <si>
    <t>Randle</t>
  </si>
  <si>
    <t>V36431</t>
  </si>
  <si>
    <t>BA417075</t>
  </si>
  <si>
    <t>Paroled 10/8/2023</t>
  </si>
  <si>
    <t>AM5206</t>
  </si>
  <si>
    <t>SA078622</t>
  </si>
  <si>
    <t>F69052</t>
  </si>
  <si>
    <t>12CM4065</t>
  </si>
  <si>
    <t>Richmond</t>
  </si>
  <si>
    <t>AT4011</t>
  </si>
  <si>
    <t>BA396888</t>
  </si>
  <si>
    <t>Paroled 1/5/2023</t>
  </si>
  <si>
    <t>BE9054</t>
  </si>
  <si>
    <t>BA453880-01</t>
  </si>
  <si>
    <t>T38688</t>
  </si>
  <si>
    <t>CR102256</t>
  </si>
  <si>
    <t>AR2076</t>
  </si>
  <si>
    <t>13NF0638</t>
  </si>
  <si>
    <t>Sumlin</t>
  </si>
  <si>
    <t>G11649</t>
  </si>
  <si>
    <t>Paroled on 7/2/2020</t>
  </si>
  <si>
    <t>Arredondo</t>
  </si>
  <si>
    <t>AL8725</t>
  </si>
  <si>
    <t>VCF255912A</t>
  </si>
  <si>
    <t>Whitaker</t>
  </si>
  <si>
    <t>J21979</t>
  </si>
  <si>
    <t>BA141904</t>
  </si>
  <si>
    <t>AH6934</t>
  </si>
  <si>
    <t>SCD249489</t>
  </si>
  <si>
    <t>Packard</t>
  </si>
  <si>
    <t>AS9853</t>
  </si>
  <si>
    <t>RJD-Facility</t>
  </si>
  <si>
    <t>SCD252490</t>
  </si>
  <si>
    <t>AR0611</t>
  </si>
  <si>
    <t>YA087518</t>
  </si>
  <si>
    <t>Released on 03/08/2020</t>
  </si>
  <si>
    <t>AK7592</t>
  </si>
  <si>
    <t>CCC - Facility C</t>
  </si>
  <si>
    <t>CC816687</t>
  </si>
  <si>
    <t>hearing set for reschedule due to covid on 1/18/22</t>
  </si>
  <si>
    <t>P97270</t>
  </si>
  <si>
    <t>09WF0174</t>
  </si>
  <si>
    <t>NA082731</t>
  </si>
  <si>
    <t>Paroled 2/1/2023</t>
  </si>
  <si>
    <t>Hudson</t>
  </si>
  <si>
    <t>AR3565</t>
  </si>
  <si>
    <t>Scheduled release on 10/19/21</t>
  </si>
  <si>
    <t>F43290</t>
  </si>
  <si>
    <t>SCD217357</t>
  </si>
  <si>
    <t>P09030</t>
  </si>
  <si>
    <t>SCN129999</t>
  </si>
  <si>
    <t>Defendant can come to SD and contest himself?</t>
  </si>
  <si>
    <t>Molina</t>
  </si>
  <si>
    <t>G33423</t>
  </si>
  <si>
    <t>PA059233</t>
  </si>
  <si>
    <t>Sweeney</t>
  </si>
  <si>
    <t>AM5135</t>
  </si>
  <si>
    <t>PA073241</t>
  </si>
  <si>
    <t>AX1909</t>
  </si>
  <si>
    <t>FVI1300638</t>
  </si>
  <si>
    <t>Childers</t>
  </si>
  <si>
    <t>AN7569</t>
  </si>
  <si>
    <t>SCD231261</t>
  </si>
  <si>
    <t>AN9005</t>
  </si>
  <si>
    <t>SCD241793</t>
  </si>
  <si>
    <t>AM0573</t>
  </si>
  <si>
    <t>CIM FAC D</t>
  </si>
  <si>
    <t>11CF2712</t>
  </si>
  <si>
    <t>Reduced by 7 years. Term restructured</t>
  </si>
  <si>
    <t>AU2424</t>
  </si>
  <si>
    <t>ASP -Facility E</t>
  </si>
  <si>
    <t>VA130706</t>
  </si>
  <si>
    <t>V29840</t>
  </si>
  <si>
    <t>TA070303</t>
  </si>
  <si>
    <t>P82616</t>
  </si>
  <si>
    <t>LA032965</t>
  </si>
  <si>
    <t>AT7838</t>
  </si>
  <si>
    <t>T45085</t>
  </si>
  <si>
    <t>SCD162364</t>
  </si>
  <si>
    <t>released on 03/09/2020</t>
  </si>
  <si>
    <t>E65222</t>
  </si>
  <si>
    <t>BA248242</t>
  </si>
  <si>
    <t>Term restructured</t>
  </si>
  <si>
    <t>F98738</t>
  </si>
  <si>
    <t>SCE292865</t>
  </si>
  <si>
    <t>Paroled on 6/20/2021</t>
  </si>
  <si>
    <t>E15211</t>
  </si>
  <si>
    <t>PBSP - Facility B</t>
  </si>
  <si>
    <t>CR31242</t>
  </si>
  <si>
    <t>AL5214</t>
  </si>
  <si>
    <t>CC960248</t>
  </si>
  <si>
    <t>Concurrent and moot</t>
  </si>
  <si>
    <t>Everett</t>
  </si>
  <si>
    <t>AW3741</t>
  </si>
  <si>
    <t>YA084595</t>
  </si>
  <si>
    <t>V81149</t>
  </si>
  <si>
    <t>AE6092</t>
  </si>
  <si>
    <t>CMC-Faciity C</t>
  </si>
  <si>
    <t>BF1476799C</t>
  </si>
  <si>
    <t>AS5988</t>
  </si>
  <si>
    <t>FOL Facility A</t>
  </si>
  <si>
    <t>VA122923</t>
  </si>
  <si>
    <t>AU0449</t>
  </si>
  <si>
    <t>12NF1089</t>
  </si>
  <si>
    <t>Keller</t>
  </si>
  <si>
    <t>AP4297</t>
  </si>
  <si>
    <t>SCD264642</t>
  </si>
  <si>
    <t>AF3729</t>
  </si>
  <si>
    <t>BA363319</t>
  </si>
  <si>
    <t>AT2670</t>
  </si>
  <si>
    <t>BF1151132B</t>
  </si>
  <si>
    <t>Howell</t>
  </si>
  <si>
    <t>AS5253</t>
  </si>
  <si>
    <t>C1241247</t>
  </si>
  <si>
    <t>Mendietta</t>
  </si>
  <si>
    <t>AR4524</t>
  </si>
  <si>
    <t>F12909409</t>
  </si>
  <si>
    <t>AH3359</t>
  </si>
  <si>
    <t>VA111786</t>
  </si>
  <si>
    <t>Gibbs</t>
  </si>
  <si>
    <t>AM6456</t>
  </si>
  <si>
    <t>SCD240904</t>
  </si>
  <si>
    <t>T45522</t>
  </si>
  <si>
    <t>LA073433</t>
  </si>
  <si>
    <t>Plea Bargain</t>
  </si>
  <si>
    <t>Dellaripa</t>
  </si>
  <si>
    <t>AL6737</t>
  </si>
  <si>
    <t>GA084064</t>
  </si>
  <si>
    <t>Depina</t>
  </si>
  <si>
    <t>AG6816</t>
  </si>
  <si>
    <t>ASP-Facility D</t>
  </si>
  <si>
    <t>BF147916</t>
  </si>
  <si>
    <t>Price</t>
  </si>
  <si>
    <t>G12085</t>
  </si>
  <si>
    <t>P27036</t>
  </si>
  <si>
    <t>98CF0854</t>
  </si>
  <si>
    <t>Paroled 4/23/201</t>
  </si>
  <si>
    <t>AN2265</t>
  </si>
  <si>
    <t>11NF3081</t>
  </si>
  <si>
    <t>Yerena</t>
  </si>
  <si>
    <t>AV9246</t>
  </si>
  <si>
    <t>PA076990-01</t>
  </si>
  <si>
    <t>AL6637</t>
  </si>
  <si>
    <t>TA116659</t>
  </si>
  <si>
    <t>Gates</t>
  </si>
  <si>
    <t>V32133</t>
  </si>
  <si>
    <t>BA245230</t>
  </si>
  <si>
    <t>Juhl</t>
  </si>
  <si>
    <t>AD9774</t>
  </si>
  <si>
    <t>RIF145253</t>
  </si>
  <si>
    <t>DA contact - will make no changes multiple offenses.</t>
  </si>
  <si>
    <t>Montalvo</t>
  </si>
  <si>
    <t>AV5321</t>
  </si>
  <si>
    <t>CRF12-3902</t>
  </si>
  <si>
    <t>Renteria</t>
  </si>
  <si>
    <t>AZ8548</t>
  </si>
  <si>
    <t>Jouett</t>
  </si>
  <si>
    <t>AB1403</t>
  </si>
  <si>
    <t>BA403167</t>
  </si>
  <si>
    <t>Lawson</t>
  </si>
  <si>
    <t>BE9435</t>
  </si>
  <si>
    <t>G30817</t>
  </si>
  <si>
    <t>SCN238860</t>
  </si>
  <si>
    <t>AX0068</t>
  </si>
  <si>
    <t>05-130081-3</t>
  </si>
  <si>
    <t>Gage</t>
  </si>
  <si>
    <t>AU4979</t>
  </si>
  <si>
    <t>BF142035B</t>
  </si>
  <si>
    <t>T67229</t>
  </si>
  <si>
    <t>RIF102091</t>
  </si>
  <si>
    <t>Willard</t>
  </si>
  <si>
    <t>AG2402</t>
  </si>
  <si>
    <t>BA369978</t>
  </si>
  <si>
    <t>AU6889</t>
  </si>
  <si>
    <t>CMC-MSF</t>
  </si>
  <si>
    <t>CRM026292</t>
  </si>
  <si>
    <t>Baskin</t>
  </si>
  <si>
    <t>AM6750</t>
  </si>
  <si>
    <t>NA086624</t>
  </si>
  <si>
    <t>BPH - Release NVPP - 11/11/2019</t>
  </si>
  <si>
    <t>AV0282</t>
  </si>
  <si>
    <t>YA089874</t>
  </si>
  <si>
    <t>Long</t>
  </si>
  <si>
    <t>G07938</t>
  </si>
  <si>
    <t>06CF2481</t>
  </si>
  <si>
    <t xml:space="preserve">PVSP-Facility A </t>
  </si>
  <si>
    <t>05CF0002</t>
  </si>
  <si>
    <t>Gillies</t>
  </si>
  <si>
    <t>G22170</t>
  </si>
  <si>
    <t>CR914507</t>
  </si>
  <si>
    <t>Savage</t>
  </si>
  <si>
    <t>AR4110</t>
  </si>
  <si>
    <t>Wells</t>
  </si>
  <si>
    <t>AM6705</t>
  </si>
  <si>
    <t>F22584</t>
  </si>
  <si>
    <t>F31441</t>
  </si>
  <si>
    <t>VA086514</t>
  </si>
  <si>
    <t>AR5004</t>
  </si>
  <si>
    <t>SCE317052</t>
  </si>
  <si>
    <t>AK1091</t>
  </si>
  <si>
    <t>Paroled 9/22/2022</t>
  </si>
  <si>
    <t>T40487</t>
  </si>
  <si>
    <t>BF147477A</t>
  </si>
  <si>
    <t>Hor</t>
  </si>
  <si>
    <t>AP9944</t>
  </si>
  <si>
    <t>NA094450</t>
  </si>
  <si>
    <t>Paroled 1/11/2023</t>
  </si>
  <si>
    <t>C60042</t>
  </si>
  <si>
    <t>FBA1200191</t>
  </si>
  <si>
    <t>AB2320</t>
  </si>
  <si>
    <t>04F09068</t>
  </si>
  <si>
    <t>Huerta</t>
  </si>
  <si>
    <t>AS1136</t>
  </si>
  <si>
    <t>MCSP</t>
  </si>
  <si>
    <t>VCF274843</t>
  </si>
  <si>
    <t>Criminal History</t>
  </si>
  <si>
    <t>Daniel</t>
  </si>
  <si>
    <t>D03662</t>
  </si>
  <si>
    <t>SATF - Facility B</t>
  </si>
  <si>
    <t>TA049801</t>
  </si>
  <si>
    <t>released 6/3/2021</t>
  </si>
  <si>
    <t>Gonazales</t>
  </si>
  <si>
    <t>F73433</t>
  </si>
  <si>
    <t>06CF0574</t>
  </si>
  <si>
    <t>Darton</t>
  </si>
  <si>
    <t>G25902</t>
  </si>
  <si>
    <t>00G25902</t>
  </si>
  <si>
    <t>CVSP FAC B</t>
  </si>
  <si>
    <t>Released on 11/13/2020</t>
  </si>
  <si>
    <t>AD1789</t>
  </si>
  <si>
    <t>RJD - Facility E</t>
  </si>
  <si>
    <t>SCD223361</t>
  </si>
  <si>
    <t>AL9449</t>
  </si>
  <si>
    <t>MCSP - Facility B</t>
  </si>
  <si>
    <t>Tehama</t>
  </si>
  <si>
    <t>NCR82824</t>
  </si>
  <si>
    <t>Goodall</t>
  </si>
  <si>
    <t>P42773</t>
  </si>
  <si>
    <t>NA039473</t>
  </si>
  <si>
    <t>De la Cruz</t>
  </si>
  <si>
    <t>V60763</t>
  </si>
  <si>
    <t>VA104579</t>
  </si>
  <si>
    <r>
      <t xml:space="preserve">Second case number VA103235 for Los Angeles County. Second letter will be sent to Riverside County for case number RIF1802254. </t>
    </r>
    <r>
      <rPr>
        <b/>
        <sz val="11"/>
        <color theme="1"/>
        <rFont val="Calibri"/>
        <family val="2"/>
        <scheme val="minor"/>
      </rPr>
      <t>Per M.O</t>
    </r>
    <r>
      <rPr>
        <sz val="11"/>
        <color theme="1"/>
        <rFont val="Calibri"/>
        <family val="2"/>
        <scheme val="minor"/>
      </rPr>
      <t xml:space="preserve"> </t>
    </r>
    <r>
      <rPr>
        <b/>
        <sz val="11"/>
        <color theme="1"/>
        <rFont val="Calibri"/>
        <family val="2"/>
        <scheme val="minor"/>
      </rPr>
      <t>File transferred to Judge Lillian Vega 8/26/20 for disposition</t>
    </r>
  </si>
  <si>
    <t xml:space="preserve">Deal </t>
  </si>
  <si>
    <t>G63240</t>
  </si>
  <si>
    <t>COR - Central Service</t>
  </si>
  <si>
    <t>BA363085</t>
  </si>
  <si>
    <t>Deckard</t>
  </si>
  <si>
    <t>AG5297</t>
  </si>
  <si>
    <t>RIF10003573</t>
  </si>
  <si>
    <t>Delacruz</t>
  </si>
  <si>
    <t>V57107</t>
  </si>
  <si>
    <t>PA054869</t>
  </si>
  <si>
    <t>Delaney</t>
  </si>
  <si>
    <t>AK6327</t>
  </si>
  <si>
    <t>CRC - Facility A</t>
  </si>
  <si>
    <t>MA054829</t>
  </si>
  <si>
    <t>Paroled 1/17/2022</t>
  </si>
  <si>
    <t>F62885</t>
  </si>
  <si>
    <t>SWF012538</t>
  </si>
  <si>
    <t>Court not willing to exercise it's right to recall</t>
  </si>
  <si>
    <t>AL1414</t>
  </si>
  <si>
    <t>ISP - Facility B</t>
  </si>
  <si>
    <t>Distefano</t>
  </si>
  <si>
    <t>P62954</t>
  </si>
  <si>
    <t>NA041554</t>
  </si>
  <si>
    <t>Dixon</t>
  </si>
  <si>
    <t>AL4893</t>
  </si>
  <si>
    <t>RJD - Facility B</t>
  </si>
  <si>
    <t>SCD236479</t>
  </si>
  <si>
    <t>Gradillas</t>
  </si>
  <si>
    <t>V84753</t>
  </si>
  <si>
    <t>KA066132</t>
  </si>
  <si>
    <t>Dreyer</t>
  </si>
  <si>
    <t>F22329</t>
  </si>
  <si>
    <t>FOL - MSF</t>
  </si>
  <si>
    <t>SCD194730</t>
  </si>
  <si>
    <t>Dumas</t>
  </si>
  <si>
    <t>K77935</t>
  </si>
  <si>
    <t>LA028506</t>
  </si>
  <si>
    <t>released 5/26/21</t>
  </si>
  <si>
    <t>AI6286</t>
  </si>
  <si>
    <t>Echols</t>
  </si>
  <si>
    <t>AT1596</t>
  </si>
  <si>
    <t>F13906816</t>
  </si>
  <si>
    <t>BG2683</t>
  </si>
  <si>
    <t>Released on 7/17/2020</t>
  </si>
  <si>
    <t>Nieves</t>
  </si>
  <si>
    <t>BE3134</t>
  </si>
  <si>
    <t>12WF0501</t>
  </si>
  <si>
    <t>2nd letter to be sent to Kings Co - 09CM8954</t>
  </si>
  <si>
    <t>AV1001</t>
  </si>
  <si>
    <t>BA424694</t>
  </si>
  <si>
    <t>Greathouse</t>
  </si>
  <si>
    <t>V80247</t>
  </si>
  <si>
    <t>FOL-FAC A</t>
  </si>
  <si>
    <t>SS050626</t>
  </si>
  <si>
    <t>H25460</t>
  </si>
  <si>
    <t>BA172799</t>
  </si>
  <si>
    <t>Release on 04/03/2020</t>
  </si>
  <si>
    <t>AP4976</t>
  </si>
  <si>
    <t>BA407714</t>
  </si>
  <si>
    <t>Nutter</t>
  </si>
  <si>
    <t>T79910</t>
  </si>
  <si>
    <t>SCN285505</t>
  </si>
  <si>
    <t>AR0938</t>
  </si>
  <si>
    <t>FVI1100839</t>
  </si>
  <si>
    <t>Keys</t>
  </si>
  <si>
    <t>V70932</t>
  </si>
  <si>
    <t>VA124980</t>
  </si>
  <si>
    <t>AR5631</t>
  </si>
  <si>
    <t>10CF2489</t>
  </si>
  <si>
    <t>Released on 08/21/2020</t>
  </si>
  <si>
    <t>AP2563</t>
  </si>
  <si>
    <t>SCD243268</t>
  </si>
  <si>
    <t>Remijio</t>
  </si>
  <si>
    <t>J41963</t>
  </si>
  <si>
    <t>VA131427</t>
  </si>
  <si>
    <t>Paroled on 1/8/2021</t>
  </si>
  <si>
    <t>Short</t>
  </si>
  <si>
    <t>AM4088</t>
  </si>
  <si>
    <t>SCD241527</t>
  </si>
  <si>
    <t>Salter</t>
  </si>
  <si>
    <t>AR1307</t>
  </si>
  <si>
    <t>BA408132</t>
  </si>
  <si>
    <t>P22430</t>
  </si>
  <si>
    <t>Epperson</t>
  </si>
  <si>
    <t>AX4123</t>
  </si>
  <si>
    <t>VCR216163</t>
  </si>
  <si>
    <t>Grobman</t>
  </si>
  <si>
    <t>F91808</t>
  </si>
  <si>
    <t>Credit for time served/no supervision</t>
  </si>
  <si>
    <t>G55429</t>
  </si>
  <si>
    <t>SA066690</t>
  </si>
  <si>
    <t>Esmay</t>
  </si>
  <si>
    <t>D86924</t>
  </si>
  <si>
    <t>CC113124</t>
  </si>
  <si>
    <t>G33452</t>
  </si>
  <si>
    <t>CCI- Facility D</t>
  </si>
  <si>
    <t>RIF120845</t>
  </si>
  <si>
    <t>Guttierrez</t>
  </si>
  <si>
    <t>T23412</t>
  </si>
  <si>
    <t>Hamilton</t>
  </si>
  <si>
    <t>F63386</t>
  </si>
  <si>
    <t>Released on 9/30/2020</t>
  </si>
  <si>
    <t>Haggard</t>
  </si>
  <si>
    <t>AN1590</t>
  </si>
  <si>
    <t>FSB1001307</t>
  </si>
  <si>
    <t>P69646</t>
  </si>
  <si>
    <t>NA092316</t>
  </si>
  <si>
    <t>Gathright</t>
  </si>
  <si>
    <t>AU4510</t>
  </si>
  <si>
    <t>BA410472</t>
  </si>
  <si>
    <t>AT2917</t>
  </si>
  <si>
    <t>CC818794</t>
  </si>
  <si>
    <t>AH7110</t>
  </si>
  <si>
    <t>SVSP-Facilty B</t>
  </si>
  <si>
    <t>BF143220A</t>
  </si>
  <si>
    <t>Anthony</t>
  </si>
  <si>
    <t>AS7546</t>
  </si>
  <si>
    <t>CAL-Facility AQ</t>
  </si>
  <si>
    <t>SF122844A</t>
  </si>
  <si>
    <t>AV7094</t>
  </si>
  <si>
    <t xml:space="preserve">Van Otten </t>
  </si>
  <si>
    <t>AX3660</t>
  </si>
  <si>
    <t>12CF3455</t>
  </si>
  <si>
    <t>Carrol</t>
  </si>
  <si>
    <t>AM3100</t>
  </si>
  <si>
    <t>FSB702049</t>
  </si>
  <si>
    <t>AP5864</t>
  </si>
  <si>
    <t>COR - Facility 03B</t>
  </si>
  <si>
    <t>F13900454</t>
  </si>
  <si>
    <t>G33351</t>
  </si>
  <si>
    <t>SVSP- Facility D</t>
  </si>
  <si>
    <t>SF018517A</t>
  </si>
  <si>
    <t>667 (b) "s"</t>
  </si>
  <si>
    <t>Hansen</t>
  </si>
  <si>
    <t>X37693</t>
  </si>
  <si>
    <t>SCD207862</t>
  </si>
  <si>
    <t>F90534</t>
  </si>
  <si>
    <t>TA084148</t>
  </si>
  <si>
    <t>Harper</t>
  </si>
  <si>
    <t>AR4947</t>
  </si>
  <si>
    <t>BA400715</t>
  </si>
  <si>
    <t>Gallardo</t>
  </si>
  <si>
    <t>AL1990</t>
  </si>
  <si>
    <t>SWF026737</t>
  </si>
  <si>
    <t>AT4612</t>
  </si>
  <si>
    <t>VA133055</t>
  </si>
  <si>
    <t>Foster</t>
  </si>
  <si>
    <t>AM2386</t>
  </si>
  <si>
    <t>NA090097</t>
  </si>
  <si>
    <t>denied based on nature of the crime and past criminality</t>
  </si>
  <si>
    <t>AU8729</t>
  </si>
  <si>
    <t>Housh</t>
  </si>
  <si>
    <t>AP4109</t>
  </si>
  <si>
    <t>Marin*</t>
  </si>
  <si>
    <t>SC176430</t>
  </si>
  <si>
    <t>Easley</t>
  </si>
  <si>
    <t>AT3091</t>
  </si>
  <si>
    <t>SA085062</t>
  </si>
  <si>
    <t>F53211</t>
  </si>
  <si>
    <t>SA065277</t>
  </si>
  <si>
    <t>James</t>
  </si>
  <si>
    <t>AE6860</t>
  </si>
  <si>
    <t>NA083861</t>
  </si>
  <si>
    <t xml:space="preserve">denied based on i/m is a danger to community </t>
  </si>
  <si>
    <t>AR8012</t>
  </si>
  <si>
    <t>SCS265943</t>
  </si>
  <si>
    <t>Grant</t>
  </si>
  <si>
    <t>AT4408</t>
  </si>
  <si>
    <t>BA417351</t>
  </si>
  <si>
    <t>BA422973</t>
  </si>
  <si>
    <t>Amaya</t>
  </si>
  <si>
    <t>BA8563</t>
  </si>
  <si>
    <t>NA094687</t>
  </si>
  <si>
    <t>Sheppard</t>
  </si>
  <si>
    <t>AM5596</t>
  </si>
  <si>
    <t>PA067817</t>
  </si>
  <si>
    <t>G64724</t>
  </si>
  <si>
    <t>LA059184</t>
  </si>
  <si>
    <t>Paroled on 6/5/2022</t>
  </si>
  <si>
    <t>Beckemeyer</t>
  </si>
  <si>
    <t>AS7825</t>
  </si>
  <si>
    <t>SCE317734</t>
  </si>
  <si>
    <t>Harbold</t>
  </si>
  <si>
    <t>T68321</t>
  </si>
  <si>
    <t>ISP FAC C</t>
  </si>
  <si>
    <t>SCE217220</t>
  </si>
  <si>
    <t>Cates</t>
  </si>
  <si>
    <t>AK5898</t>
  </si>
  <si>
    <t>11NF1542</t>
  </si>
  <si>
    <t>SCN284992</t>
  </si>
  <si>
    <t>G41962</t>
  </si>
  <si>
    <t>SCD248863</t>
  </si>
  <si>
    <t>G19901</t>
  </si>
  <si>
    <t>VA123137</t>
  </si>
  <si>
    <t>B60373</t>
  </si>
  <si>
    <t>SCR44997</t>
  </si>
  <si>
    <t>Referral rescission letter sent 6/24/22</t>
  </si>
  <si>
    <t>A089763</t>
  </si>
  <si>
    <t>AS5667</t>
  </si>
  <si>
    <t>RIF1105233</t>
  </si>
  <si>
    <t>Brashear</t>
  </si>
  <si>
    <t>BC0467</t>
  </si>
  <si>
    <t>13-1097</t>
  </si>
  <si>
    <t>Alcantar</t>
  </si>
  <si>
    <t>AN6970</t>
  </si>
  <si>
    <t>VCF250845</t>
  </si>
  <si>
    <t>AT1871</t>
  </si>
  <si>
    <t>GA087267</t>
  </si>
  <si>
    <t>Paroled on 3/14/2021</t>
  </si>
  <si>
    <t>Horton</t>
  </si>
  <si>
    <t>F69872</t>
  </si>
  <si>
    <t>SCE264213</t>
  </si>
  <si>
    <t>Inmate deceased as of 02/21/2020</t>
  </si>
  <si>
    <t>Dellett</t>
  </si>
  <si>
    <t>AS9872</t>
  </si>
  <si>
    <t>H55244</t>
  </si>
  <si>
    <t>Onsurez</t>
  </si>
  <si>
    <t>AT8169</t>
  </si>
  <si>
    <t>VCF273185</t>
  </si>
  <si>
    <t>F42575</t>
  </si>
  <si>
    <t>11F04725</t>
  </si>
  <si>
    <t>H10769</t>
  </si>
  <si>
    <t>TA064430</t>
  </si>
  <si>
    <t>Coulter</t>
  </si>
  <si>
    <t>H96215</t>
  </si>
  <si>
    <t>YA073305</t>
  </si>
  <si>
    <t>Holt</t>
  </si>
  <si>
    <t>AU7360</t>
  </si>
  <si>
    <t>PA073689</t>
  </si>
  <si>
    <t>Trotter</t>
  </si>
  <si>
    <t>AV1577</t>
  </si>
  <si>
    <t>CCI-Facilty C</t>
  </si>
  <si>
    <t>12F04801</t>
  </si>
  <si>
    <t>Coronel Jr</t>
  </si>
  <si>
    <t>AS9431</t>
  </si>
  <si>
    <t>INF1300528</t>
  </si>
  <si>
    <t>AL0986</t>
  </si>
  <si>
    <t>05-110559-2</t>
  </si>
  <si>
    <t>Pruitt</t>
  </si>
  <si>
    <t>E24795</t>
  </si>
  <si>
    <t>10F06215</t>
  </si>
  <si>
    <t>Esqueda</t>
  </si>
  <si>
    <t>AN7816</t>
  </si>
  <si>
    <t>Session</t>
  </si>
  <si>
    <t>AC7679</t>
  </si>
  <si>
    <t>TA122594</t>
  </si>
  <si>
    <t>AI3810</t>
  </si>
  <si>
    <t>BA382330</t>
  </si>
  <si>
    <t>Gaone</t>
  </si>
  <si>
    <t>AR8569</t>
  </si>
  <si>
    <t>BA411566</t>
  </si>
  <si>
    <t>Paroled on 10/8/2020</t>
  </si>
  <si>
    <t>AW3984</t>
  </si>
  <si>
    <t>FVA1300710</t>
  </si>
  <si>
    <t>Wesson</t>
  </si>
  <si>
    <t>J04226</t>
  </si>
  <si>
    <t>MF036536</t>
  </si>
  <si>
    <t>Paroled on 4/6/2020</t>
  </si>
  <si>
    <t>Barragan</t>
  </si>
  <si>
    <t>H45552</t>
  </si>
  <si>
    <t>LA034658</t>
  </si>
  <si>
    <t>Paroled on 8/5/2020</t>
  </si>
  <si>
    <t>Ridgeway</t>
  </si>
  <si>
    <t>AV9240</t>
  </si>
  <si>
    <t>SA084191</t>
  </si>
  <si>
    <t>AL3184</t>
  </si>
  <si>
    <t>09NF2586</t>
  </si>
  <si>
    <t>Biggers</t>
  </si>
  <si>
    <t>J54366</t>
  </si>
  <si>
    <t>TA053330</t>
  </si>
  <si>
    <t>AT9609</t>
  </si>
  <si>
    <t>C1356148</t>
  </si>
  <si>
    <t>WE6467</t>
  </si>
  <si>
    <t>MA057023</t>
  </si>
  <si>
    <t>Carnegie</t>
  </si>
  <si>
    <t>AR5536</t>
  </si>
  <si>
    <t>SF017368A</t>
  </si>
  <si>
    <t>K60365</t>
  </si>
  <si>
    <t>YA066364</t>
  </si>
  <si>
    <t>Hardy</t>
  </si>
  <si>
    <t>F87476</t>
  </si>
  <si>
    <t>MCR026551</t>
  </si>
  <si>
    <t>Paroled 8/22/2023</t>
  </si>
  <si>
    <t>AI3259</t>
  </si>
  <si>
    <t>SCD221501</t>
  </si>
  <si>
    <t>NCD 2/25/2022</t>
  </si>
  <si>
    <t>Hawkins</t>
  </si>
  <si>
    <t>V31556</t>
  </si>
  <si>
    <t>CRC FAC B</t>
  </si>
  <si>
    <t>SCN162762</t>
  </si>
  <si>
    <t>no change in total term</t>
  </si>
  <si>
    <t>Leos</t>
  </si>
  <si>
    <t>AV7693</t>
  </si>
  <si>
    <t>VCF306715E</t>
  </si>
  <si>
    <t>AS7707</t>
  </si>
  <si>
    <t xml:space="preserve">Michael </t>
  </si>
  <si>
    <t>AC9563</t>
  </si>
  <si>
    <t>BF149711A</t>
  </si>
  <si>
    <t>George</t>
  </si>
  <si>
    <t>AT5139</t>
  </si>
  <si>
    <t>TA128060</t>
  </si>
  <si>
    <t>Gutosky</t>
  </si>
  <si>
    <t>AT9451</t>
  </si>
  <si>
    <t>SS131391A</t>
  </si>
  <si>
    <t>Paroled on 10/19/2021</t>
  </si>
  <si>
    <t>Wise</t>
  </si>
  <si>
    <t>AT5152</t>
  </si>
  <si>
    <t>BA394949</t>
  </si>
  <si>
    <t>Henderson</t>
  </si>
  <si>
    <t>K58552</t>
  </si>
  <si>
    <t>LAC FAC A</t>
  </si>
  <si>
    <t>YA29718</t>
  </si>
  <si>
    <t>matter called to vacate pelea, people don’t object to striking nickel priors. No change to total term</t>
  </si>
  <si>
    <t>See</t>
  </si>
  <si>
    <t>AT4948</t>
  </si>
  <si>
    <t>VCF279544</t>
  </si>
  <si>
    <t>Released with BPH</t>
  </si>
  <si>
    <t>Trafficano</t>
  </si>
  <si>
    <t>P46115</t>
  </si>
  <si>
    <t>NA061227</t>
  </si>
  <si>
    <t>AN1788</t>
  </si>
  <si>
    <t>SCD321500</t>
  </si>
  <si>
    <t>Morris</t>
  </si>
  <si>
    <t>F88469</t>
  </si>
  <si>
    <t>Wong</t>
  </si>
  <si>
    <t>V61083</t>
  </si>
  <si>
    <t>Paroled on 6/23/2021</t>
  </si>
  <si>
    <t>Sniffin</t>
  </si>
  <si>
    <t>BE9093</t>
  </si>
  <si>
    <t>INF13000007</t>
  </si>
  <si>
    <t>Delfin</t>
  </si>
  <si>
    <t>AN2433</t>
  </si>
  <si>
    <t>BF142465</t>
  </si>
  <si>
    <t>AP6633</t>
  </si>
  <si>
    <t>07CF3197</t>
  </si>
  <si>
    <t>Released 2/10/20201</t>
  </si>
  <si>
    <t>AS8909</t>
  </si>
  <si>
    <t>VCF287513</t>
  </si>
  <si>
    <t>Cail</t>
  </si>
  <si>
    <t>AM0508</t>
  </si>
  <si>
    <t>FVI1201218</t>
  </si>
  <si>
    <t>Paroled on 11/26/2021</t>
  </si>
  <si>
    <t>AZ6104</t>
  </si>
  <si>
    <t>Released on 03/29/2020</t>
  </si>
  <si>
    <t>Hackett</t>
  </si>
  <si>
    <t>AL8432</t>
  </si>
  <si>
    <t>NA092461</t>
  </si>
  <si>
    <t>T73630</t>
  </si>
  <si>
    <t>BA409890</t>
  </si>
  <si>
    <t>Banks</t>
  </si>
  <si>
    <t>AR4718</t>
  </si>
  <si>
    <t>MA059510</t>
  </si>
  <si>
    <t>Alamillo</t>
  </si>
  <si>
    <t>T11003</t>
  </si>
  <si>
    <t>YA088373</t>
  </si>
  <si>
    <t>Bly</t>
  </si>
  <si>
    <t>AN5424</t>
  </si>
  <si>
    <t>YA081344</t>
  </si>
  <si>
    <t>Released on 05/19/2020</t>
  </si>
  <si>
    <t>Shetterly</t>
  </si>
  <si>
    <t>K33534</t>
  </si>
  <si>
    <t>Mariposa</t>
  </si>
  <si>
    <t>AB8134</t>
  </si>
  <si>
    <t>07CF2531</t>
  </si>
  <si>
    <t>Phillips</t>
  </si>
  <si>
    <t>AE2234</t>
  </si>
  <si>
    <t>GA076137</t>
  </si>
  <si>
    <t>Tabata</t>
  </si>
  <si>
    <t>T99434</t>
  </si>
  <si>
    <t>NA040673</t>
  </si>
  <si>
    <t>H08634</t>
  </si>
  <si>
    <t>PR00237</t>
  </si>
  <si>
    <t>Paroled on 8/20/2021</t>
  </si>
  <si>
    <t>V30034</t>
  </si>
  <si>
    <t>SCR 33578</t>
  </si>
  <si>
    <t xml:space="preserve">Lugo </t>
  </si>
  <si>
    <t>C39934</t>
  </si>
  <si>
    <t>T43634</t>
  </si>
  <si>
    <t>00F07553</t>
  </si>
  <si>
    <t>F64934</t>
  </si>
  <si>
    <t>BB411106</t>
  </si>
  <si>
    <t>Wortham</t>
  </si>
  <si>
    <t>H69234</t>
  </si>
  <si>
    <t>H23222</t>
  </si>
  <si>
    <t xml:space="preserve"> Exceptional Conduct Release</t>
  </si>
  <si>
    <t>AK5222</t>
  </si>
  <si>
    <t>Singletary</t>
  </si>
  <si>
    <t>H13722</t>
  </si>
  <si>
    <t>CMF-Central Service</t>
  </si>
  <si>
    <t>AH0327</t>
  </si>
  <si>
    <t>10NF0612</t>
  </si>
  <si>
    <t>Paroled on 5/27/2021</t>
  </si>
  <si>
    <t>Ebell</t>
  </si>
  <si>
    <t>AS0414</t>
  </si>
  <si>
    <t>SWF1205742</t>
  </si>
  <si>
    <t>Henry</t>
  </si>
  <si>
    <t>WE0646</t>
  </si>
  <si>
    <t>CCWF FAC D</t>
  </si>
  <si>
    <t>CRF34412</t>
  </si>
  <si>
    <t>AV0912</t>
  </si>
  <si>
    <t>RF005885</t>
  </si>
  <si>
    <t>Bracy</t>
  </si>
  <si>
    <t>AP4716</t>
  </si>
  <si>
    <t>CRF123717</t>
  </si>
  <si>
    <t>Paroled on 8/18/2021</t>
  </si>
  <si>
    <t>Awardo</t>
  </si>
  <si>
    <t>AM8323</t>
  </si>
  <si>
    <t>FSB1200458</t>
  </si>
  <si>
    <t>J50715</t>
  </si>
  <si>
    <t>TA079382</t>
  </si>
  <si>
    <t>AR8523</t>
  </si>
  <si>
    <t>TA129788</t>
  </si>
  <si>
    <t>Feathers</t>
  </si>
  <si>
    <t>P16781</t>
  </si>
  <si>
    <t>Ginn</t>
  </si>
  <si>
    <t>AD1288</t>
  </si>
  <si>
    <t>NA096497</t>
  </si>
  <si>
    <t>Murray</t>
  </si>
  <si>
    <t>V78798</t>
  </si>
  <si>
    <t>BA414800</t>
  </si>
  <si>
    <t>Lunsford</t>
  </si>
  <si>
    <t>AS4477</t>
  </si>
  <si>
    <t>SVSP-MSF</t>
  </si>
  <si>
    <t>Scheduled realease 9/8/2020</t>
  </si>
  <si>
    <t>Mccray</t>
  </si>
  <si>
    <t>AS9393</t>
  </si>
  <si>
    <t>RIF1105973</t>
  </si>
  <si>
    <t>F78985</t>
  </si>
  <si>
    <t>13CF1147</t>
  </si>
  <si>
    <t>AR7995</t>
  </si>
  <si>
    <t>SCD240649</t>
  </si>
  <si>
    <t>K26670</t>
  </si>
  <si>
    <t>YA026373</t>
  </si>
  <si>
    <t>AU2583</t>
  </si>
  <si>
    <t>BA396475</t>
  </si>
  <si>
    <t>Paroled on 7/27/2022</t>
  </si>
  <si>
    <t>AE8968</t>
  </si>
  <si>
    <t>NA091422</t>
  </si>
  <si>
    <t>Franco</t>
  </si>
  <si>
    <t>F76253</t>
  </si>
  <si>
    <t>CC463276</t>
  </si>
  <si>
    <t>J80116</t>
  </si>
  <si>
    <t>BA411520-02</t>
  </si>
  <si>
    <t>Reduced 10 years</t>
  </si>
  <si>
    <t>Emond</t>
  </si>
  <si>
    <t>AK5717</t>
  </si>
  <si>
    <t>10HF2287</t>
  </si>
  <si>
    <t>Paroled on 3/7/2021</t>
  </si>
  <si>
    <t>Poucher</t>
  </si>
  <si>
    <t>T71332</t>
  </si>
  <si>
    <t>CHCF-Facility D</t>
  </si>
  <si>
    <t>SCE220167</t>
  </si>
  <si>
    <t>AR1407</t>
  </si>
  <si>
    <t>YA086761</t>
  </si>
  <si>
    <t>AP7319</t>
  </si>
  <si>
    <t>BA396512</t>
  </si>
  <si>
    <t>AS5514</t>
  </si>
  <si>
    <t>KA102986</t>
  </si>
  <si>
    <t>Rausse</t>
  </si>
  <si>
    <t>H16511</t>
  </si>
  <si>
    <t>TA128921</t>
  </si>
  <si>
    <t>Kamfolt</t>
  </si>
  <si>
    <t>AV1822</t>
  </si>
  <si>
    <t>C1369061</t>
  </si>
  <si>
    <t>AS7430</t>
  </si>
  <si>
    <t>YA087237</t>
  </si>
  <si>
    <t>AU1538</t>
  </si>
  <si>
    <t>05-130581-2</t>
  </si>
  <si>
    <t>AD4323</t>
  </si>
  <si>
    <t>PRMCCF - Desert View</t>
  </si>
  <si>
    <t>C1230681</t>
  </si>
  <si>
    <t>Cleveland</t>
  </si>
  <si>
    <t>K52434</t>
  </si>
  <si>
    <t>SCR24077</t>
  </si>
  <si>
    <t>Deceased on 4/1/2021</t>
  </si>
  <si>
    <t>T51434</t>
  </si>
  <si>
    <t>CC120254</t>
  </si>
  <si>
    <t>Silvas</t>
  </si>
  <si>
    <t>C64134</t>
  </si>
  <si>
    <t>PA026243</t>
  </si>
  <si>
    <t>T59334</t>
  </si>
  <si>
    <t>VA068452</t>
  </si>
  <si>
    <t>T99534</t>
  </si>
  <si>
    <t>BA237575</t>
  </si>
  <si>
    <t>Muller</t>
  </si>
  <si>
    <t>G16534</t>
  </si>
  <si>
    <t>Osumi</t>
  </si>
  <si>
    <t>T49434</t>
  </si>
  <si>
    <t>SA043514</t>
  </si>
  <si>
    <t>H11234</t>
  </si>
  <si>
    <t>KA053742</t>
  </si>
  <si>
    <t>Redondo</t>
  </si>
  <si>
    <t>J63134</t>
  </si>
  <si>
    <t>CEN-Central Service</t>
  </si>
  <si>
    <t>LA019062</t>
  </si>
  <si>
    <t xml:space="preserve">Gray </t>
  </si>
  <si>
    <t>K53834</t>
  </si>
  <si>
    <t>YA052938</t>
  </si>
  <si>
    <t>G13434</t>
  </si>
  <si>
    <t>VA096799</t>
  </si>
  <si>
    <t>G14034</t>
  </si>
  <si>
    <t>05F07263</t>
  </si>
  <si>
    <t>Denied</t>
  </si>
  <si>
    <t>G35734</t>
  </si>
  <si>
    <t>NA066376</t>
  </si>
  <si>
    <t>T26834</t>
  </si>
  <si>
    <t>EE014970</t>
  </si>
  <si>
    <t>E43834</t>
  </si>
  <si>
    <t>Borboa</t>
  </si>
  <si>
    <t>H11634</t>
  </si>
  <si>
    <t>BA133213</t>
  </si>
  <si>
    <t>Coker</t>
  </si>
  <si>
    <t>H32734</t>
  </si>
  <si>
    <t>00F09219</t>
  </si>
  <si>
    <t>Gilliam</t>
  </si>
  <si>
    <t>T60934</t>
  </si>
  <si>
    <t>SCE299097</t>
  </si>
  <si>
    <t>Frank</t>
  </si>
  <si>
    <t>AW5517</t>
  </si>
  <si>
    <t>C1117615</t>
  </si>
  <si>
    <t>X30955</t>
  </si>
  <si>
    <t>CIW Facility A</t>
  </si>
  <si>
    <t>07CF2771</t>
  </si>
  <si>
    <t>P76829</t>
  </si>
  <si>
    <t>SCS143769</t>
  </si>
  <si>
    <t>Released on 11/28/2019</t>
  </si>
  <si>
    <t>SS070721A</t>
  </si>
  <si>
    <t>AV1170</t>
  </si>
  <si>
    <t>C1227146</t>
  </si>
  <si>
    <t>Sentence served the interest of justice</t>
  </si>
  <si>
    <t>AV3299</t>
  </si>
  <si>
    <t>INF1200330</t>
  </si>
  <si>
    <t>AM8093</t>
  </si>
  <si>
    <t>SCC Growlersburg Camp</t>
  </si>
  <si>
    <t>VCF242391</t>
  </si>
  <si>
    <t>Paroled on 12/13/2020</t>
  </si>
  <si>
    <t>AE9273</t>
  </si>
  <si>
    <t>VA124080</t>
  </si>
  <si>
    <t>AT5184</t>
  </si>
  <si>
    <t>13F00422</t>
  </si>
  <si>
    <t>Laster</t>
  </si>
  <si>
    <t>V74284</t>
  </si>
  <si>
    <t>FMB1000338</t>
  </si>
  <si>
    <t>T81891</t>
  </si>
  <si>
    <t>C1355917</t>
  </si>
  <si>
    <t>Lamaire</t>
  </si>
  <si>
    <t>AV1079</t>
  </si>
  <si>
    <t>SCD238223</t>
  </si>
  <si>
    <t>Haygood</t>
  </si>
  <si>
    <t>V09189</t>
  </si>
  <si>
    <t>SCE229595</t>
  </si>
  <si>
    <t>Fry</t>
  </si>
  <si>
    <t>H72164</t>
  </si>
  <si>
    <t>FOL FAC A</t>
  </si>
  <si>
    <t>FWV16514</t>
  </si>
  <si>
    <t>Released 7/24/2020</t>
  </si>
  <si>
    <t>W99088</t>
  </si>
  <si>
    <t>BA399084</t>
  </si>
  <si>
    <t>Release on 12/3/2019</t>
  </si>
  <si>
    <t>Davenport</t>
  </si>
  <si>
    <t>E92903</t>
  </si>
  <si>
    <t>VA131897</t>
  </si>
  <si>
    <t>Tannan</t>
  </si>
  <si>
    <t>E25000</t>
  </si>
  <si>
    <t>Binns</t>
  </si>
  <si>
    <t>E94600</t>
  </si>
  <si>
    <t>FOL-Fcility A</t>
  </si>
  <si>
    <t>SA028021</t>
  </si>
  <si>
    <t>K83702</t>
  </si>
  <si>
    <t>Sudduth</t>
  </si>
  <si>
    <t>AR3401</t>
  </si>
  <si>
    <t>BA380443</t>
  </si>
  <si>
    <t>J06002</t>
  </si>
  <si>
    <t>BA124346</t>
  </si>
  <si>
    <t>Liggins</t>
  </si>
  <si>
    <t>G55102</t>
  </si>
  <si>
    <t>FSB047546</t>
  </si>
  <si>
    <t>Fue</t>
  </si>
  <si>
    <t>F82860</t>
  </si>
  <si>
    <t>RJD - Facility C</t>
  </si>
  <si>
    <t>TA086440</t>
  </si>
  <si>
    <t>Gamaza</t>
  </si>
  <si>
    <t>AL6175</t>
  </si>
  <si>
    <t>CCC-Delta Camp</t>
  </si>
  <si>
    <t>C1101471</t>
  </si>
  <si>
    <t>Paroled 5/29/2022</t>
  </si>
  <si>
    <t>AZ2594</t>
  </si>
  <si>
    <t>PUMCCF - Delano</t>
  </si>
  <si>
    <t>INF1301370</t>
  </si>
  <si>
    <t>Thompson</t>
  </si>
  <si>
    <t>AX3025</t>
  </si>
  <si>
    <t>13F02974</t>
  </si>
  <si>
    <t>Paroled on 6/14/2021</t>
  </si>
  <si>
    <t>AA4730</t>
  </si>
  <si>
    <t>Paroled on 4/17/2022</t>
  </si>
  <si>
    <t>Hurlburt</t>
  </si>
  <si>
    <t>AA2825</t>
  </si>
  <si>
    <t>SCE312391</t>
  </si>
  <si>
    <t>Paroled 7/18/2023</t>
  </si>
  <si>
    <t>AY0838</t>
  </si>
  <si>
    <t>INF1301833</t>
  </si>
  <si>
    <t>Houston</t>
  </si>
  <si>
    <t>AZ0527</t>
  </si>
  <si>
    <t>12WF1958</t>
  </si>
  <si>
    <t>Paroled on 12/11/2022</t>
  </si>
  <si>
    <t xml:space="preserve">Hernandez </t>
  </si>
  <si>
    <t>J86435</t>
  </si>
  <si>
    <t>94WF1745</t>
  </si>
  <si>
    <t>Faulk</t>
  </si>
  <si>
    <t>V33325</t>
  </si>
  <si>
    <t>NA094254</t>
  </si>
  <si>
    <t>Bibbs</t>
  </si>
  <si>
    <t>F73131</t>
  </si>
  <si>
    <t>SA059521</t>
  </si>
  <si>
    <t>McAlpine</t>
  </si>
  <si>
    <t>D77125</t>
  </si>
  <si>
    <t>MA055863</t>
  </si>
  <si>
    <t>AD1276</t>
  </si>
  <si>
    <t>VA111382</t>
  </si>
  <si>
    <t>F53707</t>
  </si>
  <si>
    <t>11CF2209</t>
  </si>
  <si>
    <t>Heyberger</t>
  </si>
  <si>
    <t>P15399</t>
  </si>
  <si>
    <t>PER Santa Clara County DA case is still being reviewed</t>
  </si>
  <si>
    <t>Hinds</t>
  </si>
  <si>
    <t>T43357</t>
  </si>
  <si>
    <t>CMC B NDPF 3-289U</t>
  </si>
  <si>
    <t>SA040570</t>
  </si>
  <si>
    <t>AV9798</t>
  </si>
  <si>
    <t>C1226110</t>
  </si>
  <si>
    <t>Hinojosa</t>
  </si>
  <si>
    <t>V42659</t>
  </si>
  <si>
    <t>Rleased 9/18/2020</t>
  </si>
  <si>
    <t>Garrett</t>
  </si>
  <si>
    <t>AG4987</t>
  </si>
  <si>
    <t>released 1/14/2021</t>
  </si>
  <si>
    <t>Glover</t>
  </si>
  <si>
    <t>AW1700</t>
  </si>
  <si>
    <t>CMC - Facility D</t>
  </si>
  <si>
    <t>BA366923</t>
  </si>
  <si>
    <t>Francis</t>
  </si>
  <si>
    <t>G11573</t>
  </si>
  <si>
    <t>SCR606018</t>
  </si>
  <si>
    <t>Paroled on 9/5/2021</t>
  </si>
  <si>
    <t>AV7331</t>
  </si>
  <si>
    <t>Paroled 4/7/2023</t>
  </si>
  <si>
    <t>Radcliffe</t>
  </si>
  <si>
    <t>T86131</t>
  </si>
  <si>
    <t>CR1371256</t>
  </si>
  <si>
    <t>AS5331</t>
  </si>
  <si>
    <t>FVI1201521</t>
  </si>
  <si>
    <t>Oliphant</t>
  </si>
  <si>
    <t>AU8328</t>
  </si>
  <si>
    <t>Gadlin</t>
  </si>
  <si>
    <t>C23429</t>
  </si>
  <si>
    <t>BA165439</t>
  </si>
  <si>
    <t>Goines</t>
  </si>
  <si>
    <t>AI3086</t>
  </si>
  <si>
    <t>SCD218439</t>
  </si>
  <si>
    <t>Released on 12/27/2020</t>
  </si>
  <si>
    <t>Braggs</t>
  </si>
  <si>
    <t>AU2092</t>
  </si>
  <si>
    <t>C1353512</t>
  </si>
  <si>
    <t>Nepolis</t>
  </si>
  <si>
    <t>F66297</t>
  </si>
  <si>
    <t>RIF129726</t>
  </si>
  <si>
    <t>Released on 11/07/2020</t>
  </si>
  <si>
    <t>Goins</t>
  </si>
  <si>
    <t>P54383</t>
  </si>
  <si>
    <t>COR - Facility 03A</t>
  </si>
  <si>
    <t>CC595165</t>
  </si>
  <si>
    <t>Tovar</t>
  </si>
  <si>
    <t>AT6883</t>
  </si>
  <si>
    <t>F12908404</t>
  </si>
  <si>
    <t>Paroled 3/12/2023</t>
  </si>
  <si>
    <t>Broadus</t>
  </si>
  <si>
    <t>AT0681</t>
  </si>
  <si>
    <t>SCC-Owens Valley Camp</t>
  </si>
  <si>
    <t>VA131839</t>
  </si>
  <si>
    <t>No acton due to plea</t>
  </si>
  <si>
    <t>Amado</t>
  </si>
  <si>
    <t>T86785</t>
  </si>
  <si>
    <t>SCD170740</t>
  </si>
  <si>
    <t>Paroled 7/9/2023</t>
  </si>
  <si>
    <t>Stillwell</t>
  </si>
  <si>
    <t>AX2494</t>
  </si>
  <si>
    <t>Scc-Facility B</t>
  </si>
  <si>
    <t>09F04639</t>
  </si>
  <si>
    <t>AU6698</t>
  </si>
  <si>
    <t>Paroled  7/29/2023</t>
  </si>
  <si>
    <t>AR4644</t>
  </si>
  <si>
    <t>WSP - Facility D</t>
  </si>
  <si>
    <t>C1228543</t>
  </si>
  <si>
    <t>AS8375</t>
  </si>
  <si>
    <t>CC818758</t>
  </si>
  <si>
    <t>No action</t>
  </si>
  <si>
    <t>FA'AVESI</t>
  </si>
  <si>
    <t>G66641</t>
  </si>
  <si>
    <t>06F07307</t>
  </si>
  <si>
    <t>Shears</t>
  </si>
  <si>
    <t>AT3023</t>
  </si>
  <si>
    <t>CAC Facility C</t>
  </si>
  <si>
    <t>13F05047</t>
  </si>
  <si>
    <t xml:space="preserve">Ram </t>
  </si>
  <si>
    <t>AC5424</t>
  </si>
  <si>
    <t>RIF144491</t>
  </si>
  <si>
    <t>Mattos</t>
  </si>
  <si>
    <t>AT9822</t>
  </si>
  <si>
    <t>CRF124426</t>
  </si>
  <si>
    <t>Sayres</t>
  </si>
  <si>
    <t>F10824</t>
  </si>
  <si>
    <t>MA031220</t>
  </si>
  <si>
    <t>Bledsoe</t>
  </si>
  <si>
    <t>AK7524</t>
  </si>
  <si>
    <t>08WF0033</t>
  </si>
  <si>
    <t>Chhuoun</t>
  </si>
  <si>
    <t>AK9424</t>
  </si>
  <si>
    <t>KA093016</t>
  </si>
  <si>
    <t>AL4024</t>
  </si>
  <si>
    <t>SA0735548</t>
  </si>
  <si>
    <t>Craft</t>
  </si>
  <si>
    <t>C51824</t>
  </si>
  <si>
    <t>SF089235</t>
  </si>
  <si>
    <t>McGinnis</t>
  </si>
  <si>
    <t>AF4123</t>
  </si>
  <si>
    <t>05-090979</t>
  </si>
  <si>
    <t>WE2726</t>
  </si>
  <si>
    <t xml:space="preserve">CCWF FAC C </t>
  </si>
  <si>
    <t>SF115318</t>
  </si>
  <si>
    <t xml:space="preserve">Do </t>
  </si>
  <si>
    <t>F01527</t>
  </si>
  <si>
    <t>09HF1009</t>
  </si>
  <si>
    <t>Salas</t>
  </si>
  <si>
    <t>AP2032</t>
  </si>
  <si>
    <t>SCN151391</t>
  </si>
  <si>
    <t>J65431</t>
  </si>
  <si>
    <t>TA053032</t>
  </si>
  <si>
    <t>Pasillas</t>
  </si>
  <si>
    <t>H49926</t>
  </si>
  <si>
    <t>VA108712</t>
  </si>
  <si>
    <t>Balderaz</t>
  </si>
  <si>
    <t>AZ6327</t>
  </si>
  <si>
    <t>Feaster</t>
  </si>
  <si>
    <t>AS2731</t>
  </si>
  <si>
    <t>BA394866</t>
  </si>
  <si>
    <t>Due to plea</t>
  </si>
  <si>
    <t>Salone</t>
  </si>
  <si>
    <t>AM5925</t>
  </si>
  <si>
    <t>RIF1202138</t>
  </si>
  <si>
    <t>NCD 1/6/2023</t>
  </si>
  <si>
    <t>AS3628</t>
  </si>
  <si>
    <t>MA060481</t>
  </si>
  <si>
    <t>P93231</t>
  </si>
  <si>
    <t>CR102974</t>
  </si>
  <si>
    <t>E22007</t>
  </si>
  <si>
    <t>BLF004994</t>
  </si>
  <si>
    <t>AK1122</t>
  </si>
  <si>
    <t>SA068628</t>
  </si>
  <si>
    <t>Fagan</t>
  </si>
  <si>
    <t>K79911</t>
  </si>
  <si>
    <t>SF011641A</t>
  </si>
  <si>
    <t>Obannon</t>
  </si>
  <si>
    <t>T93321</t>
  </si>
  <si>
    <t>FSB031994</t>
  </si>
  <si>
    <t>T88939</t>
  </si>
  <si>
    <t>SQ  - Facility A</t>
  </si>
  <si>
    <t xml:space="preserve">Gonzalez </t>
  </si>
  <si>
    <t>AS3964</t>
  </si>
  <si>
    <t>ASP - Facility B</t>
  </si>
  <si>
    <t>13223 &amp; 13364</t>
  </si>
  <si>
    <t>AL5761</t>
  </si>
  <si>
    <t>CSP - Solano Facility A</t>
  </si>
  <si>
    <t>MA050991</t>
  </si>
  <si>
    <t>Paroled 9/22/2023</t>
  </si>
  <si>
    <t>F72087</t>
  </si>
  <si>
    <t>VA093059</t>
  </si>
  <si>
    <t>AS9897</t>
  </si>
  <si>
    <t>BA370760</t>
  </si>
  <si>
    <t>Arthur</t>
  </si>
  <si>
    <t>AN9174</t>
  </si>
  <si>
    <t>TA126662</t>
  </si>
  <si>
    <t>"Mr Arthur is a repeat offender who contiunes to burglarize houses when released from prison/jail</t>
  </si>
  <si>
    <t>AD1398</t>
  </si>
  <si>
    <t>NA093463</t>
  </si>
  <si>
    <t>Cavness</t>
  </si>
  <si>
    <t>AN5878</t>
  </si>
  <si>
    <t xml:space="preserve">Reduced </t>
  </si>
  <si>
    <t>E16085</t>
  </si>
  <si>
    <t>NA030592</t>
  </si>
  <si>
    <t>Glosson</t>
  </si>
  <si>
    <t>G39679</t>
  </si>
  <si>
    <t>BA387614</t>
  </si>
  <si>
    <t>Speech</t>
  </si>
  <si>
    <t>T73649</t>
  </si>
  <si>
    <t>NA052804</t>
  </si>
  <si>
    <t>Shull</t>
  </si>
  <si>
    <t>P48349</t>
  </si>
  <si>
    <t>99CF0369</t>
  </si>
  <si>
    <t>Goode</t>
  </si>
  <si>
    <t>AF2349</t>
  </si>
  <si>
    <t>F08900831</t>
  </si>
  <si>
    <t>AD8949</t>
  </si>
  <si>
    <t>TA111515</t>
  </si>
  <si>
    <t xml:space="preserve">Johnson </t>
  </si>
  <si>
    <t>V40168</t>
  </si>
  <si>
    <t>SCD229956</t>
  </si>
  <si>
    <t>D22949</t>
  </si>
  <si>
    <t>BA153344</t>
  </si>
  <si>
    <t>P27949</t>
  </si>
  <si>
    <t>97CF3602</t>
  </si>
  <si>
    <t>Venzor</t>
  </si>
  <si>
    <t>F08549</t>
  </si>
  <si>
    <t>CTF-Faiclity A</t>
  </si>
  <si>
    <t>P84040</t>
  </si>
  <si>
    <t>KA048398</t>
  </si>
  <si>
    <t>Alfred</t>
  </si>
  <si>
    <t>C96343</t>
  </si>
  <si>
    <t>BA217329</t>
  </si>
  <si>
    <t>Released on 2/26/21</t>
  </si>
  <si>
    <t>T27825</t>
  </si>
  <si>
    <t>01F02375</t>
  </si>
  <si>
    <t>F24932</t>
  </si>
  <si>
    <t>TA082654</t>
  </si>
  <si>
    <t>Dang</t>
  </si>
  <si>
    <t>AN5429</t>
  </si>
  <si>
    <t>GA086087</t>
  </si>
  <si>
    <t>K50730</t>
  </si>
  <si>
    <t>ECR12411</t>
  </si>
  <si>
    <t>Reliford</t>
  </si>
  <si>
    <t>H45837</t>
  </si>
  <si>
    <t>FVI07304</t>
  </si>
  <si>
    <t>McDaniels</t>
  </si>
  <si>
    <t>T14036</t>
  </si>
  <si>
    <t>Hong</t>
  </si>
  <si>
    <t>F53855</t>
  </si>
  <si>
    <t>00NF2372</t>
  </si>
  <si>
    <t>T18046</t>
  </si>
  <si>
    <t>VA060260</t>
  </si>
  <si>
    <t>Layton</t>
  </si>
  <si>
    <t>F88701</t>
  </si>
  <si>
    <t>FVI700123</t>
  </si>
  <si>
    <t>F55321</t>
  </si>
  <si>
    <t>BA293581</t>
  </si>
  <si>
    <t>Burt</t>
  </si>
  <si>
    <t>H29001</t>
  </si>
  <si>
    <t>TA036348</t>
  </si>
  <si>
    <t>Released 12/29/2020</t>
  </si>
  <si>
    <t>AK3301</t>
  </si>
  <si>
    <t>SCD220276</t>
  </si>
  <si>
    <t>AU3782</t>
  </si>
  <si>
    <t>HDSP - Facility C</t>
  </si>
  <si>
    <t>BA413907</t>
  </si>
  <si>
    <t>Hempe</t>
  </si>
  <si>
    <t>AH7560</t>
  </si>
  <si>
    <t>FWV1002625</t>
  </si>
  <si>
    <t>D51749</t>
  </si>
  <si>
    <t>571402-7</t>
  </si>
  <si>
    <t>Stowers</t>
  </si>
  <si>
    <t>T36649</t>
  </si>
  <si>
    <t>01-74352</t>
  </si>
  <si>
    <t>Paroled on 9/17/2021</t>
  </si>
  <si>
    <t>AZ2271</t>
  </si>
  <si>
    <t>C1229580</t>
  </si>
  <si>
    <t>AR3267</t>
  </si>
  <si>
    <t>P26668</t>
  </si>
  <si>
    <t>05NF0391</t>
  </si>
  <si>
    <t>P17695</t>
  </si>
  <si>
    <t>F03901113-1</t>
  </si>
  <si>
    <t>No retro active applicability/also Jury</t>
  </si>
  <si>
    <t>House</t>
  </si>
  <si>
    <t>P51855</t>
  </si>
  <si>
    <t>SS020934</t>
  </si>
  <si>
    <t>Paroled on 10/1/2020</t>
  </si>
  <si>
    <t>T58826</t>
  </si>
  <si>
    <t>SA043612</t>
  </si>
  <si>
    <t>D39831</t>
  </si>
  <si>
    <t>BA111254</t>
  </si>
  <si>
    <t>Peatrowski</t>
  </si>
  <si>
    <t>D06045</t>
  </si>
  <si>
    <t>SCR45651</t>
  </si>
  <si>
    <t>H35629</t>
  </si>
  <si>
    <t>SC071812</t>
  </si>
  <si>
    <t>C16107</t>
  </si>
  <si>
    <t>04NF1628</t>
  </si>
  <si>
    <t>Styles</t>
  </si>
  <si>
    <t>D41915</t>
  </si>
  <si>
    <t>BF114746</t>
  </si>
  <si>
    <t>Hubbard</t>
  </si>
  <si>
    <t>AI4216</t>
  </si>
  <si>
    <t>PA067328</t>
  </si>
  <si>
    <t>Burnor</t>
  </si>
  <si>
    <t>F29617</t>
  </si>
  <si>
    <t>SCN191483</t>
  </si>
  <si>
    <t>AH5538</t>
  </si>
  <si>
    <t>CVSP - Facility C</t>
  </si>
  <si>
    <t>FSB1002877</t>
  </si>
  <si>
    <t>Gosal</t>
  </si>
  <si>
    <t>AR1724</t>
  </si>
  <si>
    <t>08F07142</t>
  </si>
  <si>
    <t xml:space="preserve">Grajeda </t>
  </si>
  <si>
    <t>AX2386</t>
  </si>
  <si>
    <t>C1479534</t>
  </si>
  <si>
    <t>P42833</t>
  </si>
  <si>
    <t>COR Facility 3A</t>
  </si>
  <si>
    <t>04F03408</t>
  </si>
  <si>
    <t>Released 8/13/2020</t>
  </si>
  <si>
    <t>WE4354</t>
  </si>
  <si>
    <t>SACCO San Diego</t>
  </si>
  <si>
    <t>VA122256</t>
  </si>
  <si>
    <t>Negotitated plea</t>
  </si>
  <si>
    <t>Pryor</t>
  </si>
  <si>
    <t>T81119</t>
  </si>
  <si>
    <t>BA375576</t>
  </si>
  <si>
    <t>AB9220</t>
  </si>
  <si>
    <t>SWF008909</t>
  </si>
  <si>
    <t>G46924</t>
  </si>
  <si>
    <t>RIF129735</t>
  </si>
  <si>
    <t>AN1629</t>
  </si>
  <si>
    <t>KA097388</t>
  </si>
  <si>
    <t>H79944</t>
  </si>
  <si>
    <t>PUMCCF-SHAFTER</t>
  </si>
  <si>
    <t>BA330814A</t>
  </si>
  <si>
    <t>Eleby</t>
  </si>
  <si>
    <t>AW2469</t>
  </si>
  <si>
    <t>BA394931</t>
  </si>
  <si>
    <t>AR7533</t>
  </si>
  <si>
    <t>NA095650</t>
  </si>
  <si>
    <t>J45735</t>
  </si>
  <si>
    <t>KA055415</t>
  </si>
  <si>
    <t>AP6842</t>
  </si>
  <si>
    <t>SWF1301636</t>
  </si>
  <si>
    <t>Devine</t>
  </si>
  <si>
    <t>J58047</t>
  </si>
  <si>
    <t>KVSP-Central Service</t>
  </si>
  <si>
    <t>07CM7394</t>
  </si>
  <si>
    <t>V32239</t>
  </si>
  <si>
    <t>RIF123334</t>
  </si>
  <si>
    <t>Grier</t>
  </si>
  <si>
    <t>F94982</t>
  </si>
  <si>
    <t>04F10185</t>
  </si>
  <si>
    <t xml:space="preserve">Griffin </t>
  </si>
  <si>
    <t>AH4404</t>
  </si>
  <si>
    <t>08F08762</t>
  </si>
  <si>
    <t>Release 1/22/2020</t>
  </si>
  <si>
    <t>Grogan</t>
  </si>
  <si>
    <t>AU6905</t>
  </si>
  <si>
    <t>GA086514-02</t>
  </si>
  <si>
    <t>Lozano</t>
  </si>
  <si>
    <t>AS1093</t>
  </si>
  <si>
    <t>BA416163</t>
  </si>
  <si>
    <t>Released 1/4/21</t>
  </si>
  <si>
    <t>Hopper</t>
  </si>
  <si>
    <t>P93616</t>
  </si>
  <si>
    <t>SCD145054</t>
  </si>
  <si>
    <t xml:space="preserve">Withdrew due to upcoming BPH Hearing. </t>
  </si>
  <si>
    <t>Guenthard</t>
  </si>
  <si>
    <t>AL4417</t>
  </si>
  <si>
    <t>SCC Oak Glen Camp</t>
  </si>
  <si>
    <t>KA096787</t>
  </si>
  <si>
    <t xml:space="preserve">Guerrero </t>
  </si>
  <si>
    <t>AX8401</t>
  </si>
  <si>
    <t>F13910236</t>
  </si>
  <si>
    <t>Paroled on 2/5/2022</t>
  </si>
  <si>
    <t>AK6642</t>
  </si>
  <si>
    <t>KVSP - Facility B</t>
  </si>
  <si>
    <t>C1109799</t>
  </si>
  <si>
    <t>Hunter</t>
  </si>
  <si>
    <t>T29288</t>
  </si>
  <si>
    <t>SQ Central Service</t>
  </si>
  <si>
    <t>MA020784</t>
  </si>
  <si>
    <t>AA4741</t>
  </si>
  <si>
    <t>SVSP - Faility A</t>
  </si>
  <si>
    <t>Drug Enhancements</t>
  </si>
  <si>
    <t>V73527</t>
  </si>
  <si>
    <t>MA038466</t>
  </si>
  <si>
    <t>F68128</t>
  </si>
  <si>
    <t>03F6857</t>
  </si>
  <si>
    <t>H39631</t>
  </si>
  <si>
    <t>AM1032</t>
  </si>
  <si>
    <t>CR1101069</t>
  </si>
  <si>
    <t>Paroled 2/1/2022</t>
  </si>
  <si>
    <t>F14636</t>
  </si>
  <si>
    <t>H22437</t>
  </si>
  <si>
    <t>SC077324</t>
  </si>
  <si>
    <t>Matos</t>
  </si>
  <si>
    <t>AL9638</t>
  </si>
  <si>
    <t>Paroled 9/26/2021</t>
  </si>
  <si>
    <t>Canela</t>
  </si>
  <si>
    <t>BA5838</t>
  </si>
  <si>
    <t>SCD251838</t>
  </si>
  <si>
    <t>H02642</t>
  </si>
  <si>
    <t>SCD114427</t>
  </si>
  <si>
    <t>Paroled 11/12/2021</t>
  </si>
  <si>
    <t>D42890</t>
  </si>
  <si>
    <t>12CR19850</t>
  </si>
  <si>
    <t xml:space="preserve">NCD 6/12/2020 </t>
  </si>
  <si>
    <t>T06055</t>
  </si>
  <si>
    <t>CC069243</t>
  </si>
  <si>
    <t>Vaira</t>
  </si>
  <si>
    <t>AN0809</t>
  </si>
  <si>
    <t>CCC-Facility A</t>
  </si>
  <si>
    <t>11F4173</t>
  </si>
  <si>
    <t>Paroled 9/28/2021</t>
  </si>
  <si>
    <t>Horner</t>
  </si>
  <si>
    <t>AU9411</t>
  </si>
  <si>
    <t>13F7375</t>
  </si>
  <si>
    <t>Paroled  1/29/2023</t>
  </si>
  <si>
    <t>AP1212</t>
  </si>
  <si>
    <t>Collier</t>
  </si>
  <si>
    <t>AG1613</t>
  </si>
  <si>
    <t>CRF091144</t>
  </si>
  <si>
    <t>Paroled 3/23/2022</t>
  </si>
  <si>
    <t>Guice</t>
  </si>
  <si>
    <t>AY3813</t>
  </si>
  <si>
    <t>SS100975A</t>
  </si>
  <si>
    <t>AX5517</t>
  </si>
  <si>
    <t>KA098757</t>
  </si>
  <si>
    <t>Paroled 2/6/2022</t>
  </si>
  <si>
    <t>P15418</t>
  </si>
  <si>
    <t>F80024</t>
  </si>
  <si>
    <t>VCF178133</t>
  </si>
  <si>
    <t>X37410</t>
  </si>
  <si>
    <t>FWV19003494 FWV17000134</t>
  </si>
  <si>
    <t>Ilacqua</t>
  </si>
  <si>
    <t>V50945</t>
  </si>
  <si>
    <t>SCD169242</t>
  </si>
  <si>
    <t>V49040</t>
  </si>
  <si>
    <t>F02671386</t>
  </si>
  <si>
    <t>Reyna Jr</t>
  </si>
  <si>
    <t>V57825</t>
  </si>
  <si>
    <t>BA367209</t>
  </si>
  <si>
    <t>Ransom</t>
  </si>
  <si>
    <t>H71641</t>
  </si>
  <si>
    <t>NA027990</t>
  </si>
  <si>
    <t>J88431</t>
  </si>
  <si>
    <t>BA223756</t>
  </si>
  <si>
    <t>West</t>
  </si>
  <si>
    <t>P67027</t>
  </si>
  <si>
    <t>C9926598</t>
  </si>
  <si>
    <t>Browning</t>
  </si>
  <si>
    <t>T35294</t>
  </si>
  <si>
    <t>KVSP-Facility Z</t>
  </si>
  <si>
    <t>09CM7015</t>
  </si>
  <si>
    <t>Hutchinson</t>
  </si>
  <si>
    <t>P68859</t>
  </si>
  <si>
    <t>NA040270</t>
  </si>
  <si>
    <t>Ha</t>
  </si>
  <si>
    <t>AN9616</t>
  </si>
  <si>
    <t>CAC- Facility A</t>
  </si>
  <si>
    <t>GA085549</t>
  </si>
  <si>
    <t>T04048</t>
  </si>
  <si>
    <t>VCR148727</t>
  </si>
  <si>
    <t xml:space="preserve">Halpin </t>
  </si>
  <si>
    <t>AW5262</t>
  </si>
  <si>
    <t>CCI - Facility C</t>
  </si>
  <si>
    <t>MA062393</t>
  </si>
  <si>
    <t>T78849</t>
  </si>
  <si>
    <t>VA096413</t>
  </si>
  <si>
    <t>Paroled 10/6/2021</t>
  </si>
  <si>
    <t>Knox</t>
  </si>
  <si>
    <t>K71363</t>
  </si>
  <si>
    <t>TA116606</t>
  </si>
  <si>
    <t>Paroled 10/23/2021</t>
  </si>
  <si>
    <t>Luker</t>
  </si>
  <si>
    <t>AU0251</t>
  </si>
  <si>
    <t>12NF0641</t>
  </si>
  <si>
    <t>K94761</t>
  </si>
  <si>
    <t>SCE184229</t>
  </si>
  <si>
    <t>Paroled 6/10/2022</t>
  </si>
  <si>
    <t>Patron</t>
  </si>
  <si>
    <t>AP9662</t>
  </si>
  <si>
    <t>LA067935</t>
  </si>
  <si>
    <t>Paroled 9/12/2022</t>
  </si>
  <si>
    <t>AP0366</t>
  </si>
  <si>
    <t>RIF1201390</t>
  </si>
  <si>
    <t>Paroled 5/12/2022</t>
  </si>
  <si>
    <t xml:space="preserve">Nero </t>
  </si>
  <si>
    <t>F89572</t>
  </si>
  <si>
    <t>PA057012</t>
  </si>
  <si>
    <t>Haynes</t>
  </si>
  <si>
    <t>J13372</t>
  </si>
  <si>
    <t>VF37228-a</t>
  </si>
  <si>
    <t>Paroled 3/2/2022</t>
  </si>
  <si>
    <t>Johns</t>
  </si>
  <si>
    <t>AP9667</t>
  </si>
  <si>
    <t>12F4915</t>
  </si>
  <si>
    <t>Discharged PRCS 4/13/2021</t>
  </si>
  <si>
    <t>Mason</t>
  </si>
  <si>
    <t>AE0771</t>
  </si>
  <si>
    <t>07F00933</t>
  </si>
  <si>
    <t>Humphrey</t>
  </si>
  <si>
    <t>AK0695</t>
  </si>
  <si>
    <t>HDSP - Facility B</t>
  </si>
  <si>
    <t>SCS243881</t>
  </si>
  <si>
    <t>Hayes</t>
  </si>
  <si>
    <t>AI8631</t>
  </si>
  <si>
    <t>RIF10004481</t>
  </si>
  <si>
    <t>Paroled  3/6/22</t>
  </si>
  <si>
    <t>Isayev</t>
  </si>
  <si>
    <t>F57025</t>
  </si>
  <si>
    <t>MCSP - Facility C</t>
  </si>
  <si>
    <t>05F09184</t>
  </si>
  <si>
    <t>AI6968</t>
  </si>
  <si>
    <t>10F05349</t>
  </si>
  <si>
    <t>Jacko</t>
  </si>
  <si>
    <t>H55000</t>
  </si>
  <si>
    <t>LA036876</t>
  </si>
  <si>
    <t>released on 03/10/2020</t>
  </si>
  <si>
    <t>Church</t>
  </si>
  <si>
    <t>F19677</t>
  </si>
  <si>
    <t>ASP-Facilty C</t>
  </si>
  <si>
    <t>05F3849</t>
  </si>
  <si>
    <t>P89098</t>
  </si>
  <si>
    <t>BA109845</t>
  </si>
  <si>
    <t>Pinkham</t>
  </si>
  <si>
    <t>AU2591</t>
  </si>
  <si>
    <t>NA094761</t>
  </si>
  <si>
    <t xml:space="preserve">Reyna </t>
  </si>
  <si>
    <t>AG3393</t>
  </si>
  <si>
    <t>10F0087</t>
  </si>
  <si>
    <t>Paroled 5/24/2022</t>
  </si>
  <si>
    <t>Terrill</t>
  </si>
  <si>
    <t>BA3192</t>
  </si>
  <si>
    <t>FSB1401267</t>
  </si>
  <si>
    <t>Paroled  5/8/2023</t>
  </si>
  <si>
    <t>Makanski</t>
  </si>
  <si>
    <t>BC3174</t>
  </si>
  <si>
    <t>AG9674</t>
  </si>
  <si>
    <t>RIF132673</t>
  </si>
  <si>
    <t>Paroled 3/25/2022</t>
  </si>
  <si>
    <t>Kemp</t>
  </si>
  <si>
    <t>H31588</t>
  </si>
  <si>
    <t>RIF105475</t>
  </si>
  <si>
    <t>AP8285</t>
  </si>
  <si>
    <t>HDSP-Facilty C</t>
  </si>
  <si>
    <t>SWF1301751</t>
  </si>
  <si>
    <t>Heinze</t>
  </si>
  <si>
    <t>AX4124</t>
  </si>
  <si>
    <t>VCR216165</t>
  </si>
  <si>
    <t>Scheduled realease 8/30/21</t>
  </si>
  <si>
    <t>Willimas</t>
  </si>
  <si>
    <t>H25798</t>
  </si>
  <si>
    <t>AS4082</t>
  </si>
  <si>
    <t>BF139276</t>
  </si>
  <si>
    <t>Stanford</t>
  </si>
  <si>
    <t>G14090</t>
  </si>
  <si>
    <t>06F08729</t>
  </si>
  <si>
    <t>Delatorre</t>
  </si>
  <si>
    <t>AX1074</t>
  </si>
  <si>
    <t>SWF1303487</t>
  </si>
  <si>
    <t>Paroled 10/18/2021</t>
  </si>
  <si>
    <t>BC8269</t>
  </si>
  <si>
    <t>Paroled 2/19/2022</t>
  </si>
  <si>
    <t>Bello</t>
  </si>
  <si>
    <t>T50863</t>
  </si>
  <si>
    <t>F18906468</t>
  </si>
  <si>
    <t>X12009</t>
  </si>
  <si>
    <t>03F09613</t>
  </si>
  <si>
    <t>F67571</t>
  </si>
  <si>
    <t>05F02532</t>
  </si>
  <si>
    <t>On Hold - Unresolved RVR</t>
  </si>
  <si>
    <t>AM4215</t>
  </si>
  <si>
    <t>CAC  FAC C</t>
  </si>
  <si>
    <t>H52438</t>
  </si>
  <si>
    <t>2nd letter to be sent to Santa Clara Co B1152978</t>
  </si>
  <si>
    <t>D94533</t>
  </si>
  <si>
    <t>SCC - Facility C</t>
  </si>
  <si>
    <t>GA022490</t>
  </si>
  <si>
    <t>F31553</t>
  </si>
  <si>
    <t>BA282268</t>
  </si>
  <si>
    <t>AK0928</t>
  </si>
  <si>
    <t>NA086828</t>
  </si>
  <si>
    <t>Henning</t>
  </si>
  <si>
    <t>G36017</t>
  </si>
  <si>
    <t xml:space="preserve">CHCF FAC E </t>
  </si>
  <si>
    <t>V68070</t>
  </si>
  <si>
    <t>VA082792</t>
  </si>
  <si>
    <t>Jiles</t>
  </si>
  <si>
    <t>AN5951</t>
  </si>
  <si>
    <t>YA084727</t>
  </si>
  <si>
    <t>Henson</t>
  </si>
  <si>
    <t>AK4962</t>
  </si>
  <si>
    <t>F10905879</t>
  </si>
  <si>
    <t>AC8601</t>
  </si>
  <si>
    <t>08F04155</t>
  </si>
  <si>
    <t>K91836</t>
  </si>
  <si>
    <t>CMC Central Service</t>
  </si>
  <si>
    <t>SCD132679</t>
  </si>
  <si>
    <t>Parole grant 01/14/2020</t>
  </si>
  <si>
    <t>W90224</t>
  </si>
  <si>
    <t>99F07256</t>
  </si>
  <si>
    <t>AN3779</t>
  </si>
  <si>
    <t>ISP - Facility C</t>
  </si>
  <si>
    <t>08NF1682</t>
  </si>
  <si>
    <t>C39197</t>
  </si>
  <si>
    <t>SS052400</t>
  </si>
  <si>
    <t>P76210</t>
  </si>
  <si>
    <t>SF076772</t>
  </si>
  <si>
    <t>G64936</t>
  </si>
  <si>
    <t>PA060033</t>
  </si>
  <si>
    <t>C69626</t>
  </si>
  <si>
    <t>SATF - Facility F</t>
  </si>
  <si>
    <t>KA035564</t>
  </si>
  <si>
    <t>Juarez</t>
  </si>
  <si>
    <t>X17544</t>
  </si>
  <si>
    <t>RIF115058</t>
  </si>
  <si>
    <t>Boon</t>
  </si>
  <si>
    <t>T50834</t>
  </si>
  <si>
    <t>MA058234</t>
  </si>
  <si>
    <t>H65925</t>
  </si>
  <si>
    <t>19CM2530D</t>
  </si>
  <si>
    <t>King</t>
  </si>
  <si>
    <t>BB9167</t>
  </si>
  <si>
    <t>DF014377</t>
  </si>
  <si>
    <t>Judson</t>
  </si>
  <si>
    <t>G48284</t>
  </si>
  <si>
    <t>RIF127190</t>
  </si>
  <si>
    <t>Kahn</t>
  </si>
  <si>
    <t>F55145</t>
  </si>
  <si>
    <t>0400606</t>
  </si>
  <si>
    <t>Kamack</t>
  </si>
  <si>
    <t>AA1281</t>
  </si>
  <si>
    <t>YA069698</t>
  </si>
  <si>
    <t>AB 109</t>
  </si>
  <si>
    <t>Rivasavelar</t>
  </si>
  <si>
    <t>BL8000</t>
  </si>
  <si>
    <t>BA483402</t>
  </si>
  <si>
    <t>Released 7/30/2020 due to covid</t>
  </si>
  <si>
    <t>Bisset</t>
  </si>
  <si>
    <t>BK9342</t>
  </si>
  <si>
    <t>HDSP-MSF</t>
  </si>
  <si>
    <t>CRF52514</t>
  </si>
  <si>
    <t>Released 7/18/2020 due to covid</t>
  </si>
  <si>
    <t>Haswell</t>
  </si>
  <si>
    <t>BL7947</t>
  </si>
  <si>
    <t>TA150956 TA141698</t>
  </si>
  <si>
    <t>Released 9/22/2020 due to covid</t>
  </si>
  <si>
    <t>BK3946</t>
  </si>
  <si>
    <t>NA112460</t>
  </si>
  <si>
    <t>Released 8/5/2020 due to covid</t>
  </si>
  <si>
    <t>Kessler</t>
  </si>
  <si>
    <t>W99328</t>
  </si>
  <si>
    <t>CRF7444</t>
  </si>
  <si>
    <t>released 2/7/2019</t>
  </si>
  <si>
    <t>F44265</t>
  </si>
  <si>
    <t>KA074891</t>
  </si>
  <si>
    <t>Kinney</t>
  </si>
  <si>
    <t>T72977</t>
  </si>
  <si>
    <t>FOL - FAC A</t>
  </si>
  <si>
    <t>02F03682</t>
  </si>
  <si>
    <t>Compassionate Release ordered by court on 12/13/2019</t>
  </si>
  <si>
    <t>AF8014</t>
  </si>
  <si>
    <t>KVSP - Facility A</t>
  </si>
  <si>
    <t>BA366951</t>
  </si>
  <si>
    <t>AP8920</t>
  </si>
  <si>
    <t>00AP8920</t>
  </si>
  <si>
    <t>SCC CAMP</t>
  </si>
  <si>
    <t>VA125738</t>
  </si>
  <si>
    <t>AV1613</t>
  </si>
  <si>
    <t>CCC - Facility A</t>
  </si>
  <si>
    <t>TA134144</t>
  </si>
  <si>
    <t>Paroled on 4/13/2022</t>
  </si>
  <si>
    <t>Kurtenbach</t>
  </si>
  <si>
    <t>AF9068</t>
  </si>
  <si>
    <t>SCE286557</t>
  </si>
  <si>
    <t>reduced by 4 years, released 07/05/2019</t>
  </si>
  <si>
    <t>Hix</t>
  </si>
  <si>
    <t>AD7704</t>
  </si>
  <si>
    <t>SF129392</t>
  </si>
  <si>
    <t>Hoare</t>
  </si>
  <si>
    <t>P87781</t>
  </si>
  <si>
    <t>BA189148</t>
  </si>
  <si>
    <t>Holifield</t>
  </si>
  <si>
    <t>T18773</t>
  </si>
  <si>
    <t>LA054598</t>
  </si>
  <si>
    <t>AT1060</t>
  </si>
  <si>
    <t>CHCF - Facility E</t>
  </si>
  <si>
    <t>13F04534</t>
  </si>
  <si>
    <t>AR9297</t>
  </si>
  <si>
    <t>CRC - Facility C</t>
  </si>
  <si>
    <t>SA082656-01</t>
  </si>
  <si>
    <t>Iraheta</t>
  </si>
  <si>
    <t>AW1320</t>
  </si>
  <si>
    <t>ISP -Facility B</t>
  </si>
  <si>
    <t>BA411233-01</t>
  </si>
  <si>
    <t>AA0079</t>
  </si>
  <si>
    <t>RIF147867</t>
  </si>
  <si>
    <t>T20981</t>
  </si>
  <si>
    <t>CMC Facility G</t>
  </si>
  <si>
    <t>SCD155301</t>
  </si>
  <si>
    <t>P90230</t>
  </si>
  <si>
    <t>FSB022272</t>
  </si>
  <si>
    <t>AC7902</t>
  </si>
  <si>
    <t>FSB902282</t>
  </si>
  <si>
    <t>Paroled 6/7/2022</t>
  </si>
  <si>
    <t xml:space="preserve">Jaimez </t>
  </si>
  <si>
    <t>AP1423</t>
  </si>
  <si>
    <t>BA405174</t>
  </si>
  <si>
    <t>Rleased on 4/19/21</t>
  </si>
  <si>
    <t xml:space="preserve">Jimenez </t>
  </si>
  <si>
    <t>AX4275</t>
  </si>
  <si>
    <t>BA391412</t>
  </si>
  <si>
    <t>K14334</t>
  </si>
  <si>
    <t>PA022133</t>
  </si>
  <si>
    <t>Mott</t>
  </si>
  <si>
    <t>WA4209</t>
  </si>
  <si>
    <t>FBA800761</t>
  </si>
  <si>
    <t>AS3702</t>
  </si>
  <si>
    <t>MA061557</t>
  </si>
  <si>
    <t>Lacheppelle</t>
  </si>
  <si>
    <t>V68441</t>
  </si>
  <si>
    <t>Released on 10/27/2020</t>
  </si>
  <si>
    <t>Landeros</t>
  </si>
  <si>
    <t>AM9173</t>
  </si>
  <si>
    <t>12F01176</t>
  </si>
  <si>
    <t>set to release 3/24/21</t>
  </si>
  <si>
    <t>Landren</t>
  </si>
  <si>
    <t>X04633</t>
  </si>
  <si>
    <t>BA252353</t>
  </si>
  <si>
    <t>reducded by 25 years, released 02/20/2019</t>
  </si>
  <si>
    <t>Latimore</t>
  </si>
  <si>
    <t>G50013</t>
  </si>
  <si>
    <t>00G50013</t>
  </si>
  <si>
    <t>SCC Facility C SNY</t>
  </si>
  <si>
    <t>H42385</t>
  </si>
  <si>
    <t xml:space="preserve">No change to term or any counts.  Excess CDCR conduct credits of 515 days will not be applied per CCR 3371.1. </t>
  </si>
  <si>
    <t>Lepecanal</t>
  </si>
  <si>
    <t>T90402</t>
  </si>
  <si>
    <t>KA060353</t>
  </si>
  <si>
    <t>WE7503</t>
  </si>
  <si>
    <t>BA397754</t>
  </si>
  <si>
    <t>Will release on 11/12/2021</t>
  </si>
  <si>
    <t>G64902</t>
  </si>
  <si>
    <t>TA099269</t>
  </si>
  <si>
    <t>Released on 4/12/21</t>
  </si>
  <si>
    <t>Lord</t>
  </si>
  <si>
    <t>V82291</t>
  </si>
  <si>
    <t>CCI Facility D</t>
  </si>
  <si>
    <t>YA057936</t>
  </si>
  <si>
    <t>V52827</t>
  </si>
  <si>
    <t>FVA015165</t>
  </si>
  <si>
    <t>F37986</t>
  </si>
  <si>
    <t>SCD191147</t>
  </si>
  <si>
    <t>Lucero</t>
  </si>
  <si>
    <t>J29468</t>
  </si>
  <si>
    <t>YA035205</t>
  </si>
  <si>
    <t>Lugo</t>
  </si>
  <si>
    <t>T94501</t>
  </si>
  <si>
    <t>TA102418</t>
  </si>
  <si>
    <t>Grant 1/10/2024</t>
  </si>
  <si>
    <t>Lyman</t>
  </si>
  <si>
    <t>AF1402</t>
  </si>
  <si>
    <t>CMF FAC B</t>
  </si>
  <si>
    <t>TA105713</t>
  </si>
  <si>
    <t>reduced by 10 years.</t>
  </si>
  <si>
    <t>F38317</t>
  </si>
  <si>
    <t>BA352942</t>
  </si>
  <si>
    <t>Released on 6/17/21</t>
  </si>
  <si>
    <t>G36796</t>
  </si>
  <si>
    <t>YA071600</t>
  </si>
  <si>
    <t>Defendant waives his right to be resentenced</t>
  </si>
  <si>
    <t>Jusino</t>
  </si>
  <si>
    <t>AT6382</t>
  </si>
  <si>
    <t>CMF - MSF</t>
  </si>
  <si>
    <t>SC072835A</t>
  </si>
  <si>
    <t>Kamenskiy</t>
  </si>
  <si>
    <t>G52556</t>
  </si>
  <si>
    <t>VSP FAC B</t>
  </si>
  <si>
    <t>08F10272</t>
  </si>
  <si>
    <t>Karcz</t>
  </si>
  <si>
    <t>AI9974</t>
  </si>
  <si>
    <t>CMC FAC E</t>
  </si>
  <si>
    <t>Kaufusi</t>
  </si>
  <si>
    <t>AN5271</t>
  </si>
  <si>
    <t>C1196366</t>
  </si>
  <si>
    <t>Keo</t>
  </si>
  <si>
    <t>AU5910</t>
  </si>
  <si>
    <t>SF125968A</t>
  </si>
  <si>
    <t>AP6586</t>
  </si>
  <si>
    <t>CCC EEL River Camp</t>
  </si>
  <si>
    <t>13F01906</t>
  </si>
  <si>
    <t>released 10/11/2019</t>
  </si>
  <si>
    <t>Kutnerian</t>
  </si>
  <si>
    <t>AV1166</t>
  </si>
  <si>
    <t>CCC - Facility B</t>
  </si>
  <si>
    <t>C1246819</t>
  </si>
  <si>
    <t>Paroled on 12/4/2022</t>
  </si>
  <si>
    <t>Ladd</t>
  </si>
  <si>
    <t>AW8776</t>
  </si>
  <si>
    <t>VA137375</t>
  </si>
  <si>
    <t>CRC - Facility B</t>
  </si>
  <si>
    <t>AT8859</t>
  </si>
  <si>
    <t>INF1302971</t>
  </si>
  <si>
    <t>Paroled 12/6/2022</t>
  </si>
  <si>
    <t>Leahy</t>
  </si>
  <si>
    <t>AU4236</t>
  </si>
  <si>
    <t>13F05866</t>
  </si>
  <si>
    <t>Two other case numbers in Placer Co 62-125815 &amp; 62-124135/ NCD pending</t>
  </si>
  <si>
    <t>Lemaster</t>
  </si>
  <si>
    <t>G00937</t>
  </si>
  <si>
    <t>SCC Facility C</t>
  </si>
  <si>
    <t>CM027058</t>
  </si>
  <si>
    <t>Released 11/02/2020</t>
  </si>
  <si>
    <t>Malone</t>
  </si>
  <si>
    <t>T36094</t>
  </si>
  <si>
    <t>Little</t>
  </si>
  <si>
    <t>H84076</t>
  </si>
  <si>
    <t>CTF - Facility D</t>
  </si>
  <si>
    <t>Released 7/1/21</t>
  </si>
  <si>
    <t>Marion</t>
  </si>
  <si>
    <t>G42194</t>
  </si>
  <si>
    <t>FVA801272</t>
  </si>
  <si>
    <t>AL2355</t>
  </si>
  <si>
    <t>NCR83218</t>
  </si>
  <si>
    <t>AT3718</t>
  </si>
  <si>
    <t>SOL - Facility A</t>
  </si>
  <si>
    <t>13F04174</t>
  </si>
  <si>
    <t>Loun</t>
  </si>
  <si>
    <t>AS8557</t>
  </si>
  <si>
    <t>CCI Facility E</t>
  </si>
  <si>
    <t>Lovelace</t>
  </si>
  <si>
    <t>G53161</t>
  </si>
  <si>
    <t>SQ - Facility B</t>
  </si>
  <si>
    <t>CC453391</t>
  </si>
  <si>
    <t>Court declines to recall and resentence in this matter imposed that serves the interests of justice.</t>
  </si>
  <si>
    <t>Maetta</t>
  </si>
  <si>
    <t>G19236</t>
  </si>
  <si>
    <t xml:space="preserve">CIM FAC D </t>
  </si>
  <si>
    <t>07WF2473FA 07NF2428</t>
  </si>
  <si>
    <t>sentence restructrured</t>
  </si>
  <si>
    <t>F28640</t>
  </si>
  <si>
    <t>SS102246A</t>
  </si>
  <si>
    <t>P63481</t>
  </si>
  <si>
    <t>SC108369A</t>
  </si>
  <si>
    <t>Life to 12 year term, release 8/20/18</t>
  </si>
  <si>
    <t>Manafov</t>
  </si>
  <si>
    <t>AK1169</t>
  </si>
  <si>
    <t xml:space="preserve">Second Case Number Yolo Co CRF11-3827/Reduced ct 2 enhancement 12022.53(b) permanently stricken </t>
  </si>
  <si>
    <t>AF0558</t>
  </si>
  <si>
    <t>00AF0558</t>
  </si>
  <si>
    <t>CAC</t>
  </si>
  <si>
    <t>VA102974</t>
  </si>
  <si>
    <t>Ardery</t>
  </si>
  <si>
    <t>AN8051</t>
  </si>
  <si>
    <t>BA386458</t>
  </si>
  <si>
    <t>On hold - I/M is at ASH</t>
  </si>
  <si>
    <t>AK7877</t>
  </si>
  <si>
    <t>VA121299</t>
  </si>
  <si>
    <t>AI3250</t>
  </si>
  <si>
    <t>SCD228494 SCS222767</t>
  </si>
  <si>
    <t>Released on 10/18/2019</t>
  </si>
  <si>
    <t>H47101</t>
  </si>
  <si>
    <t>LAC Facility A</t>
  </si>
  <si>
    <t>PA032263</t>
  </si>
  <si>
    <t>G23311</t>
  </si>
  <si>
    <t>BA323642</t>
  </si>
  <si>
    <t>released on Own Recognizance on 11/05/2019/Discharged 11/12/2019 - Exonerated on all charges</t>
  </si>
  <si>
    <t xml:space="preserve">Martinez </t>
  </si>
  <si>
    <t>AW0479</t>
  </si>
  <si>
    <t>CEN - Facility A</t>
  </si>
  <si>
    <t>VA131679</t>
  </si>
  <si>
    <t>WE0656</t>
  </si>
  <si>
    <t>MA055871</t>
  </si>
  <si>
    <t>McMurray</t>
  </si>
  <si>
    <t>K31514</t>
  </si>
  <si>
    <t>CMC FAC B</t>
  </si>
  <si>
    <t>SF106921</t>
  </si>
  <si>
    <t>T81347</t>
  </si>
  <si>
    <t>KVSP - MSF</t>
  </si>
  <si>
    <t>BA235313</t>
  </si>
  <si>
    <t>Discharged from parole 3/20/2023</t>
  </si>
  <si>
    <t>Menchaca</t>
  </si>
  <si>
    <t>J76690</t>
  </si>
  <si>
    <t xml:space="preserve">CTF FAC C </t>
  </si>
  <si>
    <t>BA263890</t>
  </si>
  <si>
    <t>Reduced by 10 years</t>
  </si>
  <si>
    <t>Kelley</t>
  </si>
  <si>
    <t>AL6581</t>
  </si>
  <si>
    <t>SF107969</t>
  </si>
  <si>
    <t>Phothirath</t>
  </si>
  <si>
    <t>V17856</t>
  </si>
  <si>
    <t>01F06798</t>
  </si>
  <si>
    <t>Mendez</t>
  </si>
  <si>
    <t>G52117</t>
  </si>
  <si>
    <t>PA058263  PA045521</t>
  </si>
  <si>
    <t>Minjarez</t>
  </si>
  <si>
    <t>AY5468</t>
  </si>
  <si>
    <t>COR FAC 03A</t>
  </si>
  <si>
    <t>CRFE20157154</t>
  </si>
  <si>
    <t>AC0458</t>
  </si>
  <si>
    <t>VSP FAC C</t>
  </si>
  <si>
    <t>FSB059330</t>
  </si>
  <si>
    <t>Appellate Court Opinion dated 11/23/2020, Affirmed decision to decline resentence</t>
  </si>
  <si>
    <t>Montufar</t>
  </si>
  <si>
    <t>BA0571</t>
  </si>
  <si>
    <t>SCS279746</t>
  </si>
  <si>
    <t>F14278</t>
  </si>
  <si>
    <t>KA069377</t>
  </si>
  <si>
    <t>Barahona</t>
  </si>
  <si>
    <t>AH9763</t>
  </si>
  <si>
    <t>V28666</t>
  </si>
  <si>
    <t>TA072402</t>
  </si>
  <si>
    <t>Released on 2/26/20201</t>
  </si>
  <si>
    <t>McCallum</t>
  </si>
  <si>
    <t>F70712</t>
  </si>
  <si>
    <t>SQ Facility A</t>
  </si>
  <si>
    <t>KA076295</t>
  </si>
  <si>
    <t>Moriwaki</t>
  </si>
  <si>
    <t>P75866</t>
  </si>
  <si>
    <t>SVSP - Facility D</t>
  </si>
  <si>
    <t>BA174739</t>
  </si>
  <si>
    <t>Moss</t>
  </si>
  <si>
    <t>V63161</t>
  </si>
  <si>
    <t>PA048045</t>
  </si>
  <si>
    <t>Resentencing is not warranted</t>
  </si>
  <si>
    <t>Murphy</t>
  </si>
  <si>
    <t>F15807</t>
  </si>
  <si>
    <t>VCF140598</t>
  </si>
  <si>
    <t>McClendon</t>
  </si>
  <si>
    <t>E50335</t>
  </si>
  <si>
    <t>BA206393</t>
  </si>
  <si>
    <t>On hold</t>
  </si>
  <si>
    <t>AR7383</t>
  </si>
  <si>
    <t>H53160</t>
  </si>
  <si>
    <t>McFoy</t>
  </si>
  <si>
    <t>G34444</t>
  </si>
  <si>
    <t>FWV037360</t>
  </si>
  <si>
    <t>Nash</t>
  </si>
  <si>
    <t>V78627</t>
  </si>
  <si>
    <t>MCSP - MSF</t>
  </si>
  <si>
    <t>SA052135</t>
  </si>
  <si>
    <t>AS4776</t>
  </si>
  <si>
    <t>CCC - Devils Garden Camp</t>
  </si>
  <si>
    <t>13F04523</t>
  </si>
  <si>
    <t>Paroled 4/30/2022</t>
  </si>
  <si>
    <t>Nickerson</t>
  </si>
  <si>
    <t>G49529</t>
  </si>
  <si>
    <t>CMC - Facility A</t>
  </si>
  <si>
    <t>LA051175</t>
  </si>
  <si>
    <t>McGinty</t>
  </si>
  <si>
    <t>WE4164</t>
  </si>
  <si>
    <t>SACCO - CTTRP SACRAMENTO</t>
  </si>
  <si>
    <t>SCUKCRCR116558</t>
  </si>
  <si>
    <t>Paroled 1/22/2021</t>
  </si>
  <si>
    <t>McNair</t>
  </si>
  <si>
    <t>P91662</t>
  </si>
  <si>
    <t>MA019020</t>
  </si>
  <si>
    <t>Artavia</t>
  </si>
  <si>
    <t>AK1109</t>
  </si>
  <si>
    <t>PVSP - Facility C</t>
  </si>
  <si>
    <t>GA073083</t>
  </si>
  <si>
    <t>AP5657</t>
  </si>
  <si>
    <t>PVSP - Facility A</t>
  </si>
  <si>
    <t>VA126717</t>
  </si>
  <si>
    <t>O'Bryan</t>
  </si>
  <si>
    <t>T23270</t>
  </si>
  <si>
    <t>SOL- Facility C</t>
  </si>
  <si>
    <t>Term restructured 27 years 4 month to 20 years. ON 9/28/21, BPH HAS PLACED A 45 DAY HOLD FOR FULL EVALUATION PER PC 2962</t>
  </si>
  <si>
    <t>Medel</t>
  </si>
  <si>
    <t>T09909</t>
  </si>
  <si>
    <t>ASP FAC A</t>
  </si>
  <si>
    <t>NA045763</t>
  </si>
  <si>
    <t>Ochoa</t>
  </si>
  <si>
    <t>G15006</t>
  </si>
  <si>
    <t>CCC-Facility B</t>
  </si>
  <si>
    <t>SF101736</t>
  </si>
  <si>
    <t>Olmos</t>
  </si>
  <si>
    <t>AI0579</t>
  </si>
  <si>
    <t>VCF240284</t>
  </si>
  <si>
    <t xml:space="preserve">Orozco </t>
  </si>
  <si>
    <t>AH8279</t>
  </si>
  <si>
    <t xml:space="preserve">MCCF-Desert View </t>
  </si>
  <si>
    <t>10CF2445</t>
  </si>
  <si>
    <t>Per notes inmate should be released NLT 12/20/2019</t>
  </si>
  <si>
    <t>AP3311</t>
  </si>
  <si>
    <t xml:space="preserve">CEN - MSF </t>
  </si>
  <si>
    <t>VA127594</t>
  </si>
  <si>
    <t>Oveido</t>
  </si>
  <si>
    <t>AW5946</t>
  </si>
  <si>
    <t>VCF304048B</t>
  </si>
  <si>
    <t>Palafox</t>
  </si>
  <si>
    <t>AT6621</t>
  </si>
  <si>
    <t>FSB1202115</t>
  </si>
  <si>
    <t>V02420</t>
  </si>
  <si>
    <t>BA248693</t>
  </si>
  <si>
    <t>Paroled on 4/11/2022</t>
  </si>
  <si>
    <t xml:space="preserve">Pena </t>
  </si>
  <si>
    <t>AW8083</t>
  </si>
  <si>
    <t>C1227699</t>
  </si>
  <si>
    <t>Penn</t>
  </si>
  <si>
    <t>J31254</t>
  </si>
  <si>
    <t>YA057360  YA058153</t>
  </si>
  <si>
    <t>Current Commitment Violent/Serious &amp; History of Serios offenses</t>
  </si>
  <si>
    <t>Pennell</t>
  </si>
  <si>
    <t>F90206</t>
  </si>
  <si>
    <t>SVSP - Facility A</t>
  </si>
  <si>
    <t>SF111573</t>
  </si>
  <si>
    <t>WF0095</t>
  </si>
  <si>
    <t>FOL Facility B</t>
  </si>
  <si>
    <t>13F02966</t>
  </si>
  <si>
    <t>NCD - 04/29/2020</t>
  </si>
  <si>
    <t>T21543</t>
  </si>
  <si>
    <t>2nd letter to be sent to Sacramento C0 - 07F08409</t>
  </si>
  <si>
    <t>Quintero</t>
  </si>
  <si>
    <t>AS7667</t>
  </si>
  <si>
    <t>BA399859</t>
  </si>
  <si>
    <t>H49005</t>
  </si>
  <si>
    <t>AG4688</t>
  </si>
  <si>
    <t>FSB1001397</t>
  </si>
  <si>
    <t>Perkins</t>
  </si>
  <si>
    <t>AU8232</t>
  </si>
  <si>
    <t>13F03965</t>
  </si>
  <si>
    <t>Release on 9/23/2020</t>
  </si>
  <si>
    <t>AW1313</t>
  </si>
  <si>
    <t>RIF1300496</t>
  </si>
  <si>
    <t>Pickins</t>
  </si>
  <si>
    <t>AI8168</t>
  </si>
  <si>
    <t>SCE300962</t>
  </si>
  <si>
    <t>Mims</t>
  </si>
  <si>
    <t>D95219</t>
  </si>
  <si>
    <t>SCE288531</t>
  </si>
  <si>
    <t>PAROLED 5/17/2022</t>
  </si>
  <si>
    <t>Pierce</t>
  </si>
  <si>
    <t>AI0299</t>
  </si>
  <si>
    <t>F10903822</t>
  </si>
  <si>
    <t>Posadas</t>
  </si>
  <si>
    <t>V91955</t>
  </si>
  <si>
    <t>SQ Facility B</t>
  </si>
  <si>
    <t>FF300396</t>
  </si>
  <si>
    <t>2nd Letter going to San Mateo County, Case Number SC046486A</t>
  </si>
  <si>
    <t>Pradia</t>
  </si>
  <si>
    <t>AS1566</t>
  </si>
  <si>
    <t>SF123037</t>
  </si>
  <si>
    <t>Purvis</t>
  </si>
  <si>
    <t>T91908</t>
  </si>
  <si>
    <t>NA052535</t>
  </si>
  <si>
    <t>Raines</t>
  </si>
  <si>
    <t>AN9886</t>
  </si>
  <si>
    <t>F17755</t>
  </si>
  <si>
    <t>G43051</t>
  </si>
  <si>
    <t xml:space="preserve"> Released on 8/12/2020</t>
  </si>
  <si>
    <t>AH9366</t>
  </si>
  <si>
    <t>MA048641</t>
  </si>
  <si>
    <t>Rangel</t>
  </si>
  <si>
    <t>AX7068</t>
  </si>
  <si>
    <t>SF130853</t>
  </si>
  <si>
    <t>Paroled 9/27/2023</t>
  </si>
  <si>
    <t>Rayford</t>
  </si>
  <si>
    <t>AM3875</t>
  </si>
  <si>
    <t>YA083080</t>
  </si>
  <si>
    <t>Reece</t>
  </si>
  <si>
    <t>AT8187</t>
  </si>
  <si>
    <t>Retano</t>
  </si>
  <si>
    <t>G52037</t>
  </si>
  <si>
    <t>NA079813</t>
  </si>
  <si>
    <t>P75174</t>
  </si>
  <si>
    <t>Released 5/12/2022</t>
  </si>
  <si>
    <t>X07241</t>
  </si>
  <si>
    <t>CCWF Facility C</t>
  </si>
  <si>
    <t>CM019029</t>
  </si>
  <si>
    <t>Rickett</t>
  </si>
  <si>
    <t>F98196</t>
  </si>
  <si>
    <t>07CF3322/SCD209963</t>
  </si>
  <si>
    <t>reduced by 4 years and 4 months, released 09/3/2023</t>
  </si>
  <si>
    <t>Riddle</t>
  </si>
  <si>
    <t>AG8014</t>
  </si>
  <si>
    <t>SAC -MSF</t>
  </si>
  <si>
    <t>FCR240955</t>
  </si>
  <si>
    <t>Riggs</t>
  </si>
  <si>
    <t>AX2071</t>
  </si>
  <si>
    <t>SCC -Facility C</t>
  </si>
  <si>
    <t>SF129907</t>
  </si>
  <si>
    <t>Released 6/15/21</t>
  </si>
  <si>
    <t>AU1773</t>
  </si>
  <si>
    <t xml:space="preserve">CMC FAC F </t>
  </si>
  <si>
    <t>BA405335</t>
  </si>
  <si>
    <t>J10432</t>
  </si>
  <si>
    <t>08NF3676</t>
  </si>
  <si>
    <t>COVID</t>
  </si>
  <si>
    <t>Philpott</t>
  </si>
  <si>
    <t>AL9559</t>
  </si>
  <si>
    <t>CIM - Facility C</t>
  </si>
  <si>
    <t>NA089063  BA388927-01</t>
  </si>
  <si>
    <t>Release due to covid</t>
  </si>
  <si>
    <t>F40098</t>
  </si>
  <si>
    <t>KA075499</t>
  </si>
  <si>
    <t>Paroled 12/28/2022</t>
  </si>
  <si>
    <t>AG4227</t>
  </si>
  <si>
    <t>10WF0737</t>
  </si>
  <si>
    <t>Released 2/4/2021</t>
  </si>
  <si>
    <t>D83108</t>
  </si>
  <si>
    <t>Nevada</t>
  </si>
  <si>
    <t>SF05002</t>
  </si>
  <si>
    <t>Follow up 9/20/2022 called Neveda City Courthouse. Letter not received.</t>
  </si>
  <si>
    <t>McDuffie</t>
  </si>
  <si>
    <t>AV2099</t>
  </si>
  <si>
    <t>MA062873</t>
  </si>
  <si>
    <t>Inmate Deseased as of 1/9/2021</t>
  </si>
  <si>
    <t>Murua</t>
  </si>
  <si>
    <t>T64577</t>
  </si>
  <si>
    <t>RIF100892</t>
  </si>
  <si>
    <t>PAROLED 10/02/2021</t>
  </si>
  <si>
    <t>BL0560</t>
  </si>
  <si>
    <t>17CR000130</t>
  </si>
  <si>
    <t>Released 1/13/2021</t>
  </si>
  <si>
    <t>AL2123</t>
  </si>
  <si>
    <t>FSB903886</t>
  </si>
  <si>
    <t>Paroled per BPH</t>
  </si>
  <si>
    <t>G31774</t>
  </si>
  <si>
    <t>RJD FAC B</t>
  </si>
  <si>
    <t>RIF117525</t>
  </si>
  <si>
    <t>Montiel</t>
  </si>
  <si>
    <t>WE7095</t>
  </si>
  <si>
    <t>CCWF Fire House</t>
  </si>
  <si>
    <t>D62389</t>
  </si>
  <si>
    <t>99F00713</t>
  </si>
  <si>
    <t>released on 1/18/2020</t>
  </si>
  <si>
    <t>F18990</t>
  </si>
  <si>
    <t>TA076090</t>
  </si>
  <si>
    <t>F21806</t>
  </si>
  <si>
    <t>SS050693</t>
  </si>
  <si>
    <t>P14315</t>
  </si>
  <si>
    <t>CTF - Faciltiy C</t>
  </si>
  <si>
    <t>NA045898</t>
  </si>
  <si>
    <t xml:space="preserve">convicted of the I/O while on parole </t>
  </si>
  <si>
    <t>G42265</t>
  </si>
  <si>
    <t>FVA027501</t>
  </si>
  <si>
    <t>Mullenix</t>
  </si>
  <si>
    <t>X34327</t>
  </si>
  <si>
    <t>06WF2607</t>
  </si>
  <si>
    <t>E38362</t>
  </si>
  <si>
    <t>SVSP - Central Service</t>
  </si>
  <si>
    <t>TA035712</t>
  </si>
  <si>
    <t>AX3730</t>
  </si>
  <si>
    <t>B1369383</t>
  </si>
  <si>
    <t>F47094</t>
  </si>
  <si>
    <t>BA280383</t>
  </si>
  <si>
    <t>Nguon</t>
  </si>
  <si>
    <t>T99924</t>
  </si>
  <si>
    <t>NA048273</t>
  </si>
  <si>
    <t>Paroled 5/20/2022</t>
  </si>
  <si>
    <t>F67622</t>
  </si>
  <si>
    <t>CC640296</t>
  </si>
  <si>
    <t>F94749</t>
  </si>
  <si>
    <t>VA098946</t>
  </si>
  <si>
    <t>Watts</t>
  </si>
  <si>
    <t>F78495</t>
  </si>
  <si>
    <t>Colusa</t>
  </si>
  <si>
    <t>CR50607</t>
  </si>
  <si>
    <t>07/07/20207</t>
  </si>
  <si>
    <t>G33734</t>
  </si>
  <si>
    <t>BD5064</t>
  </si>
  <si>
    <t>RIF1506439</t>
  </si>
  <si>
    <t>Released per BPH 5/4/21</t>
  </si>
  <si>
    <t>G51062</t>
  </si>
  <si>
    <t>SCD211655  SCD206972</t>
  </si>
  <si>
    <t>Robison</t>
  </si>
  <si>
    <t>T43662</t>
  </si>
  <si>
    <t>1026946    1095062</t>
  </si>
  <si>
    <t>Waller</t>
  </si>
  <si>
    <t>C59139</t>
  </si>
  <si>
    <t>F08907009</t>
  </si>
  <si>
    <t>Health conditions pre existing</t>
  </si>
  <si>
    <t>Copp</t>
  </si>
  <si>
    <t>AR9139</t>
  </si>
  <si>
    <t>RJD- Facility C</t>
  </si>
  <si>
    <t>SA079307</t>
  </si>
  <si>
    <t>Released on 2/11/2021</t>
  </si>
  <si>
    <t>Ward</t>
  </si>
  <si>
    <t>V71757</t>
  </si>
  <si>
    <t>GA057598</t>
  </si>
  <si>
    <t>Released on 2/13/2021</t>
  </si>
  <si>
    <t>AM0128</t>
  </si>
  <si>
    <t>2011045136  2011016334</t>
  </si>
  <si>
    <t>Inmate Deseased as of 2/1/2021</t>
  </si>
  <si>
    <t>C45451</t>
  </si>
  <si>
    <t>F14905982</t>
  </si>
  <si>
    <t>Montoya</t>
  </si>
  <si>
    <t>AG8817</t>
  </si>
  <si>
    <t>KA91542</t>
  </si>
  <si>
    <t>Released on 02/17/2021</t>
  </si>
  <si>
    <t>Roldan</t>
  </si>
  <si>
    <t>G12162</t>
  </si>
  <si>
    <t>CEN FAC C</t>
  </si>
  <si>
    <t>RIF116523</t>
  </si>
  <si>
    <t>V98058</t>
  </si>
  <si>
    <t>CHCF FAC C</t>
  </si>
  <si>
    <t>F05902077</t>
  </si>
  <si>
    <t>Romo</t>
  </si>
  <si>
    <t>AM5770</t>
  </si>
  <si>
    <t>CCC MSF</t>
  </si>
  <si>
    <t>NA085849</t>
  </si>
  <si>
    <t>AP4141</t>
  </si>
  <si>
    <t>H52075</t>
  </si>
  <si>
    <t>Denney</t>
  </si>
  <si>
    <t>E20201</t>
  </si>
  <si>
    <t>Paroled 12/6/2021</t>
  </si>
  <si>
    <t>Schmidt</t>
  </si>
  <si>
    <t>AU0496</t>
  </si>
  <si>
    <t>VA134836</t>
  </si>
  <si>
    <t>Paroled 7/16/2021</t>
  </si>
  <si>
    <t>G30681</t>
  </si>
  <si>
    <t>COR - Facility 04B</t>
  </si>
  <si>
    <t>SCS205684</t>
  </si>
  <si>
    <t>Released 7/8/21</t>
  </si>
  <si>
    <t xml:space="preserve">Kennedy </t>
  </si>
  <si>
    <t>C74840</t>
  </si>
  <si>
    <t>01HF1194</t>
  </si>
  <si>
    <t>Paroled 4/9/2023</t>
  </si>
  <si>
    <t>Simpson</t>
  </si>
  <si>
    <t>F41875</t>
  </si>
  <si>
    <t>GA048148</t>
  </si>
  <si>
    <t>P73061</t>
  </si>
  <si>
    <t>CIM - Facility B</t>
  </si>
  <si>
    <t>NA102540</t>
  </si>
  <si>
    <t>BA3356</t>
  </si>
  <si>
    <t>BA436040</t>
  </si>
  <si>
    <t>Set to release on 5/27/2021</t>
  </si>
  <si>
    <t>Birge</t>
  </si>
  <si>
    <t>D90787</t>
  </si>
  <si>
    <t>FWV028748</t>
  </si>
  <si>
    <t>Buchanan</t>
  </si>
  <si>
    <t>F74265</t>
  </si>
  <si>
    <t>RIF1606162</t>
  </si>
  <si>
    <t>Carlon</t>
  </si>
  <si>
    <t>E66630</t>
  </si>
  <si>
    <t>MCSP - Facility A</t>
  </si>
  <si>
    <t>RIF1004142</t>
  </si>
  <si>
    <t>Paroled 6/2/2022</t>
  </si>
  <si>
    <t>T75763</t>
  </si>
  <si>
    <t>BA233127</t>
  </si>
  <si>
    <t>released 4/14/2021</t>
  </si>
  <si>
    <t>Grate</t>
  </si>
  <si>
    <t>AS2278</t>
  </si>
  <si>
    <t>SQ - Faciity A</t>
  </si>
  <si>
    <t>SC076517</t>
  </si>
  <si>
    <t>Paroled 12/11/2021</t>
  </si>
  <si>
    <t>BD5799</t>
  </si>
  <si>
    <t>Discharged on 9/30/2021</t>
  </si>
  <si>
    <t>Woolf</t>
  </si>
  <si>
    <t>BB3064</t>
  </si>
  <si>
    <t>BA441438</t>
  </si>
  <si>
    <t>WE7745</t>
  </si>
  <si>
    <t>BA412721</t>
  </si>
  <si>
    <t>Crowder</t>
  </si>
  <si>
    <t>V61882</t>
  </si>
  <si>
    <t>BA235523</t>
  </si>
  <si>
    <t>Noordman</t>
  </si>
  <si>
    <t>X11811</t>
  </si>
  <si>
    <t>FRE006600</t>
  </si>
  <si>
    <t>Schwentke</t>
  </si>
  <si>
    <t>AZ4458</t>
  </si>
  <si>
    <t>RIF1506087</t>
  </si>
  <si>
    <t xml:space="preserve">Thomas </t>
  </si>
  <si>
    <t>AF6493</t>
  </si>
  <si>
    <t>BA287334</t>
  </si>
  <si>
    <t>F84408</t>
  </si>
  <si>
    <t>BA310476</t>
  </si>
  <si>
    <t>Chapman</t>
  </si>
  <si>
    <t>G37753</t>
  </si>
  <si>
    <t>SC080019</t>
  </si>
  <si>
    <t>Paroled on 11/7/2021</t>
  </si>
  <si>
    <t>J37127</t>
  </si>
  <si>
    <t xml:space="preserve">Scott </t>
  </si>
  <si>
    <t>T82253</t>
  </si>
  <si>
    <t>GA048192</t>
  </si>
  <si>
    <t>F85094</t>
  </si>
  <si>
    <t>PA055206</t>
  </si>
  <si>
    <t>P95221</t>
  </si>
  <si>
    <t>SA070741</t>
  </si>
  <si>
    <t>release 4/15/21</t>
  </si>
  <si>
    <t>Bateman</t>
  </si>
  <si>
    <t>D83985</t>
  </si>
  <si>
    <t>YA064741</t>
  </si>
  <si>
    <t>Boston</t>
  </si>
  <si>
    <t>D51060</t>
  </si>
  <si>
    <t>SA068062</t>
  </si>
  <si>
    <t>released 4/20/21</t>
  </si>
  <si>
    <t>D24079</t>
  </si>
  <si>
    <t>PVSP - MSF</t>
  </si>
  <si>
    <t>GA046927</t>
  </si>
  <si>
    <t>WF8177</t>
  </si>
  <si>
    <t>FSB1504352</t>
  </si>
  <si>
    <t>AT5083</t>
  </si>
  <si>
    <t>12WF1633</t>
  </si>
  <si>
    <t>Swait</t>
  </si>
  <si>
    <t>D59113</t>
  </si>
  <si>
    <t>SA044542</t>
  </si>
  <si>
    <t>Released 6/22/21</t>
  </si>
  <si>
    <t>Quinn</t>
  </si>
  <si>
    <t>AP2431</t>
  </si>
  <si>
    <t>12F8539</t>
  </si>
  <si>
    <t>Paroled on 1/30/2022</t>
  </si>
  <si>
    <t>Bolton</t>
  </si>
  <si>
    <t>AT9424</t>
  </si>
  <si>
    <t>BA421353</t>
  </si>
  <si>
    <t>BE7016</t>
  </si>
  <si>
    <t>C1474079</t>
  </si>
  <si>
    <t xml:space="preserve">Cavanas </t>
  </si>
  <si>
    <t>BD5762</t>
  </si>
  <si>
    <t>SCD271546</t>
  </si>
  <si>
    <t>Released on 3/23/21</t>
  </si>
  <si>
    <t xml:space="preserve">Velasquez </t>
  </si>
  <si>
    <t>AK7230</t>
  </si>
  <si>
    <t>CIM - Faciltiy D</t>
  </si>
  <si>
    <t>BF137599</t>
  </si>
  <si>
    <t xml:space="preserve">Quezada </t>
  </si>
  <si>
    <t>AC1166</t>
  </si>
  <si>
    <t>H47623</t>
  </si>
  <si>
    <t>RF005885A</t>
  </si>
  <si>
    <t>F02475</t>
  </si>
  <si>
    <t>MCSP - Facility D</t>
  </si>
  <si>
    <t>YA067477</t>
  </si>
  <si>
    <t>released 6/22/21</t>
  </si>
  <si>
    <t xml:space="preserve">criminal history </t>
  </si>
  <si>
    <t>H52664</t>
  </si>
  <si>
    <t>CHCF - Facility D</t>
  </si>
  <si>
    <t>BA394355</t>
  </si>
  <si>
    <t>Polk</t>
  </si>
  <si>
    <t>H01542</t>
  </si>
  <si>
    <t>LA025137</t>
  </si>
  <si>
    <t>Roots</t>
  </si>
  <si>
    <t>AC5553</t>
  </si>
  <si>
    <t>08F04879</t>
  </si>
  <si>
    <t>court found no illegality or impropriety in the sentence</t>
  </si>
  <si>
    <t>Royzman</t>
  </si>
  <si>
    <t>AM6676</t>
  </si>
  <si>
    <t>LA064769</t>
  </si>
  <si>
    <t>Paroled 7/8/202</t>
  </si>
  <si>
    <t>V37262</t>
  </si>
  <si>
    <t>RIF112169</t>
  </si>
  <si>
    <t xml:space="preserve">Todd </t>
  </si>
  <si>
    <t>WF5262</t>
  </si>
  <si>
    <t>NA101096</t>
  </si>
  <si>
    <t>Sulkey</t>
  </si>
  <si>
    <t>V93706</t>
  </si>
  <si>
    <t>KA071397</t>
  </si>
  <si>
    <t>Norton</t>
  </si>
  <si>
    <t>F50708</t>
  </si>
  <si>
    <t>SCE243463</t>
  </si>
  <si>
    <t>Rubio</t>
  </si>
  <si>
    <t>AI9319</t>
  </si>
  <si>
    <t>00AI9319</t>
  </si>
  <si>
    <t>09WF0015</t>
  </si>
  <si>
    <t>K94708</t>
  </si>
  <si>
    <t>SCD126036</t>
  </si>
  <si>
    <t>reduced by 13 years, released 02/14/2019</t>
  </si>
  <si>
    <t>K71990</t>
  </si>
  <si>
    <t>96NF2090</t>
  </si>
  <si>
    <t>Grant Release-Paroled 8/4/2022</t>
  </si>
  <si>
    <t>AD3119</t>
  </si>
  <si>
    <t>CRG09479</t>
  </si>
  <si>
    <t>Ortgies</t>
  </si>
  <si>
    <t>X01083</t>
  </si>
  <si>
    <t>FVI016219</t>
  </si>
  <si>
    <t>Cassidy</t>
  </si>
  <si>
    <t>B97737</t>
  </si>
  <si>
    <t>Wisecarver</t>
  </si>
  <si>
    <t>D60119</t>
  </si>
  <si>
    <t xml:space="preserve">SHS - Coalinga State Hospital </t>
  </si>
  <si>
    <t>LA066620</t>
  </si>
  <si>
    <t>G34455</t>
  </si>
  <si>
    <t>CEN - Central Service</t>
  </si>
  <si>
    <t>KA095613</t>
  </si>
  <si>
    <t>Released 2/19/2021</t>
  </si>
  <si>
    <t>Garner</t>
  </si>
  <si>
    <t>V28171</t>
  </si>
  <si>
    <t>SHS - Atascadero State Hospital</t>
  </si>
  <si>
    <t>F03907076</t>
  </si>
  <si>
    <t>Paroled 9/6/2021</t>
  </si>
  <si>
    <t>AL4767</t>
  </si>
  <si>
    <t>YA076403</t>
  </si>
  <si>
    <t>Released 3/13/2021</t>
  </si>
  <si>
    <t xml:space="preserve">Aguilar </t>
  </si>
  <si>
    <t>T90107</t>
  </si>
  <si>
    <t>Fairley</t>
  </si>
  <si>
    <t>J12733</t>
  </si>
  <si>
    <t>GA047819</t>
  </si>
  <si>
    <t>Released 02/08/2021</t>
  </si>
  <si>
    <t>Release on 3/12/2021 due to covid</t>
  </si>
  <si>
    <t>Santoyo</t>
  </si>
  <si>
    <t>AG1805</t>
  </si>
  <si>
    <t>MCSP - Facility E</t>
  </si>
  <si>
    <t>BE2851</t>
  </si>
  <si>
    <t>SCD268930</t>
  </si>
  <si>
    <t>T28238</t>
  </si>
  <si>
    <t>F05905147</t>
  </si>
  <si>
    <t>Paroled 5/6/2022</t>
  </si>
  <si>
    <t>Debouver</t>
  </si>
  <si>
    <t>AW1696</t>
  </si>
  <si>
    <t>BA420698</t>
  </si>
  <si>
    <t>F78947</t>
  </si>
  <si>
    <t>RF005116</t>
  </si>
  <si>
    <t>AY6402</t>
  </si>
  <si>
    <t>SC083544</t>
  </si>
  <si>
    <t>Schaffer</t>
  </si>
  <si>
    <t>V66262</t>
  </si>
  <si>
    <t>SCD187239</t>
  </si>
  <si>
    <t>Released on 8/17/2021</t>
  </si>
  <si>
    <t>BG8182</t>
  </si>
  <si>
    <t>MA071391</t>
  </si>
  <si>
    <t>Released on 4/16/2021</t>
  </si>
  <si>
    <t>F09925</t>
  </si>
  <si>
    <t>Released on 8/11/2022</t>
  </si>
  <si>
    <t>McDaniel</t>
  </si>
  <si>
    <t>AV7099</t>
  </si>
  <si>
    <t>F14908459</t>
  </si>
  <si>
    <t>Allread</t>
  </si>
  <si>
    <t>AA1630</t>
  </si>
  <si>
    <t>PA063555</t>
  </si>
  <si>
    <t xml:space="preserve">Released on 4/14/2021 </t>
  </si>
  <si>
    <t>BF0766</t>
  </si>
  <si>
    <t>TA144450</t>
  </si>
  <si>
    <t>Released 03/15/21</t>
  </si>
  <si>
    <t>Taylor</t>
  </si>
  <si>
    <t>AW2226</t>
  </si>
  <si>
    <t>BA423181-01</t>
  </si>
  <si>
    <t>New release date 05/21/2021</t>
  </si>
  <si>
    <t>Caldero</t>
  </si>
  <si>
    <t>H68189</t>
  </si>
  <si>
    <t>SF74365</t>
  </si>
  <si>
    <t>Bevins</t>
  </si>
  <si>
    <t>BF1147</t>
  </si>
  <si>
    <t>F17902882</t>
  </si>
  <si>
    <t>Discharged 2/9/2023</t>
  </si>
  <si>
    <t>BC4330</t>
  </si>
  <si>
    <t>CMC - Facility F</t>
  </si>
  <si>
    <t>YA094120</t>
  </si>
  <si>
    <t>released 4/16/21</t>
  </si>
  <si>
    <t>Ruvalcava</t>
  </si>
  <si>
    <t>AG1105</t>
  </si>
  <si>
    <t>10NF1758</t>
  </si>
  <si>
    <t>Paroled 2/8/2023</t>
  </si>
  <si>
    <t>Saafir</t>
  </si>
  <si>
    <t>F40409</t>
  </si>
  <si>
    <t>GA061637</t>
  </si>
  <si>
    <t>Released 7/15/2021</t>
  </si>
  <si>
    <t>Sierra</t>
  </si>
  <si>
    <t>AW7848</t>
  </si>
  <si>
    <t>BA429871</t>
  </si>
  <si>
    <t>Paroled on 7/12/2021</t>
  </si>
  <si>
    <t>F27413</t>
  </si>
  <si>
    <t>SS033247</t>
  </si>
  <si>
    <t>SATF -Facility G</t>
  </si>
  <si>
    <t>T74123</t>
  </si>
  <si>
    <t>FWV16807</t>
  </si>
  <si>
    <t>Lebron</t>
  </si>
  <si>
    <t>AV3913</t>
  </si>
  <si>
    <t>F12907337</t>
  </si>
  <si>
    <t>Deceased 7/25/2021</t>
  </si>
  <si>
    <t>Packer</t>
  </si>
  <si>
    <t>V19972</t>
  </si>
  <si>
    <t>LF007026</t>
  </si>
  <si>
    <t>V58020</t>
  </si>
  <si>
    <t>MCSP Facility D</t>
  </si>
  <si>
    <t>LA043085-01</t>
  </si>
  <si>
    <t>Parada</t>
  </si>
  <si>
    <t>V24893</t>
  </si>
  <si>
    <t>INF040712</t>
  </si>
  <si>
    <t>AM7312</t>
  </si>
  <si>
    <t>11F08623</t>
  </si>
  <si>
    <t>possible covid-19 risk doesn’t render continued incarceration no longer in the interest of justice</t>
  </si>
  <si>
    <t>Canady</t>
  </si>
  <si>
    <t>E03299</t>
  </si>
  <si>
    <t>BA312860</t>
  </si>
  <si>
    <t>Release on 4/22/21</t>
  </si>
  <si>
    <t>Carney</t>
  </si>
  <si>
    <t>BA5246</t>
  </si>
  <si>
    <t>MA067001</t>
  </si>
  <si>
    <t>K04152</t>
  </si>
  <si>
    <t>SCD114617</t>
  </si>
  <si>
    <t>Cohens</t>
  </si>
  <si>
    <t>J37749</t>
  </si>
  <si>
    <t>CHCF - Facility C</t>
  </si>
  <si>
    <t>NA030265</t>
  </si>
  <si>
    <t>DECEASED 9/9/2021</t>
  </si>
  <si>
    <t>Crumb</t>
  </si>
  <si>
    <t>H20376</t>
  </si>
  <si>
    <t>CHCF - Facility B</t>
  </si>
  <si>
    <t>H44703</t>
  </si>
  <si>
    <t>Delgadillo</t>
  </si>
  <si>
    <t>AL8636</t>
  </si>
  <si>
    <t>09WF2524</t>
  </si>
  <si>
    <t>Paroled 10/9/2021</t>
  </si>
  <si>
    <t>Duncan</t>
  </si>
  <si>
    <t>T25225</t>
  </si>
  <si>
    <t>INF033354</t>
  </si>
  <si>
    <t>Paroled 11/19/2021</t>
  </si>
  <si>
    <t>SCD201594</t>
  </si>
  <si>
    <t>Gupton</t>
  </si>
  <si>
    <t>T61632</t>
  </si>
  <si>
    <t>KVSP - Facility C</t>
  </si>
  <si>
    <t>F452782</t>
  </si>
  <si>
    <t>Jaimez</t>
  </si>
  <si>
    <t>Release on 4/19/2021</t>
  </si>
  <si>
    <t>C50561</t>
  </si>
  <si>
    <t>SWF10001245</t>
  </si>
  <si>
    <t>CMC - Facility E</t>
  </si>
  <si>
    <t>released 6/17/2021</t>
  </si>
  <si>
    <t>McKim</t>
  </si>
  <si>
    <t>AK4772</t>
  </si>
  <si>
    <t>Released 9/28/21</t>
  </si>
  <si>
    <t>P81097</t>
  </si>
  <si>
    <t>05NF4380</t>
  </si>
  <si>
    <t>P38465</t>
  </si>
  <si>
    <t>10CF0027</t>
  </si>
  <si>
    <t>Paroled 12/21/2021</t>
  </si>
  <si>
    <t>K11595</t>
  </si>
  <si>
    <t>VA034114</t>
  </si>
  <si>
    <t>Released 8/9/2021</t>
  </si>
  <si>
    <t>Robbins</t>
  </si>
  <si>
    <t>E71920</t>
  </si>
  <si>
    <t>SCE274968</t>
  </si>
  <si>
    <t>Set to release on 9/16/21</t>
  </si>
  <si>
    <t>Rodgers</t>
  </si>
  <si>
    <t>BD6343</t>
  </si>
  <si>
    <t>BA448697</t>
  </si>
  <si>
    <t>Released 5/24/21 ppc credits</t>
  </si>
  <si>
    <t>Transferred to Department S</t>
  </si>
  <si>
    <t>Sonies</t>
  </si>
  <si>
    <t>F50536</t>
  </si>
  <si>
    <t>05HF2223</t>
  </si>
  <si>
    <t>Paroled 2/2/2022</t>
  </si>
  <si>
    <t>Traylor</t>
  </si>
  <si>
    <t>AM0969</t>
  </si>
  <si>
    <t>SWF1100271</t>
  </si>
  <si>
    <t>J70838</t>
  </si>
  <si>
    <t>Wimbley</t>
  </si>
  <si>
    <t>E74507</t>
  </si>
  <si>
    <t>AR9274</t>
  </si>
  <si>
    <t>BA393515</t>
  </si>
  <si>
    <t>Plea</t>
  </si>
  <si>
    <t>Parrat</t>
  </si>
  <si>
    <t>J81555</t>
  </si>
  <si>
    <t xml:space="preserve">SQ FAC A </t>
  </si>
  <si>
    <t>95F00785</t>
  </si>
  <si>
    <t>Released on 5/15/2020</t>
  </si>
  <si>
    <t>Payne</t>
  </si>
  <si>
    <t>AG1082</t>
  </si>
  <si>
    <t>09F06300</t>
  </si>
  <si>
    <t>Hold - Special Alert</t>
  </si>
  <si>
    <t>Pazmore</t>
  </si>
  <si>
    <t>WA1563</t>
  </si>
  <si>
    <t>SA068793</t>
  </si>
  <si>
    <t>T69223</t>
  </si>
  <si>
    <t>SS012713</t>
  </si>
  <si>
    <t>F22266</t>
  </si>
  <si>
    <t>Released 12/14/2020</t>
  </si>
  <si>
    <t>E82042</t>
  </si>
  <si>
    <t>04CR7025 - SC54993</t>
  </si>
  <si>
    <t>reduced/released 4/30/2019</t>
  </si>
  <si>
    <t>Pete</t>
  </si>
  <si>
    <t>W85099</t>
  </si>
  <si>
    <t>SF076633</t>
  </si>
  <si>
    <t>Salcedo</t>
  </si>
  <si>
    <t>AK5312</t>
  </si>
  <si>
    <t>SCC - Miramonte Camp</t>
  </si>
  <si>
    <t>SF113925</t>
  </si>
  <si>
    <t>Powers</t>
  </si>
  <si>
    <t>P02764</t>
  </si>
  <si>
    <t>GA066861</t>
  </si>
  <si>
    <t>Set to release on 12/6/2021</t>
  </si>
  <si>
    <t>Prasad</t>
  </si>
  <si>
    <t>F65779</t>
  </si>
  <si>
    <t>SC059800</t>
  </si>
  <si>
    <t>F56725</t>
  </si>
  <si>
    <t>04F01683</t>
  </si>
  <si>
    <t>Gallagher</t>
  </si>
  <si>
    <t>AM6454</t>
  </si>
  <si>
    <t>SCD269049</t>
  </si>
  <si>
    <t>AS8694</t>
  </si>
  <si>
    <t>13WF1141</t>
  </si>
  <si>
    <t>Salisbury</t>
  </si>
  <si>
    <t>T55061</t>
  </si>
  <si>
    <t>CC122966</t>
  </si>
  <si>
    <t>T/T went from 26yrs. to 22yrs. 8 months. Scheduled release 10/21/21</t>
  </si>
  <si>
    <t>AA7282</t>
  </si>
  <si>
    <t>F17254 &amp; F15554</t>
  </si>
  <si>
    <t>Paroled on 10/25/2021</t>
  </si>
  <si>
    <t>T86444</t>
  </si>
  <si>
    <t>KA057535</t>
  </si>
  <si>
    <t>Raviart</t>
  </si>
  <si>
    <t>H86816</t>
  </si>
  <si>
    <t>MCSP FAC C</t>
  </si>
  <si>
    <t>99F01489</t>
  </si>
  <si>
    <t>Released 9/1/2020</t>
  </si>
  <si>
    <t>Rayos</t>
  </si>
  <si>
    <t>WA6616</t>
  </si>
  <si>
    <t>TA108801</t>
  </si>
  <si>
    <t>Reese</t>
  </si>
  <si>
    <t>W72019</t>
  </si>
  <si>
    <t>GA073706</t>
  </si>
  <si>
    <t>4/12/21 pending resentece Atty req C-file</t>
  </si>
  <si>
    <t>Richards</t>
  </si>
  <si>
    <t>T18903</t>
  </si>
  <si>
    <t>CRF4042</t>
  </si>
  <si>
    <t>Sardina</t>
  </si>
  <si>
    <t>AV1314</t>
  </si>
  <si>
    <t>Savino</t>
  </si>
  <si>
    <t>G23472</t>
  </si>
  <si>
    <t>PA056882</t>
  </si>
  <si>
    <t>Paroled 9/22/2020</t>
  </si>
  <si>
    <t>Scales</t>
  </si>
  <si>
    <t>AV5383</t>
  </si>
  <si>
    <t>SA082546-01</t>
  </si>
  <si>
    <t>Released 4/22/2021</t>
  </si>
  <si>
    <t>Riggins</t>
  </si>
  <si>
    <t>K93543</t>
  </si>
  <si>
    <t>SCN260586</t>
  </si>
  <si>
    <t>T93188</t>
  </si>
  <si>
    <t>BA216430</t>
  </si>
  <si>
    <t>Released on 6/30/2021</t>
  </si>
  <si>
    <t>AI4261</t>
  </si>
  <si>
    <t>00AI4261</t>
  </si>
  <si>
    <t>BA379282</t>
  </si>
  <si>
    <t>Sencion</t>
  </si>
  <si>
    <t>AY3426</t>
  </si>
  <si>
    <t>CAL - Facility C</t>
  </si>
  <si>
    <t>C1362482</t>
  </si>
  <si>
    <t>Seng</t>
  </si>
  <si>
    <t>T63847</t>
  </si>
  <si>
    <t>SATF - Facility</t>
  </si>
  <si>
    <t>SF05248</t>
  </si>
  <si>
    <t>repeated firearms violations</t>
  </si>
  <si>
    <t>Shandy</t>
  </si>
  <si>
    <t>G48326</t>
  </si>
  <si>
    <t>KA082805</t>
  </si>
  <si>
    <t>Paroled on 8/3/2022</t>
  </si>
  <si>
    <t>AE8950</t>
  </si>
  <si>
    <t>CCC Ben Lomond Camp</t>
  </si>
  <si>
    <t>RIF151059/PA068356-LA</t>
  </si>
  <si>
    <t>Paroled 9/14/2020</t>
  </si>
  <si>
    <t>Sosa</t>
  </si>
  <si>
    <t>AV4912</t>
  </si>
  <si>
    <t>CR55952</t>
  </si>
  <si>
    <t>Paroled on 4/2/2022</t>
  </si>
  <si>
    <t>AK4993</t>
  </si>
  <si>
    <t>C1075801</t>
  </si>
  <si>
    <t>T06032</t>
  </si>
  <si>
    <t xml:space="preserve">Released on Commutation </t>
  </si>
  <si>
    <t>Stigar</t>
  </si>
  <si>
    <t>AW2071</t>
  </si>
  <si>
    <t>CMC Facility D</t>
  </si>
  <si>
    <t>NCD 11/4/2022</t>
  </si>
  <si>
    <t>Tanner</t>
  </si>
  <si>
    <t>AL1023</t>
  </si>
  <si>
    <t>KA095754-01</t>
  </si>
  <si>
    <t>Temple</t>
  </si>
  <si>
    <t>AT4277</t>
  </si>
  <si>
    <t>CVSP - Facility A</t>
  </si>
  <si>
    <t>13F2744</t>
  </si>
  <si>
    <t>Several reasons provided in letter</t>
  </si>
  <si>
    <t>SOL Facility C</t>
  </si>
  <si>
    <t>BA360124  BA347494</t>
  </si>
  <si>
    <t>AI5062</t>
  </si>
  <si>
    <t>C1078061</t>
  </si>
  <si>
    <t>Tolento</t>
  </si>
  <si>
    <t>F36978</t>
  </si>
  <si>
    <t>INF1301375  INF1302865</t>
  </si>
  <si>
    <t>X23118</t>
  </si>
  <si>
    <t>BF115300</t>
  </si>
  <si>
    <t>Denied per Judge Bush kern County/Requested Legal Documents</t>
  </si>
  <si>
    <t>Trivino</t>
  </si>
  <si>
    <t>AF5455</t>
  </si>
  <si>
    <t>00AF5455</t>
  </si>
  <si>
    <t>PA065266-02</t>
  </si>
  <si>
    <t>Unciano</t>
  </si>
  <si>
    <t>AX6794</t>
  </si>
  <si>
    <t>C1503445</t>
  </si>
  <si>
    <t>K76347</t>
  </si>
  <si>
    <t>SA029332</t>
  </si>
  <si>
    <t>Released 6/29/21</t>
  </si>
  <si>
    <t>Uribe</t>
  </si>
  <si>
    <t>AY0704</t>
  </si>
  <si>
    <t>SF127154</t>
  </si>
  <si>
    <t>Suliven</t>
  </si>
  <si>
    <t>AL6582</t>
  </si>
  <si>
    <t>SF115230</t>
  </si>
  <si>
    <t>Vadillo</t>
  </si>
  <si>
    <t>V49531</t>
  </si>
  <si>
    <t>SA048189</t>
  </si>
  <si>
    <t>T37093</t>
  </si>
  <si>
    <t>BA200184</t>
  </si>
  <si>
    <t>AK9471</t>
  </si>
  <si>
    <t>LA066483</t>
  </si>
  <si>
    <t>Paroled 1/3/2022</t>
  </si>
  <si>
    <t>Valles</t>
  </si>
  <si>
    <t>AW3171</t>
  </si>
  <si>
    <t>SF124223</t>
  </si>
  <si>
    <t>Varelas</t>
  </si>
  <si>
    <t>AS5679</t>
  </si>
  <si>
    <t>RIF1300400</t>
  </si>
  <si>
    <t>AG6387</t>
  </si>
  <si>
    <t>KA088697</t>
  </si>
  <si>
    <t>WF1805</t>
  </si>
  <si>
    <t>AX3593</t>
  </si>
  <si>
    <t>BA406570</t>
  </si>
  <si>
    <t>Villagomez</t>
  </si>
  <si>
    <t>AS9231</t>
  </si>
  <si>
    <t>F14900866</t>
  </si>
  <si>
    <t>Depron</t>
  </si>
  <si>
    <t>AE7312</t>
  </si>
  <si>
    <t>Villasenor</t>
  </si>
  <si>
    <t>AU3331</t>
  </si>
  <si>
    <t>Paroled 2/24/2023</t>
  </si>
  <si>
    <t>Villeda</t>
  </si>
  <si>
    <t>AG4339</t>
  </si>
  <si>
    <t>TA111443</t>
  </si>
  <si>
    <t>court finds charges were based on defendants conduct and use of firearms and gang activity</t>
  </si>
  <si>
    <t xml:space="preserve">Villegas </t>
  </si>
  <si>
    <t>AX0425</t>
  </si>
  <si>
    <t>VCF294661</t>
  </si>
  <si>
    <t>Wardell</t>
  </si>
  <si>
    <t>V25837</t>
  </si>
  <si>
    <t>CC302587</t>
  </si>
  <si>
    <t>Fitz</t>
  </si>
  <si>
    <t>G09084</t>
  </si>
  <si>
    <t>CC753856</t>
  </si>
  <si>
    <t>Warren</t>
  </si>
  <si>
    <t>AY0151</t>
  </si>
  <si>
    <t>CCC - Konockti Camp</t>
  </si>
  <si>
    <t>15CM0150C</t>
  </si>
  <si>
    <t>Released on 4/23/2021</t>
  </si>
  <si>
    <t>Rodabaugh</t>
  </si>
  <si>
    <t>E06412</t>
  </si>
  <si>
    <t>PA021193</t>
  </si>
  <si>
    <t>V94343</t>
  </si>
  <si>
    <t>VSP-FAC C</t>
  </si>
  <si>
    <t>SA050791</t>
  </si>
  <si>
    <t>Munson</t>
  </si>
  <si>
    <t>AR5398</t>
  </si>
  <si>
    <t>Paroled 8/7/2023</t>
  </si>
  <si>
    <t>AL4804</t>
  </si>
  <si>
    <t>Paroled 7/8/2023</t>
  </si>
  <si>
    <t>Welch</t>
  </si>
  <si>
    <t>K02486</t>
  </si>
  <si>
    <t>VA033945</t>
  </si>
  <si>
    <t>Second LA Co Case Number, KA037416</t>
  </si>
  <si>
    <t>McCall</t>
  </si>
  <si>
    <t>F81883</t>
  </si>
  <si>
    <t>BB620479</t>
  </si>
  <si>
    <t>F91284</t>
  </si>
  <si>
    <t>CEN FAC A</t>
  </si>
  <si>
    <t>SCD206784  SCD204095</t>
  </si>
  <si>
    <t>Will Release on 3/2/2021</t>
  </si>
  <si>
    <t>AU7599</t>
  </si>
  <si>
    <t>C1239917</t>
  </si>
  <si>
    <t>Ulloa</t>
  </si>
  <si>
    <t>AC9075</t>
  </si>
  <si>
    <t>KA087570</t>
  </si>
  <si>
    <t>H09987</t>
  </si>
  <si>
    <t>VA008717</t>
  </si>
  <si>
    <t xml:space="preserve">Bennett </t>
  </si>
  <si>
    <t>AK7716</t>
  </si>
  <si>
    <t>WOODS</t>
  </si>
  <si>
    <t>G38832</t>
  </si>
  <si>
    <t>SA045731  SA042339  SA042417</t>
  </si>
  <si>
    <t>Ybiernas</t>
  </si>
  <si>
    <t>AL3472</t>
  </si>
  <si>
    <t>SF119736</t>
  </si>
  <si>
    <t>AE9852</t>
  </si>
  <si>
    <t>VSP D1 28 1U</t>
  </si>
  <si>
    <t>SCS219199</t>
  </si>
  <si>
    <t>Released per BPH/released 12/31/2020</t>
  </si>
  <si>
    <t>K39790</t>
  </si>
  <si>
    <t>RJD - Facility D</t>
  </si>
  <si>
    <t>SCD118333</t>
  </si>
  <si>
    <t>Ross</t>
  </si>
  <si>
    <t>X29440</t>
  </si>
  <si>
    <t>released on 3/12/19</t>
  </si>
  <si>
    <t>Rucker</t>
  </si>
  <si>
    <t>X00757</t>
  </si>
  <si>
    <t>SCD167667</t>
  </si>
  <si>
    <t>Released 7/29/2021</t>
  </si>
  <si>
    <t>Saeteurn</t>
  </si>
  <si>
    <t>V71854</t>
  </si>
  <si>
    <t>03F00640</t>
  </si>
  <si>
    <t>P59721</t>
  </si>
  <si>
    <t>BA182622</t>
  </si>
  <si>
    <t>F30160</t>
  </si>
  <si>
    <t>BF121813</t>
  </si>
  <si>
    <t>D29430</t>
  </si>
  <si>
    <t>SA026588</t>
  </si>
  <si>
    <t>Sandher</t>
  </si>
  <si>
    <t>T36218</t>
  </si>
  <si>
    <t>SQ-Fac A</t>
  </si>
  <si>
    <t>G11100</t>
  </si>
  <si>
    <t>06ZF0122</t>
  </si>
  <si>
    <t>AI8503</t>
  </si>
  <si>
    <t>BA371228</t>
  </si>
  <si>
    <t>T21346</t>
  </si>
  <si>
    <t>SC081888</t>
  </si>
  <si>
    <t>release 11/5/2019</t>
  </si>
  <si>
    <t>G00143</t>
  </si>
  <si>
    <t>TA087572</t>
  </si>
  <si>
    <t>Due to Nature of offenses and already received benefit of plea bargain</t>
  </si>
  <si>
    <t>Scholer</t>
  </si>
  <si>
    <t>K59126</t>
  </si>
  <si>
    <t>MA018175</t>
  </si>
  <si>
    <t>Schumann</t>
  </si>
  <si>
    <t>X07601</t>
  </si>
  <si>
    <t>CCWF FAC B</t>
  </si>
  <si>
    <t>FSB032415</t>
  </si>
  <si>
    <t>Paroled 5/18/2022</t>
  </si>
  <si>
    <t>Sciosciole</t>
  </si>
  <si>
    <t>V71933</t>
  </si>
  <si>
    <t>E92150</t>
  </si>
  <si>
    <t>97175X</t>
  </si>
  <si>
    <t>Shabazz</t>
  </si>
  <si>
    <t>V87264</t>
  </si>
  <si>
    <t>RIF110012</t>
  </si>
  <si>
    <t>Shell</t>
  </si>
  <si>
    <t>H20804</t>
  </si>
  <si>
    <t>SCD126559</t>
  </si>
  <si>
    <t>released 09/11/2019</t>
  </si>
  <si>
    <t>Shelton</t>
  </si>
  <si>
    <t>T22359</t>
  </si>
  <si>
    <t>FV107468</t>
  </si>
  <si>
    <t>Shukry</t>
  </si>
  <si>
    <t>X23294</t>
  </si>
  <si>
    <t>05F07334</t>
  </si>
  <si>
    <t>E64303</t>
  </si>
  <si>
    <t>RIF091436</t>
  </si>
  <si>
    <t>Released 7/21/2021</t>
  </si>
  <si>
    <t>T47513</t>
  </si>
  <si>
    <t>BLF01710A</t>
  </si>
  <si>
    <t>Solorzano</t>
  </si>
  <si>
    <t>P36502</t>
  </si>
  <si>
    <t>SP062165</t>
  </si>
  <si>
    <t>W84180</t>
  </si>
  <si>
    <t>CR45687</t>
  </si>
  <si>
    <t>Sotomayor</t>
  </si>
  <si>
    <t>X29867</t>
  </si>
  <si>
    <t>BA295122</t>
  </si>
  <si>
    <t>K11810</t>
  </si>
  <si>
    <t>Summerlin</t>
  </si>
  <si>
    <t>G44802</t>
  </si>
  <si>
    <t>FSB802501</t>
  </si>
  <si>
    <t>Taitague</t>
  </si>
  <si>
    <t>K78492</t>
  </si>
  <si>
    <t>SCE242710</t>
  </si>
  <si>
    <t>C87324</t>
  </si>
  <si>
    <t>FOL</t>
  </si>
  <si>
    <t>KA021660</t>
  </si>
  <si>
    <t>V25060</t>
  </si>
  <si>
    <t>VA076824</t>
  </si>
  <si>
    <t>AC7491</t>
  </si>
  <si>
    <t>08F5142</t>
  </si>
  <si>
    <t>Thiesen</t>
  </si>
  <si>
    <t>W26931</t>
  </si>
  <si>
    <t>94NF1280</t>
  </si>
  <si>
    <t>Reduced MEPD changed but not released</t>
  </si>
  <si>
    <t>W51560</t>
  </si>
  <si>
    <t>reduced by 6 years/released on 01/15/2020</t>
  </si>
  <si>
    <t>AP6249</t>
  </si>
  <si>
    <t>SCC - Faciltiy B</t>
  </si>
  <si>
    <t>SF121456</t>
  </si>
  <si>
    <t>W34528</t>
  </si>
  <si>
    <t>VA000359</t>
  </si>
  <si>
    <t>Life reduced to 19 years 4 months, released 10/09/2018</t>
  </si>
  <si>
    <t>E51686</t>
  </si>
  <si>
    <t>SA051591</t>
  </si>
  <si>
    <t>WE3186</t>
  </si>
  <si>
    <t>SF116374</t>
  </si>
  <si>
    <t>Paroled 8/6/2022</t>
  </si>
  <si>
    <t xml:space="preserve">Topper </t>
  </si>
  <si>
    <t>K94377</t>
  </si>
  <si>
    <t>SS972294</t>
  </si>
  <si>
    <t>Paroled 06/07/2019</t>
  </si>
  <si>
    <t>F21260</t>
  </si>
  <si>
    <t>NA062431</t>
  </si>
  <si>
    <t xml:space="preserve">Trevizo </t>
  </si>
  <si>
    <t>V53598</t>
  </si>
  <si>
    <t>DCF128659</t>
  </si>
  <si>
    <t>Tribble</t>
  </si>
  <si>
    <t>T19937</t>
  </si>
  <si>
    <t>YA0413915</t>
  </si>
  <si>
    <t>Trillo</t>
  </si>
  <si>
    <t>T43543</t>
  </si>
  <si>
    <t>VSP-Facility C1-13-3L</t>
  </si>
  <si>
    <t>00F06442</t>
  </si>
  <si>
    <t>Tupper</t>
  </si>
  <si>
    <t>F08732</t>
  </si>
  <si>
    <t>CM021378</t>
  </si>
  <si>
    <t>Uriquiza</t>
  </si>
  <si>
    <t>V98400</t>
  </si>
  <si>
    <t>VA094771</t>
  </si>
  <si>
    <t>Uyemura</t>
  </si>
  <si>
    <t>AA1834</t>
  </si>
  <si>
    <t>RIF131216</t>
  </si>
  <si>
    <t>Vallery</t>
  </si>
  <si>
    <t>V66989</t>
  </si>
  <si>
    <t>BA175507</t>
  </si>
  <si>
    <t>G45197</t>
  </si>
  <si>
    <t>RJD - Faclity D</t>
  </si>
  <si>
    <t>SWF022463</t>
  </si>
  <si>
    <t>Paroled 11/18/2021</t>
  </si>
  <si>
    <t>Murdaugh</t>
  </si>
  <si>
    <t>AZ5486</t>
  </si>
  <si>
    <t>Paroled 2/2/2023</t>
  </si>
  <si>
    <t>AS0053</t>
  </si>
  <si>
    <t>PA078410</t>
  </si>
  <si>
    <t>Paroled 3/19/2023</t>
  </si>
  <si>
    <t>AB0197</t>
  </si>
  <si>
    <t>BA357550</t>
  </si>
  <si>
    <t>NCD 6/2/2023</t>
  </si>
  <si>
    <t>Varghese</t>
  </si>
  <si>
    <t>F22424</t>
  </si>
  <si>
    <t>SCD187180</t>
  </si>
  <si>
    <t>P95644</t>
  </si>
  <si>
    <t>KA110537</t>
  </si>
  <si>
    <t>NCD 1/11/2023</t>
  </si>
  <si>
    <t>F24930</t>
  </si>
  <si>
    <t>BA434945</t>
  </si>
  <si>
    <t>AT2562</t>
  </si>
  <si>
    <t>SA085422</t>
  </si>
  <si>
    <t>Brousard</t>
  </si>
  <si>
    <t>J98678</t>
  </si>
  <si>
    <t>BA432627</t>
  </si>
  <si>
    <t>AX3964</t>
  </si>
  <si>
    <t>MA063572</t>
  </si>
  <si>
    <t>AS2503</t>
  </si>
  <si>
    <t>YA089004</t>
  </si>
  <si>
    <t>Paroled  9/21/2021</t>
  </si>
  <si>
    <t>AR6299</t>
  </si>
  <si>
    <t>KA105151</t>
  </si>
  <si>
    <t>Hampton</t>
  </si>
  <si>
    <t>AU5179</t>
  </si>
  <si>
    <t>YA088557</t>
  </si>
  <si>
    <t>Paroled 9/19/2022</t>
  </si>
  <si>
    <t>AI9001</t>
  </si>
  <si>
    <t>KA092511</t>
  </si>
  <si>
    <t xml:space="preserve">Scheduled release </t>
  </si>
  <si>
    <t>AN2067</t>
  </si>
  <si>
    <t>YA081449</t>
  </si>
  <si>
    <t>NCD 2/15/2023</t>
  </si>
  <si>
    <t>V87978</t>
  </si>
  <si>
    <t>BA418157</t>
  </si>
  <si>
    <t>Parton</t>
  </si>
  <si>
    <t>H24059</t>
  </si>
  <si>
    <t>MA061954</t>
  </si>
  <si>
    <t>AX2182</t>
  </si>
  <si>
    <t>GA095384-01</t>
  </si>
  <si>
    <t>AY3054</t>
  </si>
  <si>
    <t>KA109044</t>
  </si>
  <si>
    <t>AH8765</t>
  </si>
  <si>
    <t>PVSP - Facility D</t>
  </si>
  <si>
    <t>PA076146-02</t>
  </si>
  <si>
    <t>Lora</t>
  </si>
  <si>
    <t>AU4125</t>
  </si>
  <si>
    <t>VA135205</t>
  </si>
  <si>
    <t>WF0842</t>
  </si>
  <si>
    <t>TA128345</t>
  </si>
  <si>
    <t>E48889</t>
  </si>
  <si>
    <t>BA390778</t>
  </si>
  <si>
    <t>Borrego</t>
  </si>
  <si>
    <t>AT8378</t>
  </si>
  <si>
    <t>SCC - Prado Camp</t>
  </si>
  <si>
    <t>YA089641</t>
  </si>
  <si>
    <t>Will release 11/16/21</t>
  </si>
  <si>
    <t>AU9105</t>
  </si>
  <si>
    <t>BF153374B</t>
  </si>
  <si>
    <t>Vela</t>
  </si>
  <si>
    <t>T04738</t>
  </si>
  <si>
    <t>Vellanoweth</t>
  </si>
  <si>
    <t>G35073</t>
  </si>
  <si>
    <t>07F03967</t>
  </si>
  <si>
    <t>Villa</t>
  </si>
  <si>
    <t>X06410</t>
  </si>
  <si>
    <t>KA062933</t>
  </si>
  <si>
    <t>Waldron</t>
  </si>
  <si>
    <t>K29646</t>
  </si>
  <si>
    <t>ICR23255</t>
  </si>
  <si>
    <t>Released 10/27/2020</t>
  </si>
  <si>
    <t>Wash</t>
  </si>
  <si>
    <t>T68036</t>
  </si>
  <si>
    <t>H31435</t>
  </si>
  <si>
    <t>Paroled 6/9/2022</t>
  </si>
  <si>
    <t xml:space="preserve">Villela </t>
  </si>
  <si>
    <t>V39660</t>
  </si>
  <si>
    <t>TA135527</t>
  </si>
  <si>
    <t>Vuong</t>
  </si>
  <si>
    <t>BA5267</t>
  </si>
  <si>
    <t>KA110002</t>
  </si>
  <si>
    <t>Airrington</t>
  </si>
  <si>
    <t>AZ5005</t>
  </si>
  <si>
    <t>CR20141225</t>
  </si>
  <si>
    <t>Law</t>
  </si>
  <si>
    <t>AZ1085</t>
  </si>
  <si>
    <t>Givens</t>
  </si>
  <si>
    <t>AV0945</t>
  </si>
  <si>
    <t>BA392767</t>
  </si>
  <si>
    <t>AW1763</t>
  </si>
  <si>
    <t>SA088167-01</t>
  </si>
  <si>
    <t>Watson</t>
  </si>
  <si>
    <t>W47337</t>
  </si>
  <si>
    <t>SC072676</t>
  </si>
  <si>
    <t>Wilburn</t>
  </si>
  <si>
    <t>K73292</t>
  </si>
  <si>
    <t>SATF</t>
  </si>
  <si>
    <t>BA137387</t>
  </si>
  <si>
    <t>Faison</t>
  </si>
  <si>
    <t>AM4415</t>
  </si>
  <si>
    <t>SA086079</t>
  </si>
  <si>
    <t>Zepeda</t>
  </si>
  <si>
    <t>AD3005</t>
  </si>
  <si>
    <t>VA111210</t>
  </si>
  <si>
    <t>Court orders referral to be reviewed by Judge Lillian Vega-Jacobs 3/17/2021</t>
  </si>
  <si>
    <t>Harden</t>
  </si>
  <si>
    <t>BA6968</t>
  </si>
  <si>
    <t>BA428299</t>
  </si>
  <si>
    <t>Mayo</t>
  </si>
  <si>
    <t>BC9114</t>
  </si>
  <si>
    <t>On Hold - Does not qualify currently</t>
  </si>
  <si>
    <t>AS8459</t>
  </si>
  <si>
    <t>Letter recieved</t>
  </si>
  <si>
    <t>D92056</t>
  </si>
  <si>
    <t>F15906899</t>
  </si>
  <si>
    <t>AR7539</t>
  </si>
  <si>
    <t>PA073029</t>
  </si>
  <si>
    <t>AU5098</t>
  </si>
  <si>
    <t>TA134335</t>
  </si>
  <si>
    <t>Scheduled release 12/15/2021</t>
  </si>
  <si>
    <t>AT2135</t>
  </si>
  <si>
    <t>VA133302-01</t>
  </si>
  <si>
    <t>Paroled 3/21/2022</t>
  </si>
  <si>
    <t>V27619</t>
  </si>
  <si>
    <t>TA135043</t>
  </si>
  <si>
    <t>T15486</t>
  </si>
  <si>
    <t>BA424021</t>
  </si>
  <si>
    <t>Glenn</t>
  </si>
  <si>
    <t>V20926</t>
  </si>
  <si>
    <t>NA100519</t>
  </si>
  <si>
    <t>NCD 12/1/2022 via webex</t>
  </si>
  <si>
    <t>Armijo</t>
  </si>
  <si>
    <t>AA9112</t>
  </si>
  <si>
    <t>07WF1205</t>
  </si>
  <si>
    <t>AG8685</t>
  </si>
  <si>
    <t>CCI Central</t>
  </si>
  <si>
    <t>1F04282</t>
  </si>
  <si>
    <t>Paroled on 4/19/2022</t>
  </si>
  <si>
    <t>AU0582</t>
  </si>
  <si>
    <t>SVSP - Facility C</t>
  </si>
  <si>
    <t>TA131082</t>
  </si>
  <si>
    <t>Venegas</t>
  </si>
  <si>
    <t>AZ0784</t>
  </si>
  <si>
    <t>SCC - Facility B</t>
  </si>
  <si>
    <t>BA441768</t>
  </si>
  <si>
    <t>AZ6539</t>
  </si>
  <si>
    <t>VA138933</t>
  </si>
  <si>
    <t>AN3630</t>
  </si>
  <si>
    <t>CVSP - MSF</t>
  </si>
  <si>
    <t>BAF1400693</t>
  </si>
  <si>
    <t>AY5670</t>
  </si>
  <si>
    <t>COR - MSF</t>
  </si>
  <si>
    <t>15CF1836</t>
  </si>
  <si>
    <t>AZ0205</t>
  </si>
  <si>
    <t>SCD260688</t>
  </si>
  <si>
    <t>K07743</t>
  </si>
  <si>
    <t>KA098191</t>
  </si>
  <si>
    <t>Paroled 6/6/2023</t>
  </si>
  <si>
    <t>McKice</t>
  </si>
  <si>
    <t>AV9540</t>
  </si>
  <si>
    <t>NA100595</t>
  </si>
  <si>
    <t>K34351</t>
  </si>
  <si>
    <t>CC620492</t>
  </si>
  <si>
    <t>resentenced based on LPU referal in 2017</t>
  </si>
  <si>
    <t>Randall</t>
  </si>
  <si>
    <t>AY9541</t>
  </si>
  <si>
    <t>LA080403</t>
  </si>
  <si>
    <t>Villescas</t>
  </si>
  <si>
    <t>AS9522</t>
  </si>
  <si>
    <t>NA096647</t>
  </si>
  <si>
    <t>AY4924</t>
  </si>
  <si>
    <t>SA088734-01</t>
  </si>
  <si>
    <t>AT3644</t>
  </si>
  <si>
    <t>C1224499</t>
  </si>
  <si>
    <t>Tuilefano</t>
  </si>
  <si>
    <t>V79498</t>
  </si>
  <si>
    <t>CC898881</t>
  </si>
  <si>
    <t>AX0179</t>
  </si>
  <si>
    <t>GA091246-01</t>
  </si>
  <si>
    <t>Ballot</t>
  </si>
  <si>
    <t>AS4090</t>
  </si>
  <si>
    <t>SWF1302694</t>
  </si>
  <si>
    <t xml:space="preserve">Kasenzangakhona </t>
  </si>
  <si>
    <t>BA2773</t>
  </si>
  <si>
    <t>CRC - Facility D</t>
  </si>
  <si>
    <t>YA093048</t>
  </si>
  <si>
    <t>Puentes</t>
  </si>
  <si>
    <t>AV9383</t>
  </si>
  <si>
    <t>KA018577</t>
  </si>
  <si>
    <t>Leasure</t>
  </si>
  <si>
    <t>AS6543</t>
  </si>
  <si>
    <t>SCC- Holton Camp</t>
  </si>
  <si>
    <t>SCD245702</t>
  </si>
  <si>
    <t>Ganter</t>
  </si>
  <si>
    <t>WE9624</t>
  </si>
  <si>
    <t>BA417390</t>
  </si>
  <si>
    <t>Paroled 3/3/2022</t>
  </si>
  <si>
    <t>AR5474</t>
  </si>
  <si>
    <t>CRF123864</t>
  </si>
  <si>
    <t>AR7909</t>
  </si>
  <si>
    <t>F1138388  C1241125</t>
  </si>
  <si>
    <t>T68285</t>
  </si>
  <si>
    <t>SCE285275</t>
  </si>
  <si>
    <t>term reduced by 2 years</t>
  </si>
  <si>
    <t>McQuery</t>
  </si>
  <si>
    <t>AZ1145</t>
  </si>
  <si>
    <t>SCD261817</t>
  </si>
  <si>
    <t>AC8615</t>
  </si>
  <si>
    <t>SC077889</t>
  </si>
  <si>
    <t>AS9680</t>
  </si>
  <si>
    <t>Cuellar</t>
  </si>
  <si>
    <t>J09651</t>
  </si>
  <si>
    <t>GA071435</t>
  </si>
  <si>
    <t>NCD  4/11/2024</t>
  </si>
  <si>
    <t>AF4694</t>
  </si>
  <si>
    <t>SF018419</t>
  </si>
  <si>
    <t>Corry</t>
  </si>
  <si>
    <t>AR6839</t>
  </si>
  <si>
    <t>12WF0649</t>
  </si>
  <si>
    <t>Tiebout</t>
  </si>
  <si>
    <t>AK1450</t>
  </si>
  <si>
    <t>SCD229789 &amp; SCS238204</t>
  </si>
  <si>
    <t>Norman</t>
  </si>
  <si>
    <t>BA1726</t>
  </si>
  <si>
    <t>15NF002042</t>
  </si>
  <si>
    <t>AR2188</t>
  </si>
  <si>
    <t>SCD245486</t>
  </si>
  <si>
    <t>F07231</t>
  </si>
  <si>
    <t>00F07231</t>
  </si>
  <si>
    <t>LA044953</t>
  </si>
  <si>
    <t>W91512</t>
  </si>
  <si>
    <t xml:space="preserve"> released per Government Code 8658(COVID)</t>
  </si>
  <si>
    <t>AY8763</t>
  </si>
  <si>
    <t>BA432260</t>
  </si>
  <si>
    <t>AU1256</t>
  </si>
  <si>
    <t>SCC - Bautista Camp</t>
  </si>
  <si>
    <t>VCF283862</t>
  </si>
  <si>
    <t>Sanderson</t>
  </si>
  <si>
    <t>WG7340</t>
  </si>
  <si>
    <t>20WF1895</t>
  </si>
  <si>
    <t>Paroled on 11/6/2021</t>
  </si>
  <si>
    <t>BA0977</t>
  </si>
  <si>
    <t>INF1600266</t>
  </si>
  <si>
    <t>Koback</t>
  </si>
  <si>
    <t>BA5620</t>
  </si>
  <si>
    <t>PCSP - STRH</t>
  </si>
  <si>
    <t>RIF1506598</t>
  </si>
  <si>
    <t>BA8546</t>
  </si>
  <si>
    <t>RIF1506498</t>
  </si>
  <si>
    <t>NCD 1/13/2023</t>
  </si>
  <si>
    <t xml:space="preserve">Faulk </t>
  </si>
  <si>
    <t>G15585</t>
  </si>
  <si>
    <t>C1087170</t>
  </si>
  <si>
    <t>Gallo</t>
  </si>
  <si>
    <t>AZ7295</t>
  </si>
  <si>
    <t>15F4647</t>
  </si>
  <si>
    <t>Paroled 8/11/2023</t>
  </si>
  <si>
    <t>E05294</t>
  </si>
  <si>
    <t>SA064144</t>
  </si>
  <si>
    <t>PAROLED 2/22/2022</t>
  </si>
  <si>
    <t>V91374</t>
  </si>
  <si>
    <t>VA142625</t>
  </si>
  <si>
    <t>Paroled  10/31/2022</t>
  </si>
  <si>
    <t>BB1505</t>
  </si>
  <si>
    <t>PCSP - Facility D</t>
  </si>
  <si>
    <t>LA067967</t>
  </si>
  <si>
    <t>Phizom</t>
  </si>
  <si>
    <t>AZ6143</t>
  </si>
  <si>
    <t>SCD264463</t>
  </si>
  <si>
    <t>AP4035</t>
  </si>
  <si>
    <t>SCE357535</t>
  </si>
  <si>
    <t>Fanti</t>
  </si>
  <si>
    <t>BA4975</t>
  </si>
  <si>
    <t>SCD265573</t>
  </si>
  <si>
    <t>Byrd</t>
  </si>
  <si>
    <t>AR9231</t>
  </si>
  <si>
    <t>FVI1300020</t>
  </si>
  <si>
    <t>Scanlon</t>
  </si>
  <si>
    <t>AZ7089</t>
  </si>
  <si>
    <t>RIF1205572</t>
  </si>
  <si>
    <t>NCD 1/23/23</t>
  </si>
  <si>
    <t>Shah</t>
  </si>
  <si>
    <t>T26320</t>
  </si>
  <si>
    <t>BA206956</t>
  </si>
  <si>
    <t>Chestra</t>
  </si>
  <si>
    <t>T93761</t>
  </si>
  <si>
    <t>SC52665</t>
  </si>
  <si>
    <t>V69556</t>
  </si>
  <si>
    <t>BA338007</t>
  </si>
  <si>
    <t>AV6403</t>
  </si>
  <si>
    <t>SCD255061  SCD258667</t>
  </si>
  <si>
    <t>Paras</t>
  </si>
  <si>
    <t>AB2168</t>
  </si>
  <si>
    <t>C1498254</t>
  </si>
  <si>
    <t>V80319</t>
  </si>
  <si>
    <t>KA075332  KA10931701</t>
  </si>
  <si>
    <t>Paroled 4/24/2022</t>
  </si>
  <si>
    <t>Prentist</t>
  </si>
  <si>
    <t>G07110</t>
  </si>
  <si>
    <t>CHCF -Facility D</t>
  </si>
  <si>
    <t>Abela</t>
  </si>
  <si>
    <t>AW8106</t>
  </si>
  <si>
    <t>F22003</t>
  </si>
  <si>
    <t>7/5/20025</t>
  </si>
  <si>
    <t>AR7053</t>
  </si>
  <si>
    <t>SF122358A</t>
  </si>
  <si>
    <t>Galleher</t>
  </si>
  <si>
    <t>AG3000</t>
  </si>
  <si>
    <t>CCI -  Facility D</t>
  </si>
  <si>
    <t>G21157</t>
  </si>
  <si>
    <t xml:space="preserve">CMC-Facility C </t>
  </si>
  <si>
    <t>SCD208339</t>
  </si>
  <si>
    <t>Released NVPP 1/31/2019</t>
  </si>
  <si>
    <t>Alfaro</t>
  </si>
  <si>
    <t>D13392</t>
  </si>
  <si>
    <t>PA044147-01</t>
  </si>
  <si>
    <t>Gutowski</t>
  </si>
  <si>
    <t>BA4947</t>
  </si>
  <si>
    <t>CM044062</t>
  </si>
  <si>
    <t>Stomberg</t>
  </si>
  <si>
    <t>V49309</t>
  </si>
  <si>
    <t>H34379</t>
  </si>
  <si>
    <t>Paroled 7/13/2022</t>
  </si>
  <si>
    <t>Wilmore</t>
  </si>
  <si>
    <t>X20061</t>
  </si>
  <si>
    <t>GA069643</t>
  </si>
  <si>
    <t>Released on 01/12/2020</t>
  </si>
  <si>
    <t>CHCF -Facility E</t>
  </si>
  <si>
    <t>C63612</t>
  </si>
  <si>
    <t>SA058228</t>
  </si>
  <si>
    <t>AZ0524</t>
  </si>
  <si>
    <t>14WF1782</t>
  </si>
  <si>
    <t>AS3317</t>
  </si>
  <si>
    <t>CCC-Ishi Camp</t>
  </si>
  <si>
    <t>F18575</t>
  </si>
  <si>
    <t>CC580641</t>
  </si>
  <si>
    <t>Cowans</t>
  </si>
  <si>
    <t>AV5771</t>
  </si>
  <si>
    <t>COR-Facility 04B</t>
  </si>
  <si>
    <t>FVI1402380</t>
  </si>
  <si>
    <t>AY4701</t>
  </si>
  <si>
    <t>BF160415   BF152592</t>
  </si>
  <si>
    <t>Witt</t>
  </si>
  <si>
    <t>WE2756</t>
  </si>
  <si>
    <t>P09CF0273</t>
  </si>
  <si>
    <t>Case pulled as courts have no jurisdiction to reduce term</t>
  </si>
  <si>
    <t>Carmony</t>
  </si>
  <si>
    <t>AP9094</t>
  </si>
  <si>
    <t>C1077394</t>
  </si>
  <si>
    <t>Tripp</t>
  </si>
  <si>
    <t>AC1226</t>
  </si>
  <si>
    <t>Marin</t>
  </si>
  <si>
    <t>V71723</t>
  </si>
  <si>
    <t>NA082995</t>
  </si>
  <si>
    <t>Kissling</t>
  </si>
  <si>
    <t>WE5597</t>
  </si>
  <si>
    <t>RIG1201971  RIF1202903</t>
  </si>
  <si>
    <t>O'Malley</t>
  </si>
  <si>
    <t>AA3791</t>
  </si>
  <si>
    <t>DISCHARGED 7/14/2022</t>
  </si>
  <si>
    <t>Swanson</t>
  </si>
  <si>
    <t>AL8499</t>
  </si>
  <si>
    <t>INF1101231</t>
  </si>
  <si>
    <t>Bomar</t>
  </si>
  <si>
    <t>AF7626</t>
  </si>
  <si>
    <t>PA060949  LA064133  SA065627  LA059645  SA052005</t>
  </si>
  <si>
    <t>Paroled 7/25/2022</t>
  </si>
  <si>
    <t>AD4661</t>
  </si>
  <si>
    <t>CCC-Konocti Camp</t>
  </si>
  <si>
    <t>SCD268542</t>
  </si>
  <si>
    <t>AK1033</t>
  </si>
  <si>
    <t>SCN2087066</t>
  </si>
  <si>
    <t>AW8397</t>
  </si>
  <si>
    <t>12CF1073  15CF1613</t>
  </si>
  <si>
    <t>AE2406</t>
  </si>
  <si>
    <t>SWF029395</t>
  </si>
  <si>
    <t>Beverley</t>
  </si>
  <si>
    <t>T81459</t>
  </si>
  <si>
    <t>09HF1548</t>
  </si>
  <si>
    <t>P82065</t>
  </si>
  <si>
    <t>released 06/05/2019</t>
  </si>
  <si>
    <t>AH2131</t>
  </si>
  <si>
    <t>11HF0574</t>
  </si>
  <si>
    <t>RJD FAC E</t>
  </si>
  <si>
    <t>Released on 05/18/2020</t>
  </si>
  <si>
    <t>W89126</t>
  </si>
  <si>
    <t>SCE284613</t>
  </si>
  <si>
    <t>Paroled 5/27/2022</t>
  </si>
  <si>
    <t>DeLeon</t>
  </si>
  <si>
    <t>AZ9130</t>
  </si>
  <si>
    <t>RJD- Facility A</t>
  </si>
  <si>
    <t>PA085583</t>
  </si>
  <si>
    <t>Linkletter</t>
  </si>
  <si>
    <t>WF4654</t>
  </si>
  <si>
    <t>BF165011A</t>
  </si>
  <si>
    <t>MA065152  MA067811</t>
  </si>
  <si>
    <t>AB9190</t>
  </si>
  <si>
    <t>NA072876</t>
  </si>
  <si>
    <t>Eisenhour</t>
  </si>
  <si>
    <t>AG2169</t>
  </si>
  <si>
    <t>INF067219</t>
  </si>
  <si>
    <t>BB5292</t>
  </si>
  <si>
    <t>BF163237</t>
  </si>
  <si>
    <t>V08259</t>
  </si>
  <si>
    <t>Manuel</t>
  </si>
  <si>
    <t>BB3125</t>
  </si>
  <si>
    <t>SA089925</t>
  </si>
  <si>
    <t>BA8176</t>
  </si>
  <si>
    <t>SWF1500964</t>
  </si>
  <si>
    <t>NCD 7/21/2023</t>
  </si>
  <si>
    <t>P95100</t>
  </si>
  <si>
    <t>Marshall</t>
  </si>
  <si>
    <t>BB7176</t>
  </si>
  <si>
    <t>BA7305</t>
  </si>
  <si>
    <t>YA089543   NA064970</t>
  </si>
  <si>
    <t>Michael</t>
  </si>
  <si>
    <t>BA8398</t>
  </si>
  <si>
    <t>SCD264079</t>
  </si>
  <si>
    <t>K13067</t>
  </si>
  <si>
    <t>FWV035496</t>
  </si>
  <si>
    <t>BB4066</t>
  </si>
  <si>
    <t>BA9991</t>
  </si>
  <si>
    <t>GA098092  KA111391</t>
  </si>
  <si>
    <t>Mercadel</t>
  </si>
  <si>
    <t>AC0250</t>
  </si>
  <si>
    <t>MA045765</t>
  </si>
  <si>
    <t>Paroled 12/14/2022</t>
  </si>
  <si>
    <t>AL6986</t>
  </si>
  <si>
    <t>GA078254</t>
  </si>
  <si>
    <t>NCD 4/5/2023</t>
  </si>
  <si>
    <t>Silva</t>
  </si>
  <si>
    <t>G34790</t>
  </si>
  <si>
    <t>CC632875</t>
  </si>
  <si>
    <t>G43620</t>
  </si>
  <si>
    <t>BA255319</t>
  </si>
  <si>
    <t>AB5837</t>
  </si>
  <si>
    <t>CCI- Facility A</t>
  </si>
  <si>
    <t>GA072262</t>
  </si>
  <si>
    <t>NCD 3/4/2024</t>
  </si>
  <si>
    <t>AF0584</t>
  </si>
  <si>
    <t>KA090526</t>
  </si>
  <si>
    <t>AD2764</t>
  </si>
  <si>
    <t>14CF0536</t>
  </si>
  <si>
    <t>F71159</t>
  </si>
  <si>
    <t>BA300256</t>
  </si>
  <si>
    <t>Arauza</t>
  </si>
  <si>
    <t>V98694</t>
  </si>
  <si>
    <t>SF090504</t>
  </si>
  <si>
    <t>Deflores</t>
  </si>
  <si>
    <t>T77756</t>
  </si>
  <si>
    <t>YA048445</t>
  </si>
  <si>
    <t>F01961</t>
  </si>
  <si>
    <t>04F03801</t>
  </si>
  <si>
    <t>P55017</t>
  </si>
  <si>
    <t>CR45512</t>
  </si>
  <si>
    <t>F74216</t>
  </si>
  <si>
    <t>SA056969</t>
  </si>
  <si>
    <t>Sillas</t>
  </si>
  <si>
    <t>P40340</t>
  </si>
  <si>
    <t>VA072720</t>
  </si>
  <si>
    <t>Paroled 6/22/2023  Released to Law Enforcement Detainer- INS South; NCD 9/21/2023</t>
  </si>
  <si>
    <t>Wilkerson</t>
  </si>
  <si>
    <t>AE1573</t>
  </si>
  <si>
    <t>13F03587</t>
  </si>
  <si>
    <t>Bugara</t>
  </si>
  <si>
    <t>J93505</t>
  </si>
  <si>
    <t>SCD157561</t>
  </si>
  <si>
    <t>Midkiff</t>
  </si>
  <si>
    <t>C67391</t>
  </si>
  <si>
    <t>LA046697</t>
  </si>
  <si>
    <t>Leblue</t>
  </si>
  <si>
    <t>F82540</t>
  </si>
  <si>
    <t>NA068227</t>
  </si>
  <si>
    <t>BA3845</t>
  </si>
  <si>
    <t>VA141579</t>
  </si>
  <si>
    <t>Wynn</t>
  </si>
  <si>
    <t>V77696</t>
  </si>
  <si>
    <t>RIF101294</t>
  </si>
  <si>
    <t>G13594</t>
  </si>
  <si>
    <t>BA319095    BA315850</t>
  </si>
  <si>
    <t>Mattox</t>
  </si>
  <si>
    <t>G43155</t>
  </si>
  <si>
    <t>KA082178</t>
  </si>
  <si>
    <t>Culp</t>
  </si>
  <si>
    <t>BB7509</t>
  </si>
  <si>
    <t>Benefico</t>
  </si>
  <si>
    <t>BB2689</t>
  </si>
  <si>
    <t>CMC-Central Service</t>
  </si>
  <si>
    <t>14HF1623</t>
  </si>
  <si>
    <t>Bunting</t>
  </si>
  <si>
    <t>F77100</t>
  </si>
  <si>
    <t>RIF132219   RIF132089</t>
  </si>
  <si>
    <t>Harmon</t>
  </si>
  <si>
    <t>T21388</t>
  </si>
  <si>
    <t>LA071371</t>
  </si>
  <si>
    <t>Barrigan</t>
  </si>
  <si>
    <t>AL2846</t>
  </si>
  <si>
    <t>PA080745</t>
  </si>
  <si>
    <t>T13390</t>
  </si>
  <si>
    <t>99F09165  97F00881</t>
  </si>
  <si>
    <t>Osorio</t>
  </si>
  <si>
    <t>V67285</t>
  </si>
  <si>
    <t>SS041795</t>
  </si>
  <si>
    <t>J00495</t>
  </si>
  <si>
    <t>VCR150642</t>
  </si>
  <si>
    <t>Thepsombandith</t>
  </si>
  <si>
    <t>F12479</t>
  </si>
  <si>
    <t>SCD189842</t>
  </si>
  <si>
    <t>Gurule</t>
  </si>
  <si>
    <t>F82862</t>
  </si>
  <si>
    <t>YA064181  TA083486</t>
  </si>
  <si>
    <t>F32210</t>
  </si>
  <si>
    <t>NA059173</t>
  </si>
  <si>
    <t>Mahorney</t>
  </si>
  <si>
    <t>F84309</t>
  </si>
  <si>
    <t>Megaw</t>
  </si>
  <si>
    <t>BB7983</t>
  </si>
  <si>
    <t>KA109392</t>
  </si>
  <si>
    <t>BB4546</t>
  </si>
  <si>
    <t>12NF1512  11NF0575</t>
  </si>
  <si>
    <t>P77503</t>
  </si>
  <si>
    <t>06HF0618</t>
  </si>
  <si>
    <t>K80277</t>
  </si>
  <si>
    <t>KA099051</t>
  </si>
  <si>
    <t>Gronvold</t>
  </si>
  <si>
    <t>H64006</t>
  </si>
  <si>
    <t>MA048581</t>
  </si>
  <si>
    <t>Haro</t>
  </si>
  <si>
    <t>K18074</t>
  </si>
  <si>
    <t>YA058624</t>
  </si>
  <si>
    <t>Knight</t>
  </si>
  <si>
    <t>K77910</t>
  </si>
  <si>
    <t>GA062155</t>
  </si>
  <si>
    <t>G33674</t>
  </si>
  <si>
    <t>LA053618</t>
  </si>
  <si>
    <t>Sevilla</t>
  </si>
  <si>
    <t>BB0755</t>
  </si>
  <si>
    <t>SACCO-MCRP LA</t>
  </si>
  <si>
    <t>GA097447</t>
  </si>
  <si>
    <t>BA6141</t>
  </si>
  <si>
    <t>VA141613</t>
  </si>
  <si>
    <t>AX8970</t>
  </si>
  <si>
    <t>TA132979</t>
  </si>
  <si>
    <t>AT8853</t>
  </si>
  <si>
    <t>BA445865</t>
  </si>
  <si>
    <t>Pizarro</t>
  </si>
  <si>
    <t>E02169</t>
  </si>
  <si>
    <t>SF104673</t>
  </si>
  <si>
    <t>AW8463</t>
  </si>
  <si>
    <t>BA430463</t>
  </si>
  <si>
    <t>AX8939</t>
  </si>
  <si>
    <t>KA110204</t>
  </si>
  <si>
    <t>Delorenzo</t>
  </si>
  <si>
    <t>T54475</t>
  </si>
  <si>
    <t>LA061191</t>
  </si>
  <si>
    <t>C12006</t>
  </si>
  <si>
    <t>CHCF- Facility E</t>
  </si>
  <si>
    <t>NA044359</t>
  </si>
  <si>
    <t>Paroled 10/27/2022</t>
  </si>
  <si>
    <t>AX7784</t>
  </si>
  <si>
    <t>BA436451</t>
  </si>
  <si>
    <t>BA0495</t>
  </si>
  <si>
    <t>SA089098</t>
  </si>
  <si>
    <t>NCD 2/21/2024</t>
  </si>
  <si>
    <t>J77621</t>
  </si>
  <si>
    <t>SCD163167</t>
  </si>
  <si>
    <t>Cervera</t>
  </si>
  <si>
    <t>V70263</t>
  </si>
  <si>
    <t>BA266956</t>
  </si>
  <si>
    <t>Armstrong</t>
  </si>
  <si>
    <t>V05006</t>
  </si>
  <si>
    <t>MA053482</t>
  </si>
  <si>
    <t>Paroled 7/28/2022</t>
  </si>
  <si>
    <t>Valera</t>
  </si>
  <si>
    <t>T93689</t>
  </si>
  <si>
    <t>EE119510</t>
  </si>
  <si>
    <t>Noriega</t>
  </si>
  <si>
    <t>V15297</t>
  </si>
  <si>
    <t>06CF3153</t>
  </si>
  <si>
    <t>Thing</t>
  </si>
  <si>
    <t>W61398</t>
  </si>
  <si>
    <t>SCD234859</t>
  </si>
  <si>
    <t>Gerrie</t>
  </si>
  <si>
    <t>AY1910</t>
  </si>
  <si>
    <t>KA107653</t>
  </si>
  <si>
    <t>Narey</t>
  </si>
  <si>
    <t>AX9789</t>
  </si>
  <si>
    <t>12CF2789</t>
  </si>
  <si>
    <t>Paroled 6/8/2022</t>
  </si>
  <si>
    <t>V53884</t>
  </si>
  <si>
    <t>SHS- Atascadero State Hospital</t>
  </si>
  <si>
    <t>1074424    1017945</t>
  </si>
  <si>
    <t>AN1573</t>
  </si>
  <si>
    <t>FVI1200546</t>
  </si>
  <si>
    <t>Paroled 8/24/2022</t>
  </si>
  <si>
    <t>Sisangkhomh</t>
  </si>
  <si>
    <t>V33592</t>
  </si>
  <si>
    <t>YA053415</t>
  </si>
  <si>
    <t>NCD 6/29/2023</t>
  </si>
  <si>
    <t>AW3922</t>
  </si>
  <si>
    <t>Gleghorn</t>
  </si>
  <si>
    <t>V38431</t>
  </si>
  <si>
    <t>Sutton</t>
  </si>
  <si>
    <t>D78438</t>
  </si>
  <si>
    <t>H31079</t>
  </si>
  <si>
    <t>CTF- Facility B</t>
  </si>
  <si>
    <t>WF00282</t>
  </si>
  <si>
    <t>Shorter</t>
  </si>
  <si>
    <t>V33176</t>
  </si>
  <si>
    <t>YA054743</t>
  </si>
  <si>
    <t>P83126</t>
  </si>
  <si>
    <t>SC50235</t>
  </si>
  <si>
    <t>AA5155</t>
  </si>
  <si>
    <t>F07908923</t>
  </si>
  <si>
    <t>F32753</t>
  </si>
  <si>
    <t>F05905585</t>
  </si>
  <si>
    <t>F60010</t>
  </si>
  <si>
    <t>MA028244</t>
  </si>
  <si>
    <r>
      <t>count 1, PC 187 1</t>
    </r>
    <r>
      <rPr>
        <vertAlign val="superscript"/>
        <sz val="11"/>
        <color theme="1"/>
        <rFont val="Calibri"/>
        <family val="2"/>
        <scheme val="minor"/>
      </rPr>
      <t>st</t>
    </r>
    <r>
      <rPr>
        <sz val="11"/>
        <color theme="1"/>
        <rFont val="Calibri"/>
        <family val="2"/>
        <scheme val="minor"/>
      </rPr>
      <t xml:space="preserve"> Degree Murder changed to PC 187 2</t>
    </r>
    <r>
      <rPr>
        <vertAlign val="superscript"/>
        <sz val="11"/>
        <color theme="1"/>
        <rFont val="Calibri"/>
        <family val="2"/>
        <scheme val="minor"/>
      </rPr>
      <t>nd</t>
    </r>
    <r>
      <rPr>
        <sz val="11"/>
        <color theme="1"/>
        <rFont val="Calibri"/>
        <family val="2"/>
        <scheme val="minor"/>
      </rPr>
      <t xml:space="preserve"> Degree Murder, all other counts remain the same</t>
    </r>
  </si>
  <si>
    <t>Zomalt</t>
  </si>
  <si>
    <t>F35569</t>
  </si>
  <si>
    <t>MA030446</t>
  </si>
  <si>
    <t>T80098</t>
  </si>
  <si>
    <t>02HF0891</t>
  </si>
  <si>
    <t>UK</t>
  </si>
  <si>
    <t>AY6837</t>
  </si>
  <si>
    <t>F15903083</t>
  </si>
  <si>
    <t>Munns</t>
  </si>
  <si>
    <t>T73373</t>
  </si>
  <si>
    <t>SA041069</t>
  </si>
  <si>
    <t>Askov</t>
  </si>
  <si>
    <t>F26583</t>
  </si>
  <si>
    <t>NA067247  NA067761</t>
  </si>
  <si>
    <t>Buckley</t>
  </si>
  <si>
    <t>AA9358</t>
  </si>
  <si>
    <t>06F10601</t>
  </si>
  <si>
    <t>J09293</t>
  </si>
  <si>
    <t>LA041763</t>
  </si>
  <si>
    <t>Steen</t>
  </si>
  <si>
    <t>D20109</t>
  </si>
  <si>
    <t>RIF104000</t>
  </si>
  <si>
    <t>NCD 7/10/2023</t>
  </si>
  <si>
    <t>Burrell</t>
  </si>
  <si>
    <t>F52999</t>
  </si>
  <si>
    <t>CC957560</t>
  </si>
  <si>
    <t>Paroled 9/7/2023</t>
  </si>
  <si>
    <t>AK9094</t>
  </si>
  <si>
    <t>VA121416</t>
  </si>
  <si>
    <t>Paroled 10/30/2022</t>
  </si>
  <si>
    <t>AU4358</t>
  </si>
  <si>
    <t>SCC-Vallecito Camp</t>
  </si>
  <si>
    <t>PA077433</t>
  </si>
  <si>
    <t>V59273</t>
  </si>
  <si>
    <t>SC067131</t>
  </si>
  <si>
    <t>Boles</t>
  </si>
  <si>
    <t>AD4118</t>
  </si>
  <si>
    <t>BA402975</t>
  </si>
  <si>
    <t>E80371</t>
  </si>
  <si>
    <t>YA057428</t>
  </si>
  <si>
    <t>Discharged 12/14/2023</t>
  </si>
  <si>
    <t>Gaeta</t>
  </si>
  <si>
    <t>D58688</t>
  </si>
  <si>
    <t>CSP-Facility D</t>
  </si>
  <si>
    <t>KA058056</t>
  </si>
  <si>
    <t>D73190</t>
  </si>
  <si>
    <t>VA108848  VA108112</t>
  </si>
  <si>
    <t>Andrews</t>
  </si>
  <si>
    <t>X19027</t>
  </si>
  <si>
    <t>VCF142325</t>
  </si>
  <si>
    <t>Grimstead</t>
  </si>
  <si>
    <t>P09444</t>
  </si>
  <si>
    <t>F97915788</t>
  </si>
  <si>
    <t>AE2031</t>
  </si>
  <si>
    <t>BA358428</t>
  </si>
  <si>
    <t>Lau</t>
  </si>
  <si>
    <t>WA9032</t>
  </si>
  <si>
    <t>SF111345</t>
  </si>
  <si>
    <t>Viehmeyer</t>
  </si>
  <si>
    <t>V22154</t>
  </si>
  <si>
    <t>02CF2946</t>
  </si>
  <si>
    <t>Shepler</t>
  </si>
  <si>
    <t>AI4914</t>
  </si>
  <si>
    <t>Ghang</t>
  </si>
  <si>
    <t>V07986</t>
  </si>
  <si>
    <t>BA231513</t>
  </si>
  <si>
    <t>Herrmann</t>
  </si>
  <si>
    <t>AW1506</t>
  </si>
  <si>
    <t>SCD254092</t>
  </si>
  <si>
    <t>Additional Case out of Riverside Co SWF1400240</t>
  </si>
  <si>
    <t>Head</t>
  </si>
  <si>
    <t>F96357</t>
  </si>
  <si>
    <t>VCF252277</t>
  </si>
  <si>
    <t>Mizner</t>
  </si>
  <si>
    <t>P67336</t>
  </si>
  <si>
    <t>CR0801656</t>
  </si>
  <si>
    <t>T38750</t>
  </si>
  <si>
    <t>KA051285  KA052823</t>
  </si>
  <si>
    <t>Luis</t>
  </si>
  <si>
    <t>AY5062</t>
  </si>
  <si>
    <t>BA431426</t>
  </si>
  <si>
    <t>Orduno</t>
  </si>
  <si>
    <t>BB9838</t>
  </si>
  <si>
    <t>INF1601378</t>
  </si>
  <si>
    <t>Darty</t>
  </si>
  <si>
    <t>AE0717</t>
  </si>
  <si>
    <t>09F00466</t>
  </si>
  <si>
    <t>F37181</t>
  </si>
  <si>
    <t>05F04486</t>
  </si>
  <si>
    <t>F20718</t>
  </si>
  <si>
    <t>FSB027969</t>
  </si>
  <si>
    <t>J12651</t>
  </si>
  <si>
    <t>GA039312</t>
  </si>
  <si>
    <t>X01055</t>
  </si>
  <si>
    <t>BA222258</t>
  </si>
  <si>
    <t>Haas</t>
  </si>
  <si>
    <t>AY1519</t>
  </si>
  <si>
    <t>BA41121803</t>
  </si>
  <si>
    <t>J31260</t>
  </si>
  <si>
    <t>LA048187</t>
  </si>
  <si>
    <t xml:space="preserve">                                                           </t>
  </si>
  <si>
    <t>Defense counsel states the matter was filed incorrectly and withdraws the petition at this time 5/17/2023</t>
  </si>
  <si>
    <t xml:space="preserve">                                                                                                                                                                                            </t>
  </si>
  <si>
    <t>SCC - Facillity C</t>
  </si>
  <si>
    <t>T87091</t>
  </si>
  <si>
    <t>SA079308</t>
  </si>
  <si>
    <t>Paroled 11/1/2022</t>
  </si>
  <si>
    <t>AV9027</t>
  </si>
  <si>
    <t>VCF283866B</t>
  </si>
  <si>
    <t>Mosley</t>
  </si>
  <si>
    <t>G22699</t>
  </si>
  <si>
    <t>C1100236</t>
  </si>
  <si>
    <t>Fondren</t>
  </si>
  <si>
    <t>BG0494</t>
  </si>
  <si>
    <t>VCR216164</t>
  </si>
  <si>
    <t>Audelo</t>
  </si>
  <si>
    <t>V91012</t>
  </si>
  <si>
    <t>BA262841</t>
  </si>
  <si>
    <t>Hawn</t>
  </si>
  <si>
    <t>F46141</t>
  </si>
  <si>
    <t>CF145594A</t>
  </si>
  <si>
    <t>Dalton</t>
  </si>
  <si>
    <t>WE3238</t>
  </si>
  <si>
    <t>09F05290</t>
  </si>
  <si>
    <t>G32953</t>
  </si>
  <si>
    <t>LA056669</t>
  </si>
  <si>
    <t>NCD 10/18/2023</t>
  </si>
  <si>
    <t>F14259</t>
  </si>
  <si>
    <t>BA276341</t>
  </si>
  <si>
    <t>Letter not received by court, NCD 10/4/2023</t>
  </si>
  <si>
    <t>V71880</t>
  </si>
  <si>
    <t>12F05649</t>
  </si>
  <si>
    <t>NCD 2/3/2023</t>
  </si>
  <si>
    <t>Ray</t>
  </si>
  <si>
    <t>F73521</t>
  </si>
  <si>
    <t>Villalobos</t>
  </si>
  <si>
    <t>AE4241</t>
  </si>
  <si>
    <t>SWF026253</t>
  </si>
  <si>
    <t>Western</t>
  </si>
  <si>
    <t>D90018</t>
  </si>
  <si>
    <t>LA057926</t>
  </si>
  <si>
    <t>T52920</t>
  </si>
  <si>
    <t>Richardson</t>
  </si>
  <si>
    <t>AL7106</t>
  </si>
  <si>
    <t>K81255</t>
  </si>
  <si>
    <t>Additional Tulare Co Case Numer 97490</t>
  </si>
  <si>
    <t>BC2361</t>
  </si>
  <si>
    <t>RIF1603112</t>
  </si>
  <si>
    <t>NCD 9/29/2023</t>
  </si>
  <si>
    <t>G43751</t>
  </si>
  <si>
    <t>PA086342</t>
  </si>
  <si>
    <t>Shrawder</t>
  </si>
  <si>
    <t>F76001</t>
  </si>
  <si>
    <t>NF435801</t>
  </si>
  <si>
    <t xml:space="preserve">Nguyen </t>
  </si>
  <si>
    <t>G01564</t>
  </si>
  <si>
    <t>CC627077</t>
  </si>
  <si>
    <t>Englebrecht</t>
  </si>
  <si>
    <t>AE4105</t>
  </si>
  <si>
    <t>SCN228485</t>
  </si>
  <si>
    <t>Strickland</t>
  </si>
  <si>
    <t>H34273</t>
  </si>
  <si>
    <t>FWV05410A</t>
  </si>
  <si>
    <t>Paroled 10/6/2022</t>
  </si>
  <si>
    <t>V98833</t>
  </si>
  <si>
    <t>Guizar-Figueroa</t>
  </si>
  <si>
    <t>AT7916</t>
  </si>
  <si>
    <t>BF137124</t>
  </si>
  <si>
    <t>Schuyler</t>
  </si>
  <si>
    <t>G60073</t>
  </si>
  <si>
    <t>08F1575</t>
  </si>
  <si>
    <t>Woodward</t>
  </si>
  <si>
    <t>J48295</t>
  </si>
  <si>
    <t>NA079330</t>
  </si>
  <si>
    <t>T43537</t>
  </si>
  <si>
    <t>01F05432</t>
  </si>
  <si>
    <t>D89963</t>
  </si>
  <si>
    <t>F02906348</t>
  </si>
  <si>
    <t>McNeil</t>
  </si>
  <si>
    <t>H63365</t>
  </si>
  <si>
    <t>SF116220</t>
  </si>
  <si>
    <t>Vaught</t>
  </si>
  <si>
    <t>H56089</t>
  </si>
  <si>
    <t>96HF0215</t>
  </si>
  <si>
    <t>Froberg</t>
  </si>
  <si>
    <t>G47274</t>
  </si>
  <si>
    <t>SC065855</t>
  </si>
  <si>
    <t>K47302</t>
  </si>
  <si>
    <t>FWV1000278</t>
  </si>
  <si>
    <t>G18264</t>
  </si>
  <si>
    <t>KA080685</t>
  </si>
  <si>
    <t>NCD 3/6/2024</t>
  </si>
  <si>
    <t>AB6881</t>
  </si>
  <si>
    <t>RIF139801</t>
  </si>
  <si>
    <t>Referall recsission letter sent on 4/25/22</t>
  </si>
  <si>
    <t>AC4752</t>
  </si>
  <si>
    <t>LAC - MSF</t>
  </si>
  <si>
    <t>GA072072</t>
  </si>
  <si>
    <t>BC3516</t>
  </si>
  <si>
    <t>Mullins</t>
  </si>
  <si>
    <t>AL1169</t>
  </si>
  <si>
    <t>SCR589834</t>
  </si>
  <si>
    <t>BC0856</t>
  </si>
  <si>
    <t>H57327</t>
  </si>
  <si>
    <t>BA5139</t>
  </si>
  <si>
    <t>ASP - Facility C</t>
  </si>
  <si>
    <t>F16901495</t>
  </si>
  <si>
    <t>Ornelas</t>
  </si>
  <si>
    <t>T70569</t>
  </si>
  <si>
    <t>SC084410</t>
  </si>
  <si>
    <t>Dickson</t>
  </si>
  <si>
    <t>AH2199</t>
  </si>
  <si>
    <t>SCD225149</t>
  </si>
  <si>
    <t>Ogletree</t>
  </si>
  <si>
    <t>BC1547</t>
  </si>
  <si>
    <t>YA093658</t>
  </si>
  <si>
    <t>P84308</t>
  </si>
  <si>
    <t>SCD208720</t>
  </si>
  <si>
    <t>Ellebracht</t>
  </si>
  <si>
    <t>G47175</t>
  </si>
  <si>
    <t>VCF174036</t>
  </si>
  <si>
    <t>P66041</t>
  </si>
  <si>
    <t>VCF267589</t>
  </si>
  <si>
    <t>DISCHARGED 8/26/2022</t>
  </si>
  <si>
    <t>AY3126</t>
  </si>
  <si>
    <t>SCD263892</t>
  </si>
  <si>
    <t>Aguirre</t>
  </si>
  <si>
    <t>BC3005</t>
  </si>
  <si>
    <t>AK7668</t>
  </si>
  <si>
    <t>VA121810</t>
  </si>
  <si>
    <t>NCD 7/18/2022</t>
  </si>
  <si>
    <t>Guillen</t>
  </si>
  <si>
    <t>BC4806</t>
  </si>
  <si>
    <t>MA068608</t>
  </si>
  <si>
    <t>Court does not find resentencing is appropriate.  Request denied.</t>
  </si>
  <si>
    <t>Dowling</t>
  </si>
  <si>
    <t>BC8187</t>
  </si>
  <si>
    <t>16CR01834</t>
  </si>
  <si>
    <t>Sinegal</t>
  </si>
  <si>
    <t>AR6655</t>
  </si>
  <si>
    <t>TA127221</t>
  </si>
  <si>
    <t>AS0214</t>
  </si>
  <si>
    <t>C1109943</t>
  </si>
  <si>
    <t>BC6670</t>
  </si>
  <si>
    <t>VA142440</t>
  </si>
  <si>
    <t>AR0488</t>
  </si>
  <si>
    <t>GA085316</t>
  </si>
  <si>
    <t>AV2403</t>
  </si>
  <si>
    <t>MA062237</t>
  </si>
  <si>
    <t>BC3879</t>
  </si>
  <si>
    <t>Miramontes</t>
  </si>
  <si>
    <t>AL5197</t>
  </si>
  <si>
    <t>Kersh</t>
  </si>
  <si>
    <t>D23545</t>
  </si>
  <si>
    <t>BA207691</t>
  </si>
  <si>
    <t>Jaurequi</t>
  </si>
  <si>
    <t>H45546</t>
  </si>
  <si>
    <t>VA096113</t>
  </si>
  <si>
    <t>T72624</t>
  </si>
  <si>
    <t>MA021980</t>
  </si>
  <si>
    <t>Paroled 6/9/2023</t>
  </si>
  <si>
    <t>Christensen</t>
  </si>
  <si>
    <t>D62062</t>
  </si>
  <si>
    <t>VA068078</t>
  </si>
  <si>
    <t>Marchant</t>
  </si>
  <si>
    <t>BA6756</t>
  </si>
  <si>
    <t>ASP - Faciltiy F</t>
  </si>
  <si>
    <t>SCR663247</t>
  </si>
  <si>
    <t>BB4346</t>
  </si>
  <si>
    <t>SA089482</t>
  </si>
  <si>
    <t>Paroled 4/21/2023</t>
  </si>
  <si>
    <t>V63831</t>
  </si>
  <si>
    <t>KA110577</t>
  </si>
  <si>
    <t>Paroled 8/8/2023</t>
  </si>
  <si>
    <t>Yocupicio</t>
  </si>
  <si>
    <t>V25929</t>
  </si>
  <si>
    <t>LA056979</t>
  </si>
  <si>
    <t>AW7204</t>
  </si>
  <si>
    <t>SCE339541</t>
  </si>
  <si>
    <t>T36926</t>
  </si>
  <si>
    <t>PA065696</t>
  </si>
  <si>
    <t>T44007</t>
  </si>
  <si>
    <t>TA060854</t>
  </si>
  <si>
    <t>T21873</t>
  </si>
  <si>
    <t>KA051265</t>
  </si>
  <si>
    <t>Letter received by court . 7/1/2022 The court sets matter for an intial status conference to determine wheather the court should exercise its discretion to recall sentence, scheduled for 8/10/2022.</t>
  </si>
  <si>
    <t>Boone</t>
  </si>
  <si>
    <t>AC7636</t>
  </si>
  <si>
    <t>BA326464</t>
  </si>
  <si>
    <t>Cintron</t>
  </si>
  <si>
    <t>D69695</t>
  </si>
  <si>
    <t>BA214922</t>
  </si>
  <si>
    <t>T44478</t>
  </si>
  <si>
    <t>LA037404</t>
  </si>
  <si>
    <t>Additional case out of San Bernardino County</t>
  </si>
  <si>
    <t>V42703</t>
  </si>
  <si>
    <t>NA049282</t>
  </si>
  <si>
    <t>WE6930</t>
  </si>
  <si>
    <t>SS110141A</t>
  </si>
  <si>
    <t>T08088</t>
  </si>
  <si>
    <t>H26951</t>
  </si>
  <si>
    <t>Kerr</t>
  </si>
  <si>
    <t>P72843</t>
  </si>
  <si>
    <t>VA051110</t>
  </si>
  <si>
    <t>BC9966</t>
  </si>
  <si>
    <t>NA104301</t>
  </si>
  <si>
    <t>Pierre</t>
  </si>
  <si>
    <t>P00480</t>
  </si>
  <si>
    <t>SA031378</t>
  </si>
  <si>
    <t>Compian</t>
  </si>
  <si>
    <t>BD0824</t>
  </si>
  <si>
    <t>VA138169</t>
  </si>
  <si>
    <t>K07004</t>
  </si>
  <si>
    <t>VA033801</t>
  </si>
  <si>
    <t>Kidwell</t>
  </si>
  <si>
    <t>J92612</t>
  </si>
  <si>
    <t>SCR1570</t>
  </si>
  <si>
    <t>G59223</t>
  </si>
  <si>
    <t xml:space="preserve">SCC - Holton Camp </t>
  </si>
  <si>
    <t>SWF1401408</t>
  </si>
  <si>
    <t>Lowman</t>
  </si>
  <si>
    <t>H57406</t>
  </si>
  <si>
    <t>SCD149569</t>
  </si>
  <si>
    <t>London</t>
  </si>
  <si>
    <t>H86581</t>
  </si>
  <si>
    <t>MA010785</t>
  </si>
  <si>
    <t>Paroled 8/17/2023</t>
  </si>
  <si>
    <t>Calmese</t>
  </si>
  <si>
    <t>H49990</t>
  </si>
  <si>
    <t>SA040810</t>
  </si>
  <si>
    <t>NCD 9/14/2023</t>
  </si>
  <si>
    <t>Neighbors</t>
  </si>
  <si>
    <t>V07723</t>
  </si>
  <si>
    <t>01WF2343</t>
  </si>
  <si>
    <t>AC7275</t>
  </si>
  <si>
    <t>SCD251546</t>
  </si>
  <si>
    <t>C17870</t>
  </si>
  <si>
    <t>NA071565</t>
  </si>
  <si>
    <t>D02366</t>
  </si>
  <si>
    <t>VA069425</t>
  </si>
  <si>
    <t xml:space="preserve">Sentencing Judge Michael Schuur is unavilable, court orders correspondence transferred and assigned to Judge Lillian Vega  Jacobs for review and ruling. </t>
  </si>
  <si>
    <t>F45185</t>
  </si>
  <si>
    <t>NA063168</t>
  </si>
  <si>
    <t>NCD 8/17/2023</t>
  </si>
  <si>
    <t>J00811</t>
  </si>
  <si>
    <t>05NF1184</t>
  </si>
  <si>
    <t>AG3732</t>
  </si>
  <si>
    <t>SCD230119</t>
  </si>
  <si>
    <t>Denton</t>
  </si>
  <si>
    <t>P96760</t>
  </si>
  <si>
    <t>NA044436</t>
  </si>
  <si>
    <t>Paroled 5/2/2023</t>
  </si>
  <si>
    <t>Careaga</t>
  </si>
  <si>
    <t>BD1445</t>
  </si>
  <si>
    <t>LA082760</t>
  </si>
  <si>
    <t>Additional Case Number LA County LA082760</t>
  </si>
  <si>
    <t>Lovings</t>
  </si>
  <si>
    <t>BC9869</t>
  </si>
  <si>
    <t>Court is satisfied, Court finds enhancement is fair and just under the cicumstances of the commitment offenses.</t>
  </si>
  <si>
    <t>Willette</t>
  </si>
  <si>
    <t>AF9236</t>
  </si>
  <si>
    <t>SCS238422</t>
  </si>
  <si>
    <t>H00051</t>
  </si>
  <si>
    <t>NA044251</t>
  </si>
  <si>
    <t>G20548</t>
  </si>
  <si>
    <t>06NF3027</t>
  </si>
  <si>
    <t>K91382</t>
  </si>
  <si>
    <t>SA050266</t>
  </si>
  <si>
    <t>Swanigan</t>
  </si>
  <si>
    <t>H15033</t>
  </si>
  <si>
    <t>KA038012</t>
  </si>
  <si>
    <t>Cho</t>
  </si>
  <si>
    <t>G46209</t>
  </si>
  <si>
    <t>KA083290</t>
  </si>
  <si>
    <t>F76320</t>
  </si>
  <si>
    <t>SF099940</t>
  </si>
  <si>
    <t>Additional Case San Joaquin Co SF099940</t>
  </si>
  <si>
    <t>Killman</t>
  </si>
  <si>
    <t>F86352</t>
  </si>
  <si>
    <t>Alex</t>
  </si>
  <si>
    <t>E25650</t>
  </si>
  <si>
    <t>BA224850</t>
  </si>
  <si>
    <t>G34201</t>
  </si>
  <si>
    <t>SCC - Acton Camp</t>
  </si>
  <si>
    <t>TA088319</t>
  </si>
  <si>
    <t>T62342</t>
  </si>
  <si>
    <t>NA046112</t>
  </si>
  <si>
    <t>Olivares</t>
  </si>
  <si>
    <t>E87139</t>
  </si>
  <si>
    <t>00NF2811</t>
  </si>
  <si>
    <t>Lynn</t>
  </si>
  <si>
    <t>T50359</t>
  </si>
  <si>
    <t>PBSP - Facility C</t>
  </si>
  <si>
    <t>CRF012459</t>
  </si>
  <si>
    <t>Dixie</t>
  </si>
  <si>
    <t>D11174</t>
  </si>
  <si>
    <t>FSB06982</t>
  </si>
  <si>
    <t>Coulson</t>
  </si>
  <si>
    <t>K29443</t>
  </si>
  <si>
    <t>NA055138</t>
  </si>
  <si>
    <t>K26536</t>
  </si>
  <si>
    <t>KA073034</t>
  </si>
  <si>
    <t>Paroled 10/11/2023</t>
  </si>
  <si>
    <t>AS1255</t>
  </si>
  <si>
    <t>12CF1810</t>
  </si>
  <si>
    <t>AG2023</t>
  </si>
  <si>
    <t>KA091286</t>
  </si>
  <si>
    <t>NCD 8/16/2023</t>
  </si>
  <si>
    <t>NCD 8/24/2023</t>
  </si>
  <si>
    <t>T15695</t>
  </si>
  <si>
    <t xml:space="preserve">CTF - Facility A </t>
  </si>
  <si>
    <t>VA061842</t>
  </si>
  <si>
    <t>The sentencing judge in this case is unavailable. The court orders referral transferred and assigned to judge Joseph Porras for review and ruling.</t>
  </si>
  <si>
    <t>Rush</t>
  </si>
  <si>
    <t>G28403</t>
  </si>
  <si>
    <t>BA315947</t>
  </si>
  <si>
    <t>Paroled 4/27/2023</t>
  </si>
  <si>
    <t>AF3331</t>
  </si>
  <si>
    <t>BA365537</t>
  </si>
  <si>
    <t>D71279</t>
  </si>
  <si>
    <t>BA338489</t>
  </si>
  <si>
    <t>Dennison</t>
  </si>
  <si>
    <t>AA7536</t>
  </si>
  <si>
    <t>CC786821</t>
  </si>
  <si>
    <t>AC8729</t>
  </si>
  <si>
    <t>158106 &amp; 155046</t>
  </si>
  <si>
    <t>Montez</t>
  </si>
  <si>
    <t>J47883</t>
  </si>
  <si>
    <t>BA079005 &amp; SA075841</t>
  </si>
  <si>
    <t>AY1979</t>
  </si>
  <si>
    <t>SCD252366 &amp; SCD239027</t>
  </si>
  <si>
    <t>T64471</t>
  </si>
  <si>
    <t>TA064142</t>
  </si>
  <si>
    <t>Paroled 9/25/2023</t>
  </si>
  <si>
    <t>AK5296</t>
  </si>
  <si>
    <t>10F05747</t>
  </si>
  <si>
    <t>BD4232</t>
  </si>
  <si>
    <t>BA455743</t>
  </si>
  <si>
    <t>Mathis</t>
  </si>
  <si>
    <t>BD2116</t>
  </si>
  <si>
    <t>NA102983</t>
  </si>
  <si>
    <t>Coley</t>
  </si>
  <si>
    <t>AA9189</t>
  </si>
  <si>
    <t>MA043681</t>
  </si>
  <si>
    <t>Villanueva</t>
  </si>
  <si>
    <t>BD4384</t>
  </si>
  <si>
    <t>RIF1600283</t>
  </si>
  <si>
    <t>Paroled  9/11/2023</t>
  </si>
  <si>
    <t>Buentiempo</t>
  </si>
  <si>
    <t>J80275</t>
  </si>
  <si>
    <t>KA086314</t>
  </si>
  <si>
    <t>Rockefeller</t>
  </si>
  <si>
    <t>G23895</t>
  </si>
  <si>
    <t>KA082034</t>
  </si>
  <si>
    <t>Deneng</t>
  </si>
  <si>
    <t>H43391</t>
  </si>
  <si>
    <t>AK6272</t>
  </si>
  <si>
    <t>G29029</t>
  </si>
  <si>
    <t>H36327</t>
  </si>
  <si>
    <t>Bagner</t>
  </si>
  <si>
    <t>T50212</t>
  </si>
  <si>
    <t>Vancil</t>
  </si>
  <si>
    <t>AZ4259</t>
  </si>
  <si>
    <t>Kelly</t>
  </si>
  <si>
    <t>BD4204</t>
  </si>
  <si>
    <t>Hutson</t>
  </si>
  <si>
    <t>AL0989</t>
  </si>
  <si>
    <t>05110838 &amp; 02301970</t>
  </si>
  <si>
    <t>AZ0729</t>
  </si>
  <si>
    <t>BF161823</t>
  </si>
  <si>
    <t>T13517</t>
  </si>
  <si>
    <t>SC081602A</t>
  </si>
  <si>
    <t>Pedraza</t>
  </si>
  <si>
    <t>J23267</t>
  </si>
  <si>
    <t>BF108101</t>
  </si>
  <si>
    <t>G47239</t>
  </si>
  <si>
    <t>CR915686</t>
  </si>
  <si>
    <t>AG9300</t>
  </si>
  <si>
    <t>KA092601</t>
  </si>
  <si>
    <t>AU2542</t>
  </si>
  <si>
    <t>BA416393</t>
  </si>
  <si>
    <t>Andrade</t>
  </si>
  <si>
    <t>AW3335</t>
  </si>
  <si>
    <t>BA414814</t>
  </si>
  <si>
    <t>AY3153</t>
  </si>
  <si>
    <t>MA065315</t>
  </si>
  <si>
    <t>AZ6961</t>
  </si>
  <si>
    <t>BA420112</t>
  </si>
  <si>
    <t>BD0142</t>
  </si>
  <si>
    <t>BA433781</t>
  </si>
  <si>
    <t>BD6708</t>
  </si>
  <si>
    <t>NA104660</t>
  </si>
  <si>
    <t>Birden</t>
  </si>
  <si>
    <t>E45722</t>
  </si>
  <si>
    <t>BA200642</t>
  </si>
  <si>
    <t>Thibodeaux</t>
  </si>
  <si>
    <t>G28407</t>
  </si>
  <si>
    <t>BA291855</t>
  </si>
  <si>
    <t>Barrios</t>
  </si>
  <si>
    <t>G28507</t>
  </si>
  <si>
    <t>LA056228</t>
  </si>
  <si>
    <t>Pollard</t>
  </si>
  <si>
    <t>H64527</t>
  </si>
  <si>
    <t>GA074222</t>
  </si>
  <si>
    <t>P17793</t>
  </si>
  <si>
    <t>BA290213</t>
  </si>
  <si>
    <t>T29548</t>
  </si>
  <si>
    <t>V80717</t>
  </si>
  <si>
    <t>ISP-MSF</t>
  </si>
  <si>
    <t>MA029875</t>
  </si>
  <si>
    <t>Dibiasi</t>
  </si>
  <si>
    <t>X34202</t>
  </si>
  <si>
    <t>NA075055</t>
  </si>
  <si>
    <t>X20884</t>
  </si>
  <si>
    <t>BA270146</t>
  </si>
  <si>
    <t>F05859</t>
  </si>
  <si>
    <t>VA105727</t>
  </si>
  <si>
    <t>Victorian</t>
  </si>
  <si>
    <t>E29787</t>
  </si>
  <si>
    <t>BA252546</t>
  </si>
  <si>
    <t>Grandberry</t>
  </si>
  <si>
    <t>D95126</t>
  </si>
  <si>
    <t xml:space="preserve">CIM-Facility A </t>
  </si>
  <si>
    <t>KA051126</t>
  </si>
  <si>
    <t>Petralia</t>
  </si>
  <si>
    <t>J37731</t>
  </si>
  <si>
    <t>PA067379</t>
  </si>
  <si>
    <t>K99909</t>
  </si>
  <si>
    <t>RJD-Facilty C</t>
  </si>
  <si>
    <t>VA070488</t>
  </si>
  <si>
    <t>Landix</t>
  </si>
  <si>
    <t>WE5563</t>
  </si>
  <si>
    <t>BA339351</t>
  </si>
  <si>
    <t>AK6302</t>
  </si>
  <si>
    <t>GA081415</t>
  </si>
  <si>
    <t>D87335</t>
  </si>
  <si>
    <t>SA038850</t>
  </si>
  <si>
    <t>AG9335</t>
  </si>
  <si>
    <t>GA080507</t>
  </si>
  <si>
    <t>Ceja</t>
  </si>
  <si>
    <t>AG5934</t>
  </si>
  <si>
    <t>BA334403</t>
  </si>
  <si>
    <t>Benson</t>
  </si>
  <si>
    <t>AZ1960</t>
  </si>
  <si>
    <t>MA065673</t>
  </si>
  <si>
    <t>T30237</t>
  </si>
  <si>
    <t>YA044593</t>
  </si>
  <si>
    <t>Neboyia</t>
  </si>
  <si>
    <t>G25611</t>
  </si>
  <si>
    <t>VA125765</t>
  </si>
  <si>
    <t>Sigmon</t>
  </si>
  <si>
    <t>T73601</t>
  </si>
  <si>
    <t>BA233386</t>
  </si>
  <si>
    <t>Mcelroy</t>
  </si>
  <si>
    <t>P71922</t>
  </si>
  <si>
    <t>YA046991</t>
  </si>
  <si>
    <t>J17710</t>
  </si>
  <si>
    <t>COR-Facilty 04A</t>
  </si>
  <si>
    <t>04CF3143</t>
  </si>
  <si>
    <t>Rye</t>
  </si>
  <si>
    <t>AD9205</t>
  </si>
  <si>
    <t>06CF1151</t>
  </si>
  <si>
    <t>AH3036</t>
  </si>
  <si>
    <t>09SF0935</t>
  </si>
  <si>
    <t>Milo</t>
  </si>
  <si>
    <t>P40495</t>
  </si>
  <si>
    <t>RIF106130</t>
  </si>
  <si>
    <t>AL9407</t>
  </si>
  <si>
    <t>SWF029110</t>
  </si>
  <si>
    <t>AE2426</t>
  </si>
  <si>
    <t>SWF009902</t>
  </si>
  <si>
    <t>F26914</t>
  </si>
  <si>
    <t>02F02888</t>
  </si>
  <si>
    <t>Hayden</t>
  </si>
  <si>
    <t>T27841</t>
  </si>
  <si>
    <t>00F09745A</t>
  </si>
  <si>
    <t>V79124</t>
  </si>
  <si>
    <t>02F11038</t>
  </si>
  <si>
    <t>V63408</t>
  </si>
  <si>
    <t>04F00059</t>
  </si>
  <si>
    <t>Sammons</t>
  </si>
  <si>
    <t>F17684</t>
  </si>
  <si>
    <t>FVA1101851</t>
  </si>
  <si>
    <t>AA2881</t>
  </si>
  <si>
    <t>SCD225783</t>
  </si>
  <si>
    <t>Hanna</t>
  </si>
  <si>
    <t>AH7084</t>
  </si>
  <si>
    <t>SCD272136</t>
  </si>
  <si>
    <t>F00003</t>
  </si>
  <si>
    <t>SCE236551</t>
  </si>
  <si>
    <t>Walton</t>
  </si>
  <si>
    <t>H92043</t>
  </si>
  <si>
    <t>SCE244493</t>
  </si>
  <si>
    <t>Whitmarsh</t>
  </si>
  <si>
    <t>AD3347</t>
  </si>
  <si>
    <t>SCD223790</t>
  </si>
  <si>
    <t>Rossi</t>
  </si>
  <si>
    <t>T99183</t>
  </si>
  <si>
    <t>SCD171731</t>
  </si>
  <si>
    <t>G16157</t>
  </si>
  <si>
    <t>SCD205612</t>
  </si>
  <si>
    <t>Hosaka</t>
  </si>
  <si>
    <t>P84296</t>
  </si>
  <si>
    <t>SCD195093</t>
  </si>
  <si>
    <t>AK1870</t>
  </si>
  <si>
    <t>SCD233702</t>
  </si>
  <si>
    <t>Hagan</t>
  </si>
  <si>
    <t>AM6145</t>
  </si>
  <si>
    <t>VSP-Central</t>
  </si>
  <si>
    <t>SCE312609</t>
  </si>
  <si>
    <t>BA9818</t>
  </si>
  <si>
    <t>SCD261872</t>
  </si>
  <si>
    <t>Harrell</t>
  </si>
  <si>
    <t>T23655</t>
  </si>
  <si>
    <t>SCD198457</t>
  </si>
  <si>
    <t>Hendon</t>
  </si>
  <si>
    <t>V12075</t>
  </si>
  <si>
    <t>SCN156480</t>
  </si>
  <si>
    <t>Doucet</t>
  </si>
  <si>
    <t>AD0768</t>
  </si>
  <si>
    <t>SF110108</t>
  </si>
  <si>
    <t>Freeman</t>
  </si>
  <si>
    <t>BB5887</t>
  </si>
  <si>
    <t>CR20163872</t>
  </si>
  <si>
    <t>V94878</t>
  </si>
  <si>
    <t>T74142</t>
  </si>
  <si>
    <t>Granado</t>
  </si>
  <si>
    <t>P47229</t>
  </si>
  <si>
    <t>CC118496</t>
  </si>
  <si>
    <t>Arrington</t>
  </si>
  <si>
    <t>T26821</t>
  </si>
  <si>
    <t>CC083284</t>
  </si>
  <si>
    <t>F32883</t>
  </si>
  <si>
    <t>CC476755</t>
  </si>
  <si>
    <t>Pearson</t>
  </si>
  <si>
    <t>T84413</t>
  </si>
  <si>
    <t>BB941410</t>
  </si>
  <si>
    <t>AG3176</t>
  </si>
  <si>
    <t>FCR290106</t>
  </si>
  <si>
    <t>Red</t>
  </si>
  <si>
    <t>T55342</t>
  </si>
  <si>
    <t>CC088712 and SC54007</t>
  </si>
  <si>
    <t>Wiseman</t>
  </si>
  <si>
    <t>T94701</t>
  </si>
  <si>
    <t>1100137 and SCD178589</t>
  </si>
  <si>
    <t>Kipp</t>
  </si>
  <si>
    <t>AB4627</t>
  </si>
  <si>
    <t>KA095751 and 13CF2836</t>
  </si>
  <si>
    <t>T99742</t>
  </si>
  <si>
    <t>TA086468</t>
  </si>
  <si>
    <t>Aldridge</t>
  </si>
  <si>
    <t>T83738</t>
  </si>
  <si>
    <t>KA058979</t>
  </si>
  <si>
    <t>Avery</t>
  </si>
  <si>
    <t>E67897</t>
  </si>
  <si>
    <t>VA062824</t>
  </si>
  <si>
    <t>Dawson</t>
  </si>
  <si>
    <t>WE4017</t>
  </si>
  <si>
    <t>F11905850</t>
  </si>
  <si>
    <t>Arteberry</t>
  </si>
  <si>
    <t>AM2312</t>
  </si>
  <si>
    <t>VA116917</t>
  </si>
  <si>
    <t>THE COURT ORDERS THE REFERRAL TRANSFERRED AND ASSIGNED TO JUDGE ANDREW KIM FOR REVIEW AND RULING.</t>
  </si>
  <si>
    <t>F50958</t>
  </si>
  <si>
    <t>LA046543</t>
  </si>
  <si>
    <t>K14435</t>
  </si>
  <si>
    <t>PA058284</t>
  </si>
  <si>
    <t>F66577</t>
  </si>
  <si>
    <t>SA061811</t>
  </si>
  <si>
    <t>Vescusco</t>
  </si>
  <si>
    <t>V34153</t>
  </si>
  <si>
    <t>SWF005969</t>
  </si>
  <si>
    <t>D60330</t>
  </si>
  <si>
    <t>00F04465</t>
  </si>
  <si>
    <t>SCD252366</t>
  </si>
  <si>
    <t>Marsh</t>
  </si>
  <si>
    <t>WF7200</t>
  </si>
  <si>
    <t>SCE348373</t>
  </si>
  <si>
    <t>E50741</t>
  </si>
  <si>
    <t>SCD153398</t>
  </si>
  <si>
    <t>AX0080</t>
  </si>
  <si>
    <t>F14902191</t>
  </si>
  <si>
    <t>WF6066</t>
  </si>
  <si>
    <t>F16902796</t>
  </si>
  <si>
    <t>Pridmore</t>
  </si>
  <si>
    <t>F18669</t>
  </si>
  <si>
    <t>CC451410</t>
  </si>
  <si>
    <t>P30216</t>
  </si>
  <si>
    <t>BF112743B</t>
  </si>
  <si>
    <t>AT7930</t>
  </si>
  <si>
    <t>SWF1303357</t>
  </si>
  <si>
    <t>Huggins</t>
  </si>
  <si>
    <t>AH7386</t>
  </si>
  <si>
    <t>TA134718</t>
  </si>
  <si>
    <t>AG2371</t>
  </si>
  <si>
    <t>VA111081</t>
  </si>
  <si>
    <t>Siganoff</t>
  </si>
  <si>
    <t>P33670</t>
  </si>
  <si>
    <t>FVA1200683</t>
  </si>
  <si>
    <t>Peoples</t>
  </si>
  <si>
    <t>H05246</t>
  </si>
  <si>
    <t>SF101099</t>
  </si>
  <si>
    <t>H57010</t>
  </si>
  <si>
    <t>SF080064</t>
  </si>
  <si>
    <t>V09865</t>
  </si>
  <si>
    <t>F18058</t>
  </si>
  <si>
    <t>H48342</t>
  </si>
  <si>
    <t>CR48576</t>
  </si>
  <si>
    <t>D56620</t>
  </si>
  <si>
    <t>KA072838</t>
  </si>
  <si>
    <t>AY4561</t>
  </si>
  <si>
    <t>13F00930</t>
  </si>
  <si>
    <t>G37146</t>
  </si>
  <si>
    <t>GA094389 &amp; GA091633</t>
  </si>
  <si>
    <t>Muir</t>
  </si>
  <si>
    <t>BC0663</t>
  </si>
  <si>
    <t>Brigett</t>
  </si>
  <si>
    <t>E02570</t>
  </si>
  <si>
    <t>SCD168052</t>
  </si>
  <si>
    <t>Von</t>
  </si>
  <si>
    <t>BE2450</t>
  </si>
  <si>
    <t>SCC-Trinity Camp</t>
  </si>
  <si>
    <t>C1636671</t>
  </si>
  <si>
    <t>Razo</t>
  </si>
  <si>
    <t>BD5427</t>
  </si>
  <si>
    <t>VA144387</t>
  </si>
  <si>
    <t>BD4689</t>
  </si>
  <si>
    <t>KA115344</t>
  </si>
  <si>
    <t>AT8350</t>
  </si>
  <si>
    <t>VA130397</t>
  </si>
  <si>
    <t>AT4418</t>
  </si>
  <si>
    <t>LA075323</t>
  </si>
  <si>
    <t>AW4716</t>
  </si>
  <si>
    <t>SCC-Delta Camp</t>
  </si>
  <si>
    <t>KA113125</t>
  </si>
  <si>
    <t>Hereford</t>
  </si>
  <si>
    <t>BE2566</t>
  </si>
  <si>
    <t>BA456916</t>
  </si>
  <si>
    <t>P01353</t>
  </si>
  <si>
    <t>VA044060</t>
  </si>
  <si>
    <t>P28921</t>
  </si>
  <si>
    <t>PA035730</t>
  </si>
  <si>
    <t>Vallarino</t>
  </si>
  <si>
    <t>F31040</t>
  </si>
  <si>
    <t>05CF3332</t>
  </si>
  <si>
    <t>BE0519</t>
  </si>
  <si>
    <t>15WF1216</t>
  </si>
  <si>
    <t>F76331</t>
  </si>
  <si>
    <t>03F05164</t>
  </si>
  <si>
    <t>AU8610</t>
  </si>
  <si>
    <t>SCD228781 &amp; SCD255713</t>
  </si>
  <si>
    <t>AW7563</t>
  </si>
  <si>
    <t>SCS273151</t>
  </si>
  <si>
    <t>Kimble</t>
  </si>
  <si>
    <t>AS3916</t>
  </si>
  <si>
    <t>SCE365402</t>
  </si>
  <si>
    <t>Markrell</t>
  </si>
  <si>
    <t>AZ8542</t>
  </si>
  <si>
    <t>CC940297</t>
  </si>
  <si>
    <t>AS3756</t>
  </si>
  <si>
    <t>VCF209101</t>
  </si>
  <si>
    <t>Pressly</t>
  </si>
  <si>
    <t>V48636</t>
  </si>
  <si>
    <t>SCD177809</t>
  </si>
  <si>
    <t>T19384</t>
  </si>
  <si>
    <t>VA117659</t>
  </si>
  <si>
    <t>AE4854</t>
  </si>
  <si>
    <t>07F04392</t>
  </si>
  <si>
    <t>V37396</t>
  </si>
  <si>
    <t>H34884</t>
  </si>
  <si>
    <t>BA4834</t>
  </si>
  <si>
    <t>FVA1201542</t>
  </si>
  <si>
    <t>Bazemore</t>
  </si>
  <si>
    <t>AI1152</t>
  </si>
  <si>
    <t>FCR253307</t>
  </si>
  <si>
    <t>Paroled 4/25/2023</t>
  </si>
  <si>
    <t>Eidelman</t>
  </si>
  <si>
    <t>BE2173</t>
  </si>
  <si>
    <t>SCD269600</t>
  </si>
  <si>
    <t>C45608</t>
  </si>
  <si>
    <t>LA040611</t>
  </si>
  <si>
    <t xml:space="preserve">Paroled 2/14/2024 </t>
  </si>
  <si>
    <t>Bird</t>
  </si>
  <si>
    <t>C64089</t>
  </si>
  <si>
    <t>Paroled 6/27/2023</t>
  </si>
  <si>
    <t>D43161</t>
  </si>
  <si>
    <t>BA348452-01</t>
  </si>
  <si>
    <t>Paroled 11/3/2023</t>
  </si>
  <si>
    <t>Detiege</t>
  </si>
  <si>
    <t>D88531</t>
  </si>
  <si>
    <t>SCD244633</t>
  </si>
  <si>
    <t>E89578</t>
  </si>
  <si>
    <t>LA047521-01</t>
  </si>
  <si>
    <t>NCD 2/26/2024</t>
  </si>
  <si>
    <t>H68116</t>
  </si>
  <si>
    <t>KA053346</t>
  </si>
  <si>
    <t>T88483</t>
  </si>
  <si>
    <t>SA045750</t>
  </si>
  <si>
    <t>EPRD 9/1/2023</t>
  </si>
  <si>
    <t>Placentia</t>
  </si>
  <si>
    <t>V52459</t>
  </si>
  <si>
    <t>VA081356</t>
  </si>
  <si>
    <t>Sentencing Judge Michael Cowell is unavilable, court orders correspondence transferred and assigned to Judge Joseph Porras for review and ruling. 10/26/2022</t>
  </si>
  <si>
    <t>Braley</t>
  </si>
  <si>
    <t>V60672</t>
  </si>
  <si>
    <t>BA296474</t>
  </si>
  <si>
    <t>NCD 10/11/2023</t>
  </si>
  <si>
    <t>Morgutia</t>
  </si>
  <si>
    <t>V62215</t>
  </si>
  <si>
    <t>03NF4058</t>
  </si>
  <si>
    <t>V70625</t>
  </si>
  <si>
    <t>FVI014627</t>
  </si>
  <si>
    <t>Broussard</t>
  </si>
  <si>
    <t>WE4411</t>
  </si>
  <si>
    <t>SC072908</t>
  </si>
  <si>
    <t>Paroled 12/23/2022</t>
  </si>
  <si>
    <t>AU8456</t>
  </si>
  <si>
    <t>BF155067</t>
  </si>
  <si>
    <t>Morehouse</t>
  </si>
  <si>
    <t>BE0733</t>
  </si>
  <si>
    <t>BF163986</t>
  </si>
  <si>
    <t>AM5645</t>
  </si>
  <si>
    <t>F11906060</t>
  </si>
  <si>
    <t>Sangurima</t>
  </si>
  <si>
    <t>AU3139</t>
  </si>
  <si>
    <t>BA411802</t>
  </si>
  <si>
    <t>Compton</t>
  </si>
  <si>
    <t>AU6042</t>
  </si>
  <si>
    <t>MA062603</t>
  </si>
  <si>
    <t>Lopez-Partida</t>
  </si>
  <si>
    <t>BE3932</t>
  </si>
  <si>
    <t>NA105329</t>
  </si>
  <si>
    <t>Morgan</t>
  </si>
  <si>
    <t>BE6441</t>
  </si>
  <si>
    <t>BA453576</t>
  </si>
  <si>
    <t>Fuller</t>
  </si>
  <si>
    <t>G07375</t>
  </si>
  <si>
    <t>SA091705</t>
  </si>
  <si>
    <t>Noeller</t>
  </si>
  <si>
    <t>T59720</t>
  </si>
  <si>
    <t>PA089849</t>
  </si>
  <si>
    <t>Chenot</t>
  </si>
  <si>
    <t>WF2095</t>
  </si>
  <si>
    <t>AU0451</t>
  </si>
  <si>
    <t>12CF0107</t>
  </si>
  <si>
    <t>Reinhart</t>
  </si>
  <si>
    <t>V40804</t>
  </si>
  <si>
    <t>03HF0006</t>
  </si>
  <si>
    <t>Robertson</t>
  </si>
  <si>
    <t>BA4241</t>
  </si>
  <si>
    <t>Concepcion</t>
  </si>
  <si>
    <t>V46058</t>
  </si>
  <si>
    <t>SWF004991</t>
  </si>
  <si>
    <t>BA9412</t>
  </si>
  <si>
    <t>15F01859</t>
  </si>
  <si>
    <t>F31817</t>
  </si>
  <si>
    <t>FWV1200085</t>
  </si>
  <si>
    <t>BF0930</t>
  </si>
  <si>
    <t>SCD267957</t>
  </si>
  <si>
    <t>Poort</t>
  </si>
  <si>
    <t>F70325</t>
  </si>
  <si>
    <t>VargasHernandez</t>
  </si>
  <si>
    <t>WF8335</t>
  </si>
  <si>
    <t>B1687371</t>
  </si>
  <si>
    <t>AE8821</t>
  </si>
  <si>
    <t>VCF282287</t>
  </si>
  <si>
    <t>AR9640</t>
  </si>
  <si>
    <t>H53785</t>
  </si>
  <si>
    <t>Lorta</t>
  </si>
  <si>
    <t>AP7741</t>
  </si>
  <si>
    <t>BA433624</t>
  </si>
  <si>
    <t>Voltz</t>
  </si>
  <si>
    <t>V25691</t>
  </si>
  <si>
    <t>F02671733</t>
  </si>
  <si>
    <t>NCD 10/16/2023</t>
  </si>
  <si>
    <t>WE5127</t>
  </si>
  <si>
    <t>PA066801</t>
  </si>
  <si>
    <t>H77582</t>
  </si>
  <si>
    <t>BA178733</t>
  </si>
  <si>
    <t>Dehne</t>
  </si>
  <si>
    <t>E42121</t>
  </si>
  <si>
    <t>LA019973</t>
  </si>
  <si>
    <t>E27677</t>
  </si>
  <si>
    <t>VA055049</t>
  </si>
  <si>
    <t>NCD 9/6/2023</t>
  </si>
  <si>
    <t>J10669</t>
  </si>
  <si>
    <t>02F01385</t>
  </si>
  <si>
    <t>AV0800</t>
  </si>
  <si>
    <t>CRF143525</t>
  </si>
  <si>
    <t>Bowden</t>
  </si>
  <si>
    <t>AV1348</t>
  </si>
  <si>
    <t>NA097287</t>
  </si>
  <si>
    <t>BD7964</t>
  </si>
  <si>
    <t>KA114814</t>
  </si>
  <si>
    <t>AP2995</t>
  </si>
  <si>
    <t>CMF-FAcility A</t>
  </si>
  <si>
    <t>NCD 6/1/2023</t>
  </si>
  <si>
    <t>Brammer</t>
  </si>
  <si>
    <t>C59515</t>
  </si>
  <si>
    <t>PA066631</t>
  </si>
  <si>
    <t>NCD 8/31/2023</t>
  </si>
  <si>
    <t>D61292</t>
  </si>
  <si>
    <t>YA074092</t>
  </si>
  <si>
    <t>T07866</t>
  </si>
  <si>
    <t>BA271423</t>
  </si>
  <si>
    <t>BB2089</t>
  </si>
  <si>
    <t>PA089118</t>
  </si>
  <si>
    <t>Denied proceedings terminated</t>
  </si>
  <si>
    <t>BA137562</t>
  </si>
  <si>
    <t>Louden</t>
  </si>
  <si>
    <t>C65960</t>
  </si>
  <si>
    <t>TA092016</t>
  </si>
  <si>
    <t>Choise</t>
  </si>
  <si>
    <t>D55693</t>
  </si>
  <si>
    <t>KA040471</t>
  </si>
  <si>
    <t>Cormier</t>
  </si>
  <si>
    <t>T72633</t>
  </si>
  <si>
    <t>BA454199</t>
  </si>
  <si>
    <t>F46974</t>
  </si>
  <si>
    <t>YA054791</t>
  </si>
  <si>
    <t>T42340</t>
  </si>
  <si>
    <t>NA105003</t>
  </si>
  <si>
    <t>D79552</t>
  </si>
  <si>
    <t>SA029041</t>
  </si>
  <si>
    <t>Paroled 8/31/2023</t>
  </si>
  <si>
    <t>Neuhart</t>
  </si>
  <si>
    <t>BD5343</t>
  </si>
  <si>
    <t>16WF2412</t>
  </si>
  <si>
    <t>BE6383</t>
  </si>
  <si>
    <t>13CF0897</t>
  </si>
  <si>
    <t>NCD 10/13/2023</t>
  </si>
  <si>
    <t>Hamm</t>
  </si>
  <si>
    <t>AW4194</t>
  </si>
  <si>
    <t>RIF1303813</t>
  </si>
  <si>
    <t>NCD 7/14/2023</t>
  </si>
  <si>
    <t>Bejasa</t>
  </si>
  <si>
    <t>K08014</t>
  </si>
  <si>
    <t>SWF026666</t>
  </si>
  <si>
    <t>NCD 7/7/2023</t>
  </si>
  <si>
    <t>Kriske</t>
  </si>
  <si>
    <t>V88533</t>
  </si>
  <si>
    <t>04F01142</t>
  </si>
  <si>
    <t>G04298</t>
  </si>
  <si>
    <t>FSB044238</t>
  </si>
  <si>
    <t>Joshua</t>
  </si>
  <si>
    <t>V86798</t>
  </si>
  <si>
    <t>FWV027967</t>
  </si>
  <si>
    <t>Dunn</t>
  </si>
  <si>
    <t>V64492</t>
  </si>
  <si>
    <t>SCD235274</t>
  </si>
  <si>
    <t>V95938</t>
  </si>
  <si>
    <t>SCS181667</t>
  </si>
  <si>
    <t>T71241</t>
  </si>
  <si>
    <t>SCD198029</t>
  </si>
  <si>
    <t>Parish</t>
  </si>
  <si>
    <t>AP3193</t>
  </si>
  <si>
    <t>SCD240397</t>
  </si>
  <si>
    <t>BA3083</t>
  </si>
  <si>
    <t>SCD269761</t>
  </si>
  <si>
    <t>AT5473</t>
  </si>
  <si>
    <t>VA130776</t>
  </si>
  <si>
    <t>Benavidez</t>
  </si>
  <si>
    <t>AU7776</t>
  </si>
  <si>
    <t>BA425752</t>
  </si>
  <si>
    <t>BC5802</t>
  </si>
  <si>
    <t>C1474958</t>
  </si>
  <si>
    <t>Graham</t>
  </si>
  <si>
    <t>AZ3607</t>
  </si>
  <si>
    <t>PA079111</t>
  </si>
  <si>
    <t>AZ0213</t>
  </si>
  <si>
    <t>SCN336344</t>
  </si>
  <si>
    <t>C27054</t>
  </si>
  <si>
    <t>F11903296</t>
  </si>
  <si>
    <t>Verdines</t>
  </si>
  <si>
    <t>AS4748</t>
  </si>
  <si>
    <t>BA400942</t>
  </si>
  <si>
    <t>WE4637</t>
  </si>
  <si>
    <t>BA358709</t>
  </si>
  <si>
    <t>AL7828</t>
  </si>
  <si>
    <t>VA134701</t>
  </si>
  <si>
    <t>NCD 6/28/2023</t>
  </si>
  <si>
    <t>Quamme</t>
  </si>
  <si>
    <t>BD0084</t>
  </si>
  <si>
    <t>COR-Facility B</t>
  </si>
  <si>
    <t>BF166710</t>
  </si>
  <si>
    <t>Tinoco</t>
  </si>
  <si>
    <t>AN4967</t>
  </si>
  <si>
    <t>BF163944</t>
  </si>
  <si>
    <t>C28861</t>
  </si>
  <si>
    <t>PA046260</t>
  </si>
  <si>
    <t>F71073</t>
  </si>
  <si>
    <t>SQ-Sentral Service</t>
  </si>
  <si>
    <t>Conners</t>
  </si>
  <si>
    <t>E89575</t>
  </si>
  <si>
    <t>RIF1305876</t>
  </si>
  <si>
    <t>Lara</t>
  </si>
  <si>
    <t>BD1040</t>
  </si>
  <si>
    <t>SCS285439</t>
  </si>
  <si>
    <t>Bruno</t>
  </si>
  <si>
    <t>BA0853</t>
  </si>
  <si>
    <t>SCE353334</t>
  </si>
  <si>
    <t>Roote</t>
  </si>
  <si>
    <t>V22279</t>
  </si>
  <si>
    <t>17WF1043</t>
  </si>
  <si>
    <t>Sloane</t>
  </si>
  <si>
    <t>BE9759</t>
  </si>
  <si>
    <t>16CR24752</t>
  </si>
  <si>
    <t>Degolyer</t>
  </si>
  <si>
    <t>F38001</t>
  </si>
  <si>
    <t>SCD270174</t>
  </si>
  <si>
    <t>AV6567</t>
  </si>
  <si>
    <t>C1348958</t>
  </si>
  <si>
    <t>Gafford</t>
  </si>
  <si>
    <t>K75561</t>
  </si>
  <si>
    <t>F039014598</t>
  </si>
  <si>
    <t>Denning</t>
  </si>
  <si>
    <t>H32888</t>
  </si>
  <si>
    <t>CCI-Facility S</t>
  </si>
  <si>
    <t>MA069670</t>
  </si>
  <si>
    <t>Paroled 5/11/2023</t>
  </si>
  <si>
    <t>Hallman</t>
  </si>
  <si>
    <t>AM9925</t>
  </si>
  <si>
    <t>VA144646</t>
  </si>
  <si>
    <t>Petrilla</t>
  </si>
  <si>
    <t>BD5982</t>
  </si>
  <si>
    <t>VSP Facility A</t>
  </si>
  <si>
    <t>15WF1142</t>
  </si>
  <si>
    <t>NCD 1/26/2024</t>
  </si>
  <si>
    <t>Kennedy</t>
  </si>
  <si>
    <t>Batres</t>
  </si>
  <si>
    <t>AX5726</t>
  </si>
  <si>
    <t>INF1400950</t>
  </si>
  <si>
    <t>Paroled 12/14/2023</t>
  </si>
  <si>
    <t>Marrero</t>
  </si>
  <si>
    <t>V09651</t>
  </si>
  <si>
    <t>FSB033368</t>
  </si>
  <si>
    <t>AN2043</t>
  </si>
  <si>
    <t>SCC-Gabilan Camp</t>
  </si>
  <si>
    <t>SCN307581</t>
  </si>
  <si>
    <t>F60992</t>
  </si>
  <si>
    <t>VCF232942</t>
  </si>
  <si>
    <t>AY7534</t>
  </si>
  <si>
    <t>SCD261423</t>
  </si>
  <si>
    <t xml:space="preserve">Denied. Court finds defendant represents a risk to public safety. </t>
  </si>
  <si>
    <t>AD3866</t>
  </si>
  <si>
    <t>SWF1601082</t>
  </si>
  <si>
    <t>AP4376</t>
  </si>
  <si>
    <t>F1450338</t>
  </si>
  <si>
    <t>AX4442</t>
  </si>
  <si>
    <t>C1367552</t>
  </si>
  <si>
    <t>Hynes</t>
  </si>
  <si>
    <t>V92720</t>
  </si>
  <si>
    <t>CC323725</t>
  </si>
  <si>
    <t>BE3698</t>
  </si>
  <si>
    <t>F15905641</t>
  </si>
  <si>
    <t>V30785</t>
  </si>
  <si>
    <t>LA054405</t>
  </si>
  <si>
    <t>BC8990</t>
  </si>
  <si>
    <t>F16904109</t>
  </si>
  <si>
    <t>AD3951</t>
  </si>
  <si>
    <t>COR-Facility A</t>
  </si>
  <si>
    <t>FSB704382</t>
  </si>
  <si>
    <t>Lamb</t>
  </si>
  <si>
    <t>BE9773</t>
  </si>
  <si>
    <t>15WF0905</t>
  </si>
  <si>
    <t>BE5898</t>
  </si>
  <si>
    <t>NA106438</t>
  </si>
  <si>
    <t>AP3869</t>
  </si>
  <si>
    <t>RIF1501451</t>
  </si>
  <si>
    <t>Currier</t>
  </si>
  <si>
    <t>AP4334</t>
  </si>
  <si>
    <t>MA056549</t>
  </si>
  <si>
    <t>F15549</t>
  </si>
  <si>
    <t>F17903590</t>
  </si>
  <si>
    <t>Wilborn</t>
  </si>
  <si>
    <t>WE5647</t>
  </si>
  <si>
    <t>10CF0286</t>
  </si>
  <si>
    <t>Paul</t>
  </si>
  <si>
    <t>BH2531</t>
  </si>
  <si>
    <t>CRF49772</t>
  </si>
  <si>
    <t>AY9087</t>
  </si>
  <si>
    <t>INF1200877</t>
  </si>
  <si>
    <t>MCDaniel</t>
  </si>
  <si>
    <t>T96369</t>
  </si>
  <si>
    <t>SCC-Julius Klein Camp</t>
  </si>
  <si>
    <t>INF05844</t>
  </si>
  <si>
    <t>K97304</t>
  </si>
  <si>
    <t>97CF0404</t>
  </si>
  <si>
    <t>AZ3442</t>
  </si>
  <si>
    <t>INF1500706</t>
  </si>
  <si>
    <t>AI3296</t>
  </si>
  <si>
    <t>SCD230651</t>
  </si>
  <si>
    <t>V84644</t>
  </si>
  <si>
    <t>62042582A</t>
  </si>
  <si>
    <t>BESS</t>
  </si>
  <si>
    <t>WF4666</t>
  </si>
  <si>
    <t>BF158690</t>
  </si>
  <si>
    <t>Hartsock</t>
  </si>
  <si>
    <t>BF0197</t>
  </si>
  <si>
    <t>17FE014097</t>
  </si>
  <si>
    <t>Gentry</t>
  </si>
  <si>
    <t>AE9586</t>
  </si>
  <si>
    <t>15CMS4370</t>
  </si>
  <si>
    <t>AC5515</t>
  </si>
  <si>
    <t>Beus</t>
  </si>
  <si>
    <t>AP1155</t>
  </si>
  <si>
    <t>F22415</t>
  </si>
  <si>
    <t>Regier</t>
  </si>
  <si>
    <t>AV9593</t>
  </si>
  <si>
    <t>VCF310801</t>
  </si>
  <si>
    <t>AW6060</t>
  </si>
  <si>
    <t>TA144123</t>
  </si>
  <si>
    <t>AY3946</t>
  </si>
  <si>
    <t>PCF297048</t>
  </si>
  <si>
    <t>V57371</t>
  </si>
  <si>
    <t>BF3233</t>
  </si>
  <si>
    <t>SCS293382</t>
  </si>
  <si>
    <t>Bhargava</t>
  </si>
  <si>
    <t>F26131</t>
  </si>
  <si>
    <t>INF047508</t>
  </si>
  <si>
    <t>F59463</t>
  </si>
  <si>
    <t>13F03496</t>
  </si>
  <si>
    <t>Burns</t>
  </si>
  <si>
    <t>H73887</t>
  </si>
  <si>
    <t>00NF1288</t>
  </si>
  <si>
    <t>P56050</t>
  </si>
  <si>
    <t>SA087510</t>
  </si>
  <si>
    <t>AY5091</t>
  </si>
  <si>
    <t>Moran</t>
  </si>
  <si>
    <t>AU1403</t>
  </si>
  <si>
    <t>C1244557</t>
  </si>
  <si>
    <t>F08643</t>
  </si>
  <si>
    <t>02F01534</t>
  </si>
  <si>
    <t>NCD 1/19/2024</t>
  </si>
  <si>
    <t>F67174</t>
  </si>
  <si>
    <t>FVA020834</t>
  </si>
  <si>
    <t>T05515</t>
  </si>
  <si>
    <t>KA048817A</t>
  </si>
  <si>
    <t>AY4707</t>
  </si>
  <si>
    <t>DF11711B</t>
  </si>
  <si>
    <t>NCD 8/11/2023</t>
  </si>
  <si>
    <t>AK3289</t>
  </si>
  <si>
    <t>SCE306420</t>
  </si>
  <si>
    <t>AT6704</t>
  </si>
  <si>
    <t>12WF1939</t>
  </si>
  <si>
    <t xml:space="preserve">                                                                                                                                                 </t>
  </si>
  <si>
    <t>V60191</t>
  </si>
  <si>
    <t>LAC-Facilty C</t>
  </si>
  <si>
    <t>F63935</t>
  </si>
  <si>
    <t>RIF108334</t>
  </si>
  <si>
    <t>Hem</t>
  </si>
  <si>
    <t>G33051</t>
  </si>
  <si>
    <t>COR-Facility C</t>
  </si>
  <si>
    <t>NA086674</t>
  </si>
  <si>
    <t>Betancourt</t>
  </si>
  <si>
    <t>AU7777</t>
  </si>
  <si>
    <t>BA415177-01</t>
  </si>
  <si>
    <t>Alston</t>
  </si>
  <si>
    <t>J58042</t>
  </si>
  <si>
    <t>SA038975</t>
  </si>
  <si>
    <t>NCD 7/22/2023</t>
  </si>
  <si>
    <t>Stitt</t>
  </si>
  <si>
    <t>G20648</t>
  </si>
  <si>
    <t>F07905501</t>
  </si>
  <si>
    <t>Tisdale</t>
  </si>
  <si>
    <t>BD9290</t>
  </si>
  <si>
    <t>TA136878</t>
  </si>
  <si>
    <t>AR6527</t>
  </si>
  <si>
    <t>VA145317</t>
  </si>
  <si>
    <t>Arteaga</t>
  </si>
  <si>
    <t>AW4753</t>
  </si>
  <si>
    <t>VCF336927</t>
  </si>
  <si>
    <t>AT1318</t>
  </si>
  <si>
    <t>INF1600959</t>
  </si>
  <si>
    <t>Martirosyan</t>
  </si>
  <si>
    <t>G68425</t>
  </si>
  <si>
    <t>PA077028</t>
  </si>
  <si>
    <t>AR1972</t>
  </si>
  <si>
    <t>SS121121</t>
  </si>
  <si>
    <t>BC5051</t>
  </si>
  <si>
    <t>LAC-Faclity D</t>
  </si>
  <si>
    <t>15CF2362</t>
  </si>
  <si>
    <t>Grady</t>
  </si>
  <si>
    <t>AE8860</t>
  </si>
  <si>
    <t>SWF1500767</t>
  </si>
  <si>
    <t>AM1796</t>
  </si>
  <si>
    <t>RIF1200951</t>
  </si>
  <si>
    <t>AP7772</t>
  </si>
  <si>
    <t>11F05165</t>
  </si>
  <si>
    <t>12/21/204</t>
  </si>
  <si>
    <t>EPRD 1/9/2024</t>
  </si>
  <si>
    <t>AR4458</t>
  </si>
  <si>
    <t>SACCO-MCRP</t>
  </si>
  <si>
    <t>SCD240629</t>
  </si>
  <si>
    <t>AT9001</t>
  </si>
  <si>
    <t>BA391654</t>
  </si>
  <si>
    <t>Albin</t>
  </si>
  <si>
    <t>AV4808</t>
  </si>
  <si>
    <t>SCD250964</t>
  </si>
  <si>
    <t>BD8616</t>
  </si>
  <si>
    <t>Barker</t>
  </si>
  <si>
    <t>D86846</t>
  </si>
  <si>
    <t>SCO68911</t>
  </si>
  <si>
    <t>F82836</t>
  </si>
  <si>
    <t>SCD203286</t>
  </si>
  <si>
    <t>Bojorques</t>
  </si>
  <si>
    <t>F12672</t>
  </si>
  <si>
    <t>TA076855</t>
  </si>
  <si>
    <t>Olbert</t>
  </si>
  <si>
    <t>H51019</t>
  </si>
  <si>
    <t>10F07539</t>
  </si>
  <si>
    <t>Rabago</t>
  </si>
  <si>
    <t>P77053</t>
  </si>
  <si>
    <t>KA104614</t>
  </si>
  <si>
    <t>NCD 8/15/2023</t>
  </si>
  <si>
    <t>V28614</t>
  </si>
  <si>
    <t>VA076598</t>
  </si>
  <si>
    <t>Grijalva</t>
  </si>
  <si>
    <t>V34085</t>
  </si>
  <si>
    <t>BA240422</t>
  </si>
  <si>
    <t>Letter rcvd  public defender to contact DA to request hearing</t>
  </si>
  <si>
    <t>F52845</t>
  </si>
  <si>
    <t>KA110540</t>
  </si>
  <si>
    <t>Jovel</t>
  </si>
  <si>
    <t>BB0495</t>
  </si>
  <si>
    <t>LA078624</t>
  </si>
  <si>
    <t>AU4706</t>
  </si>
  <si>
    <t>LA085172</t>
  </si>
  <si>
    <t>AZ8768</t>
  </si>
  <si>
    <t>BF160530</t>
  </si>
  <si>
    <t>F16368</t>
  </si>
  <si>
    <t>CC580513</t>
  </si>
  <si>
    <t>AV3843</t>
  </si>
  <si>
    <t>YA090929</t>
  </si>
  <si>
    <t>Norwood</t>
  </si>
  <si>
    <t>AB0314</t>
  </si>
  <si>
    <t>TA117983</t>
  </si>
  <si>
    <t>Bonds</t>
  </si>
  <si>
    <t>BF7198</t>
  </si>
  <si>
    <t>CMC-Facility M</t>
  </si>
  <si>
    <t>LA083317</t>
  </si>
  <si>
    <t>Barkley</t>
  </si>
  <si>
    <t>BF8094</t>
  </si>
  <si>
    <t>SCD274161</t>
  </si>
  <si>
    <t>AF3212</t>
  </si>
  <si>
    <t>BF157889B</t>
  </si>
  <si>
    <t>G24774</t>
  </si>
  <si>
    <t>KA105692</t>
  </si>
  <si>
    <t>AX1977</t>
  </si>
  <si>
    <t>BF158489A</t>
  </si>
  <si>
    <t>WA1370</t>
  </si>
  <si>
    <t>CIW-Fcaility A</t>
  </si>
  <si>
    <t>SCS226803</t>
  </si>
  <si>
    <t>BA6728</t>
  </si>
  <si>
    <t>LA081109</t>
  </si>
  <si>
    <t>V48959</t>
  </si>
  <si>
    <t>BA380441</t>
  </si>
  <si>
    <t>G46006</t>
  </si>
  <si>
    <t>SCD210845</t>
  </si>
  <si>
    <t>Pollak</t>
  </si>
  <si>
    <t>BE9996</t>
  </si>
  <si>
    <t>Nichols</t>
  </si>
  <si>
    <t>AR6053</t>
  </si>
  <si>
    <t>LA069917</t>
  </si>
  <si>
    <t>Gana</t>
  </si>
  <si>
    <t>WE7019</t>
  </si>
  <si>
    <t>Nambo</t>
  </si>
  <si>
    <t>AU1800</t>
  </si>
  <si>
    <t>TA127637</t>
  </si>
  <si>
    <t>Kline</t>
  </si>
  <si>
    <t>AG4252</t>
  </si>
  <si>
    <t>V12122</t>
  </si>
  <si>
    <t>SCD175175</t>
  </si>
  <si>
    <t>Amador</t>
  </si>
  <si>
    <t>AA9424</t>
  </si>
  <si>
    <t>T29544</t>
  </si>
  <si>
    <t>FSB030258</t>
  </si>
  <si>
    <t>Hays</t>
  </si>
  <si>
    <t>AI8773</t>
  </si>
  <si>
    <t>YA077539</t>
  </si>
  <si>
    <t>BF7541</t>
  </si>
  <si>
    <t>VCF343041</t>
  </si>
  <si>
    <t>Newman</t>
  </si>
  <si>
    <t>AT0695</t>
  </si>
  <si>
    <t>SCC-X35</t>
  </si>
  <si>
    <t>MA061050</t>
  </si>
  <si>
    <t>AK9303</t>
  </si>
  <si>
    <t>09NF1683</t>
  </si>
  <si>
    <t>BF6156</t>
  </si>
  <si>
    <t>SCD270154</t>
  </si>
  <si>
    <t>F00722</t>
  </si>
  <si>
    <t>VA141327</t>
  </si>
  <si>
    <t>D49188</t>
  </si>
  <si>
    <t>GA067092</t>
  </si>
  <si>
    <t>Ballard</t>
  </si>
  <si>
    <t>V53410</t>
  </si>
  <si>
    <t>CC268085</t>
  </si>
  <si>
    <t>Davidson</t>
  </si>
  <si>
    <t>WA4649</t>
  </si>
  <si>
    <t>KA085559</t>
  </si>
  <si>
    <t>Delvillar</t>
  </si>
  <si>
    <t>H96667</t>
  </si>
  <si>
    <t>KA016579</t>
  </si>
  <si>
    <t>Finklea</t>
  </si>
  <si>
    <t>BF7401</t>
  </si>
  <si>
    <t>SCD274061</t>
  </si>
  <si>
    <t>Knori</t>
  </si>
  <si>
    <t>BF6658</t>
  </si>
  <si>
    <t>14CF1269</t>
  </si>
  <si>
    <t>Melching</t>
  </si>
  <si>
    <t>BG2450</t>
  </si>
  <si>
    <t>SA095959</t>
  </si>
  <si>
    <t>V50224</t>
  </si>
  <si>
    <t>01F06412A</t>
  </si>
  <si>
    <t>Serrato</t>
  </si>
  <si>
    <t>AZ5230</t>
  </si>
  <si>
    <t>RIF1704545</t>
  </si>
  <si>
    <t>H00410</t>
  </si>
  <si>
    <t>BA266403</t>
  </si>
  <si>
    <t>BE9691</t>
  </si>
  <si>
    <t>BA448030</t>
  </si>
  <si>
    <t>NCD 2/9/2024</t>
  </si>
  <si>
    <t>AI0560</t>
  </si>
  <si>
    <t>VA118347</t>
  </si>
  <si>
    <t>EPRD 1/29/2024 ICE will pick him up</t>
  </si>
  <si>
    <t>BE7533</t>
  </si>
  <si>
    <t>15HF1111</t>
  </si>
  <si>
    <t>Condrey</t>
  </si>
  <si>
    <t>AT1385</t>
  </si>
  <si>
    <t>KA102513</t>
  </si>
  <si>
    <t>K89315</t>
  </si>
  <si>
    <t>Ghoghas</t>
  </si>
  <si>
    <t>BD6710</t>
  </si>
  <si>
    <t>GA099666</t>
  </si>
  <si>
    <t>F83116</t>
  </si>
  <si>
    <t>PA052870</t>
  </si>
  <si>
    <t>Luguin</t>
  </si>
  <si>
    <t>P34359</t>
  </si>
  <si>
    <t>SCS279419</t>
  </si>
  <si>
    <t>McPherson</t>
  </si>
  <si>
    <t>BF0597</t>
  </si>
  <si>
    <t>SWF1400428</t>
  </si>
  <si>
    <t>Parkin</t>
  </si>
  <si>
    <t>BE2124</t>
  </si>
  <si>
    <t>SCN366512</t>
  </si>
  <si>
    <t>H82599</t>
  </si>
  <si>
    <t>C9939571</t>
  </si>
  <si>
    <t>AC3453</t>
  </si>
  <si>
    <t>INF062190</t>
  </si>
  <si>
    <t>AA3709</t>
  </si>
  <si>
    <t>LA055484</t>
  </si>
  <si>
    <t>NCD 2/29/2024</t>
  </si>
  <si>
    <t>Shipman</t>
  </si>
  <si>
    <t>AN3874</t>
  </si>
  <si>
    <t>SCD239448</t>
  </si>
  <si>
    <t>NCD 5/3/2024</t>
  </si>
  <si>
    <t>V33741</t>
  </si>
  <si>
    <t>SCD154881</t>
  </si>
  <si>
    <t>AK3030</t>
  </si>
  <si>
    <t>SCN368494</t>
  </si>
  <si>
    <t>Corlley</t>
  </si>
  <si>
    <t>AL9149</t>
  </si>
  <si>
    <t>SCD231389</t>
  </si>
  <si>
    <t>G21110</t>
  </si>
  <si>
    <t>SCS274479</t>
  </si>
  <si>
    <t>AX8469</t>
  </si>
  <si>
    <t>LAC-Facility</t>
  </si>
  <si>
    <t>BA431416</t>
  </si>
  <si>
    <t>K53529</t>
  </si>
  <si>
    <t>CR37986</t>
  </si>
  <si>
    <t>V34849</t>
  </si>
  <si>
    <t>02f03796</t>
  </si>
  <si>
    <t>BG1820</t>
  </si>
  <si>
    <t>SC196575</t>
  </si>
  <si>
    <t>Maalea</t>
  </si>
  <si>
    <t>BG2287</t>
  </si>
  <si>
    <t>NA097871</t>
  </si>
  <si>
    <t>Sledge</t>
  </si>
  <si>
    <t>AH3226</t>
  </si>
  <si>
    <t>BA365010</t>
  </si>
  <si>
    <t>BB2756</t>
  </si>
  <si>
    <t>C1511832</t>
  </si>
  <si>
    <t>Chanthavong</t>
  </si>
  <si>
    <t>BG8845</t>
  </si>
  <si>
    <t>F17904629</t>
  </si>
  <si>
    <t>BC5642</t>
  </si>
  <si>
    <t>F16903148</t>
  </si>
  <si>
    <t>BF6236</t>
  </si>
  <si>
    <t>INF1700209</t>
  </si>
  <si>
    <t>Downey</t>
  </si>
  <si>
    <t>F60784</t>
  </si>
  <si>
    <t>LAC-Fcility B</t>
  </si>
  <si>
    <t>BA408020</t>
  </si>
  <si>
    <t>J24635</t>
  </si>
  <si>
    <t>13F02988</t>
  </si>
  <si>
    <t>Steele</t>
  </si>
  <si>
    <t>AE9709</t>
  </si>
  <si>
    <t>BA413226</t>
  </si>
  <si>
    <t>BA1618</t>
  </si>
  <si>
    <t>VCF290489</t>
  </si>
  <si>
    <t>H72405</t>
  </si>
  <si>
    <t>Kern</t>
  </si>
  <si>
    <t>SCO77873</t>
  </si>
  <si>
    <t>Utley</t>
  </si>
  <si>
    <t>H67128</t>
  </si>
  <si>
    <t>KA090257</t>
  </si>
  <si>
    <t>BG2295</t>
  </si>
  <si>
    <t>VA142580</t>
  </si>
  <si>
    <t>Villegas</t>
  </si>
  <si>
    <t>BG3937</t>
  </si>
  <si>
    <t>KA117574</t>
  </si>
  <si>
    <t>Mendes</t>
  </si>
  <si>
    <t>AP8981</t>
  </si>
  <si>
    <t>F11906451</t>
  </si>
  <si>
    <t>G34900</t>
  </si>
  <si>
    <t>CC651540</t>
  </si>
  <si>
    <t>AZ6265</t>
  </si>
  <si>
    <t>15CR06424</t>
  </si>
  <si>
    <t>Sarabia</t>
  </si>
  <si>
    <t>T44542</t>
  </si>
  <si>
    <t>Los Angeles</t>
  </si>
  <si>
    <t>SA042225</t>
  </si>
  <si>
    <t>AT8070</t>
  </si>
  <si>
    <t>PA076743</t>
  </si>
  <si>
    <t>Orozco</t>
  </si>
  <si>
    <t>BF7046</t>
  </si>
  <si>
    <t>16CF2201</t>
  </si>
  <si>
    <t>Koivisto</t>
  </si>
  <si>
    <t>D00577</t>
  </si>
  <si>
    <t>SA097702</t>
  </si>
  <si>
    <t>X30826</t>
  </si>
  <si>
    <t>BLF003400</t>
  </si>
  <si>
    <t>AT0664</t>
  </si>
  <si>
    <t>INF1400473</t>
  </si>
  <si>
    <t>AU0924</t>
  </si>
  <si>
    <t>KA102162</t>
  </si>
  <si>
    <t>T44469</t>
  </si>
  <si>
    <t>BA204638</t>
  </si>
  <si>
    <t xml:space="preserve">       </t>
  </si>
  <si>
    <t>WG0285</t>
  </si>
  <si>
    <t>SA095415</t>
  </si>
  <si>
    <t>Beal</t>
  </si>
  <si>
    <t>AC6191</t>
  </si>
  <si>
    <t>NA084468</t>
  </si>
  <si>
    <t>BG1620</t>
  </si>
  <si>
    <t>SCE374204</t>
  </si>
  <si>
    <t>Garrison</t>
  </si>
  <si>
    <t>P72479</t>
  </si>
  <si>
    <t>99F26454</t>
  </si>
  <si>
    <t>Khrayan</t>
  </si>
  <si>
    <t>G55620</t>
  </si>
  <si>
    <t>CVSP-Facility</t>
  </si>
  <si>
    <t>BA255474-01</t>
  </si>
  <si>
    <t>W75777</t>
  </si>
  <si>
    <t>BA161809</t>
  </si>
  <si>
    <t>G06794</t>
  </si>
  <si>
    <t>BA279193</t>
  </si>
  <si>
    <t>AD7917</t>
  </si>
  <si>
    <t xml:space="preserve"> CIM-Facility C</t>
  </si>
  <si>
    <t>FWV100189</t>
  </si>
  <si>
    <t>AV6597</t>
  </si>
  <si>
    <t>AC8841</t>
  </si>
  <si>
    <t>CR0565933</t>
  </si>
  <si>
    <t>Govea</t>
  </si>
  <si>
    <t>V21557</t>
  </si>
  <si>
    <t>MA033398</t>
  </si>
  <si>
    <t>Paroled 2/10/2024</t>
  </si>
  <si>
    <t>Vergara</t>
  </si>
  <si>
    <t>BG8262</t>
  </si>
  <si>
    <t>14CF2402</t>
  </si>
  <si>
    <t>Paroled 1/26/2024</t>
  </si>
  <si>
    <t>Retro Changes in Law</t>
  </si>
  <si>
    <t>Sentencing Discrepancies</t>
  </si>
  <si>
    <t>Count of Date Letter Mailed To Court</t>
  </si>
  <si>
    <t>Column Labels</t>
  </si>
  <si>
    <t>Row Labels</t>
  </si>
  <si>
    <t>Grand Total</t>
  </si>
  <si>
    <t>(Multiple Items)</t>
  </si>
  <si>
    <t>Category Totals Pie Chart</t>
  </si>
  <si>
    <t>(Sorted  Largest to Smallest)</t>
  </si>
  <si>
    <t>Totals By Category Chart</t>
  </si>
  <si>
    <t>Totals By County and Category Chart</t>
  </si>
  <si>
    <t>Placeholder Column</t>
  </si>
  <si>
    <t>Copy of Table from 'PivotReportPages-RefreshOnly' Tab</t>
  </si>
  <si>
    <t>Placeholder Columns for Additional Counties</t>
  </si>
  <si>
    <t>Offenders on 1170(d) (1) List</t>
  </si>
  <si>
    <t>Letters Mailed To Court</t>
  </si>
  <si>
    <t>Responses Received by Court</t>
  </si>
  <si>
    <t>Count of CDC #</t>
  </si>
  <si>
    <t>(blank)</t>
  </si>
  <si>
    <t>Recall and Resentence Recommendation Program List Totals by Category and County*</t>
  </si>
  <si>
    <t>Note: Chart only shows counties with offenders indentified on the 1170(d) (1) list. Counties with CDCR prisons is in that county.</t>
  </si>
  <si>
    <t>* Counties with an asterisk have a state prison in the county.</t>
  </si>
  <si>
    <t xml:space="preserve">Do not edit this page: </t>
  </si>
  <si>
    <t>Alpine</t>
  </si>
  <si>
    <t>Calaveras</t>
  </si>
  <si>
    <t>Inyo</t>
  </si>
  <si>
    <t>Modoc</t>
  </si>
  <si>
    <t>Mono</t>
  </si>
  <si>
    <t>Plumas</t>
  </si>
  <si>
    <t>Trinity</t>
  </si>
  <si>
    <t>NOTES:</t>
  </si>
  <si>
    <t>5/31/18 Per Julie Basco - Combined Category and Cohort variables to eliminate blank records. "Sentencing Discrepencies" was removed from the dropdown list and was replaced with the Cohort names. Only the "Category" vairable should be used in the future.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</si>
</sst>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7" formatCode="&quot;$&quot;#,##0.00_);\(&quot;$&quot;#,##0.00\)"/>
    <numFmt numFmtId="44" formatCode="_(&quot;$&quot;* #,##0.00_);_(&quot;$&quot;* \(#,##0.00\);_(&quot;$&quot;* &quot;-&quot;??_);_(@_)"/>
    <numFmt numFmtId="164" formatCode="m/d/yyyy;@"/>
    <numFmt numFmtId="165" formatCode="m/d/yy;@"/>
  </numFmts>
  <fonts count="21" x14ac:knownFonts="1">
    <font>
      <sz val="11"/>
      <color theme="1"/>
      <name val="Calibri"/>
      <family val="2"/>
      <scheme val="minor"/>
    </font>
    <font>
      <b/>
      <sz val="11"/>
      <color theme="1"/>
      <name val="Calibri"/>
      <family val="2"/>
      <scheme val="minor"/>
    </font>
    <font>
      <sz val="11"/>
      <name val="Calibri"/>
      <family val="2"/>
      <scheme val="minor"/>
    </font>
    <font>
      <b/>
      <sz val="11"/>
      <name val="Calibri"/>
      <family val="2"/>
      <scheme val="minor"/>
    </font>
    <font>
      <sz val="11"/>
      <color rgb="FF006100"/>
      <name val="Calibri"/>
      <family val="2"/>
      <scheme val="minor"/>
    </font>
    <font>
      <b/>
      <sz val="11"/>
      <color theme="0"/>
      <name val="Calibri"/>
      <family val="2"/>
      <scheme val="minor"/>
    </font>
    <font>
      <sz val="11"/>
      <color theme="0"/>
      <name val="Calibri"/>
      <family val="2"/>
      <scheme val="minor"/>
    </font>
    <font>
      <i/>
      <sz val="11"/>
      <color theme="1"/>
      <name val="Calibri"/>
      <family val="2"/>
      <scheme val="minor"/>
    </font>
    <font>
      <sz val="10"/>
      <color theme="1"/>
      <name val="Calibri"/>
      <family val="2"/>
      <scheme val="minor"/>
    </font>
    <font>
      <b/>
      <sz val="14"/>
      <color rgb="FF595959"/>
      <name val="Calibri"/>
      <family val="2"/>
      <scheme val="minor"/>
    </font>
    <font>
      <sz val="8"/>
      <color rgb="FF000000"/>
      <name val="Calibri"/>
      <family val="2"/>
      <scheme val="minor"/>
    </font>
    <font>
      <b/>
      <sz val="10"/>
      <color theme="1"/>
      <name val="Calibri"/>
      <family val="2"/>
      <scheme val="minor"/>
    </font>
    <font>
      <b/>
      <sz val="10"/>
      <color theme="0"/>
      <name val="Calibri"/>
      <family val="2"/>
      <scheme val="minor"/>
    </font>
    <font>
      <b/>
      <sz val="16"/>
      <color theme="0"/>
      <name val="Calibri"/>
      <family val="2"/>
      <scheme val="minor"/>
    </font>
    <font>
      <b/>
      <sz val="8"/>
      <color theme="0"/>
      <name val="Calibri"/>
      <family val="2"/>
      <scheme val="minor"/>
    </font>
    <font>
      <b/>
      <sz val="12"/>
      <color theme="1"/>
      <name val="Calibri"/>
      <family val="2"/>
      <scheme val="minor"/>
    </font>
    <font>
      <sz val="11"/>
      <color theme="1"/>
      <name val="Calibri"/>
      <family val="2"/>
      <scheme val="minor"/>
    </font>
    <font>
      <sz val="11.5"/>
      <color theme="1"/>
      <name val="Calibri"/>
      <family val="2"/>
      <scheme val="minor"/>
    </font>
    <font>
      <sz val="11"/>
      <name val="Calibri"/>
      <family val="2"/>
    </font>
    <font>
      <vertAlign val="superscript"/>
      <sz val="11"/>
      <color theme="1"/>
      <name val="Calibri"/>
      <family val="2"/>
      <scheme val="minor"/>
    </font>
    <font>
      <sz val="11"/>
      <color rgb="FF000000"/>
      <name val="Calibri"/>
      <family val="2"/>
    </font>
  </fonts>
  <fills count="12">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6EFCE"/>
      </patternFill>
    </fill>
    <fill>
      <patternFill patternType="solid">
        <fgColor theme="0" tint="-4.9989318521683403E-2"/>
        <bgColor indexed="64"/>
      </patternFill>
    </fill>
    <fill>
      <patternFill patternType="solid">
        <fgColor rgb="FFFF0000"/>
        <bgColor indexed="64"/>
      </patternFill>
    </fill>
    <fill>
      <patternFill patternType="solid">
        <fgColor theme="6" tint="0.79998168889431442"/>
        <bgColor indexed="64"/>
      </patternFill>
    </fill>
    <fill>
      <patternFill patternType="solid">
        <fgColor theme="5" tint="0.59999389629810485"/>
        <bgColor indexed="64"/>
      </patternFill>
    </fill>
    <fill>
      <patternFill patternType="solid">
        <fgColor rgb="FFFFFFCC"/>
      </patternFill>
    </fill>
    <fill>
      <patternFill patternType="solid">
        <fgColor rgb="FFFFFFFF"/>
        <bgColor rgb="FF000000"/>
      </patternFill>
    </fill>
  </fills>
  <borders count="1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B2B2B2"/>
      </left>
      <right style="thin">
        <color rgb="FFB2B2B2"/>
      </right>
      <top style="thin">
        <color rgb="FFB2B2B2"/>
      </top>
      <bottom style="thin">
        <color rgb="FFB2B2B2"/>
      </bottom>
      <diagonal/>
    </border>
    <border>
      <left/>
      <right/>
      <top style="thin">
        <color indexed="64"/>
      </top>
      <bottom style="thin">
        <color indexed="64"/>
      </bottom>
      <diagonal/>
    </border>
    <border>
      <left/>
      <right style="thin">
        <color indexed="64"/>
      </right>
      <top/>
      <bottom/>
      <diagonal/>
    </border>
    <border>
      <left/>
      <right style="thin">
        <color indexed="64"/>
      </right>
      <top/>
      <bottom style="thin">
        <color indexed="64"/>
      </bottom>
      <diagonal/>
    </border>
    <border>
      <left/>
      <right style="medium">
        <color indexed="64"/>
      </right>
      <top/>
      <bottom style="medium">
        <color indexed="64"/>
      </bottom>
      <diagonal/>
    </border>
    <border>
      <left/>
      <right style="medium">
        <color indexed="64"/>
      </right>
      <top/>
      <bottom/>
      <diagonal/>
    </border>
    <border>
      <left/>
      <right/>
      <top/>
      <bottom style="thin">
        <color indexed="64"/>
      </bottom>
      <diagonal/>
    </border>
  </borders>
  <cellStyleXfs count="4">
    <xf numFmtId="0" fontId="0" fillId="0" borderId="0"/>
    <xf numFmtId="0" fontId="4" fillId="5" borderId="0" applyNumberFormat="0" applyBorder="0" applyAlignment="0" applyProtection="0"/>
    <xf numFmtId="0" fontId="16" fillId="10" borderId="12" applyNumberFormat="0" applyFont="0" applyAlignment="0" applyProtection="0"/>
    <xf numFmtId="44" fontId="16" fillId="0" borderId="0" applyFont="0" applyFill="0" applyBorder="0" applyAlignment="0" applyProtection="0"/>
  </cellStyleXfs>
  <cellXfs count="163">
    <xf numFmtId="0" fontId="0" fillId="0" borderId="0" xfId="0"/>
    <xf numFmtId="0" fontId="0" fillId="0" borderId="1" xfId="0" applyBorder="1" applyAlignment="1">
      <alignment horizontal="left"/>
    </xf>
    <xf numFmtId="0" fontId="0" fillId="0" borderId="0" xfId="0" applyAlignment="1">
      <alignment wrapText="1"/>
    </xf>
    <xf numFmtId="0" fontId="0" fillId="0" borderId="1" xfId="0" applyBorder="1" applyAlignment="1">
      <alignment horizontal="center" vertical="center"/>
    </xf>
    <xf numFmtId="0" fontId="0" fillId="0" borderId="0" xfId="0" applyAlignment="1">
      <alignment horizontal="center" vertical="center"/>
    </xf>
    <xf numFmtId="0" fontId="0" fillId="4" borderId="1" xfId="0" applyFill="1" applyBorder="1" applyAlignment="1">
      <alignment horizontal="center" vertical="center"/>
    </xf>
    <xf numFmtId="0" fontId="0" fillId="0" borderId="1" xfId="0" applyBorder="1" applyAlignment="1">
      <alignment horizontal="center" vertical="center" wrapText="1"/>
    </xf>
    <xf numFmtId="14" fontId="2" fillId="0" borderId="1" xfId="0" applyNumberFormat="1" applyFont="1" applyBorder="1" applyAlignment="1">
      <alignment horizontal="center" vertical="center" wrapText="1"/>
    </xf>
    <xf numFmtId="164" fontId="0" fillId="0" borderId="1" xfId="0" applyNumberFormat="1" applyBorder="1" applyAlignment="1">
      <alignment horizontal="center" vertical="center" wrapText="1"/>
    </xf>
    <xf numFmtId="164" fontId="2" fillId="0" borderId="1" xfId="0"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0" borderId="1" xfId="1" applyNumberFormat="1" applyFont="1" applyFill="1" applyBorder="1" applyAlignment="1">
      <alignment horizontal="left" vertical="center" wrapText="1"/>
    </xf>
    <xf numFmtId="0" fontId="2" fillId="0" borderId="1" xfId="1" applyNumberFormat="1" applyFont="1" applyFill="1" applyBorder="1" applyAlignment="1">
      <alignment horizontal="center" vertical="center" wrapText="1"/>
    </xf>
    <xf numFmtId="14" fontId="2" fillId="0" borderId="1" xfId="1" applyNumberFormat="1" applyFont="1" applyFill="1" applyBorder="1" applyAlignment="1">
      <alignment horizontal="center" vertical="center" wrapText="1"/>
    </xf>
    <xf numFmtId="0" fontId="5" fillId="7" borderId="0" xfId="0" applyFont="1" applyFill="1"/>
    <xf numFmtId="0" fontId="6" fillId="7" borderId="0" xfId="0" applyFont="1" applyFill="1"/>
    <xf numFmtId="0" fontId="0" fillId="4" borderId="0" xfId="0" applyFill="1"/>
    <xf numFmtId="0" fontId="7" fillId="4" borderId="0" xfId="0" applyFont="1" applyFill="1" applyAlignment="1">
      <alignment horizontal="center"/>
    </xf>
    <xf numFmtId="0" fontId="7" fillId="4" borderId="0" xfId="0" applyFont="1" applyFill="1"/>
    <xf numFmtId="0" fontId="7" fillId="4" borderId="0" xfId="0" applyFont="1" applyFill="1" applyAlignment="1">
      <alignment horizontal="left"/>
    </xf>
    <xf numFmtId="0" fontId="7" fillId="4" borderId="0" xfId="0" applyFont="1" applyFill="1" applyAlignment="1">
      <alignment horizontal="right"/>
    </xf>
    <xf numFmtId="0" fontId="8" fillId="0" borderId="0" xfId="0" applyFont="1"/>
    <xf numFmtId="0" fontId="0" fillId="0" borderId="0" xfId="0" applyAlignment="1">
      <alignment horizontal="left"/>
    </xf>
    <xf numFmtId="0" fontId="8" fillId="8" borderId="1" xfId="0" applyFont="1" applyFill="1" applyBorder="1" applyAlignment="1">
      <alignment textRotation="90"/>
    </xf>
    <xf numFmtId="0" fontId="8" fillId="0" borderId="0" xfId="0" applyFont="1" applyAlignment="1">
      <alignment textRotation="90"/>
    </xf>
    <xf numFmtId="0" fontId="8" fillId="0" borderId="1" xfId="0" applyFont="1" applyBorder="1"/>
    <xf numFmtId="0" fontId="8" fillId="8" borderId="1" xfId="0" applyFont="1" applyFill="1" applyBorder="1" applyAlignment="1">
      <alignment horizontal="right"/>
    </xf>
    <xf numFmtId="0" fontId="8" fillId="8" borderId="1" xfId="0" applyFont="1" applyFill="1" applyBorder="1"/>
    <xf numFmtId="0" fontId="9" fillId="0" borderId="0" xfId="0" applyFont="1" applyAlignment="1">
      <alignment vertical="center" readingOrder="1"/>
    </xf>
    <xf numFmtId="0" fontId="0" fillId="0" borderId="0" xfId="0" pivotButton="1"/>
    <xf numFmtId="0" fontId="8" fillId="0" borderId="0" xfId="0" pivotButton="1" applyFont="1"/>
    <xf numFmtId="0" fontId="8" fillId="3" borderId="0" xfId="0" applyFont="1" applyFill="1"/>
    <xf numFmtId="0" fontId="12" fillId="7" borderId="0" xfId="0" applyFont="1" applyFill="1" applyAlignment="1">
      <alignment vertical="top"/>
    </xf>
    <xf numFmtId="0" fontId="8" fillId="4" borderId="0" xfId="0" applyFont="1" applyFill="1" applyAlignment="1">
      <alignment wrapText="1"/>
    </xf>
    <xf numFmtId="0" fontId="12" fillId="7" borderId="0" xfId="0" applyFont="1" applyFill="1" applyAlignment="1">
      <alignment horizontal="center" vertical="center"/>
    </xf>
    <xf numFmtId="0" fontId="8" fillId="0" borderId="0" xfId="0" applyFont="1" applyAlignment="1">
      <alignment vertical="top"/>
    </xf>
    <xf numFmtId="0" fontId="8" fillId="0" borderId="0" xfId="0" applyFont="1" applyAlignment="1">
      <alignment vertical="top" wrapText="1"/>
    </xf>
    <xf numFmtId="0" fontId="11" fillId="0" borderId="0" xfId="0" applyFont="1"/>
    <xf numFmtId="14" fontId="8" fillId="0" borderId="0" xfId="0" applyNumberFormat="1" applyFont="1" applyAlignment="1">
      <alignment vertical="top"/>
    </xf>
    <xf numFmtId="0" fontId="13" fillId="7" borderId="0" xfId="0" applyFont="1" applyFill="1" applyAlignment="1">
      <alignment horizontal="center" vertical="center" wrapText="1"/>
    </xf>
    <xf numFmtId="0" fontId="10" fillId="0" borderId="0" xfId="0" applyFont="1"/>
    <xf numFmtId="164" fontId="2" fillId="0" borderId="1" xfId="1" applyNumberFormat="1" applyFont="1" applyFill="1" applyBorder="1" applyAlignment="1">
      <alignment horizontal="center" vertical="center" wrapText="1"/>
    </xf>
    <xf numFmtId="0" fontId="2" fillId="0" borderId="1" xfId="1" applyFont="1" applyFill="1" applyBorder="1" applyAlignment="1">
      <alignment horizontal="center" vertical="center" wrapText="1"/>
    </xf>
    <xf numFmtId="0" fontId="8" fillId="6" borderId="2" xfId="0" applyFont="1" applyFill="1" applyBorder="1"/>
    <xf numFmtId="0" fontId="8" fillId="6" borderId="4" xfId="0" applyFont="1" applyFill="1" applyBorder="1"/>
    <xf numFmtId="0" fontId="8" fillId="6" borderId="3" xfId="0" applyFont="1" applyFill="1" applyBorder="1"/>
    <xf numFmtId="0" fontId="8" fillId="6" borderId="6" xfId="0" applyFont="1" applyFill="1" applyBorder="1"/>
    <xf numFmtId="0" fontId="8" fillId="6" borderId="2" xfId="0" applyFont="1" applyFill="1" applyBorder="1" applyAlignment="1">
      <alignment vertical="top"/>
    </xf>
    <xf numFmtId="0" fontId="8" fillId="6" borderId="4" xfId="0" applyFont="1" applyFill="1" applyBorder="1" applyAlignment="1">
      <alignment vertical="top"/>
    </xf>
    <xf numFmtId="0" fontId="8" fillId="6" borderId="4" xfId="0" quotePrefix="1" applyFont="1" applyFill="1" applyBorder="1" applyAlignment="1">
      <alignment vertical="top"/>
    </xf>
    <xf numFmtId="0" fontId="8" fillId="6" borderId="5" xfId="0" applyFont="1" applyFill="1" applyBorder="1" applyAlignment="1">
      <alignment vertical="top"/>
    </xf>
    <xf numFmtId="0" fontId="8" fillId="6" borderId="7" xfId="0" applyFont="1" applyFill="1" applyBorder="1" applyAlignment="1">
      <alignment vertical="top"/>
    </xf>
    <xf numFmtId="0" fontId="8" fillId="6" borderId="5" xfId="0" applyFont="1" applyFill="1" applyBorder="1" applyAlignment="1">
      <alignment vertical="top" wrapText="1"/>
    </xf>
    <xf numFmtId="0" fontId="8" fillId="6" borderId="4" xfId="0" applyFont="1" applyFill="1" applyBorder="1" applyAlignment="1">
      <alignment vertical="top" wrapText="1"/>
    </xf>
    <xf numFmtId="164" fontId="2" fillId="2" borderId="1" xfId="0" applyNumberFormat="1" applyFont="1" applyFill="1" applyBorder="1" applyAlignment="1">
      <alignment horizontal="center" vertical="center" wrapText="1"/>
    </xf>
    <xf numFmtId="14" fontId="2" fillId="2" borderId="1" xfId="0" applyNumberFormat="1" applyFont="1" applyFill="1" applyBorder="1" applyAlignment="1">
      <alignment horizontal="center" vertical="center" wrapText="1"/>
    </xf>
    <xf numFmtId="0" fontId="2" fillId="2" borderId="1" xfId="0" applyFont="1" applyFill="1" applyBorder="1" applyAlignment="1">
      <alignment horizontal="center" vertical="center" wrapText="1"/>
    </xf>
    <xf numFmtId="0" fontId="8" fillId="0" borderId="0" xfId="0" applyFont="1" applyAlignment="1">
      <alignment horizontal="left"/>
    </xf>
    <xf numFmtId="0" fontId="1" fillId="0" borderId="0" xfId="0" applyFont="1"/>
    <xf numFmtId="0" fontId="14" fillId="7" borderId="0" xfId="0" applyFont="1" applyFill="1"/>
    <xf numFmtId="0" fontId="0" fillId="9" borderId="8" xfId="0" applyFill="1" applyBorder="1" applyAlignment="1">
      <alignment horizontal="center" vertical="center"/>
    </xf>
    <xf numFmtId="0" fontId="0" fillId="0" borderId="3"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0" fillId="9" borderId="2" xfId="0" applyFill="1" applyBorder="1"/>
    <xf numFmtId="0" fontId="0" fillId="9" borderId="2" xfId="0" applyFill="1" applyBorder="1" applyAlignment="1">
      <alignment horizontal="center" vertical="center"/>
    </xf>
    <xf numFmtId="0" fontId="0" fillId="0" borderId="10" xfId="0" applyBorder="1"/>
    <xf numFmtId="0" fontId="0" fillId="0" borderId="11" xfId="0" applyBorder="1"/>
    <xf numFmtId="0" fontId="2" fillId="0" borderId="11" xfId="0" applyFont="1" applyBorder="1" applyAlignment="1">
      <alignment horizontal="center" vertical="center" wrapText="1"/>
    </xf>
    <xf numFmtId="0" fontId="0" fillId="0" borderId="3" xfId="0" pivotButton="1" applyBorder="1"/>
    <xf numFmtId="0" fontId="0" fillId="0" borderId="2" xfId="0" applyBorder="1" applyAlignment="1">
      <alignment horizontal="center"/>
    </xf>
    <xf numFmtId="0" fontId="2" fillId="0" borderId="1" xfId="0" pivotButton="1" applyFont="1" applyBorder="1" applyAlignment="1">
      <alignment horizontal="center" vertical="center" wrapText="1"/>
    </xf>
    <xf numFmtId="0" fontId="0" fillId="0" borderId="1" xfId="0" applyBorder="1"/>
    <xf numFmtId="0" fontId="15" fillId="9" borderId="10" xfId="0" applyFont="1" applyFill="1" applyBorder="1" applyAlignment="1">
      <alignment horizontal="center" vertical="center" wrapText="1"/>
    </xf>
    <xf numFmtId="0" fontId="0" fillId="0" borderId="1" xfId="0" applyBorder="1" applyAlignment="1">
      <alignment horizontal="center"/>
    </xf>
    <xf numFmtId="7" fontId="0" fillId="0" borderId="1" xfId="3" applyNumberFormat="1" applyFont="1" applyFill="1" applyBorder="1" applyAlignment="1">
      <alignment vertical="center" wrapText="1"/>
    </xf>
    <xf numFmtId="3" fontId="2" fillId="0" borderId="1" xfId="0" applyNumberFormat="1" applyFont="1" applyBorder="1" applyAlignment="1">
      <alignment horizontal="center" vertical="center" wrapText="1"/>
    </xf>
    <xf numFmtId="3" fontId="2" fillId="2" borderId="1" xfId="0" applyNumberFormat="1" applyFont="1" applyFill="1" applyBorder="1" applyAlignment="1">
      <alignment horizontal="center" vertical="center" wrapText="1"/>
    </xf>
    <xf numFmtId="3" fontId="2" fillId="0" borderId="1" xfId="1" applyNumberFormat="1" applyFont="1" applyFill="1" applyBorder="1" applyAlignment="1">
      <alignment horizontal="center" vertical="center" wrapText="1"/>
    </xf>
    <xf numFmtId="4" fontId="2" fillId="0" borderId="1" xfId="0" applyNumberFormat="1" applyFont="1" applyBorder="1" applyAlignment="1">
      <alignment horizontal="center" vertical="center" wrapText="1"/>
    </xf>
    <xf numFmtId="0" fontId="2" fillId="0" borderId="0" xfId="0" applyFont="1" applyAlignment="1">
      <alignment horizontal="center" vertical="center" wrapText="1"/>
    </xf>
    <xf numFmtId="49" fontId="2" fillId="0" borderId="1" xfId="1" applyNumberFormat="1" applyFont="1" applyFill="1" applyBorder="1" applyAlignment="1">
      <alignment horizontal="center" vertical="center" wrapText="1"/>
    </xf>
    <xf numFmtId="0" fontId="8" fillId="6" borderId="14" xfId="0" applyFont="1" applyFill="1" applyBorder="1" applyAlignment="1">
      <alignment vertical="top"/>
    </xf>
    <xf numFmtId="0" fontId="8" fillId="6" borderId="6" xfId="0" applyFont="1" applyFill="1" applyBorder="1" applyAlignment="1">
      <alignment vertical="top" wrapText="1"/>
    </xf>
    <xf numFmtId="0" fontId="1" fillId="3" borderId="1" xfId="0" applyFont="1" applyFill="1" applyBorder="1" applyAlignment="1">
      <alignment horizontal="center" vertical="center" wrapText="1"/>
    </xf>
    <xf numFmtId="0" fontId="8" fillId="0" borderId="8" xfId="0" applyFont="1" applyBorder="1"/>
    <xf numFmtId="0" fontId="8" fillId="6" borderId="9" xfId="0" applyFont="1" applyFill="1" applyBorder="1"/>
    <xf numFmtId="0" fontId="8" fillId="6" borderId="14" xfId="0" applyFont="1" applyFill="1" applyBorder="1"/>
    <xf numFmtId="0" fontId="8" fillId="6" borderId="15" xfId="0" applyFont="1" applyFill="1" applyBorder="1"/>
    <xf numFmtId="0" fontId="0" fillId="0" borderId="0" xfId="0" applyAlignment="1">
      <alignment horizontal="center" vertical="center" wrapText="1"/>
    </xf>
    <xf numFmtId="0" fontId="3" fillId="3" borderId="1" xfId="0" applyFont="1" applyFill="1" applyBorder="1" applyAlignment="1">
      <alignment horizontal="center" vertical="center" wrapText="1"/>
    </xf>
    <xf numFmtId="3" fontId="1" fillId="3" borderId="1" xfId="0" applyNumberFormat="1" applyFont="1" applyFill="1" applyBorder="1" applyAlignment="1">
      <alignment horizontal="center" vertical="center" wrapText="1"/>
    </xf>
    <xf numFmtId="4" fontId="1" fillId="3" borderId="1" xfId="0" applyNumberFormat="1" applyFont="1" applyFill="1" applyBorder="1" applyAlignment="1">
      <alignment horizontal="center" vertical="center" wrapText="1"/>
    </xf>
    <xf numFmtId="7" fontId="1" fillId="3" borderId="1" xfId="3" applyNumberFormat="1" applyFont="1" applyFill="1" applyBorder="1" applyAlignment="1">
      <alignment horizontal="center" vertical="center" wrapText="1"/>
    </xf>
    <xf numFmtId="0" fontId="0" fillId="0" borderId="1" xfId="0" applyBorder="1" applyAlignment="1">
      <alignment horizontal="left" vertical="center" wrapText="1"/>
    </xf>
    <xf numFmtId="14" fontId="0" fillId="0" borderId="1" xfId="0" applyNumberFormat="1" applyBorder="1" applyAlignment="1">
      <alignment horizontal="center" vertical="center" wrapText="1"/>
    </xf>
    <xf numFmtId="3" fontId="0" fillId="0" borderId="1" xfId="0" applyNumberFormat="1" applyBorder="1" applyAlignment="1">
      <alignment horizontal="center" vertical="center" wrapText="1"/>
    </xf>
    <xf numFmtId="4" fontId="0" fillId="0" borderId="1" xfId="0" applyNumberFormat="1" applyBorder="1" applyAlignment="1">
      <alignment horizontal="center" vertical="center" wrapText="1"/>
    </xf>
    <xf numFmtId="14" fontId="0" fillId="0" borderId="1" xfId="0" applyNumberFormat="1" applyBorder="1" applyAlignment="1">
      <alignment horizontal="left" vertical="center" wrapText="1"/>
    </xf>
    <xf numFmtId="0" fontId="4" fillId="0" borderId="0" xfId="1" applyFill="1" applyBorder="1" applyAlignment="1">
      <alignment horizontal="center" vertical="center" wrapText="1"/>
    </xf>
    <xf numFmtId="0" fontId="4" fillId="0" borderId="1" xfId="1" applyFill="1" applyBorder="1" applyAlignment="1">
      <alignment horizontal="center" vertical="center" wrapText="1"/>
    </xf>
    <xf numFmtId="0" fontId="4" fillId="0" borderId="1" xfId="1" applyNumberFormat="1" applyFill="1" applyBorder="1" applyAlignment="1">
      <alignment horizontal="center" vertical="center" wrapText="1"/>
    </xf>
    <xf numFmtId="0" fontId="4" fillId="0" borderId="1" xfId="1" applyNumberFormat="1" applyFill="1" applyBorder="1" applyAlignment="1">
      <alignment horizontal="left" vertical="center" wrapText="1"/>
    </xf>
    <xf numFmtId="164" fontId="4" fillId="0" borderId="1" xfId="1" applyNumberFormat="1" applyFill="1" applyBorder="1" applyAlignment="1">
      <alignment horizontal="center" vertical="center" wrapText="1"/>
    </xf>
    <xf numFmtId="14" fontId="4" fillId="0" borderId="1" xfId="1" applyNumberFormat="1" applyFill="1" applyBorder="1" applyAlignment="1">
      <alignment horizontal="center" vertical="center" wrapText="1"/>
    </xf>
    <xf numFmtId="3" fontId="4" fillId="0" borderId="1" xfId="1" applyNumberFormat="1" applyFill="1" applyBorder="1" applyAlignment="1">
      <alignment horizontal="center" vertical="center" wrapText="1"/>
    </xf>
    <xf numFmtId="0" fontId="0" fillId="2" borderId="1" xfId="0" applyFill="1" applyBorder="1" applyAlignment="1">
      <alignment horizontal="left" vertical="center" wrapText="1"/>
    </xf>
    <xf numFmtId="0" fontId="0" fillId="2" borderId="1" xfId="0" applyFill="1" applyBorder="1" applyAlignment="1">
      <alignment horizontal="center" vertical="center" wrapText="1"/>
    </xf>
    <xf numFmtId="164" fontId="0" fillId="2" borderId="1" xfId="0" applyNumberFormat="1" applyFill="1" applyBorder="1" applyAlignment="1">
      <alignment horizontal="center" vertical="center" wrapText="1"/>
    </xf>
    <xf numFmtId="14" fontId="0" fillId="2" borderId="1" xfId="0" applyNumberFormat="1" applyFill="1" applyBorder="1" applyAlignment="1">
      <alignment horizontal="center" vertical="center" wrapText="1"/>
    </xf>
    <xf numFmtId="3" fontId="0" fillId="2" borderId="1" xfId="0" applyNumberFormat="1" applyFill="1" applyBorder="1" applyAlignment="1">
      <alignment horizontal="center" vertical="center" wrapText="1"/>
    </xf>
    <xf numFmtId="0" fontId="0" fillId="0" borderId="1" xfId="0" quotePrefix="1" applyBorder="1" applyAlignment="1">
      <alignment horizontal="center" vertical="top"/>
    </xf>
    <xf numFmtId="0" fontId="0" fillId="2" borderId="0" xfId="0" applyFill="1" applyAlignment="1">
      <alignment horizontal="center" vertical="center" wrapText="1"/>
    </xf>
    <xf numFmtId="0" fontId="0" fillId="2" borderId="1" xfId="0" applyFill="1" applyBorder="1" applyAlignment="1" applyProtection="1">
      <alignment horizontal="center" vertical="center" wrapText="1"/>
      <protection locked="0"/>
    </xf>
    <xf numFmtId="49" fontId="0" fillId="0" borderId="1" xfId="0" applyNumberFormat="1" applyBorder="1" applyAlignment="1">
      <alignment horizontal="center" vertical="center" wrapText="1"/>
    </xf>
    <xf numFmtId="14" fontId="0" fillId="0" borderId="1" xfId="0" applyNumberFormat="1" applyBorder="1"/>
    <xf numFmtId="164" fontId="0" fillId="0" borderId="0" xfId="0" applyNumberFormat="1" applyAlignment="1">
      <alignment horizontal="center" vertical="center" wrapText="1"/>
    </xf>
    <xf numFmtId="0" fontId="0" fillId="0" borderId="1" xfId="0" quotePrefix="1" applyBorder="1" applyAlignment="1">
      <alignment horizontal="center" vertical="center" wrapText="1"/>
    </xf>
    <xf numFmtId="14" fontId="0" fillId="0" borderId="1" xfId="0" applyNumberFormat="1" applyBorder="1" applyAlignment="1">
      <alignment horizontal="center" vertical="center"/>
    </xf>
    <xf numFmtId="0" fontId="0" fillId="2" borderId="1" xfId="0" applyFill="1" applyBorder="1" applyAlignment="1">
      <alignment horizontal="left" vertical="top" wrapText="1"/>
    </xf>
    <xf numFmtId="4" fontId="0" fillId="2" borderId="1" xfId="0" applyNumberFormat="1" applyFill="1" applyBorder="1" applyAlignment="1">
      <alignment horizontal="center" vertical="center" wrapText="1"/>
    </xf>
    <xf numFmtId="0" fontId="0" fillId="0" borderId="0" xfId="0" applyAlignment="1">
      <alignment horizontal="center"/>
    </xf>
    <xf numFmtId="0" fontId="17" fillId="0" borderId="0" xfId="0" applyFont="1" applyAlignment="1">
      <alignment horizontal="center"/>
    </xf>
    <xf numFmtId="165" fontId="1" fillId="3" borderId="1" xfId="0" applyNumberFormat="1" applyFont="1" applyFill="1" applyBorder="1" applyAlignment="1">
      <alignment horizontal="center" vertical="center" wrapText="1"/>
    </xf>
    <xf numFmtId="165" fontId="0" fillId="0" borderId="1" xfId="0" applyNumberFormat="1" applyBorder="1" applyAlignment="1">
      <alignment horizontal="left" vertical="center" wrapText="1"/>
    </xf>
    <xf numFmtId="165" fontId="4" fillId="0" borderId="1" xfId="1" applyNumberFormat="1" applyFill="1" applyBorder="1" applyAlignment="1">
      <alignment horizontal="left" vertical="center" wrapText="1"/>
    </xf>
    <xf numFmtId="165" fontId="0" fillId="0" borderId="0" xfId="0" applyNumberFormat="1" applyAlignment="1">
      <alignment horizontal="left" vertical="center" wrapText="1"/>
    </xf>
    <xf numFmtId="165" fontId="0" fillId="2" borderId="1" xfId="2" applyNumberFormat="1" applyFont="1" applyFill="1" applyBorder="1" applyAlignment="1">
      <alignment horizontal="left" vertical="center" wrapText="1"/>
    </xf>
    <xf numFmtId="165" fontId="2" fillId="0" borderId="1" xfId="0" applyNumberFormat="1" applyFont="1" applyBorder="1" applyAlignment="1">
      <alignment horizontal="left" vertical="center" wrapText="1"/>
    </xf>
    <xf numFmtId="165" fontId="0" fillId="2" borderId="1" xfId="0" applyNumberFormat="1" applyFill="1" applyBorder="1" applyAlignment="1">
      <alignment horizontal="left" vertical="center" wrapText="1"/>
    </xf>
    <xf numFmtId="165" fontId="2" fillId="0" borderId="1" xfId="1" applyNumberFormat="1" applyFont="1" applyFill="1" applyBorder="1" applyAlignment="1">
      <alignment horizontal="left" vertical="center" wrapText="1"/>
    </xf>
    <xf numFmtId="165" fontId="2" fillId="2" borderId="1" xfId="0" applyNumberFormat="1" applyFont="1" applyFill="1" applyBorder="1" applyAlignment="1">
      <alignment horizontal="left" vertical="center" wrapText="1"/>
    </xf>
    <xf numFmtId="165" fontId="0" fillId="0" borderId="12" xfId="0" applyNumberFormat="1" applyBorder="1" applyAlignment="1">
      <alignment horizontal="left" vertical="center" wrapText="1"/>
    </xf>
    <xf numFmtId="165" fontId="0" fillId="0" borderId="1" xfId="0" applyNumberFormat="1" applyBorder="1" applyAlignment="1">
      <alignment horizontal="left"/>
    </xf>
    <xf numFmtId="165" fontId="0" fillId="2" borderId="1" xfId="0" applyNumberFormat="1" applyFill="1" applyBorder="1" applyAlignment="1">
      <alignment horizontal="left" vertical="top" wrapText="1"/>
    </xf>
    <xf numFmtId="14" fontId="18" fillId="0" borderId="1" xfId="0" applyNumberFormat="1" applyFont="1" applyBorder="1" applyAlignment="1">
      <alignment horizontal="center" vertical="center" wrapText="1"/>
    </xf>
    <xf numFmtId="14" fontId="2" fillId="0" borderId="5" xfId="0" applyNumberFormat="1" applyFont="1" applyBorder="1" applyAlignment="1">
      <alignment horizontal="center" vertical="center" wrapText="1"/>
    </xf>
    <xf numFmtId="0" fontId="0" fillId="0" borderId="1" xfId="0" applyBorder="1" applyAlignment="1">
      <alignment wrapText="1"/>
    </xf>
    <xf numFmtId="14" fontId="0" fillId="0" borderId="17" xfId="0" applyNumberFormat="1" applyBorder="1" applyAlignment="1">
      <alignment horizontal="center" vertical="center" wrapText="1"/>
    </xf>
    <xf numFmtId="1" fontId="1" fillId="3" borderId="1" xfId="0" applyNumberFormat="1" applyFont="1" applyFill="1" applyBorder="1" applyAlignment="1">
      <alignment horizontal="center" vertical="center" wrapText="1"/>
    </xf>
    <xf numFmtId="1" fontId="0" fillId="0" borderId="1" xfId="0" applyNumberFormat="1" applyBorder="1" applyAlignment="1">
      <alignment horizontal="center" vertical="center" wrapText="1"/>
    </xf>
    <xf numFmtId="1" fontId="4" fillId="0" borderId="1" xfId="1" applyNumberFormat="1" applyFill="1" applyBorder="1" applyAlignment="1">
      <alignment horizontal="center" vertical="center" wrapText="1"/>
    </xf>
    <xf numFmtId="1" fontId="0" fillId="2" borderId="1" xfId="0" applyNumberFormat="1" applyFill="1" applyBorder="1" applyAlignment="1">
      <alignment horizontal="center" vertical="center" wrapText="1"/>
    </xf>
    <xf numFmtId="1" fontId="2" fillId="0" borderId="1" xfId="1" applyNumberFormat="1" applyFont="1" applyFill="1" applyBorder="1" applyAlignment="1">
      <alignment horizontal="center" vertical="center" wrapText="1"/>
    </xf>
    <xf numFmtId="1" fontId="0" fillId="2" borderId="1" xfId="0" applyNumberFormat="1" applyFill="1" applyBorder="1" applyAlignment="1" applyProtection="1">
      <alignment horizontal="center" vertical="center" wrapText="1"/>
      <protection locked="0"/>
    </xf>
    <xf numFmtId="1" fontId="0" fillId="0" borderId="0" xfId="0" applyNumberFormat="1" applyAlignment="1">
      <alignment horizontal="center" vertical="center" wrapText="1"/>
    </xf>
    <xf numFmtId="0" fontId="0" fillId="0" borderId="18" xfId="0" applyBorder="1"/>
    <xf numFmtId="1" fontId="0" fillId="0" borderId="1" xfId="0" applyNumberFormat="1" applyBorder="1" applyAlignment="1">
      <alignment horizontal="center"/>
    </xf>
    <xf numFmtId="14" fontId="0" fillId="0" borderId="2" xfId="0" applyNumberFormat="1" applyBorder="1" applyAlignment="1">
      <alignment horizontal="center" vertical="center" wrapText="1"/>
    </xf>
    <xf numFmtId="14" fontId="18" fillId="0" borderId="5" xfId="0" applyNumberFormat="1" applyFont="1" applyBorder="1" applyAlignment="1">
      <alignment horizontal="center" vertical="center" wrapText="1"/>
    </xf>
    <xf numFmtId="14" fontId="0" fillId="0" borderId="16" xfId="0" applyNumberFormat="1" applyBorder="1" applyAlignment="1">
      <alignment horizontal="center" vertical="center" wrapText="1"/>
    </xf>
    <xf numFmtId="0" fontId="1" fillId="0" borderId="1" xfId="0" applyFont="1" applyBorder="1"/>
    <xf numFmtId="14" fontId="2" fillId="0" borderId="2" xfId="0" applyNumberFormat="1" applyFont="1" applyBorder="1" applyAlignment="1">
      <alignment horizontal="center" vertical="center" wrapText="1"/>
    </xf>
    <xf numFmtId="0" fontId="18" fillId="0" borderId="1" xfId="0" applyFont="1" applyBorder="1" applyAlignment="1">
      <alignment horizontal="center" vertical="center" wrapText="1"/>
    </xf>
    <xf numFmtId="14" fontId="2" fillId="0" borderId="17" xfId="0" applyNumberFormat="1" applyFont="1" applyBorder="1" applyAlignment="1">
      <alignment horizontal="center" vertical="center" wrapText="1"/>
    </xf>
    <xf numFmtId="165" fontId="0" fillId="2" borderId="12" xfId="0" applyNumberFormat="1" applyFill="1" applyBorder="1" applyAlignment="1">
      <alignment horizontal="left" vertical="center" wrapText="1"/>
    </xf>
    <xf numFmtId="0" fontId="20" fillId="11" borderId="1" xfId="0" applyFont="1" applyFill="1" applyBorder="1" applyAlignment="1">
      <alignment wrapText="1"/>
    </xf>
    <xf numFmtId="0" fontId="20" fillId="0" borderId="1" xfId="0" applyFont="1" applyBorder="1" applyAlignment="1">
      <alignment wrapText="1"/>
    </xf>
    <xf numFmtId="14" fontId="4" fillId="0" borderId="0" xfId="1" applyNumberFormat="1" applyFill="1" applyBorder="1" applyAlignment="1">
      <alignment horizontal="center" vertical="center" wrapText="1"/>
    </xf>
    <xf numFmtId="14" fontId="0" fillId="0" borderId="0" xfId="0" applyNumberFormat="1"/>
    <xf numFmtId="0" fontId="15" fillId="9" borderId="10" xfId="0" applyFont="1" applyFill="1" applyBorder="1" applyAlignment="1">
      <alignment horizontal="center" vertical="center"/>
    </xf>
    <xf numFmtId="0" fontId="15" fillId="9" borderId="13" xfId="0" applyFont="1" applyFill="1" applyBorder="1" applyAlignment="1">
      <alignment horizontal="center" vertical="center"/>
    </xf>
    <xf numFmtId="0" fontId="15" fillId="9" borderId="11" xfId="0" applyFont="1" applyFill="1" applyBorder="1" applyAlignment="1">
      <alignment horizontal="center" vertical="center"/>
    </xf>
  </cellXfs>
  <cellStyles count="4">
    <cellStyle name="Currency" xfId="3" builtinId="4"/>
    <cellStyle name="Good" xfId="1" builtinId="26"/>
    <cellStyle name="Normal" xfId="0" builtinId="0"/>
    <cellStyle name="Note" xfId="2" builtinId="10"/>
  </cellStyles>
  <dxfs count="113">
    <dxf>
      <fill>
        <patternFill>
          <bgColor theme="0" tint="-0.14996795556505021"/>
        </patternFill>
      </fill>
    </dxf>
    <dxf>
      <fill>
        <patternFill>
          <bgColor theme="0" tint="-0.14996795556505021"/>
        </patternFill>
      </fill>
    </dxf>
    <dxf>
      <fill>
        <patternFill>
          <bgColor theme="0" tint="-0.14996795556505021"/>
        </patternFill>
      </fill>
    </dxf>
    <dxf>
      <fill>
        <patternFill>
          <bgColor theme="0" tint="-0.14996795556505021"/>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border>
        <right style="thin">
          <color indexed="64"/>
        </right>
        <vertical style="thin">
          <color indexed="64"/>
        </vertical>
      </border>
    </dxf>
    <dxf>
      <border>
        <right style="thin">
          <color indexed="64"/>
        </right>
        <vertical style="thin">
          <color indexed="64"/>
        </vertical>
      </border>
    </dxf>
    <dxf>
      <fill>
        <patternFill>
          <bgColor theme="6" tint="0.79998168889431442"/>
        </patternFill>
      </fill>
    </dxf>
    <dxf>
      <fill>
        <patternFill>
          <bgColor theme="6" tint="0.79998168889431442"/>
        </patternFill>
      </fill>
    </dxf>
    <dxf>
      <fill>
        <patternFill>
          <bgColor theme="6" tint="0.79998168889431442"/>
        </patternFill>
      </fill>
    </dxf>
    <dxf>
      <fill>
        <patternFill>
          <bgColor theme="6" tint="0.79998168889431442"/>
        </patternFill>
      </fill>
    </dxf>
    <dxf>
      <font>
        <sz val="10"/>
      </font>
    </dxf>
    <dxf>
      <font>
        <sz val="10"/>
      </font>
    </dxf>
    <dxf>
      <font>
        <sz val="10"/>
      </font>
    </dxf>
    <dxf>
      <font>
        <sz val="10"/>
      </font>
    </dxf>
    <dxf>
      <font>
        <sz val="10"/>
      </font>
    </dxf>
    <dxf>
      <alignment horizontal="right" readingOrder="0"/>
    </dxf>
    <dxf>
      <font>
        <b val="0"/>
      </font>
    </dxf>
    <dxf>
      <font>
        <b val="0"/>
      </font>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ill>
        <patternFill patternType="solid">
          <bgColor theme="6" tint="0.79998168889431442"/>
        </patternFill>
      </fill>
    </dxf>
    <dxf>
      <font>
        <sz val="10"/>
      </font>
    </dxf>
    <dxf>
      <font>
        <sz val="10"/>
      </font>
    </dxf>
    <dxf>
      <font>
        <sz val="10"/>
      </font>
    </dxf>
    <dxf>
      <font>
        <sz val="10"/>
      </font>
    </dxf>
    <dxf>
      <alignment textRotation="90" readingOrder="0"/>
    </dxf>
    <dxf>
      <alignment textRotation="90" readingOrder="0"/>
    </dxf>
    <dxf>
      <border>
        <right style="thin">
          <color indexed="64"/>
        </right>
        <top style="thin">
          <color indexed="64"/>
        </top>
        <vertical style="thin">
          <color indexed="64"/>
        </vertical>
        <horizontal style="thin">
          <color indexed="64"/>
        </horizontal>
      </border>
    </dxf>
    <dxf>
      <border>
        <right style="thin">
          <color indexed="64"/>
        </right>
      </border>
    </dxf>
    <dxf>
      <border>
        <right style="thin">
          <color indexed="64"/>
        </right>
      </border>
    </dxf>
    <dxf>
      <border>
        <right style="thin">
          <color indexed="64"/>
        </right>
      </border>
    </dxf>
    <dxf>
      <border>
        <right style="thin">
          <color indexed="64"/>
        </right>
      </border>
    </dxf>
    <dxf>
      <border>
        <left style="thin">
          <color indexed="64"/>
        </left>
      </border>
    </dxf>
    <dxf>
      <border>
        <left style="thin">
          <color indexed="64"/>
        </left>
      </border>
    </dxf>
    <dxf>
      <border>
        <right style="thin">
          <color indexed="64"/>
        </right>
      </border>
    </dxf>
    <dxf>
      <border>
        <right style="thin">
          <color indexed="64"/>
        </right>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left style="thin">
          <color indexed="64"/>
        </left>
        <top style="thin">
          <color indexed="64"/>
        </top>
      </border>
    </dxf>
    <dxf>
      <border>
        <right style="thin">
          <color indexed="64"/>
        </right>
        <top style="thin">
          <color indexed="64"/>
        </top>
      </border>
    </dxf>
    <dxf>
      <border>
        <right style="thin">
          <color indexed="64"/>
        </right>
        <top style="thin">
          <color indexed="64"/>
        </top>
      </border>
    </dxf>
    <dxf>
      <border>
        <left style="thin">
          <color indexed="64"/>
        </left>
        <top style="thin">
          <color indexed="64"/>
        </top>
      </border>
    </dxf>
    <dxf>
      <border>
        <left style="thin">
          <color indexed="64"/>
        </left>
        <right style="thin">
          <color indexed="64"/>
        </right>
        <top style="thin">
          <color indexed="64"/>
        </top>
      </border>
    </dxf>
    <dxf>
      <border>
        <left style="thin">
          <color indexed="64"/>
        </left>
        <right style="thin">
          <color indexed="64"/>
        </right>
        <top style="thin">
          <color indexed="64"/>
        </top>
      </border>
    </dxf>
    <dxf>
      <border>
        <bottom style="thin">
          <color indexed="64"/>
        </bottom>
      </border>
    </dxf>
    <dxf>
      <border>
        <bottom style="thin">
          <color indexed="64"/>
        </bottom>
      </border>
    </dxf>
    <dxf>
      <border>
        <bottom style="thin">
          <color indexed="64"/>
        </bottom>
      </border>
    </dxf>
    <dxf>
      <border>
        <left/>
        <right/>
        <top/>
        <bottom/>
        <vertical/>
      </border>
    </dxf>
    <dxf>
      <border>
        <left/>
        <right/>
        <top/>
        <bottom/>
        <vertical/>
      </border>
    </dxf>
    <dxf>
      <border>
        <left/>
        <right/>
        <top/>
        <bottom/>
        <vertical/>
      </border>
    </dxf>
    <dxf>
      <border>
        <left style="thin">
          <color indexed="64"/>
        </left>
        <right style="thin">
          <color indexed="64"/>
        </right>
        <top style="thin">
          <color indexed="64"/>
        </top>
      </border>
    </dxf>
    <dxf>
      <font>
        <color auto="1"/>
      </font>
    </dxf>
    <dxf>
      <font>
        <color auto="1"/>
      </font>
    </dxf>
    <dxf>
      <alignment horizontal="center" readingOrder="0"/>
    </dxf>
    <dxf>
      <alignment horizontal="center" readingOrder="0"/>
    </dxf>
    <dxf>
      <alignment horizontal="center" vertical="center" readingOrder="0"/>
    </dxf>
    <dxf>
      <alignment horizontal="center" readingOrder="0"/>
    </dxf>
    <dxf>
      <alignment vertical="center" readingOrder="0"/>
    </dxf>
    <dxf>
      <alignment vertical="center" readingOrder="0"/>
    </dxf>
    <dxf>
      <alignment horizontal="center" indent="0" readingOrder="0"/>
    </dxf>
    <dxf>
      <alignment horizontal="center" indent="0" readingOrder="0"/>
    </dxf>
    <dxf>
      <alignment wrapText="1" readingOrder="0"/>
    </dxf>
    <dxf>
      <alignment wrapText="1" readingOrder="0"/>
    </dxf>
    <dxf>
      <alignment horizontal="center" readingOrder="0"/>
    </dxf>
    <dxf>
      <alignment vertical="center" readingOrder="0"/>
    </dxf>
    <dxf>
      <border>
        <top style="thin">
          <color indexed="64"/>
        </top>
        <horizontal style="thin">
          <color indexed="64"/>
        </horizontal>
      </border>
    </dxf>
    <dxf>
      <alignment wrapText="1" readingOrder="0"/>
    </dxf>
    <dxf>
      <fill>
        <patternFill patternType="solid">
          <bgColor theme="4" tint="0.79998168889431442"/>
        </patternFill>
      </fill>
    </dxf>
    <dxf>
      <fill>
        <patternFill patternType="none">
          <bgColor auto="1"/>
        </patternFill>
      </fill>
    </dxf>
    <dxf>
      <fill>
        <patternFill patternType="none">
          <bgColor auto="1"/>
        </patternFill>
      </fill>
    </dxf>
    <dxf>
      <alignment vertical="center" readingOrder="0"/>
    </dxf>
    <dxf>
      <alignment horizontal="center" readingOrder="0"/>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9" formatCode="m/d/yyyy"/>
    </dxf>
    <dxf>
      <numFmt numFmtId="19" formatCode="m/d/yyyy"/>
    </dxf>
    <dxf>
      <numFmt numFmtId="19" formatCode="m/d/yyyy"/>
    </dxf>
    <dxf>
      <numFmt numFmtId="19" formatCode="m/d/yyyy"/>
    </dxf>
    <dxf>
      <numFmt numFmtId="19" formatCode="m/d/yyyy"/>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externalLink" Target="externalLinks/externalLink7.xml"/><Relationship Id="rId18"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ustomXml" Target="../customXml/item3.xml"/><Relationship Id="rId7" Type="http://schemas.openxmlformats.org/officeDocument/2006/relationships/externalLink" Target="externalLinks/externalLink1.xml"/><Relationship Id="rId12" Type="http://schemas.openxmlformats.org/officeDocument/2006/relationships/externalLink" Target="externalLinks/externalLink6.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5.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externalLink" Target="externalLinks/externalLink4.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externalLink" Target="externalLinks/externalLink3.xml"/><Relationship Id="rId14" Type="http://schemas.openxmlformats.org/officeDocument/2006/relationships/pivotCacheDefinition" Target="pivotCache/pivotCacheDefinition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[1170 (d) Main Tracking Log (53).xlsx]PivotTables-OnlyRefreshData!PivotTable1</c:name>
    <c:fmtId val="2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US" b="1"/>
              <a:t>Recall and Resentence Recommendation Program </a:t>
            </a:r>
            <a:r>
              <a:rPr lang="en-US" b="1" baseline="0"/>
              <a:t>List Totals</a:t>
            </a:r>
            <a:endParaRPr lang="en-US" b="1"/>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3"/>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3">
              <a:lumMod val="50000"/>
            </a:schemeClr>
          </a:solidFill>
          <a:ln>
            <a:solidFill>
              <a:schemeClr val="accent3">
                <a:lumMod val="50000"/>
              </a:schemeClr>
            </a:solidFill>
          </a:ln>
          <a:effectLst/>
        </c:spPr>
      </c:pivotFmt>
      <c:pivotFmt>
        <c:idx val="39"/>
        <c:spPr>
          <a:solidFill>
            <a:schemeClr val="accent3">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3">
              <a:lumMod val="50000"/>
            </a:schemeClr>
          </a:solidFill>
          <a:ln>
            <a:solidFill>
              <a:schemeClr val="accent3">
                <a:lumMod val="50000"/>
              </a:schemeClr>
            </a:solidFill>
          </a:ln>
          <a:effectLst/>
        </c:spPr>
      </c:pivotFmt>
      <c:pivotFmt>
        <c:idx val="41"/>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3"/>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3">
              <a:lumMod val="75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lumMod val="50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lumMod val="50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3">
              <a:lumMod val="60000"/>
              <a:lumOff val="40000"/>
            </a:schemeClr>
          </a:solidFill>
          <a:ln>
            <a:solidFill>
              <a:schemeClr val="accent3">
                <a:lumMod val="75000"/>
              </a:schemeClr>
            </a:solidFill>
          </a:ln>
          <a:effectLst/>
        </c:spPr>
      </c:pivotFmt>
      <c:pivotFmt>
        <c:idx val="51"/>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3">
              <a:lumMod val="50000"/>
            </a:schemeClr>
          </a:solidFill>
          <a:ln>
            <a:solidFill>
              <a:schemeClr val="accent3">
                <a:lumMod val="50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5.5879994167395745E-2"/>
          <c:y val="0.10484853455818023"/>
          <c:w val="0.9267629957713619"/>
          <c:h val="0.73255632108486457"/>
        </c:manualLayout>
      </c:layout>
      <c:barChart>
        <c:barDir val="col"/>
        <c:grouping val="clustered"/>
        <c:varyColors val="0"/>
        <c:ser>
          <c:idx val="0"/>
          <c:order val="0"/>
          <c:tx>
            <c:strRef>
              <c:f>'PivotTables-OnlyRefreshData'!$A$3</c:f>
              <c:strCache>
                <c:ptCount val="1"/>
                <c:pt idx="0">
                  <c:v>Offenders on 1170(d) (1) List</c:v>
                </c:pt>
              </c:strCache>
            </c:strRef>
          </c:tx>
          <c:spPr>
            <a:solidFill>
              <a:schemeClr val="accent3">
                <a:lumMod val="20000"/>
                <a:lumOff val="80000"/>
              </a:schemeClr>
            </a:solidFill>
            <a:ln>
              <a:solidFill>
                <a:schemeClr val="accent3">
                  <a:lumMod val="75000"/>
                </a:schemeClr>
              </a:solidFill>
            </a:ln>
            <a:effectLst/>
          </c:spPr>
          <c:invertIfNegative val="0"/>
          <c:dPt>
            <c:idx val="0"/>
            <c:invertIfNegative val="0"/>
            <c:bubble3D val="0"/>
            <c:extLst>
              <c:ext xmlns:c16="http://schemas.microsoft.com/office/drawing/2014/chart" uri="{C3380CC4-5D6E-409C-BE32-E72D297353CC}">
                <c16:uniqueId val="{00000000-DB39-4C44-AC1C-741DA8FD07C8}"/>
              </c:ext>
            </c:extLst>
          </c:dPt>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'PivotTables-OnlyRefreshData'!$A$4</c:f>
              <c:strCache>
                <c:ptCount val="1"/>
                <c:pt idx="0">
                  <c:v>Total</c:v>
                </c:pt>
              </c:strCache>
            </c:strRef>
          </c:cat>
          <c:val>
            <c:numRef>
              <c:f>'PivotTables-OnlyRefreshData'!$A$4</c:f>
              <c:numCache>
                <c:formatCode>General</c:formatCode>
                <c:ptCount val="1"/>
                <c:pt idx="0">
                  <c:v>1343</c:v>
                </c:pt>
              </c:numCache>
            </c:numRef>
          </c:val>
          <c:extLst>
            <c:ext xmlns:c16="http://schemas.microsoft.com/office/drawing/2014/chart" uri="{C3380CC4-5D6E-409C-BE32-E72D297353CC}">
              <c16:uniqueId val="{00000001-DB39-4C44-AC1C-741DA8FD07C8}"/>
            </c:ext>
          </c:extLst>
        </c:ser>
        <c:ser>
          <c:idx val="1"/>
          <c:order val="1"/>
          <c:tx>
            <c:strRef>
              <c:f>'PivotTables-OnlyRefreshData'!$B$3</c:f>
              <c:strCache>
                <c:ptCount val="1"/>
                <c:pt idx="0">
                  <c:v>Letters Mailed To Court</c:v>
                </c:pt>
              </c:strCache>
            </c:strRef>
          </c:tx>
          <c:spPr>
            <a:solidFill>
              <a:schemeClr val="accent3">
                <a:lumMod val="60000"/>
                <a:lumOff val="40000"/>
              </a:schemeClr>
            </a:solidFill>
            <a:ln>
              <a:solidFill>
                <a:schemeClr val="accent3">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'PivotTables-OnlyRefreshData'!$A$4</c:f>
              <c:strCache>
                <c:ptCount val="1"/>
                <c:pt idx="0">
                  <c:v>Total</c:v>
                </c:pt>
              </c:strCache>
            </c:strRef>
          </c:cat>
          <c:val>
            <c:numRef>
              <c:f>'PivotTables-OnlyRefreshData'!$B$4</c:f>
              <c:numCache>
                <c:formatCode>General</c:formatCode>
                <c:ptCount val="1"/>
                <c:pt idx="0">
                  <c:v>926</c:v>
                </c:pt>
              </c:numCache>
            </c:numRef>
          </c:val>
          <c:extLst>
            <c:ext xmlns:c16="http://schemas.microsoft.com/office/drawing/2014/chart" uri="{C3380CC4-5D6E-409C-BE32-E72D297353CC}">
              <c16:uniqueId val="{00000002-DB39-4C44-AC1C-741DA8FD07C8}"/>
            </c:ext>
          </c:extLst>
        </c:ser>
        <c:ser>
          <c:idx val="2"/>
          <c:order val="2"/>
          <c:tx>
            <c:strRef>
              <c:f>'PivotTables-OnlyRefreshData'!$C$3</c:f>
              <c:strCache>
                <c:ptCount val="1"/>
                <c:pt idx="0">
                  <c:v>Responses Received by Court</c:v>
                </c:pt>
              </c:strCache>
            </c:strRef>
          </c:tx>
          <c:spPr>
            <a:solidFill>
              <a:schemeClr val="accent3">
                <a:lumMod val="50000"/>
              </a:schemeClr>
            </a:solidFill>
            <a:ln>
              <a:solidFill>
                <a:schemeClr val="accent3">
                  <a:lumMod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'PivotTables-OnlyRefreshData'!$A$4</c:f>
              <c:strCache>
                <c:ptCount val="1"/>
                <c:pt idx="0">
                  <c:v>Total</c:v>
                </c:pt>
              </c:strCache>
            </c:strRef>
          </c:cat>
          <c:val>
            <c:numRef>
              <c:f>'PivotTables-OnlyRefreshData'!$C$4</c:f>
              <c:numCache>
                <c:formatCode>General</c:formatCode>
                <c:ptCount val="1"/>
                <c:pt idx="0">
                  <c:v>748</c:v>
                </c:pt>
              </c:numCache>
            </c:numRef>
          </c:val>
          <c:extLst>
            <c:ext xmlns:c16="http://schemas.microsoft.com/office/drawing/2014/chart" uri="{C3380CC4-5D6E-409C-BE32-E72D297353CC}">
              <c16:uniqueId val="{00000003-DB39-4C44-AC1C-741DA8FD07C8}"/>
            </c:ext>
          </c:extLst>
        </c:ser>
        <c:dLbls>
          <c:showLegendKey val="0"/>
          <c:showVal val="0"/>
          <c:showCatName val="0"/>
          <c:showSerName val="0"/>
          <c:showPercent val="0"/>
          <c:showBubbleSize val="0"/>
        </c:dLbls>
        <c:gapWidth val="100"/>
        <c:overlap val="-10"/>
        <c:axId val="132190976"/>
        <c:axId val="132192512"/>
      </c:barChart>
      <c:catAx>
        <c:axId val="132190976"/>
        <c:scaling>
          <c:orientation val="minMax"/>
        </c:scaling>
        <c:delete val="1"/>
        <c:axPos val="b"/>
        <c:numFmt formatCode="General" sourceLinked="1"/>
        <c:majorTickMark val="none"/>
        <c:minorTickMark val="none"/>
        <c:tickLblPos val="nextTo"/>
        <c:crossAx val="132192512"/>
        <c:crosses val="autoZero"/>
        <c:auto val="1"/>
        <c:lblAlgn val="ctr"/>
        <c:lblOffset val="100"/>
        <c:noMultiLvlLbl val="0"/>
      </c:catAx>
      <c:valAx>
        <c:axId val="1321925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190976"/>
        <c:crosses val="autoZero"/>
        <c:crossBetween val="between"/>
      </c:valAx>
      <c:spPr>
        <a:noFill/>
        <a:ln>
          <a:noFill/>
        </a:ln>
        <a:effectLst/>
      </c:spPr>
    </c:plotArea>
    <c:legend>
      <c:legendPos val="b"/>
      <c:layout>
        <c:manualLayout>
          <c:xMode val="edge"/>
          <c:yMode val="edge"/>
          <c:x val="8.445235166433851E-2"/>
          <c:y val="0.87845478352368134"/>
          <c:w val="0.86061069374271715"/>
          <c:h val="3.393940200042562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extLs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[1170 (d) Main Tracking Log (53).xlsx]PivotTables-OnlyRefreshData!PivotTable3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Recall and Resentence Recommendation Program List Totals by Category</a:t>
            </a:r>
          </a:p>
        </c:rich>
      </c:tx>
      <c:overlay val="0"/>
      <c:spPr>
        <a:noFill/>
        <a:ln>
          <a:noFill/>
        </a:ln>
        <a:effectLst/>
      </c:sp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lumMod val="50000"/>
              </a:schemeClr>
            </a:solidFill>
          </a:ln>
          <a:effectLst/>
        </c:spPr>
        <c:marker>
          <c:symbol val="none"/>
        </c:marker>
        <c:dLbl>
          <c:idx val="0"/>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9"/>
        <c:spPr>
          <a:solidFill>
            <a:schemeClr val="accent1"/>
          </a:solidFill>
          <a:ln>
            <a:solidFill>
              <a:schemeClr val="bg1">
                <a:lumMod val="50000"/>
              </a:schemeClr>
            </a:solidFill>
          </a:ln>
          <a:effectLst/>
        </c:spPr>
      </c:pivotFmt>
      <c:pivotFmt>
        <c:idx val="10"/>
        <c:spPr>
          <a:solidFill>
            <a:schemeClr val="accent5">
              <a:lumMod val="60000"/>
              <a:lumOff val="40000"/>
            </a:schemeClr>
          </a:solidFill>
          <a:ln>
            <a:solidFill>
              <a:schemeClr val="bg1">
                <a:lumMod val="50000"/>
              </a:schemeClr>
            </a:solidFill>
          </a:ln>
          <a:effectLst/>
        </c:spPr>
      </c:pivotFmt>
      <c:pivotFmt>
        <c:idx val="11"/>
        <c:spPr>
          <a:solidFill>
            <a:schemeClr val="accent3">
              <a:lumMod val="60000"/>
              <a:lumOff val="40000"/>
            </a:schemeClr>
          </a:solidFill>
          <a:ln>
            <a:solidFill>
              <a:schemeClr val="bg1">
                <a:lumMod val="50000"/>
              </a:schemeClr>
            </a:solidFill>
          </a:ln>
          <a:effectLst/>
        </c:spPr>
      </c:pivotFmt>
      <c:pivotFmt>
        <c:idx val="12"/>
        <c:spPr>
          <a:solidFill>
            <a:schemeClr val="accent3">
              <a:lumMod val="75000"/>
            </a:schemeClr>
          </a:solidFill>
          <a:ln>
            <a:solidFill>
              <a:schemeClr val="bg1">
                <a:lumMod val="50000"/>
              </a:schemeClr>
            </a:solidFill>
          </a:ln>
          <a:effectLst/>
        </c:spPr>
      </c:pivotFmt>
      <c:pivotFmt>
        <c:idx val="13"/>
        <c:spPr>
          <a:pattFill prst="narHorz">
            <a:fgClr>
              <a:schemeClr val="bg1">
                <a:lumMod val="65000"/>
              </a:schemeClr>
            </a:fgClr>
            <a:bgClr>
              <a:schemeClr val="bg1"/>
            </a:bgClr>
          </a:pattFill>
          <a:ln>
            <a:solidFill>
              <a:schemeClr val="bg1">
                <a:lumMod val="50000"/>
              </a:schemeClr>
            </a:solidFill>
          </a:ln>
          <a:effectLst/>
        </c:spPr>
      </c:pivotFmt>
      <c:pivotFmt>
        <c:idx val="14"/>
        <c:spPr>
          <a:solidFill>
            <a:schemeClr val="accent1"/>
          </a:solidFill>
          <a:ln>
            <a:solidFill>
              <a:schemeClr val="bg1">
                <a:lumMod val="50000"/>
              </a:schemeClr>
            </a:solidFill>
          </a:ln>
          <a:effectLst/>
        </c:spPr>
        <c:marker>
          <c:symbol val="none"/>
        </c:marker>
        <c:dLbl>
          <c:idx val="0"/>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15"/>
        <c:spPr>
          <a:solidFill>
            <a:schemeClr val="accent1"/>
          </a:solidFill>
          <a:ln>
            <a:solidFill>
              <a:schemeClr val="bg1">
                <a:lumMod val="50000"/>
              </a:schemeClr>
            </a:solidFill>
          </a:ln>
          <a:effectLst/>
        </c:spPr>
      </c:pivotFmt>
      <c:pivotFmt>
        <c:idx val="16"/>
        <c:spPr>
          <a:solidFill>
            <a:schemeClr val="accent5">
              <a:lumMod val="60000"/>
              <a:lumOff val="40000"/>
            </a:schemeClr>
          </a:solidFill>
          <a:ln>
            <a:solidFill>
              <a:schemeClr val="bg1">
                <a:lumMod val="50000"/>
              </a:schemeClr>
            </a:solidFill>
          </a:ln>
          <a:effectLst/>
        </c:spPr>
      </c:pivotFmt>
      <c:pivotFmt>
        <c:idx val="17"/>
        <c:spPr>
          <a:solidFill>
            <a:schemeClr val="accent3">
              <a:lumMod val="60000"/>
              <a:lumOff val="40000"/>
            </a:schemeClr>
          </a:solidFill>
          <a:ln>
            <a:solidFill>
              <a:schemeClr val="bg1">
                <a:lumMod val="50000"/>
              </a:schemeClr>
            </a:solidFill>
          </a:ln>
          <a:effectLst/>
        </c:spPr>
      </c:pivotFmt>
      <c:pivotFmt>
        <c:idx val="18"/>
        <c:spPr>
          <a:solidFill>
            <a:schemeClr val="accent3">
              <a:lumMod val="75000"/>
            </a:schemeClr>
          </a:solidFill>
          <a:ln>
            <a:solidFill>
              <a:schemeClr val="bg1">
                <a:lumMod val="50000"/>
              </a:schemeClr>
            </a:solidFill>
          </a:ln>
          <a:effectLst/>
        </c:spPr>
      </c:pivotFmt>
      <c:pivotFmt>
        <c:idx val="19"/>
        <c:spPr>
          <a:pattFill prst="narHorz">
            <a:fgClr>
              <a:schemeClr val="bg1">
                <a:lumMod val="65000"/>
              </a:schemeClr>
            </a:fgClr>
            <a:bgClr>
              <a:schemeClr val="bg1"/>
            </a:bgClr>
          </a:pattFill>
          <a:ln>
            <a:solidFill>
              <a:schemeClr val="bg1">
                <a:lumMod val="50000"/>
              </a:schemeClr>
            </a:solidFill>
          </a:ln>
          <a:effectLst/>
        </c:spPr>
      </c:pivotFmt>
      <c:pivotFmt>
        <c:idx val="20"/>
        <c:spPr>
          <a:solidFill>
            <a:schemeClr val="accent1"/>
          </a:solidFill>
          <a:ln>
            <a:solidFill>
              <a:schemeClr val="bg1">
                <a:lumMod val="50000"/>
              </a:schemeClr>
            </a:solidFill>
          </a:ln>
          <a:effectLst/>
        </c:spPr>
        <c:marker>
          <c:symbol val="none"/>
        </c:marker>
        <c:dLbl>
          <c:idx val="0"/>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1"/>
        <c:spPr>
          <a:solidFill>
            <a:schemeClr val="accent1"/>
          </a:solidFill>
          <a:ln>
            <a:solidFill>
              <a:schemeClr val="bg1">
                <a:lumMod val="50000"/>
              </a:schemeClr>
            </a:solidFill>
          </a:ln>
          <a:effectLst/>
        </c:spPr>
      </c:pivotFmt>
      <c:pivotFmt>
        <c:idx val="22"/>
        <c:spPr>
          <a:solidFill>
            <a:schemeClr val="accent5">
              <a:lumMod val="60000"/>
              <a:lumOff val="40000"/>
            </a:schemeClr>
          </a:solidFill>
          <a:ln>
            <a:solidFill>
              <a:schemeClr val="bg1">
                <a:lumMod val="50000"/>
              </a:schemeClr>
            </a:solidFill>
          </a:ln>
          <a:effectLst/>
        </c:spPr>
      </c:pivotFmt>
      <c:pivotFmt>
        <c:idx val="23"/>
        <c:spPr>
          <a:solidFill>
            <a:schemeClr val="accent3">
              <a:lumMod val="60000"/>
              <a:lumOff val="40000"/>
            </a:schemeClr>
          </a:solidFill>
          <a:ln>
            <a:solidFill>
              <a:schemeClr val="bg1">
                <a:lumMod val="50000"/>
              </a:schemeClr>
            </a:solidFill>
          </a:ln>
          <a:effectLst/>
        </c:spPr>
      </c:pivotFmt>
      <c:pivotFmt>
        <c:idx val="24"/>
        <c:spPr>
          <a:solidFill>
            <a:schemeClr val="accent3">
              <a:lumMod val="75000"/>
            </a:schemeClr>
          </a:solidFill>
          <a:ln>
            <a:solidFill>
              <a:schemeClr val="bg1">
                <a:lumMod val="50000"/>
              </a:schemeClr>
            </a:solidFill>
          </a:ln>
          <a:effectLst/>
        </c:spPr>
      </c:pivotFmt>
      <c:pivotFmt>
        <c:idx val="25"/>
        <c:spPr>
          <a:pattFill prst="narHorz">
            <a:fgClr>
              <a:schemeClr val="bg1">
                <a:lumMod val="65000"/>
              </a:schemeClr>
            </a:fgClr>
            <a:bgClr>
              <a:schemeClr val="bg1"/>
            </a:bgClr>
          </a:pattFill>
          <a:ln>
            <a:solidFill>
              <a:schemeClr val="bg1">
                <a:lumMod val="50000"/>
              </a:schemeClr>
            </a:solidFill>
          </a:ln>
          <a:effectLst/>
        </c:spPr>
      </c:pivotFmt>
      <c:pivotFmt>
        <c:idx val="26"/>
        <c:spPr>
          <a:solidFill>
            <a:schemeClr val="accent1"/>
          </a:solidFill>
          <a:ln>
            <a:solidFill>
              <a:schemeClr val="bg1">
                <a:lumMod val="50000"/>
              </a:schemeClr>
            </a:solidFill>
          </a:ln>
          <a:effectLst/>
        </c:spPr>
        <c:marker>
          <c:symbol val="none"/>
        </c:marker>
        <c:dLbl>
          <c:idx val="0"/>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27"/>
        <c:spPr>
          <a:solidFill>
            <a:schemeClr val="accent1"/>
          </a:solidFill>
          <a:ln>
            <a:solidFill>
              <a:schemeClr val="bg1">
                <a:lumMod val="50000"/>
              </a:schemeClr>
            </a:solidFill>
          </a:ln>
          <a:effectLst/>
        </c:spPr>
      </c:pivotFmt>
      <c:pivotFmt>
        <c:idx val="28"/>
        <c:spPr>
          <a:solidFill>
            <a:schemeClr val="accent5">
              <a:lumMod val="60000"/>
              <a:lumOff val="40000"/>
            </a:schemeClr>
          </a:solidFill>
          <a:ln>
            <a:solidFill>
              <a:schemeClr val="bg1">
                <a:lumMod val="50000"/>
              </a:schemeClr>
            </a:solidFill>
          </a:ln>
          <a:effectLst/>
        </c:spPr>
      </c:pivotFmt>
      <c:pivotFmt>
        <c:idx val="29"/>
        <c:spPr>
          <a:solidFill>
            <a:schemeClr val="accent3">
              <a:lumMod val="60000"/>
              <a:lumOff val="40000"/>
            </a:schemeClr>
          </a:solidFill>
          <a:ln>
            <a:solidFill>
              <a:schemeClr val="bg1">
                <a:lumMod val="50000"/>
              </a:schemeClr>
            </a:solidFill>
          </a:ln>
          <a:effectLst/>
        </c:spPr>
      </c:pivotFmt>
      <c:pivotFmt>
        <c:idx val="30"/>
        <c:spPr>
          <a:solidFill>
            <a:schemeClr val="accent3">
              <a:lumMod val="75000"/>
            </a:schemeClr>
          </a:solidFill>
          <a:ln>
            <a:solidFill>
              <a:schemeClr val="bg1">
                <a:lumMod val="50000"/>
              </a:schemeClr>
            </a:solidFill>
          </a:ln>
          <a:effectLst/>
        </c:spPr>
      </c:pivotFmt>
      <c:pivotFmt>
        <c:idx val="31"/>
        <c:spPr>
          <a:pattFill prst="narHorz">
            <a:fgClr>
              <a:schemeClr val="bg1">
                <a:lumMod val="65000"/>
              </a:schemeClr>
            </a:fgClr>
            <a:bgClr>
              <a:schemeClr val="bg1"/>
            </a:bgClr>
          </a:pattFill>
          <a:ln>
            <a:solidFill>
              <a:schemeClr val="bg1">
                <a:lumMod val="50000"/>
              </a:schemeClr>
            </a:solidFill>
          </a:ln>
          <a:effectLst/>
        </c:spPr>
      </c:pivotFmt>
      <c:pivotFmt>
        <c:idx val="32"/>
        <c:spPr>
          <a:solidFill>
            <a:schemeClr val="accent1"/>
          </a:solidFill>
          <a:ln>
            <a:solidFill>
              <a:schemeClr val="bg1">
                <a:lumMod val="50000"/>
              </a:schemeClr>
            </a:solidFill>
          </a:ln>
          <a:effectLst/>
        </c:spPr>
        <c:marker>
          <c:symbol val="none"/>
        </c:marker>
        <c:dLbl>
          <c:idx val="0"/>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200" b="1" i="0" u="none" strike="noStrike" kern="1200" baseline="0">
                  <a:solidFill>
                    <a:schemeClr val="dk1">
                      <a:lumMod val="65000"/>
                      <a:lumOff val="3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33"/>
        <c:spPr>
          <a:solidFill>
            <a:schemeClr val="accent1"/>
          </a:solidFill>
          <a:ln>
            <a:solidFill>
              <a:schemeClr val="bg1">
                <a:lumMod val="50000"/>
              </a:schemeClr>
            </a:solidFill>
          </a:ln>
          <a:effectLst/>
        </c:spPr>
      </c:pivotFmt>
      <c:pivotFmt>
        <c:idx val="34"/>
        <c:spPr>
          <a:solidFill>
            <a:schemeClr val="accent5">
              <a:lumMod val="60000"/>
              <a:lumOff val="40000"/>
            </a:schemeClr>
          </a:solidFill>
          <a:ln>
            <a:solidFill>
              <a:schemeClr val="bg1">
                <a:lumMod val="50000"/>
              </a:schemeClr>
            </a:solidFill>
          </a:ln>
          <a:effectLst/>
        </c:spPr>
      </c:pivotFmt>
      <c:pivotFmt>
        <c:idx val="35"/>
        <c:spPr>
          <a:solidFill>
            <a:schemeClr val="accent3">
              <a:lumMod val="60000"/>
              <a:lumOff val="40000"/>
            </a:schemeClr>
          </a:solidFill>
          <a:ln>
            <a:solidFill>
              <a:schemeClr val="bg1">
                <a:lumMod val="50000"/>
              </a:schemeClr>
            </a:solidFill>
          </a:ln>
          <a:effectLst/>
        </c:spPr>
      </c:pivotFmt>
      <c:pivotFmt>
        <c:idx val="36"/>
        <c:spPr>
          <a:solidFill>
            <a:schemeClr val="accent3">
              <a:lumMod val="75000"/>
            </a:schemeClr>
          </a:solidFill>
          <a:ln>
            <a:solidFill>
              <a:schemeClr val="bg1">
                <a:lumMod val="50000"/>
              </a:schemeClr>
            </a:solidFill>
          </a:ln>
          <a:effectLst/>
        </c:spPr>
      </c:pivotFmt>
      <c:pivotFmt>
        <c:idx val="37"/>
        <c:spPr>
          <a:pattFill prst="narHorz">
            <a:fgClr>
              <a:schemeClr val="bg1">
                <a:lumMod val="65000"/>
              </a:schemeClr>
            </a:fgClr>
            <a:bgClr>
              <a:schemeClr val="bg1"/>
            </a:bgClr>
          </a:pattFill>
          <a:ln>
            <a:solidFill>
              <a:schemeClr val="bg1">
                <a:lumMod val="50000"/>
              </a:schemeClr>
            </a:solidFill>
          </a:ln>
          <a:effectLst/>
        </c:spPr>
      </c:pivotFmt>
      <c:pivotFmt>
        <c:idx val="38"/>
        <c:spPr>
          <a:solidFill>
            <a:schemeClr val="accent1"/>
          </a:solidFill>
          <a:ln w="3175">
            <a:solidFill>
              <a:schemeClr val="bg1">
                <a:lumMod val="50000"/>
              </a:schemeClr>
            </a:solidFill>
          </a:ln>
          <a:effectLst/>
        </c:spPr>
        <c:marker>
          <c:symbol val="none"/>
        </c:marker>
        <c:dLbl>
          <c:idx val="0"/>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39"/>
        <c:spPr>
          <a:solidFill>
            <a:schemeClr val="accent1"/>
          </a:solidFill>
          <a:ln>
            <a:solidFill>
              <a:schemeClr val="bg1">
                <a:lumMod val="50000"/>
              </a:schemeClr>
            </a:solidFill>
          </a:ln>
          <a:effectLst/>
        </c:spPr>
      </c:pivotFmt>
      <c:pivotFmt>
        <c:idx val="40"/>
        <c:spPr>
          <a:solidFill>
            <a:schemeClr val="accent5">
              <a:lumMod val="60000"/>
              <a:lumOff val="40000"/>
            </a:schemeClr>
          </a:solidFill>
          <a:ln>
            <a:solidFill>
              <a:schemeClr val="bg1">
                <a:lumMod val="50000"/>
              </a:schemeClr>
            </a:solidFill>
          </a:ln>
          <a:effectLst/>
        </c:spPr>
      </c:pivotFmt>
      <c:pivotFmt>
        <c:idx val="41"/>
        <c:spPr>
          <a:solidFill>
            <a:schemeClr val="accent3">
              <a:lumMod val="60000"/>
              <a:lumOff val="40000"/>
            </a:schemeClr>
          </a:solidFill>
          <a:ln>
            <a:solidFill>
              <a:schemeClr val="bg1">
                <a:lumMod val="50000"/>
              </a:schemeClr>
            </a:solidFill>
          </a:ln>
          <a:effectLst/>
        </c:spPr>
      </c:pivotFmt>
      <c:pivotFmt>
        <c:idx val="42"/>
        <c:spPr>
          <a:solidFill>
            <a:schemeClr val="accent3">
              <a:lumMod val="75000"/>
            </a:schemeClr>
          </a:solidFill>
          <a:ln>
            <a:solidFill>
              <a:schemeClr val="bg1">
                <a:lumMod val="50000"/>
              </a:schemeClr>
            </a:solidFill>
          </a:ln>
          <a:effectLst/>
        </c:spPr>
      </c:pivotFmt>
      <c:pivotFmt>
        <c:idx val="43"/>
        <c:spPr>
          <a:pattFill prst="narHorz">
            <a:fgClr>
              <a:schemeClr val="bg1">
                <a:lumMod val="65000"/>
              </a:schemeClr>
            </a:fgClr>
            <a:bgClr>
              <a:schemeClr val="bg1"/>
            </a:bgClr>
          </a:pattFill>
          <a:ln>
            <a:solidFill>
              <a:schemeClr val="bg1">
                <a:lumMod val="50000"/>
              </a:schemeClr>
            </a:solidFill>
          </a:ln>
          <a:effectLst/>
        </c:spPr>
      </c:pivotFmt>
      <c:pivotFmt>
        <c:idx val="44"/>
        <c:spPr>
          <a:solidFill>
            <a:schemeClr val="bg1">
              <a:lumMod val="95000"/>
            </a:schemeClr>
          </a:solidFill>
          <a:ln w="3175">
            <a:solidFill>
              <a:schemeClr val="bg1">
                <a:lumMod val="50000"/>
              </a:schemeClr>
            </a:solidFill>
          </a:ln>
          <a:effectLst/>
        </c:spPr>
        <c:dLbl>
          <c:idx val="0"/>
          <c:layout>
            <c:manualLayout>
              <c:x val="-9.5322153574580765E-2"/>
              <c:y val="5.3091969922678586E-3"/>
            </c:manualLayout>
          </c:layout>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15:layout>
                <c:manualLayout>
                  <c:w val="0.122891262599236"/>
                  <c:h val="3.6757377456196352E-2"/>
                </c:manualLayout>
              </c15:layout>
            </c:ext>
          </c:extLst>
        </c:dLbl>
      </c:pivotFmt>
      <c:pivotFmt>
        <c:idx val="45"/>
        <c:spPr>
          <a:solidFill>
            <a:schemeClr val="accent3">
              <a:lumMod val="50000"/>
            </a:schemeClr>
          </a:solidFill>
          <a:ln w="3175">
            <a:solidFill>
              <a:schemeClr val="bg1">
                <a:lumMod val="50000"/>
              </a:schemeClr>
            </a:solidFill>
          </a:ln>
          <a:effectLst/>
        </c:spPr>
        <c:dLbl>
          <c:idx val="0"/>
          <c:layout>
            <c:manualLayout>
              <c:x val="7.1402195643460739E-3"/>
              <c:y val="-4.4539470572935148E-2"/>
            </c:manualLayout>
          </c:layout>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46"/>
        <c:spPr>
          <a:solidFill>
            <a:schemeClr val="accent3"/>
          </a:solidFill>
          <a:ln w="3175">
            <a:solidFill>
              <a:schemeClr val="bg1">
                <a:lumMod val="50000"/>
              </a:schemeClr>
            </a:solidFill>
          </a:ln>
          <a:effectLst/>
        </c:spPr>
        <c:dLbl>
          <c:idx val="0"/>
          <c:layout>
            <c:manualLayout>
              <c:x val="7.590467784642542E-2"/>
              <c:y val="-1.9974699108557376E-3"/>
            </c:manualLayout>
          </c:layout>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15:layout>
                <c:manualLayout>
                  <c:w val="0.21611960905592892"/>
                  <c:h val="3.6757377456196352E-2"/>
                </c:manualLayout>
              </c15:layout>
            </c:ext>
          </c:extLst>
        </c:dLbl>
      </c:pivotFmt>
      <c:pivotFmt>
        <c:idx val="47"/>
        <c:spPr>
          <a:solidFill>
            <a:schemeClr val="accent3">
              <a:lumMod val="60000"/>
              <a:lumOff val="40000"/>
            </a:schemeClr>
          </a:solidFill>
          <a:ln w="3175">
            <a:solidFill>
              <a:schemeClr val="bg1">
                <a:lumMod val="50000"/>
              </a:schemeClr>
            </a:solidFill>
          </a:ln>
          <a:effectLst/>
        </c:spPr>
        <c:dLbl>
          <c:idx val="0"/>
          <c:layout>
            <c:manualLayout>
              <c:x val="1.0563597908602113E-2"/>
              <c:y val="1.3726768106689366E-2"/>
            </c:manualLayout>
          </c:layout>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48"/>
        <c:spPr>
          <a:solidFill>
            <a:schemeClr val="accent5">
              <a:lumMod val="60000"/>
              <a:lumOff val="40000"/>
            </a:schemeClr>
          </a:solidFill>
          <a:ln w="3175">
            <a:solidFill>
              <a:schemeClr val="bg1">
                <a:lumMod val="50000"/>
              </a:schemeClr>
            </a:solidFill>
          </a:ln>
          <a:effectLst/>
        </c:spPr>
        <c:dLbl>
          <c:idx val="0"/>
          <c:layout>
            <c:manualLayout>
              <c:x val="-0.12591938805531039"/>
              <c:y val="4.905594570948902E-2"/>
            </c:manualLayout>
          </c:layout>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15:layout>
                <c:manualLayout>
                  <c:w val="0.10026209654066853"/>
                  <c:h val="3.6757377456196352E-2"/>
                </c:manualLayout>
              </c15:layout>
            </c:ext>
          </c:extLst>
        </c:dLbl>
      </c:pivotFmt>
      <c:pivotFmt>
        <c:idx val="49"/>
        <c:spPr>
          <a:solidFill>
            <a:schemeClr val="tx2">
              <a:lumMod val="20000"/>
              <a:lumOff val="80000"/>
            </a:schemeClr>
          </a:solidFill>
          <a:ln w="3175">
            <a:solidFill>
              <a:schemeClr val="bg1">
                <a:lumMod val="50000"/>
              </a:schemeClr>
            </a:solidFill>
          </a:ln>
          <a:effectLst/>
        </c:spPr>
      </c:pivotFmt>
      <c:pivotFmt>
        <c:idx val="50"/>
        <c:spPr>
          <a:solidFill>
            <a:schemeClr val="accent1"/>
          </a:solidFill>
          <a:ln w="3175">
            <a:solidFill>
              <a:schemeClr val="bg1">
                <a:lumMod val="50000"/>
              </a:schemeClr>
            </a:solidFill>
          </a:ln>
          <a:effectLst/>
        </c:spPr>
        <c:dLbl>
          <c:idx val="0"/>
          <c:layout>
            <c:manualLayout>
              <c:x val="1.3737342849796027E-2"/>
              <c:y val="-8.5718592608356389E-3"/>
            </c:manualLayout>
          </c:layout>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oundRect">
                  <a:avLst/>
                </a:prstGeom>
              </c15:spPr>
            </c:ext>
          </c:extLst>
        </c:dLbl>
      </c:pivotFmt>
      <c:pivotFmt>
        <c:idx val="51"/>
        <c:spPr>
          <a:solidFill>
            <a:schemeClr val="tx2">
              <a:lumMod val="40000"/>
              <a:lumOff val="60000"/>
            </a:schemeClr>
          </a:solidFill>
          <a:ln w="3175">
            <a:solidFill>
              <a:schemeClr val="bg1">
                <a:lumMod val="50000"/>
              </a:schemeClr>
            </a:solidFill>
          </a:ln>
          <a:effectLst/>
        </c:spPr>
      </c:pivotFmt>
      <c:pivotFmt>
        <c:idx val="52"/>
        <c:spPr>
          <a:ln w="3175">
            <a:solidFill>
              <a:schemeClr val="bg1">
                <a:lumMod val="50000"/>
              </a:schemeClr>
            </a:solidFill>
          </a:ln>
        </c:spPr>
        <c:marker>
          <c:symbol val="none"/>
        </c:marker>
        <c:dLbl>
          <c:idx val="0"/>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3"/>
        <c:spPr>
          <a:solidFill>
            <a:schemeClr val="accent3">
              <a:lumMod val="50000"/>
            </a:schemeClr>
          </a:solidFill>
          <a:ln w="3175">
            <a:solidFill>
              <a:schemeClr val="bg1">
                <a:lumMod val="50000"/>
              </a:schemeClr>
            </a:solidFill>
          </a:ln>
          <a:effectLst/>
        </c:spPr>
        <c:dLbl>
          <c:idx val="0"/>
          <c:layout>
            <c:manualLayout>
              <c:x val="7.1402195643460739E-3"/>
              <c:y val="-4.4539470572935148E-2"/>
            </c:manualLayout>
          </c:layout>
          <c:dLblPos val="bestFit"/>
          <c:showLegendKey val="0"/>
          <c:showVal val="1"/>
          <c:showCatName val="1"/>
          <c:showSerName val="0"/>
          <c:showPercent val="1"/>
          <c:showBubbleSize val="0"/>
          <c:extLst>
            <c:ext xmlns:c15="http://schemas.microsoft.com/office/drawing/2012/chart" uri="{CE6537A1-D6FC-4f65-9D91-7224C49458BB}"/>
          </c:extLst>
        </c:dLbl>
      </c:pivotFmt>
      <c:pivotFmt>
        <c:idx val="54"/>
        <c:spPr>
          <a:solidFill>
            <a:schemeClr val="accent3"/>
          </a:solidFill>
          <a:ln w="3175">
            <a:solidFill>
              <a:schemeClr val="bg1">
                <a:lumMod val="50000"/>
              </a:schemeClr>
            </a:solidFill>
          </a:ln>
          <a:effectLst/>
        </c:spPr>
        <c:dLbl>
          <c:idx val="0"/>
          <c:layout>
            <c:manualLayout>
              <c:x val="7.590467784642542E-2"/>
              <c:y val="-1.9974699108557376E-3"/>
            </c:manualLayout>
          </c:layout>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1611960905592892"/>
                  <c:h val="3.6757377456196352E-2"/>
                </c:manualLayout>
              </c15:layout>
            </c:ext>
          </c:extLst>
        </c:dLbl>
      </c:pivotFmt>
      <c:pivotFmt>
        <c:idx val="55"/>
        <c:spPr>
          <a:solidFill>
            <a:schemeClr val="accent3">
              <a:lumMod val="60000"/>
              <a:lumOff val="40000"/>
            </a:schemeClr>
          </a:solidFill>
          <a:ln w="3175">
            <a:solidFill>
              <a:schemeClr val="bg1">
                <a:lumMod val="50000"/>
              </a:schemeClr>
            </a:solidFill>
          </a:ln>
          <a:effectLst/>
        </c:spPr>
        <c:dLbl>
          <c:idx val="0"/>
          <c:layout>
            <c:manualLayout>
              <c:x val="1.0563597908602113E-2"/>
              <c:y val="1.3726768106689366E-2"/>
            </c:manualLayout>
          </c:layout>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6"/>
        <c:spPr>
          <a:solidFill>
            <a:schemeClr val="accent5">
              <a:lumMod val="60000"/>
              <a:lumOff val="40000"/>
            </a:schemeClr>
          </a:solidFill>
          <a:ln w="3175">
            <a:solidFill>
              <a:schemeClr val="bg1">
                <a:lumMod val="50000"/>
              </a:schemeClr>
            </a:solidFill>
          </a:ln>
          <a:effectLst/>
        </c:spPr>
        <c:dLbl>
          <c:idx val="0"/>
          <c:layout>
            <c:manualLayout>
              <c:x val="-0.12591938805531039"/>
              <c:y val="4.905594570948902E-2"/>
            </c:manualLayout>
          </c:layout>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10026209654066853"/>
                  <c:h val="3.6757377456196352E-2"/>
                </c:manualLayout>
              </c15:layout>
            </c:ext>
          </c:extLst>
        </c:dLbl>
      </c:pivotFmt>
      <c:pivotFmt>
        <c:idx val="57"/>
        <c:spPr>
          <a:solidFill>
            <a:schemeClr val="accent5"/>
          </a:solidFill>
          <a:ln w="3175">
            <a:solidFill>
              <a:schemeClr val="bg1">
                <a:lumMod val="50000"/>
              </a:schemeClr>
            </a:solidFill>
          </a:ln>
          <a:effectLst/>
        </c:spPr>
        <c:dLbl>
          <c:idx val="0"/>
          <c:layout>
            <c:manualLayout>
              <c:x val="1.3737342849796027E-2"/>
              <c:y val="-8.5718592608356389E-3"/>
            </c:manualLayout>
          </c:layout>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8"/>
        <c:spPr>
          <a:solidFill>
            <a:schemeClr val="tx2">
              <a:lumMod val="20000"/>
              <a:lumOff val="80000"/>
            </a:schemeClr>
          </a:solidFill>
          <a:ln w="3175">
            <a:solidFill>
              <a:schemeClr val="bg1">
                <a:lumMod val="50000"/>
              </a:schemeClr>
            </a:solidFill>
          </a:ln>
          <a:effectLst/>
        </c:spPr>
      </c:pivotFmt>
      <c:pivotFmt>
        <c:idx val="59"/>
        <c:spPr>
          <a:solidFill>
            <a:schemeClr val="tx2">
              <a:lumMod val="40000"/>
              <a:lumOff val="60000"/>
            </a:schemeClr>
          </a:solidFill>
          <a:ln w="3175">
            <a:solidFill>
              <a:schemeClr val="bg1">
                <a:lumMod val="50000"/>
              </a:schemeClr>
            </a:solidFill>
          </a:ln>
          <a:effectLst/>
        </c:spPr>
      </c:pivotFmt>
      <c:pivotFmt>
        <c:idx val="60"/>
        <c:spPr>
          <a:solidFill>
            <a:schemeClr val="bg1">
              <a:lumMod val="95000"/>
            </a:schemeClr>
          </a:solidFill>
          <a:ln w="3175">
            <a:solidFill>
              <a:schemeClr val="bg1">
                <a:lumMod val="50000"/>
              </a:schemeClr>
            </a:solidFill>
          </a:ln>
          <a:effectLst/>
        </c:spPr>
        <c:dLbl>
          <c:idx val="0"/>
          <c:layout>
            <c:manualLayout>
              <c:x val="-9.5322153574580765E-2"/>
              <c:y val="5.3091969922678586E-3"/>
            </c:manualLayout>
          </c:layout>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spPr xmlns:c15="http://schemas.microsoft.com/office/drawing/2012/chart">
                <a:prstGeom prst="rect">
                  <a:avLst/>
                </a:prstGeom>
              </c15:spPr>
              <c15:layout>
                <c:manualLayout>
                  <c:w val="0.122891262599236"/>
                  <c:h val="3.6757377456196352E-2"/>
                </c:manualLayout>
              </c15:layout>
            </c:ext>
          </c:extLst>
        </c:dLbl>
      </c:pivotFmt>
      <c:pivotFmt>
        <c:idx val="61"/>
      </c:pivotFmt>
    </c:pivotFmts>
    <c:plotArea>
      <c:layout>
        <c:manualLayout>
          <c:layoutTarget val="inner"/>
          <c:xMode val="edge"/>
          <c:yMode val="edge"/>
          <c:x val="0.27505218070159587"/>
          <c:y val="0.20317975455770731"/>
          <c:w val="0.44754191251248049"/>
          <c:h val="0.71377391170698257"/>
        </c:manualLayout>
      </c:layout>
      <c:pieChart>
        <c:varyColors val="1"/>
        <c:ser>
          <c:idx val="0"/>
          <c:order val="0"/>
          <c:tx>
            <c:strRef>
              <c:f>'PivotTables-OnlyRefreshData'!$G$3</c:f>
              <c:strCache>
                <c:ptCount val="1"/>
                <c:pt idx="0">
                  <c:v>Total</c:v>
                </c:pt>
              </c:strCache>
            </c:strRef>
          </c:tx>
          <c:spPr>
            <a:ln w="3175">
              <a:solidFill>
                <a:schemeClr val="bg1">
                  <a:lumMod val="50000"/>
                </a:schemeClr>
              </a:solidFill>
            </a:ln>
          </c:spPr>
          <c:dPt>
            <c:idx val="0"/>
            <c:bubble3D val="0"/>
            <c:extLst>
              <c:ext xmlns:c16="http://schemas.microsoft.com/office/drawing/2014/chart" uri="{C3380CC4-5D6E-409C-BE32-E72D297353CC}">
                <c16:uniqueId val="{00000000-435D-4451-B947-4DB9E4FB5B3C}"/>
              </c:ext>
            </c:extLst>
          </c:dPt>
          <c:dPt>
            <c:idx val="1"/>
            <c:bubble3D val="0"/>
            <c:extLst>
              <c:ext xmlns:c16="http://schemas.microsoft.com/office/drawing/2014/chart" uri="{C3380CC4-5D6E-409C-BE32-E72D297353CC}">
                <c16:uniqueId val="{00000001-435D-4451-B947-4DB9E4FB5B3C}"/>
              </c:ext>
            </c:extLst>
          </c:dPt>
          <c:dPt>
            <c:idx val="2"/>
            <c:bubble3D val="0"/>
            <c:extLst>
              <c:ext xmlns:c16="http://schemas.microsoft.com/office/drawing/2014/chart" uri="{C3380CC4-5D6E-409C-BE32-E72D297353CC}">
                <c16:uniqueId val="{00000002-435D-4451-B947-4DB9E4FB5B3C}"/>
              </c:ext>
            </c:extLst>
          </c:dPt>
          <c:dPt>
            <c:idx val="3"/>
            <c:bubble3D val="0"/>
            <c:extLst>
              <c:ext xmlns:c16="http://schemas.microsoft.com/office/drawing/2014/chart" uri="{C3380CC4-5D6E-409C-BE32-E72D297353CC}">
                <c16:uniqueId val="{00000003-435D-4451-B947-4DB9E4FB5B3C}"/>
              </c:ext>
            </c:extLst>
          </c:dPt>
          <c:dPt>
            <c:idx val="4"/>
            <c:bubble3D val="0"/>
            <c:extLst>
              <c:ext xmlns:c16="http://schemas.microsoft.com/office/drawing/2014/chart" uri="{C3380CC4-5D6E-409C-BE32-E72D297353CC}">
                <c16:uniqueId val="{00000004-435D-4451-B947-4DB9E4FB5B3C}"/>
              </c:ext>
            </c:extLst>
          </c:dPt>
          <c:dPt>
            <c:idx val="5"/>
            <c:bubble3D val="0"/>
            <c:extLst>
              <c:ext xmlns:c16="http://schemas.microsoft.com/office/drawing/2014/chart" uri="{C3380CC4-5D6E-409C-BE32-E72D297353CC}">
                <c16:uniqueId val="{00000005-435D-4451-B947-4DB9E4FB5B3C}"/>
              </c:ext>
            </c:extLst>
          </c:dPt>
          <c:dPt>
            <c:idx val="6"/>
            <c:bubble3D val="0"/>
            <c:extLst>
              <c:ext xmlns:c16="http://schemas.microsoft.com/office/drawing/2014/chart" uri="{C3380CC4-5D6E-409C-BE32-E72D297353CC}">
                <c16:uniqueId val="{00000006-435D-4451-B947-4DB9E4FB5B3C}"/>
              </c:ext>
            </c:extLst>
          </c:dPt>
          <c:dPt>
            <c:idx val="7"/>
            <c:bubble3D val="0"/>
            <c:extLst>
              <c:ext xmlns:c16="http://schemas.microsoft.com/office/drawing/2014/chart" uri="{C3380CC4-5D6E-409C-BE32-E72D297353CC}">
                <c16:uniqueId val="{00000007-435D-4451-B947-4DB9E4FB5B3C}"/>
              </c:ext>
            </c:extLst>
          </c:dPt>
          <c:dLbls>
            <c:spPr>
              <a:solidFill>
                <a:schemeClr val="lt1"/>
              </a:solidFill>
              <a:ln>
                <a:solidFill>
                  <a:schemeClr val="bg1">
                    <a:lumMod val="50000"/>
                  </a:schemeClr>
                </a:solidFill>
              </a:ln>
              <a:effectLst/>
            </c:spPr>
            <c:txPr>
              <a:bodyPr rot="0" spcFirstLastPara="1" vertOverflow="clip" horzOverflow="clip" vert="horz" wrap="square" lIns="36576" tIns="18288" rIns="36576" bIns="18288" anchor="ctr" anchorCtr="1">
                <a:spAutoFit/>
              </a:bodyPr>
              <a:lstStyle/>
              <a:p>
                <a:pPr>
                  <a:defRPr sz="1100" b="1" i="0" u="none" strike="noStrike" kern="1200" baseline="0">
                    <a:solidFill>
                      <a:schemeClr val="dk1">
                        <a:lumMod val="65000"/>
                        <a:lumOff val="35000"/>
                      </a:schemeClr>
                    </a:solidFill>
                    <a:latin typeface="+mn-lt"/>
                    <a:ea typeface="+mn-ea"/>
                    <a:cs typeface="+mn-cs"/>
                  </a:defRPr>
                </a:pPr>
                <a:endParaRPr lang="en-US"/>
              </a:p>
            </c:txPr>
            <c:dLblPos val="bestFit"/>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rect">
                    <a:avLst/>
                  </a:prstGeom>
                </c15:spPr>
              </c:ext>
            </c:extLst>
          </c:dLbls>
          <c:cat>
            <c:strRef>
              <c:f>'PivotTables-OnlyRefreshData'!$F$4:$F$16</c:f>
              <c:strCache>
                <c:ptCount val="12"/>
                <c:pt idx="0">
                  <c:v>667(a) Prior Prison</c:v>
                </c:pt>
                <c:pt idx="1">
                  <c:v>Gun Enhancements</c:v>
                </c:pt>
                <c:pt idx="2">
                  <c:v>vs. Gonzalez</c:v>
                </c:pt>
                <c:pt idx="3">
                  <c:v>Exceptional Conduct</c:v>
                </c:pt>
                <c:pt idx="4">
                  <c:v>vs. McCart</c:v>
                </c:pt>
                <c:pt idx="5">
                  <c:v>vs. Rodriguez</c:v>
                </c:pt>
                <c:pt idx="6">
                  <c:v>vs. Le</c:v>
                </c:pt>
                <c:pt idx="7">
                  <c:v>vs. Manfredi</c:v>
                </c:pt>
                <c:pt idx="8">
                  <c:v>vs. Lopez</c:v>
                </c:pt>
                <c:pt idx="9">
                  <c:v>vs. Cook</c:v>
                </c:pt>
                <c:pt idx="10">
                  <c:v>Law Enforcement Agency</c:v>
                </c:pt>
                <c:pt idx="11">
                  <c:v>(blank)</c:v>
                </c:pt>
              </c:strCache>
            </c:strRef>
          </c:cat>
          <c:val>
            <c:numRef>
              <c:f>'PivotTables-OnlyRefreshData'!$G$4:$G$16</c:f>
              <c:numCache>
                <c:formatCode>General</c:formatCode>
                <c:ptCount val="12"/>
                <c:pt idx="0">
                  <c:v>621</c:v>
                </c:pt>
                <c:pt idx="1">
                  <c:v>384</c:v>
                </c:pt>
                <c:pt idx="2">
                  <c:v>330</c:v>
                </c:pt>
                <c:pt idx="3">
                  <c:v>291</c:v>
                </c:pt>
                <c:pt idx="4">
                  <c:v>180</c:v>
                </c:pt>
                <c:pt idx="5">
                  <c:v>149</c:v>
                </c:pt>
                <c:pt idx="6">
                  <c:v>122</c:v>
                </c:pt>
                <c:pt idx="7">
                  <c:v>24</c:v>
                </c:pt>
                <c:pt idx="8">
                  <c:v>10</c:v>
                </c:pt>
                <c:pt idx="9">
                  <c:v>9</c:v>
                </c:pt>
                <c:pt idx="10">
                  <c:v>3</c:v>
                </c:pt>
              </c:numCache>
            </c:numRef>
          </c:val>
          <c:extLst>
            <c:ext xmlns:c16="http://schemas.microsoft.com/office/drawing/2014/chart" uri="{C3380CC4-5D6E-409C-BE32-E72D297353CC}">
              <c16:uniqueId val="{00000008-435D-4451-B947-4DB9E4FB5B3C}"/>
            </c:ext>
          </c:extLst>
        </c:ser>
        <c:dLbls>
          <c:showLegendKey val="0"/>
          <c:showVal val="0"/>
          <c:showCatName val="0"/>
          <c:showSerName val="0"/>
          <c:showPercent val="0"/>
          <c:showBubbleSize val="0"/>
          <c:showLeaderLines val="1"/>
        </c:dLbls>
        <c:firstSliceAng val="0"/>
      </c:pieChart>
      <c:spPr>
        <a:noFill/>
        <a:ln>
          <a:noFill/>
        </a:ln>
        <a:effectLst/>
      </c:spPr>
    </c:plotArea>
    <c:legend>
      <c:legendPos val="b"/>
      <c:layout>
        <c:manualLayout>
          <c:xMode val="edge"/>
          <c:yMode val="edge"/>
          <c:x val="0.11661364041763093"/>
          <c:y val="0.91280207372727062"/>
          <c:w val="0.74795319605349431"/>
          <c:h val="7.529320659241918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[1170 (d) Main Tracking Log (53).xlsx]PivotTables-OnlyRefreshData!PivotTable5</c:name>
    <c:fmtId val="2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sz="1400" b="1" i="0" baseline="0">
                <a:effectLst/>
              </a:rPr>
              <a:t>Recall and Resentence Recommendation Program List Categories by Letters Mailed and Responses Received</a:t>
            </a:r>
            <a:endParaRPr lang="en-US" sz="1400">
              <a:effectLst/>
            </a:endParaRPr>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3"/>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3297308424682211E-2"/>
          <c:y val="7.3591269841269846E-2"/>
          <c:w val="0.95386422285449612"/>
          <c:h val="0.79332661542307192"/>
        </c:manualLayout>
      </c:layout>
      <c:barChart>
        <c:barDir val="col"/>
        <c:grouping val="clustered"/>
        <c:varyColors val="0"/>
        <c:ser>
          <c:idx val="0"/>
          <c:order val="0"/>
          <c:tx>
            <c:strRef>
              <c:f>'PivotTables-OnlyRefreshData'!$J$3</c:f>
              <c:strCache>
                <c:ptCount val="1"/>
                <c:pt idx="0">
                  <c:v>Letters Mailed To Court</c:v>
                </c:pt>
              </c:strCache>
            </c:strRef>
          </c:tx>
          <c:spPr>
            <a:solidFill>
              <a:schemeClr val="accent3">
                <a:lumMod val="20000"/>
                <a:lumOff val="80000"/>
              </a:schemeClr>
            </a:solidFill>
            <a:ln>
              <a:solidFill>
                <a:schemeClr val="accent3">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'PivotTables-OnlyRefreshData'!$I$4:$I$16</c:f>
              <c:strCache>
                <c:ptCount val="12"/>
                <c:pt idx="0">
                  <c:v>Exceptional Conduct</c:v>
                </c:pt>
                <c:pt idx="1">
                  <c:v>Law Enforcement Agency</c:v>
                </c:pt>
                <c:pt idx="2">
                  <c:v>vs. Gonzalez</c:v>
                </c:pt>
                <c:pt idx="3">
                  <c:v>vs. Le</c:v>
                </c:pt>
                <c:pt idx="4">
                  <c:v>vs. Lopez</c:v>
                </c:pt>
                <c:pt idx="5">
                  <c:v>vs. McCart</c:v>
                </c:pt>
                <c:pt idx="6">
                  <c:v>vs. Rodriguez</c:v>
                </c:pt>
                <c:pt idx="7">
                  <c:v>(blank)</c:v>
                </c:pt>
                <c:pt idx="8">
                  <c:v>Gun Enhancements</c:v>
                </c:pt>
                <c:pt idx="9">
                  <c:v>vs. Cook</c:v>
                </c:pt>
                <c:pt idx="10">
                  <c:v>vs. Manfredi</c:v>
                </c:pt>
                <c:pt idx="11">
                  <c:v>667(a) Prior Prison</c:v>
                </c:pt>
              </c:strCache>
            </c:strRef>
          </c:cat>
          <c:val>
            <c:numRef>
              <c:f>'PivotTables-OnlyRefreshData'!$J$4:$J$16</c:f>
              <c:numCache>
                <c:formatCode>General</c:formatCode>
                <c:ptCount val="12"/>
                <c:pt idx="0">
                  <c:v>192</c:v>
                </c:pt>
                <c:pt idx="1">
                  <c:v>3</c:v>
                </c:pt>
                <c:pt idx="2">
                  <c:v>326</c:v>
                </c:pt>
                <c:pt idx="3">
                  <c:v>119</c:v>
                </c:pt>
                <c:pt idx="4">
                  <c:v>10</c:v>
                </c:pt>
                <c:pt idx="5">
                  <c:v>171</c:v>
                </c:pt>
                <c:pt idx="6">
                  <c:v>149</c:v>
                </c:pt>
                <c:pt idx="7">
                  <c:v>0</c:v>
                </c:pt>
                <c:pt idx="8">
                  <c:v>331</c:v>
                </c:pt>
                <c:pt idx="9">
                  <c:v>9</c:v>
                </c:pt>
                <c:pt idx="10">
                  <c:v>24</c:v>
                </c:pt>
                <c:pt idx="11">
                  <c:v>424</c:v>
                </c:pt>
              </c:numCache>
            </c:numRef>
          </c:val>
          <c:extLst>
            <c:ext xmlns:c16="http://schemas.microsoft.com/office/drawing/2014/chart" uri="{C3380CC4-5D6E-409C-BE32-E72D297353CC}">
              <c16:uniqueId val="{00000000-9A80-49A6-9711-626BE6D659EA}"/>
            </c:ext>
          </c:extLst>
        </c:ser>
        <c:ser>
          <c:idx val="1"/>
          <c:order val="1"/>
          <c:tx>
            <c:strRef>
              <c:f>'PivotTables-OnlyRefreshData'!$K$3</c:f>
              <c:strCache>
                <c:ptCount val="1"/>
                <c:pt idx="0">
                  <c:v>Responses Received by Court</c:v>
                </c:pt>
              </c:strCache>
            </c:strRef>
          </c:tx>
          <c:spPr>
            <a:solidFill>
              <a:schemeClr val="accent3">
                <a:lumMod val="60000"/>
                <a:lumOff val="40000"/>
              </a:schemeClr>
            </a:solidFill>
            <a:ln>
              <a:solidFill>
                <a:schemeClr val="accent3">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'PivotTables-OnlyRefreshData'!$I$4:$I$16</c:f>
              <c:strCache>
                <c:ptCount val="12"/>
                <c:pt idx="0">
                  <c:v>Exceptional Conduct</c:v>
                </c:pt>
                <c:pt idx="1">
                  <c:v>Law Enforcement Agency</c:v>
                </c:pt>
                <c:pt idx="2">
                  <c:v>vs. Gonzalez</c:v>
                </c:pt>
                <c:pt idx="3">
                  <c:v>vs. Le</c:v>
                </c:pt>
                <c:pt idx="4">
                  <c:v>vs. Lopez</c:v>
                </c:pt>
                <c:pt idx="5">
                  <c:v>vs. McCart</c:v>
                </c:pt>
                <c:pt idx="6">
                  <c:v>vs. Rodriguez</c:v>
                </c:pt>
                <c:pt idx="7">
                  <c:v>(blank)</c:v>
                </c:pt>
                <c:pt idx="8">
                  <c:v>Gun Enhancements</c:v>
                </c:pt>
                <c:pt idx="9">
                  <c:v>vs. Cook</c:v>
                </c:pt>
                <c:pt idx="10">
                  <c:v>vs. Manfredi</c:v>
                </c:pt>
                <c:pt idx="11">
                  <c:v>667(a) Prior Prison</c:v>
                </c:pt>
              </c:strCache>
            </c:strRef>
          </c:cat>
          <c:val>
            <c:numRef>
              <c:f>'PivotTables-OnlyRefreshData'!$K$4:$K$16</c:f>
              <c:numCache>
                <c:formatCode>General</c:formatCode>
                <c:ptCount val="12"/>
                <c:pt idx="0">
                  <c:v>127</c:v>
                </c:pt>
                <c:pt idx="1">
                  <c:v>3</c:v>
                </c:pt>
                <c:pt idx="2">
                  <c:v>253</c:v>
                </c:pt>
                <c:pt idx="3">
                  <c:v>101</c:v>
                </c:pt>
                <c:pt idx="4">
                  <c:v>7</c:v>
                </c:pt>
                <c:pt idx="5">
                  <c:v>132</c:v>
                </c:pt>
                <c:pt idx="6">
                  <c:v>120</c:v>
                </c:pt>
                <c:pt idx="7">
                  <c:v>0</c:v>
                </c:pt>
                <c:pt idx="8">
                  <c:v>196</c:v>
                </c:pt>
                <c:pt idx="9">
                  <c:v>6</c:v>
                </c:pt>
                <c:pt idx="10">
                  <c:v>22</c:v>
                </c:pt>
                <c:pt idx="11">
                  <c:v>257</c:v>
                </c:pt>
              </c:numCache>
            </c:numRef>
          </c:val>
          <c:extLst>
            <c:ext xmlns:c16="http://schemas.microsoft.com/office/drawing/2014/chart" uri="{C3380CC4-5D6E-409C-BE32-E72D297353CC}">
              <c16:uniqueId val="{00000001-9A80-49A6-9711-626BE6D659EA}"/>
            </c:ext>
          </c:extLst>
        </c:ser>
        <c:dLbls>
          <c:showLegendKey val="0"/>
          <c:showVal val="0"/>
          <c:showCatName val="0"/>
          <c:showSerName val="0"/>
          <c:showPercent val="0"/>
          <c:showBubbleSize val="0"/>
        </c:dLbls>
        <c:gapWidth val="200"/>
        <c:axId val="132659840"/>
        <c:axId val="132665728"/>
      </c:barChart>
      <c:catAx>
        <c:axId val="132659840"/>
        <c:scaling>
          <c:orientation val="minMax"/>
        </c:scaling>
        <c:delete val="0"/>
        <c:axPos val="b"/>
        <c:numFmt formatCode="General" sourceLinked="1"/>
        <c:majorTickMark val="out"/>
        <c:minorTickMark val="none"/>
        <c:tickLblPos val="nextTo"/>
        <c:spPr>
          <a:noFill/>
          <a:ln w="9525" cap="flat" cmpd="sng" algn="ctr">
            <a:solidFill>
              <a:schemeClr val="bg1">
                <a:lumMod val="50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32665728"/>
        <c:crosses val="autoZero"/>
        <c:auto val="1"/>
        <c:lblAlgn val="ctr"/>
        <c:lblOffset val="100"/>
        <c:noMultiLvlLbl val="0"/>
      </c:catAx>
      <c:valAx>
        <c:axId val="1326657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659840"/>
        <c:crosses val="autoZero"/>
        <c:crossBetween val="between"/>
      </c:valAx>
      <c:spPr>
        <a:noFill/>
        <a:ln>
          <a:noFill/>
        </a:ln>
        <a:effectLst/>
      </c:spPr>
    </c:plotArea>
    <c:legend>
      <c:legendPos val="b"/>
      <c:layout>
        <c:manualLayout>
          <c:xMode val="edge"/>
          <c:yMode val="edge"/>
          <c:x val="0.27322889785835597"/>
          <c:y val="0.9367557180352456"/>
          <c:w val="0.41208136714596466"/>
          <c:h val="3.393940200042562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[1170 (d) Main Tracking Log (53).xlsx]PivotTables-OnlyRefreshData!PivotTable2</c:name>
    <c:fmtId val="2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effectLst/>
              </a:rPr>
              <a:t>Recall and Resentence Recommendation Program List Counties by Letters Mailed and Responses Received*</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3">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3">
              <a:lumMod val="20000"/>
              <a:lumOff val="80000"/>
            </a:schemeClr>
          </a:solidFill>
          <a:ln>
            <a:solidFill>
              <a:schemeClr val="accent3">
                <a:lumMod val="75000"/>
              </a:schemeClr>
            </a:solidFill>
            <a:prstDash val="sysDash"/>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accent3">
              <a:lumMod val="20000"/>
              <a:lumOff val="80000"/>
            </a:schemeClr>
          </a:solidFill>
          <a:ln>
            <a:solidFill>
              <a:schemeClr val="accent3">
                <a:lumMod val="7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3">
              <a:lumMod val="20000"/>
              <a:lumOff val="80000"/>
            </a:schemeClr>
          </a:solidFill>
          <a:ln>
            <a:solidFill>
              <a:schemeClr val="accent3">
                <a:lumMod val="7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3">
              <a:lumMod val="20000"/>
              <a:lumOff val="80000"/>
            </a:schemeClr>
          </a:solidFill>
          <a:ln>
            <a:solidFill>
              <a:schemeClr val="accent3">
                <a:lumMod val="7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4"/>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5"/>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6"/>
        <c:spPr>
          <a:solidFill>
            <a:schemeClr val="accent3">
              <a:lumMod val="20000"/>
              <a:lumOff val="80000"/>
            </a:schemeClr>
          </a:solidFill>
          <a:ln>
            <a:solidFill>
              <a:schemeClr val="accent3">
                <a:lumMod val="7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8"/>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39"/>
        <c:spPr>
          <a:solidFill>
            <a:schemeClr val="accent3">
              <a:lumMod val="20000"/>
              <a:lumOff val="80000"/>
            </a:schemeClr>
          </a:solidFill>
          <a:ln>
            <a:solidFill>
              <a:schemeClr val="accent3">
                <a:lumMod val="7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0"/>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1"/>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2"/>
        <c:spPr>
          <a:solidFill>
            <a:schemeClr val="accent3">
              <a:lumMod val="20000"/>
              <a:lumOff val="80000"/>
            </a:schemeClr>
          </a:solidFill>
          <a:ln>
            <a:solidFill>
              <a:schemeClr val="accent3">
                <a:lumMod val="7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5"/>
        <c:spPr>
          <a:solidFill>
            <a:schemeClr val="accent3">
              <a:lumMod val="20000"/>
              <a:lumOff val="80000"/>
            </a:schemeClr>
          </a:solidFill>
          <a:ln>
            <a:solidFill>
              <a:schemeClr val="accent3">
                <a:lumMod val="7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6"/>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48"/>
        <c:spPr>
          <a:solidFill>
            <a:schemeClr val="accent3">
              <a:lumMod val="20000"/>
              <a:lumOff val="80000"/>
            </a:schemeClr>
          </a:solidFill>
          <a:ln>
            <a:solidFill>
              <a:schemeClr val="accent3">
                <a:lumMod val="75000"/>
              </a:schemeClr>
            </a:solidFill>
            <a:prstDash val="soli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9"/>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0"/>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ysClr val="windowText" lastClr="000000"/>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1"/>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2"/>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3"/>
        <c:spPr>
          <a:solidFill>
            <a:schemeClr val="accent3">
              <a:lumMod val="20000"/>
              <a:lumOff val="8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4"/>
        <c:spPr>
          <a:solidFill>
            <a:schemeClr val="accent3">
              <a:lumMod val="60000"/>
              <a:lumOff val="40000"/>
            </a:schemeClr>
          </a:solidFill>
          <a:ln>
            <a:solidFill>
              <a:schemeClr val="accent3">
                <a:lumMod val="75000"/>
              </a:schemeClr>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5449961115971604E-2"/>
          <c:y val="9.375E-2"/>
          <c:w val="0.93545281666180613"/>
          <c:h val="0.64786745406824142"/>
        </c:manualLayout>
      </c:layout>
      <c:barChart>
        <c:barDir val="col"/>
        <c:grouping val="clustered"/>
        <c:varyColors val="0"/>
        <c:ser>
          <c:idx val="0"/>
          <c:order val="0"/>
          <c:tx>
            <c:strRef>
              <c:f>'PivotTables-OnlyRefreshData'!$O$3</c:f>
              <c:strCache>
                <c:ptCount val="1"/>
                <c:pt idx="0">
                  <c:v>Letters Mailed To Court</c:v>
                </c:pt>
              </c:strCache>
            </c:strRef>
          </c:tx>
          <c:spPr>
            <a:solidFill>
              <a:schemeClr val="accent3">
                <a:lumMod val="20000"/>
                <a:lumOff val="80000"/>
              </a:schemeClr>
            </a:solidFill>
            <a:ln>
              <a:solidFill>
                <a:schemeClr val="accent3">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'PivotTables-OnlyRefreshData'!$N$4:$N$49</c:f>
              <c:strCache>
                <c:ptCount val="45"/>
                <c:pt idx="0">
                  <c:v>Alameda</c:v>
                </c:pt>
                <c:pt idx="1">
                  <c:v>Amador*</c:v>
                </c:pt>
                <c:pt idx="2">
                  <c:v>Butte</c:v>
                </c:pt>
                <c:pt idx="3">
                  <c:v>Contra Costa</c:v>
                </c:pt>
                <c:pt idx="4">
                  <c:v>Del Norte*</c:v>
                </c:pt>
                <c:pt idx="5">
                  <c:v>Fresno*</c:v>
                </c:pt>
                <c:pt idx="6">
                  <c:v>Imperial*</c:v>
                </c:pt>
                <c:pt idx="7">
                  <c:v>Kern*</c:v>
                </c:pt>
                <c:pt idx="8">
                  <c:v>Kings*</c:v>
                </c:pt>
                <c:pt idx="9">
                  <c:v>Lassen*</c:v>
                </c:pt>
                <c:pt idx="10">
                  <c:v>Los Angeles*</c:v>
                </c:pt>
                <c:pt idx="11">
                  <c:v>Madera*</c:v>
                </c:pt>
                <c:pt idx="12">
                  <c:v>Marin*</c:v>
                </c:pt>
                <c:pt idx="13">
                  <c:v>Merced</c:v>
                </c:pt>
                <c:pt idx="14">
                  <c:v>Monterey*</c:v>
                </c:pt>
                <c:pt idx="15">
                  <c:v>Napa</c:v>
                </c:pt>
                <c:pt idx="16">
                  <c:v>Orange</c:v>
                </c:pt>
                <c:pt idx="17">
                  <c:v>Riverside*</c:v>
                </c:pt>
                <c:pt idx="18">
                  <c:v>Sacramento*</c:v>
                </c:pt>
                <c:pt idx="19">
                  <c:v>San Benito</c:v>
                </c:pt>
                <c:pt idx="20">
                  <c:v>San Bernardino*</c:v>
                </c:pt>
                <c:pt idx="21">
                  <c:v>San Diego*</c:v>
                </c:pt>
                <c:pt idx="22">
                  <c:v>San Joaquin*</c:v>
                </c:pt>
                <c:pt idx="23">
                  <c:v>San Luis Obispo*</c:v>
                </c:pt>
                <c:pt idx="24">
                  <c:v>San Mateo</c:v>
                </c:pt>
                <c:pt idx="25">
                  <c:v>Santa Clara</c:v>
                </c:pt>
                <c:pt idx="26">
                  <c:v>Solano*</c:v>
                </c:pt>
                <c:pt idx="27">
                  <c:v>Sonoma</c:v>
                </c:pt>
                <c:pt idx="28">
                  <c:v>Stanislaus</c:v>
                </c:pt>
                <c:pt idx="29">
                  <c:v>Tulare</c:v>
                </c:pt>
                <c:pt idx="30">
                  <c:v>Ventura</c:v>
                </c:pt>
                <c:pt idx="31">
                  <c:v>Yolo</c:v>
                </c:pt>
                <c:pt idx="32">
                  <c:v>(blank)</c:v>
                </c:pt>
                <c:pt idx="33">
                  <c:v>Santa Cruz</c:v>
                </c:pt>
                <c:pt idx="34">
                  <c:v>Santa Barbara</c:v>
                </c:pt>
                <c:pt idx="35">
                  <c:v>Sutter</c:v>
                </c:pt>
                <c:pt idx="36">
                  <c:v>Placer</c:v>
                </c:pt>
                <c:pt idx="37">
                  <c:v>El Dorado</c:v>
                </c:pt>
                <c:pt idx="38">
                  <c:v>Shasta</c:v>
                </c:pt>
                <c:pt idx="39">
                  <c:v>Mendocino</c:v>
                </c:pt>
                <c:pt idx="40">
                  <c:v>Yuba</c:v>
                </c:pt>
                <c:pt idx="41">
                  <c:v>Siskiyou</c:v>
                </c:pt>
                <c:pt idx="42">
                  <c:v>Tuolumne*</c:v>
                </c:pt>
                <c:pt idx="43">
                  <c:v>Tehama</c:v>
                </c:pt>
                <c:pt idx="44">
                  <c:v>San Francisco</c:v>
                </c:pt>
              </c:strCache>
            </c:strRef>
          </c:cat>
          <c:val>
            <c:numRef>
              <c:f>'PivotTables-OnlyRefreshData'!$O$4:$O$49</c:f>
              <c:numCache>
                <c:formatCode>General</c:formatCode>
                <c:ptCount val="45"/>
                <c:pt idx="0">
                  <c:v>8</c:v>
                </c:pt>
                <c:pt idx="1">
                  <c:v>7</c:v>
                </c:pt>
                <c:pt idx="2">
                  <c:v>3</c:v>
                </c:pt>
                <c:pt idx="3">
                  <c:v>6</c:v>
                </c:pt>
                <c:pt idx="4">
                  <c:v>2</c:v>
                </c:pt>
                <c:pt idx="5">
                  <c:v>23</c:v>
                </c:pt>
                <c:pt idx="6">
                  <c:v>34</c:v>
                </c:pt>
                <c:pt idx="7">
                  <c:v>35</c:v>
                </c:pt>
                <c:pt idx="8">
                  <c:v>19</c:v>
                </c:pt>
                <c:pt idx="9">
                  <c:v>12</c:v>
                </c:pt>
                <c:pt idx="10">
                  <c:v>268</c:v>
                </c:pt>
                <c:pt idx="11">
                  <c:v>2</c:v>
                </c:pt>
                <c:pt idx="12">
                  <c:v>1</c:v>
                </c:pt>
                <c:pt idx="13">
                  <c:v>23</c:v>
                </c:pt>
                <c:pt idx="14">
                  <c:v>37</c:v>
                </c:pt>
                <c:pt idx="15">
                  <c:v>7</c:v>
                </c:pt>
                <c:pt idx="16">
                  <c:v>40</c:v>
                </c:pt>
                <c:pt idx="17">
                  <c:v>74</c:v>
                </c:pt>
                <c:pt idx="18">
                  <c:v>59</c:v>
                </c:pt>
                <c:pt idx="19">
                  <c:v>7</c:v>
                </c:pt>
                <c:pt idx="20">
                  <c:v>34</c:v>
                </c:pt>
                <c:pt idx="21">
                  <c:v>47</c:v>
                </c:pt>
                <c:pt idx="22">
                  <c:v>15</c:v>
                </c:pt>
                <c:pt idx="23">
                  <c:v>19</c:v>
                </c:pt>
                <c:pt idx="24">
                  <c:v>3</c:v>
                </c:pt>
                <c:pt idx="25">
                  <c:v>34</c:v>
                </c:pt>
                <c:pt idx="26">
                  <c:v>11</c:v>
                </c:pt>
                <c:pt idx="27">
                  <c:v>15</c:v>
                </c:pt>
                <c:pt idx="28">
                  <c:v>10</c:v>
                </c:pt>
                <c:pt idx="29">
                  <c:v>33</c:v>
                </c:pt>
                <c:pt idx="30">
                  <c:v>7</c:v>
                </c:pt>
                <c:pt idx="31">
                  <c:v>9</c:v>
                </c:pt>
                <c:pt idx="33">
                  <c:v>2</c:v>
                </c:pt>
                <c:pt idx="34">
                  <c:v>2</c:v>
                </c:pt>
                <c:pt idx="35">
                  <c:v>2</c:v>
                </c:pt>
                <c:pt idx="36">
                  <c:v>1</c:v>
                </c:pt>
                <c:pt idx="37">
                  <c:v>1</c:v>
                </c:pt>
                <c:pt idx="38">
                  <c:v>1</c:v>
                </c:pt>
                <c:pt idx="39">
                  <c:v>3</c:v>
                </c:pt>
                <c:pt idx="40">
                  <c:v>2</c:v>
                </c:pt>
                <c:pt idx="41">
                  <c:v>1</c:v>
                </c:pt>
                <c:pt idx="42">
                  <c:v>6</c:v>
                </c:pt>
                <c:pt idx="43">
                  <c:v>1</c:v>
                </c:pt>
              </c:numCache>
            </c:numRef>
          </c:val>
          <c:extLst>
            <c:ext xmlns:c16="http://schemas.microsoft.com/office/drawing/2014/chart" uri="{C3380CC4-5D6E-409C-BE32-E72D297353CC}">
              <c16:uniqueId val="{00000000-7622-4C3E-8CEA-4F2BE11D0983}"/>
            </c:ext>
          </c:extLst>
        </c:ser>
        <c:ser>
          <c:idx val="1"/>
          <c:order val="1"/>
          <c:tx>
            <c:strRef>
              <c:f>'PivotTables-OnlyRefreshData'!$P$3</c:f>
              <c:strCache>
                <c:ptCount val="1"/>
                <c:pt idx="0">
                  <c:v>Responses Received by Court</c:v>
                </c:pt>
              </c:strCache>
            </c:strRef>
          </c:tx>
          <c:spPr>
            <a:solidFill>
              <a:schemeClr val="accent3">
                <a:lumMod val="60000"/>
                <a:lumOff val="40000"/>
              </a:schemeClr>
            </a:solidFill>
            <a:ln>
              <a:solidFill>
                <a:schemeClr val="accent3">
                  <a:lumMod val="75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'PivotTables-OnlyRefreshData'!$N$4:$N$49</c:f>
              <c:strCache>
                <c:ptCount val="45"/>
                <c:pt idx="0">
                  <c:v>Alameda</c:v>
                </c:pt>
                <c:pt idx="1">
                  <c:v>Amador*</c:v>
                </c:pt>
                <c:pt idx="2">
                  <c:v>Butte</c:v>
                </c:pt>
                <c:pt idx="3">
                  <c:v>Contra Costa</c:v>
                </c:pt>
                <c:pt idx="4">
                  <c:v>Del Norte*</c:v>
                </c:pt>
                <c:pt idx="5">
                  <c:v>Fresno*</c:v>
                </c:pt>
                <c:pt idx="6">
                  <c:v>Imperial*</c:v>
                </c:pt>
                <c:pt idx="7">
                  <c:v>Kern*</c:v>
                </c:pt>
                <c:pt idx="8">
                  <c:v>Kings*</c:v>
                </c:pt>
                <c:pt idx="9">
                  <c:v>Lassen*</c:v>
                </c:pt>
                <c:pt idx="10">
                  <c:v>Los Angeles*</c:v>
                </c:pt>
                <c:pt idx="11">
                  <c:v>Madera*</c:v>
                </c:pt>
                <c:pt idx="12">
                  <c:v>Marin*</c:v>
                </c:pt>
                <c:pt idx="13">
                  <c:v>Merced</c:v>
                </c:pt>
                <c:pt idx="14">
                  <c:v>Monterey*</c:v>
                </c:pt>
                <c:pt idx="15">
                  <c:v>Napa</c:v>
                </c:pt>
                <c:pt idx="16">
                  <c:v>Orange</c:v>
                </c:pt>
                <c:pt idx="17">
                  <c:v>Riverside*</c:v>
                </c:pt>
                <c:pt idx="18">
                  <c:v>Sacramento*</c:v>
                </c:pt>
                <c:pt idx="19">
                  <c:v>San Benito</c:v>
                </c:pt>
                <c:pt idx="20">
                  <c:v>San Bernardino*</c:v>
                </c:pt>
                <c:pt idx="21">
                  <c:v>San Diego*</c:v>
                </c:pt>
                <c:pt idx="22">
                  <c:v>San Joaquin*</c:v>
                </c:pt>
                <c:pt idx="23">
                  <c:v>San Luis Obispo*</c:v>
                </c:pt>
                <c:pt idx="24">
                  <c:v>San Mateo</c:v>
                </c:pt>
                <c:pt idx="25">
                  <c:v>Santa Clara</c:v>
                </c:pt>
                <c:pt idx="26">
                  <c:v>Solano*</c:v>
                </c:pt>
                <c:pt idx="27">
                  <c:v>Sonoma</c:v>
                </c:pt>
                <c:pt idx="28">
                  <c:v>Stanislaus</c:v>
                </c:pt>
                <c:pt idx="29">
                  <c:v>Tulare</c:v>
                </c:pt>
                <c:pt idx="30">
                  <c:v>Ventura</c:v>
                </c:pt>
                <c:pt idx="31">
                  <c:v>Yolo</c:v>
                </c:pt>
                <c:pt idx="32">
                  <c:v>(blank)</c:v>
                </c:pt>
                <c:pt idx="33">
                  <c:v>Santa Cruz</c:v>
                </c:pt>
                <c:pt idx="34">
                  <c:v>Santa Barbara</c:v>
                </c:pt>
                <c:pt idx="35">
                  <c:v>Sutter</c:v>
                </c:pt>
                <c:pt idx="36">
                  <c:v>Placer</c:v>
                </c:pt>
                <c:pt idx="37">
                  <c:v>El Dorado</c:v>
                </c:pt>
                <c:pt idx="38">
                  <c:v>Shasta</c:v>
                </c:pt>
                <c:pt idx="39">
                  <c:v>Mendocino</c:v>
                </c:pt>
                <c:pt idx="40">
                  <c:v>Yuba</c:v>
                </c:pt>
                <c:pt idx="41">
                  <c:v>Siskiyou</c:v>
                </c:pt>
                <c:pt idx="42">
                  <c:v>Tuolumne*</c:v>
                </c:pt>
                <c:pt idx="43">
                  <c:v>Tehama</c:v>
                </c:pt>
                <c:pt idx="44">
                  <c:v>San Francisco</c:v>
                </c:pt>
              </c:strCache>
            </c:strRef>
          </c:cat>
          <c:val>
            <c:numRef>
              <c:f>'PivotTables-OnlyRefreshData'!$P$4:$P$49</c:f>
              <c:numCache>
                <c:formatCode>General</c:formatCode>
                <c:ptCount val="45"/>
                <c:pt idx="0">
                  <c:v>5</c:v>
                </c:pt>
                <c:pt idx="1">
                  <c:v>5</c:v>
                </c:pt>
                <c:pt idx="2">
                  <c:v>3</c:v>
                </c:pt>
                <c:pt idx="3">
                  <c:v>3</c:v>
                </c:pt>
                <c:pt idx="5">
                  <c:v>20</c:v>
                </c:pt>
                <c:pt idx="6">
                  <c:v>30</c:v>
                </c:pt>
                <c:pt idx="7">
                  <c:v>28</c:v>
                </c:pt>
                <c:pt idx="8">
                  <c:v>10</c:v>
                </c:pt>
                <c:pt idx="9">
                  <c:v>12</c:v>
                </c:pt>
                <c:pt idx="10">
                  <c:v>211</c:v>
                </c:pt>
                <c:pt idx="11">
                  <c:v>2</c:v>
                </c:pt>
                <c:pt idx="12">
                  <c:v>1</c:v>
                </c:pt>
                <c:pt idx="13">
                  <c:v>18</c:v>
                </c:pt>
                <c:pt idx="14">
                  <c:v>28</c:v>
                </c:pt>
                <c:pt idx="15">
                  <c:v>7</c:v>
                </c:pt>
                <c:pt idx="16">
                  <c:v>30</c:v>
                </c:pt>
                <c:pt idx="17">
                  <c:v>52</c:v>
                </c:pt>
                <c:pt idx="18">
                  <c:v>44</c:v>
                </c:pt>
                <c:pt idx="19">
                  <c:v>6</c:v>
                </c:pt>
                <c:pt idx="20">
                  <c:v>28</c:v>
                </c:pt>
                <c:pt idx="21">
                  <c:v>43</c:v>
                </c:pt>
                <c:pt idx="22">
                  <c:v>15</c:v>
                </c:pt>
                <c:pt idx="23">
                  <c:v>17</c:v>
                </c:pt>
                <c:pt idx="24">
                  <c:v>3</c:v>
                </c:pt>
                <c:pt idx="25">
                  <c:v>32</c:v>
                </c:pt>
                <c:pt idx="26">
                  <c:v>11</c:v>
                </c:pt>
                <c:pt idx="27">
                  <c:v>15</c:v>
                </c:pt>
                <c:pt idx="28">
                  <c:v>10</c:v>
                </c:pt>
                <c:pt idx="29">
                  <c:v>28</c:v>
                </c:pt>
                <c:pt idx="30">
                  <c:v>6</c:v>
                </c:pt>
                <c:pt idx="31">
                  <c:v>7</c:v>
                </c:pt>
                <c:pt idx="34">
                  <c:v>2</c:v>
                </c:pt>
                <c:pt idx="35">
                  <c:v>2</c:v>
                </c:pt>
                <c:pt idx="36">
                  <c:v>1</c:v>
                </c:pt>
                <c:pt idx="38">
                  <c:v>1</c:v>
                </c:pt>
                <c:pt idx="39">
                  <c:v>3</c:v>
                </c:pt>
                <c:pt idx="40">
                  <c:v>2</c:v>
                </c:pt>
                <c:pt idx="41">
                  <c:v>1</c:v>
                </c:pt>
                <c:pt idx="42">
                  <c:v>5</c:v>
                </c:pt>
                <c:pt idx="43">
                  <c:v>1</c:v>
                </c:pt>
              </c:numCache>
            </c:numRef>
          </c:val>
          <c:extLst>
            <c:ext xmlns:c16="http://schemas.microsoft.com/office/drawing/2014/chart" uri="{C3380CC4-5D6E-409C-BE32-E72D297353CC}">
              <c16:uniqueId val="{00000001-7622-4C3E-8CEA-4F2BE11D0983}"/>
            </c:ext>
          </c:extLst>
        </c:ser>
        <c:dLbls>
          <c:showLegendKey val="0"/>
          <c:showVal val="0"/>
          <c:showCatName val="0"/>
          <c:showSerName val="0"/>
          <c:showPercent val="0"/>
          <c:showBubbleSize val="0"/>
        </c:dLbls>
        <c:gapWidth val="50"/>
        <c:axId val="133140864"/>
        <c:axId val="133142400"/>
      </c:barChart>
      <c:catAx>
        <c:axId val="133140864"/>
        <c:scaling>
          <c:orientation val="minMax"/>
        </c:scaling>
        <c:delete val="0"/>
        <c:axPos val="b"/>
        <c:numFmt formatCode="General" sourceLinked="1"/>
        <c:majorTickMark val="out"/>
        <c:minorTickMark val="none"/>
        <c:tickLblPos val="nextTo"/>
        <c:spPr>
          <a:noFill/>
          <a:ln w="9525" cap="flat" cmpd="sng" algn="ctr">
            <a:solidFill>
              <a:schemeClr val="bg1">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42400"/>
        <c:crosses val="autoZero"/>
        <c:auto val="1"/>
        <c:lblAlgn val="ctr"/>
        <c:lblOffset val="100"/>
        <c:noMultiLvlLbl val="0"/>
      </c:catAx>
      <c:valAx>
        <c:axId val="1331424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140864"/>
        <c:crosses val="autoZero"/>
        <c:crossBetween val="between"/>
      </c:valAx>
      <c:spPr>
        <a:noFill/>
        <a:ln>
          <a:noFill/>
        </a:ln>
        <a:effectLst/>
      </c:spPr>
    </c:plotArea>
    <c:legend>
      <c:legendPos val="b"/>
      <c:layout>
        <c:manualLayout>
          <c:xMode val="edge"/>
          <c:yMode val="edge"/>
          <c:x val="0.28712385216553815"/>
          <c:y val="0.89273247094113239"/>
          <c:w val="0.42031908412154573"/>
          <c:h val="3.3939402000425625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landscape"/>
  </c:printSettings>
  <c:userShapes r:id="rId3"/>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1170(d) (1) </a:t>
            </a:r>
            <a:r>
              <a:rPr lang="en-US" sz="1400" b="1" i="0" u="none" strike="noStrike" baseline="0">
                <a:effectLst/>
              </a:rPr>
              <a:t>Recall and Resentencing Task Force Effort List by County* and Cohort</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1"/>
          </a:solidFill>
          <a:ln>
            <a:noFill/>
          </a:ln>
          <a:effectLst/>
        </c:spPr>
        <c:marker>
          <c:symbol val="none"/>
        </c:marker>
      </c:pivotFmt>
      <c:pivotFmt>
        <c:idx val="5"/>
        <c:spPr>
          <a:solidFill>
            <a:schemeClr val="accent1"/>
          </a:solidFill>
          <a:ln>
            <a:noFill/>
          </a:ln>
          <a:effectLst/>
        </c:spPr>
        <c:marker>
          <c:symbol val="none"/>
        </c:marker>
      </c:pivotFmt>
      <c:pivotFmt>
        <c:idx val="6"/>
        <c:spPr>
          <a:solidFill>
            <a:schemeClr val="accent1"/>
          </a:solidFill>
          <a:ln>
            <a:noFill/>
          </a:ln>
          <a:effectLst/>
        </c:spPr>
        <c:marker>
          <c:symbol val="none"/>
        </c:marker>
      </c:pivotFmt>
      <c:pivotFmt>
        <c:idx val="7"/>
        <c:spPr>
          <a:solidFill>
            <a:schemeClr val="accent1"/>
          </a:solidFill>
          <a:ln>
            <a:noFill/>
          </a:ln>
          <a:effectLst/>
        </c:spPr>
        <c:marker>
          <c:symbol val="none"/>
        </c:marker>
      </c:pivotFmt>
      <c:pivotFmt>
        <c:idx val="8"/>
        <c:spPr>
          <a:solidFill>
            <a:schemeClr val="accent1"/>
          </a:solidFill>
          <a:ln>
            <a:noFill/>
          </a:ln>
          <a:effectLst/>
        </c:spPr>
        <c:marker>
          <c:symbol val="none"/>
        </c:marker>
      </c:pivotFmt>
      <c:pivotFmt>
        <c:idx val="9"/>
        <c:spPr>
          <a:solidFill>
            <a:schemeClr val="accent1"/>
          </a:solidFill>
          <a:ln>
            <a:noFill/>
          </a:ln>
          <a:effectLst/>
        </c:spPr>
        <c:marker>
          <c:symbol val="none"/>
        </c:marker>
      </c:pivotFmt>
      <c:pivotFmt>
        <c:idx val="10"/>
        <c:spPr>
          <a:solidFill>
            <a:schemeClr val="accent1"/>
          </a:solidFill>
          <a:ln>
            <a:noFill/>
          </a:ln>
          <a:effectLst/>
        </c:spPr>
        <c:marker>
          <c:symbol val="none"/>
        </c:marker>
      </c:pivotFmt>
      <c:pivotFmt>
        <c:idx val="11"/>
        <c:spPr>
          <a:solidFill>
            <a:schemeClr val="accent1"/>
          </a:solidFill>
          <a:ln>
            <a:noFill/>
          </a:ln>
          <a:effectLst/>
        </c:spPr>
        <c:marker>
          <c:symbol val="none"/>
        </c:marker>
      </c:pivotFmt>
      <c:pivotFmt>
        <c:idx val="12"/>
        <c:spPr>
          <a:solidFill>
            <a:schemeClr val="accent1"/>
          </a:solidFill>
          <a:ln>
            <a:noFill/>
          </a:ln>
          <a:effectLst/>
        </c:spPr>
        <c:marker>
          <c:symbol val="none"/>
        </c:marker>
      </c:pivotFmt>
      <c:pivotFmt>
        <c:idx val="13"/>
        <c:spPr>
          <a:solidFill>
            <a:schemeClr val="accent1"/>
          </a:solidFill>
          <a:ln>
            <a:noFill/>
          </a:ln>
          <a:effectLst/>
        </c:spPr>
        <c:marker>
          <c:symbol val="none"/>
        </c:marker>
      </c:pivotFmt>
      <c:pivotFmt>
        <c:idx val="14"/>
        <c:spPr>
          <a:solidFill>
            <a:schemeClr val="accent1"/>
          </a:solidFill>
          <a:ln>
            <a:noFill/>
          </a:ln>
          <a:effectLst/>
        </c:spPr>
        <c:marker>
          <c:symbol val="none"/>
        </c:marker>
      </c:pivotFmt>
      <c:pivotFmt>
        <c:idx val="15"/>
        <c:spPr>
          <a:solidFill>
            <a:schemeClr val="accent1"/>
          </a:solidFill>
          <a:ln>
            <a:noFill/>
          </a:ln>
          <a:effectLst/>
        </c:spPr>
        <c:marker>
          <c:symbol val="none"/>
        </c:marker>
      </c:pivotFmt>
      <c:pivotFmt>
        <c:idx val="16"/>
        <c:spPr>
          <a:solidFill>
            <a:schemeClr val="accent1"/>
          </a:solidFill>
          <a:ln>
            <a:noFill/>
          </a:ln>
          <a:effectLst/>
        </c:spPr>
        <c:marker>
          <c:symbol val="none"/>
        </c:marker>
      </c:pivotFmt>
      <c:pivotFmt>
        <c:idx val="17"/>
        <c:spPr>
          <a:solidFill>
            <a:schemeClr val="accent1"/>
          </a:solidFill>
          <a:ln>
            <a:noFill/>
          </a:ln>
          <a:effectLst/>
        </c:spPr>
        <c:marker>
          <c:symbol val="none"/>
        </c:marker>
      </c:pivotFmt>
      <c:pivotFmt>
        <c:idx val="18"/>
        <c:spPr>
          <a:solidFill>
            <a:schemeClr val="accent1"/>
          </a:solidFill>
          <a:ln>
            <a:noFill/>
          </a:ln>
          <a:effectLst/>
        </c:spPr>
        <c:marker>
          <c:symbol val="none"/>
        </c:marker>
      </c:pivotFmt>
      <c:pivotFmt>
        <c:idx val="19"/>
        <c:spPr>
          <a:solidFill>
            <a:schemeClr val="accent1"/>
          </a:solidFill>
          <a:ln>
            <a:noFill/>
          </a:ln>
          <a:effectLst/>
        </c:spPr>
        <c:marker>
          <c:symbol val="none"/>
        </c:marker>
      </c:pivotFmt>
      <c:pivotFmt>
        <c:idx val="20"/>
        <c:spPr>
          <a:solidFill>
            <a:schemeClr val="accent1"/>
          </a:solidFill>
          <a:ln>
            <a:noFill/>
          </a:ln>
          <a:effectLst/>
        </c:spPr>
        <c:marker>
          <c:symbol val="none"/>
        </c:marker>
      </c:pivotFmt>
      <c:pivotFmt>
        <c:idx val="21"/>
        <c:spPr>
          <a:solidFill>
            <a:schemeClr val="accent1"/>
          </a:solidFill>
          <a:ln>
            <a:noFill/>
          </a:ln>
          <a:effectLst/>
        </c:spPr>
        <c:marker>
          <c:symbol val="none"/>
        </c:marker>
      </c:pivotFmt>
      <c:pivotFmt>
        <c:idx val="22"/>
        <c:spPr>
          <a:solidFill>
            <a:schemeClr val="accent1"/>
          </a:solidFill>
          <a:ln>
            <a:noFill/>
          </a:ln>
          <a:effectLst/>
        </c:spPr>
        <c:marker>
          <c:symbol val="none"/>
        </c:marker>
      </c:pivotFmt>
      <c:pivotFmt>
        <c:idx val="23"/>
        <c:spPr>
          <a:solidFill>
            <a:schemeClr val="accent1"/>
          </a:solidFill>
          <a:ln>
            <a:noFill/>
          </a:ln>
          <a:effectLst/>
        </c:spPr>
        <c:marker>
          <c:symbol val="none"/>
        </c:marker>
      </c:pivotFmt>
      <c:pivotFmt>
        <c:idx val="24"/>
        <c:spPr>
          <a:solidFill>
            <a:schemeClr val="accent1"/>
          </a:solidFill>
          <a:ln>
            <a:noFill/>
          </a:ln>
          <a:effectLst/>
        </c:spPr>
        <c:marker>
          <c:symbol val="none"/>
        </c:marker>
      </c:pivotFmt>
      <c:pivotFmt>
        <c:idx val="25"/>
        <c:spPr>
          <a:solidFill>
            <a:schemeClr val="accent1"/>
          </a:solidFill>
          <a:ln>
            <a:noFill/>
          </a:ln>
          <a:effectLst/>
        </c:spPr>
        <c:marker>
          <c:symbol val="none"/>
        </c:marker>
      </c:pivotFmt>
      <c:pivotFmt>
        <c:idx val="26"/>
        <c:spPr>
          <a:solidFill>
            <a:schemeClr val="accent1"/>
          </a:solidFill>
          <a:ln>
            <a:noFill/>
          </a:ln>
          <a:effectLst/>
        </c:spPr>
        <c:marker>
          <c:symbol val="none"/>
        </c:marke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marker>
          <c:symbol val="none"/>
        </c:marker>
      </c:pivotFmt>
      <c:pivotFmt>
        <c:idx val="30"/>
        <c:spPr>
          <a:solidFill>
            <a:schemeClr val="accent1"/>
          </a:solidFill>
          <a:ln>
            <a:noFill/>
          </a:ln>
          <a:effectLst/>
        </c:spPr>
        <c:marker>
          <c:symbol val="none"/>
        </c:marker>
      </c:pivotFmt>
      <c:pivotFmt>
        <c:idx val="31"/>
        <c:spPr>
          <a:solidFill>
            <a:schemeClr val="accent1"/>
          </a:solidFill>
          <a:ln>
            <a:noFill/>
          </a:ln>
          <a:effectLst/>
        </c:spPr>
        <c:marker>
          <c:symbol val="none"/>
        </c:marker>
      </c:pivotFmt>
      <c:pivotFmt>
        <c:idx val="32"/>
        <c:spPr>
          <a:solidFill>
            <a:schemeClr val="accent1"/>
          </a:solidFill>
          <a:ln>
            <a:noFill/>
          </a:ln>
          <a:effectLst/>
        </c:spPr>
        <c:marker>
          <c:symbol val="none"/>
        </c:marker>
      </c:pivotFmt>
      <c:pivotFmt>
        <c:idx val="33"/>
        <c:spPr>
          <a:solidFill>
            <a:schemeClr val="accent1"/>
          </a:solidFill>
          <a:ln>
            <a:noFill/>
          </a:ln>
          <a:effectLst/>
        </c:spPr>
        <c:marker>
          <c:symbol val="none"/>
        </c:marker>
      </c:pivotFmt>
      <c:pivotFmt>
        <c:idx val="34"/>
        <c:spPr>
          <a:solidFill>
            <a:schemeClr val="accent1"/>
          </a:solidFill>
          <a:ln>
            <a:noFill/>
          </a:ln>
          <a:effectLst/>
        </c:spPr>
        <c:marker>
          <c:symbol val="none"/>
        </c:marker>
      </c:pivotFmt>
      <c:pivotFmt>
        <c:idx val="35"/>
        <c:spPr>
          <a:solidFill>
            <a:schemeClr val="accent1"/>
          </a:solidFill>
          <a:ln>
            <a:noFill/>
          </a:ln>
          <a:effectLst/>
        </c:spPr>
        <c:marker>
          <c:symbol val="none"/>
        </c:marker>
      </c:pivotFmt>
      <c:pivotFmt>
        <c:idx val="36"/>
        <c:spPr>
          <a:solidFill>
            <a:schemeClr val="accent1"/>
          </a:solidFill>
          <a:ln>
            <a:noFill/>
          </a:ln>
          <a:effectLst/>
        </c:spPr>
        <c:marker>
          <c:symbol val="none"/>
        </c:marker>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1"/>
          </a:solidFill>
          <a:ln>
            <a:noFill/>
          </a:ln>
          <a:effectLst/>
        </c:spPr>
        <c:marker>
          <c:symbol val="none"/>
        </c:marker>
      </c:pivotFmt>
      <c:pivotFmt>
        <c:idx val="43"/>
        <c:spPr>
          <a:solidFill>
            <a:schemeClr val="accent1"/>
          </a:solidFill>
          <a:ln>
            <a:noFill/>
          </a:ln>
          <a:effectLst/>
        </c:spPr>
        <c:marker>
          <c:symbol val="none"/>
        </c:marker>
      </c:pivotFmt>
      <c:pivotFmt>
        <c:idx val="44"/>
        <c:spPr>
          <a:solidFill>
            <a:schemeClr val="accent1"/>
          </a:solidFill>
          <a:ln>
            <a:noFill/>
          </a:ln>
          <a:effectLst/>
        </c:spPr>
        <c:marker>
          <c:symbol val="none"/>
        </c:marker>
      </c:pivotFmt>
      <c:pivotFmt>
        <c:idx val="45"/>
        <c:spPr>
          <a:solidFill>
            <a:schemeClr val="accent1"/>
          </a:solidFill>
          <a:ln>
            <a:noFill/>
          </a:ln>
          <a:effectLst/>
        </c:spPr>
        <c:marker>
          <c:symbol val="none"/>
        </c:marker>
      </c:pivotFmt>
      <c:pivotFmt>
        <c:idx val="46"/>
        <c:spPr>
          <a:solidFill>
            <a:schemeClr val="accent1"/>
          </a:solidFill>
          <a:ln>
            <a:noFill/>
          </a:ln>
          <a:effectLst/>
        </c:spPr>
        <c:marker>
          <c:symbol val="none"/>
        </c:marker>
      </c:pivotFmt>
      <c:pivotFmt>
        <c:idx val="47"/>
        <c:spPr>
          <a:solidFill>
            <a:schemeClr val="accent1"/>
          </a:solidFill>
          <a:ln>
            <a:noFill/>
          </a:ln>
          <a:effectLst/>
        </c:spPr>
        <c:marker>
          <c:symbol val="none"/>
        </c:marker>
      </c:pivotFmt>
      <c:pivotFmt>
        <c:idx val="48"/>
        <c:spPr>
          <a:solidFill>
            <a:schemeClr val="accent1"/>
          </a:solidFill>
          <a:ln>
            <a:noFill/>
          </a:ln>
          <a:effectLst/>
        </c:spPr>
        <c:marker>
          <c:symbol val="none"/>
        </c:marker>
      </c:pivotFmt>
      <c:pivotFmt>
        <c:idx val="49"/>
        <c:spPr>
          <a:solidFill>
            <a:schemeClr val="accent1"/>
          </a:solidFill>
          <a:ln>
            <a:noFill/>
          </a:ln>
          <a:effectLst/>
        </c:spPr>
        <c:marker>
          <c:symbol val="none"/>
        </c:marker>
      </c:pivotFmt>
      <c:pivotFmt>
        <c:idx val="50"/>
        <c:spPr>
          <a:solidFill>
            <a:schemeClr val="accent1"/>
          </a:solidFill>
          <a:ln>
            <a:noFill/>
          </a:ln>
          <a:effectLst/>
        </c:spPr>
        <c:marker>
          <c:symbol val="none"/>
        </c:marker>
      </c:pivotFmt>
      <c:pivotFmt>
        <c:idx val="51"/>
        <c:spPr>
          <a:solidFill>
            <a:schemeClr val="accent1"/>
          </a:solidFill>
          <a:ln>
            <a:noFill/>
          </a:ln>
          <a:effectLst/>
        </c:spPr>
        <c:marker>
          <c:symbol val="none"/>
        </c:marker>
      </c:pivotFmt>
      <c:pivotFmt>
        <c:idx val="52"/>
        <c:spPr>
          <a:solidFill>
            <a:schemeClr val="accent1"/>
          </a:solidFill>
          <a:ln>
            <a:noFill/>
          </a:ln>
          <a:effectLst/>
        </c:spPr>
        <c:marker>
          <c:symbol val="none"/>
        </c:marker>
      </c:pivotFmt>
      <c:pivotFmt>
        <c:idx val="53"/>
        <c:spPr>
          <a:solidFill>
            <a:schemeClr val="accent1"/>
          </a:solidFill>
          <a:ln>
            <a:noFill/>
          </a:ln>
          <a:effectLst/>
        </c:spPr>
        <c:marker>
          <c:symbol val="none"/>
        </c:marker>
      </c:pivotFmt>
      <c:pivotFmt>
        <c:idx val="54"/>
        <c:spPr>
          <a:solidFill>
            <a:schemeClr val="accent1"/>
          </a:solidFill>
          <a:ln>
            <a:noFill/>
          </a:ln>
          <a:effectLst/>
        </c:spPr>
        <c:marker>
          <c:symbol val="none"/>
        </c:marker>
      </c:pivotFmt>
      <c:pivotFmt>
        <c:idx val="55"/>
        <c:spPr>
          <a:solidFill>
            <a:schemeClr val="accent5">
              <a:lumMod val="60000"/>
              <a:lumOff val="40000"/>
            </a:schemeClr>
          </a:solidFill>
          <a:ln>
            <a:noFill/>
          </a:ln>
          <a:effectLst/>
        </c:spPr>
        <c:marker>
          <c:symbol val="none"/>
        </c:marker>
      </c:pivotFmt>
      <c:pivotFmt>
        <c:idx val="56"/>
        <c:spPr>
          <a:solidFill>
            <a:schemeClr val="accent3">
              <a:lumMod val="60000"/>
              <a:lumOff val="40000"/>
            </a:schemeClr>
          </a:solidFill>
          <a:ln>
            <a:noFill/>
          </a:ln>
          <a:effectLst/>
        </c:spPr>
        <c:marker>
          <c:symbol val="none"/>
        </c:marker>
      </c:pivotFmt>
      <c:pivotFmt>
        <c:idx val="57"/>
        <c:spPr>
          <a:solidFill>
            <a:schemeClr val="accent3">
              <a:lumMod val="75000"/>
            </a:schemeClr>
          </a:solidFill>
          <a:ln>
            <a:noFill/>
          </a:ln>
          <a:effectLst/>
        </c:spPr>
        <c:marker>
          <c:symbol val="none"/>
        </c:marker>
      </c:pivotFmt>
      <c:pivotFmt>
        <c:idx val="58"/>
        <c:spPr>
          <a:solidFill>
            <a:schemeClr val="accent1">
              <a:lumMod val="40000"/>
              <a:lumOff val="60000"/>
            </a:schemeClr>
          </a:solidFill>
          <a:ln>
            <a:noFill/>
          </a:ln>
          <a:effectLst/>
        </c:spPr>
        <c:marker>
          <c:symbol val="none"/>
        </c:marker>
      </c:pivotFmt>
      <c:pivotFmt>
        <c:idx val="59"/>
        <c:spPr>
          <a:solidFill>
            <a:schemeClr val="accent1"/>
          </a:solidFill>
          <a:ln>
            <a:noFill/>
          </a:ln>
          <a:effectLst/>
        </c:spPr>
        <c:marker>
          <c:symbol val="none"/>
        </c:marker>
      </c:pivotFmt>
      <c:pivotFmt>
        <c:idx val="60"/>
        <c:spPr>
          <a:solidFill>
            <a:schemeClr val="accent5">
              <a:lumMod val="60000"/>
              <a:lumOff val="40000"/>
            </a:schemeClr>
          </a:solidFill>
          <a:ln>
            <a:noFill/>
          </a:ln>
          <a:effectLst/>
        </c:spPr>
        <c:marker>
          <c:symbol val="none"/>
        </c:marker>
      </c:pivotFmt>
      <c:pivotFmt>
        <c:idx val="61"/>
        <c:spPr>
          <a:solidFill>
            <a:schemeClr val="accent3">
              <a:lumMod val="60000"/>
              <a:lumOff val="40000"/>
            </a:schemeClr>
          </a:solidFill>
          <a:ln>
            <a:noFill/>
          </a:ln>
          <a:effectLst/>
        </c:spPr>
        <c:marker>
          <c:symbol val="none"/>
        </c:marker>
      </c:pivotFmt>
      <c:pivotFmt>
        <c:idx val="62"/>
        <c:spPr>
          <a:solidFill>
            <a:schemeClr val="accent3">
              <a:lumMod val="75000"/>
            </a:schemeClr>
          </a:solidFill>
          <a:ln>
            <a:noFill/>
          </a:ln>
          <a:effectLst/>
        </c:spPr>
        <c:marker>
          <c:symbol val="none"/>
        </c:marker>
      </c:pivotFmt>
      <c:pivotFmt>
        <c:idx val="63"/>
        <c:spPr>
          <a:solidFill>
            <a:schemeClr val="accent1"/>
          </a:solidFill>
          <a:ln>
            <a:noFill/>
          </a:ln>
          <a:effectLst/>
        </c:spPr>
        <c:marker>
          <c:symbol val="none"/>
        </c:marker>
      </c:pivotFmt>
      <c:pivotFmt>
        <c:idx val="64"/>
        <c:spPr>
          <a:solidFill>
            <a:schemeClr val="accent5">
              <a:lumMod val="60000"/>
              <a:lumOff val="40000"/>
            </a:schemeClr>
          </a:solidFill>
          <a:ln>
            <a:noFill/>
          </a:ln>
          <a:effectLst/>
        </c:spPr>
        <c:marker>
          <c:symbol val="none"/>
        </c:marker>
      </c:pivotFmt>
      <c:pivotFmt>
        <c:idx val="65"/>
        <c:spPr>
          <a:solidFill>
            <a:schemeClr val="accent3">
              <a:lumMod val="60000"/>
              <a:lumOff val="40000"/>
            </a:schemeClr>
          </a:solidFill>
          <a:ln>
            <a:noFill/>
          </a:ln>
          <a:effectLst/>
        </c:spPr>
        <c:marker>
          <c:symbol val="none"/>
        </c:marker>
      </c:pivotFmt>
      <c:pivotFmt>
        <c:idx val="66"/>
        <c:spPr>
          <a:solidFill>
            <a:schemeClr val="accent3">
              <a:lumMod val="75000"/>
            </a:schemeClr>
          </a:solidFill>
          <a:ln>
            <a:noFill/>
          </a:ln>
          <a:effectLst/>
        </c:spPr>
        <c:marker>
          <c:symbol val="none"/>
        </c:marker>
      </c:pivotFmt>
      <c:pivotFmt>
        <c:idx val="67"/>
        <c:spPr>
          <a:solidFill>
            <a:schemeClr val="accent1"/>
          </a:solidFill>
          <a:ln>
            <a:noFill/>
          </a:ln>
          <a:effectLst/>
        </c:spPr>
        <c:marker>
          <c:symbol val="none"/>
        </c:marker>
      </c:pivotFmt>
      <c:pivotFmt>
        <c:idx val="68"/>
        <c:spPr>
          <a:solidFill>
            <a:schemeClr val="accent5">
              <a:lumMod val="60000"/>
              <a:lumOff val="40000"/>
            </a:schemeClr>
          </a:solidFill>
          <a:ln>
            <a:noFill/>
          </a:ln>
          <a:effectLst/>
        </c:spPr>
        <c:marker>
          <c:symbol val="none"/>
        </c:marker>
      </c:pivotFmt>
      <c:pivotFmt>
        <c:idx val="69"/>
        <c:spPr>
          <a:solidFill>
            <a:schemeClr val="accent3">
              <a:lumMod val="60000"/>
              <a:lumOff val="40000"/>
            </a:schemeClr>
          </a:solidFill>
          <a:ln>
            <a:noFill/>
          </a:ln>
          <a:effectLst/>
        </c:spPr>
        <c:marker>
          <c:symbol val="none"/>
        </c:marker>
      </c:pivotFmt>
      <c:pivotFmt>
        <c:idx val="70"/>
        <c:spPr>
          <a:solidFill>
            <a:schemeClr val="accent3">
              <a:lumMod val="75000"/>
            </a:schemeClr>
          </a:solidFill>
          <a:ln>
            <a:noFill/>
          </a:ln>
          <a:effectLst/>
        </c:spPr>
        <c:marker>
          <c:symbol val="none"/>
        </c:marker>
      </c:pivotFmt>
      <c:pivotFmt>
        <c:idx val="71"/>
        <c:spPr>
          <a:solidFill>
            <a:schemeClr val="accent1"/>
          </a:solidFill>
          <a:ln>
            <a:noFill/>
          </a:ln>
          <a:effectLst/>
        </c:spPr>
        <c:marker>
          <c:symbol val="none"/>
        </c:marker>
      </c:pivotFmt>
      <c:pivotFmt>
        <c:idx val="72"/>
        <c:spPr>
          <a:solidFill>
            <a:schemeClr val="accent5">
              <a:lumMod val="60000"/>
              <a:lumOff val="40000"/>
            </a:schemeClr>
          </a:solidFill>
          <a:ln>
            <a:noFill/>
          </a:ln>
          <a:effectLst/>
        </c:spPr>
        <c:marker>
          <c:symbol val="none"/>
        </c:marker>
      </c:pivotFmt>
      <c:pivotFmt>
        <c:idx val="73"/>
        <c:spPr>
          <a:solidFill>
            <a:schemeClr val="accent3">
              <a:lumMod val="60000"/>
              <a:lumOff val="40000"/>
            </a:schemeClr>
          </a:solidFill>
          <a:ln>
            <a:noFill/>
          </a:ln>
          <a:effectLst/>
        </c:spPr>
        <c:marker>
          <c:symbol val="none"/>
        </c:marker>
      </c:pivotFmt>
      <c:pivotFmt>
        <c:idx val="74"/>
        <c:spPr>
          <a:solidFill>
            <a:schemeClr val="accent3">
              <a:lumMod val="75000"/>
            </a:schemeClr>
          </a:solidFill>
          <a:ln>
            <a:noFill/>
          </a:ln>
          <a:effectLst/>
        </c:spPr>
        <c:marker>
          <c:symbol val="none"/>
        </c:marker>
      </c:pivotFmt>
      <c:pivotFmt>
        <c:idx val="75"/>
        <c:spPr>
          <a:solidFill>
            <a:schemeClr val="accent1"/>
          </a:solidFill>
          <a:ln>
            <a:noFill/>
          </a:ln>
          <a:effectLst/>
        </c:spPr>
        <c:marker>
          <c:symbol val="none"/>
        </c:marker>
      </c:pivotFmt>
      <c:pivotFmt>
        <c:idx val="76"/>
        <c:spPr>
          <a:solidFill>
            <a:schemeClr val="accent1"/>
          </a:solidFill>
          <a:ln>
            <a:noFill/>
          </a:ln>
          <a:effectLst/>
        </c:spPr>
        <c:marker>
          <c:symbol val="none"/>
        </c:marker>
      </c:pivotFmt>
      <c:pivotFmt>
        <c:idx val="77"/>
        <c:spPr>
          <a:solidFill>
            <a:schemeClr val="accent5">
              <a:lumMod val="60000"/>
              <a:lumOff val="40000"/>
            </a:schemeClr>
          </a:solidFill>
          <a:ln>
            <a:noFill/>
          </a:ln>
          <a:effectLst/>
        </c:spPr>
        <c:marker>
          <c:symbol val="none"/>
        </c:marker>
      </c:pivotFmt>
      <c:pivotFmt>
        <c:idx val="78"/>
        <c:spPr>
          <a:solidFill>
            <a:schemeClr val="accent3">
              <a:lumMod val="60000"/>
              <a:lumOff val="40000"/>
            </a:schemeClr>
          </a:solidFill>
          <a:ln>
            <a:noFill/>
          </a:ln>
          <a:effectLst/>
        </c:spPr>
        <c:marker>
          <c:symbol val="none"/>
        </c:marker>
      </c:pivotFmt>
      <c:pivotFmt>
        <c:idx val="79"/>
        <c:spPr>
          <a:solidFill>
            <a:schemeClr val="accent3">
              <a:lumMod val="75000"/>
            </a:schemeClr>
          </a:solidFill>
          <a:ln>
            <a:noFill/>
          </a:ln>
          <a:effectLst/>
        </c:spPr>
        <c:marker>
          <c:symbol val="none"/>
        </c:marker>
      </c:pivotFmt>
      <c:pivotFmt>
        <c:idx val="80"/>
        <c:spPr>
          <a:solidFill>
            <a:schemeClr val="accent1"/>
          </a:solidFill>
          <a:ln>
            <a:noFill/>
          </a:ln>
          <a:effectLst/>
        </c:spPr>
        <c:marker>
          <c:symbol val="none"/>
        </c:marker>
      </c:pivotFmt>
      <c:pivotFmt>
        <c:idx val="81"/>
        <c:spPr>
          <a:solidFill>
            <a:schemeClr val="accent1"/>
          </a:solidFill>
          <a:ln>
            <a:noFill/>
          </a:ln>
          <a:effectLst/>
        </c:spPr>
        <c:marker>
          <c:symbol val="none"/>
        </c:marker>
      </c:pivotFmt>
      <c:pivotFmt>
        <c:idx val="82"/>
        <c:spPr>
          <a:solidFill>
            <a:schemeClr val="accent5">
              <a:lumMod val="60000"/>
              <a:lumOff val="40000"/>
            </a:schemeClr>
          </a:solidFill>
          <a:ln>
            <a:noFill/>
          </a:ln>
          <a:effectLst/>
        </c:spPr>
        <c:marker>
          <c:symbol val="none"/>
        </c:marker>
      </c:pivotFmt>
      <c:pivotFmt>
        <c:idx val="83"/>
        <c:spPr>
          <a:solidFill>
            <a:schemeClr val="accent3">
              <a:lumMod val="60000"/>
              <a:lumOff val="40000"/>
            </a:schemeClr>
          </a:solidFill>
          <a:ln>
            <a:noFill/>
          </a:ln>
          <a:effectLst/>
        </c:spPr>
        <c:marker>
          <c:symbol val="none"/>
        </c:marker>
      </c:pivotFmt>
      <c:pivotFmt>
        <c:idx val="84"/>
        <c:spPr>
          <a:solidFill>
            <a:schemeClr val="accent3">
              <a:lumMod val="75000"/>
            </a:schemeClr>
          </a:solidFill>
          <a:ln>
            <a:noFill/>
          </a:ln>
          <a:effectLst/>
        </c:spPr>
        <c:marker>
          <c:symbol val="none"/>
        </c:marker>
      </c:pivotFmt>
      <c:pivotFmt>
        <c:idx val="85"/>
        <c:spPr>
          <a:solidFill>
            <a:schemeClr val="accent1"/>
          </a:solidFill>
          <a:ln>
            <a:noFill/>
          </a:ln>
          <a:effectLst/>
        </c:spPr>
        <c:marker>
          <c:symbol val="none"/>
        </c:marker>
      </c:pivotFmt>
      <c:pivotFmt>
        <c:idx val="86"/>
        <c:spPr>
          <a:solidFill>
            <a:schemeClr val="accent1"/>
          </a:solidFill>
          <a:ln>
            <a:noFill/>
          </a:ln>
          <a:effectLst/>
        </c:spPr>
        <c:marker>
          <c:symbol val="none"/>
        </c:marker>
      </c:pivotFmt>
      <c:pivotFmt>
        <c:idx val="87"/>
        <c:spPr>
          <a:solidFill>
            <a:schemeClr val="accent5">
              <a:lumMod val="60000"/>
              <a:lumOff val="40000"/>
            </a:schemeClr>
          </a:solidFill>
          <a:ln>
            <a:noFill/>
          </a:ln>
          <a:effectLst/>
        </c:spPr>
        <c:marker>
          <c:symbol val="none"/>
        </c:marker>
      </c:pivotFmt>
      <c:pivotFmt>
        <c:idx val="88"/>
        <c:spPr>
          <a:solidFill>
            <a:schemeClr val="accent3">
              <a:lumMod val="60000"/>
              <a:lumOff val="40000"/>
            </a:schemeClr>
          </a:solidFill>
          <a:ln>
            <a:noFill/>
          </a:ln>
          <a:effectLst/>
        </c:spPr>
        <c:marker>
          <c:symbol val="none"/>
        </c:marker>
      </c:pivotFmt>
      <c:pivotFmt>
        <c:idx val="89"/>
        <c:spPr>
          <a:solidFill>
            <a:schemeClr val="accent3">
              <a:lumMod val="75000"/>
            </a:schemeClr>
          </a:solidFill>
          <a:ln>
            <a:noFill/>
          </a:ln>
          <a:effectLst/>
        </c:spPr>
        <c:marker>
          <c:symbol val="none"/>
        </c:marker>
      </c:pivotFmt>
      <c:pivotFmt>
        <c:idx val="90"/>
        <c:spPr>
          <a:solidFill>
            <a:schemeClr val="accent1"/>
          </a:solidFill>
          <a:ln>
            <a:noFill/>
          </a:ln>
          <a:effectLst/>
        </c:spPr>
        <c:marker>
          <c:symbol val="none"/>
        </c:marker>
      </c:pivotFmt>
      <c:pivotFmt>
        <c:idx val="91"/>
        <c:spPr>
          <a:solidFill>
            <a:schemeClr val="accent1"/>
          </a:solidFill>
          <a:ln>
            <a:noFill/>
          </a:ln>
          <a:effectLst/>
        </c:spPr>
        <c:marker>
          <c:symbol val="none"/>
        </c:marker>
      </c:pivotFmt>
      <c:pivotFmt>
        <c:idx val="92"/>
        <c:spPr>
          <a:solidFill>
            <a:schemeClr val="accent1"/>
          </a:solidFill>
          <a:ln>
            <a:noFill/>
          </a:ln>
          <a:effectLst/>
        </c:spPr>
        <c:marker>
          <c:symbol val="none"/>
        </c:marker>
      </c:pivotFmt>
      <c:pivotFmt>
        <c:idx val="93"/>
        <c:spPr>
          <a:solidFill>
            <a:schemeClr val="accent1"/>
          </a:solidFill>
          <a:ln>
            <a:noFill/>
          </a:ln>
          <a:effectLst/>
        </c:spPr>
        <c:marker>
          <c:symbol val="none"/>
        </c:marker>
      </c:pivotFmt>
      <c:pivotFmt>
        <c:idx val="94"/>
        <c:spPr>
          <a:solidFill>
            <a:schemeClr val="accent1"/>
          </a:solidFill>
          <a:ln>
            <a:noFill/>
          </a:ln>
          <a:effectLst/>
        </c:spPr>
        <c:marker>
          <c:symbol val="none"/>
        </c:marker>
      </c:pivotFmt>
      <c:pivotFmt>
        <c:idx val="95"/>
        <c:spPr>
          <a:solidFill>
            <a:schemeClr val="accent1"/>
          </a:solidFill>
          <a:ln>
            <a:noFill/>
          </a:ln>
          <a:effectLst/>
        </c:spPr>
        <c:marker>
          <c:symbol val="none"/>
        </c:marker>
      </c:pivotFmt>
      <c:pivotFmt>
        <c:idx val="96"/>
        <c:spPr>
          <a:solidFill>
            <a:schemeClr val="accent1"/>
          </a:solidFill>
          <a:ln>
            <a:noFill/>
          </a:ln>
          <a:effectLst/>
        </c:spPr>
        <c:marker>
          <c:symbol val="none"/>
        </c:marker>
      </c:pivotFmt>
      <c:pivotFmt>
        <c:idx val="97"/>
        <c:spPr>
          <a:solidFill>
            <a:schemeClr val="accent1"/>
          </a:solidFill>
          <a:ln>
            <a:noFill/>
          </a:ln>
          <a:effectLst/>
        </c:spPr>
        <c:marker>
          <c:symbol val="none"/>
        </c:marker>
      </c:pivotFmt>
      <c:pivotFmt>
        <c:idx val="98"/>
        <c:spPr>
          <a:solidFill>
            <a:schemeClr val="accent1"/>
          </a:solidFill>
          <a:ln>
            <a:noFill/>
          </a:ln>
          <a:effectLst/>
        </c:spPr>
        <c:marker>
          <c:symbol val="none"/>
        </c:marker>
      </c:pivotFmt>
      <c:pivotFmt>
        <c:idx val="99"/>
        <c:spPr>
          <a:solidFill>
            <a:schemeClr val="accent1"/>
          </a:solidFill>
          <a:ln>
            <a:noFill/>
          </a:ln>
          <a:effectLst/>
        </c:spPr>
        <c:marker>
          <c:symbol val="none"/>
        </c:marker>
      </c:pivotFmt>
      <c:pivotFmt>
        <c:idx val="100"/>
        <c:spPr>
          <a:solidFill>
            <a:schemeClr val="accent1"/>
          </a:solidFill>
          <a:ln>
            <a:noFill/>
          </a:ln>
          <a:effectLst/>
        </c:spPr>
        <c:marker>
          <c:symbol val="none"/>
        </c:marker>
      </c:pivotFmt>
      <c:pivotFmt>
        <c:idx val="101"/>
        <c:spPr>
          <a:solidFill>
            <a:schemeClr val="accent1"/>
          </a:solidFill>
          <a:ln>
            <a:noFill/>
          </a:ln>
          <a:effectLst/>
        </c:spPr>
        <c:marker>
          <c:symbol val="none"/>
        </c:marker>
      </c:pivotFmt>
      <c:pivotFmt>
        <c:idx val="102"/>
        <c:spPr>
          <a:solidFill>
            <a:schemeClr val="accent1"/>
          </a:solidFill>
          <a:ln>
            <a:noFill/>
          </a:ln>
          <a:effectLst/>
        </c:spPr>
        <c:marker>
          <c:symbol val="none"/>
        </c:marker>
      </c:pivotFmt>
      <c:pivotFmt>
        <c:idx val="103"/>
        <c:spPr>
          <a:solidFill>
            <a:schemeClr val="accent1"/>
          </a:solidFill>
          <a:ln>
            <a:noFill/>
          </a:ln>
          <a:effectLst/>
        </c:spPr>
        <c:marker>
          <c:symbol val="none"/>
        </c:marker>
      </c:pivotFmt>
      <c:pivotFmt>
        <c:idx val="104"/>
        <c:spPr>
          <a:solidFill>
            <a:schemeClr val="accent1"/>
          </a:solidFill>
          <a:ln>
            <a:noFill/>
          </a:ln>
          <a:effectLst/>
        </c:spPr>
        <c:marker>
          <c:symbol val="none"/>
        </c:marker>
      </c:pivotFmt>
      <c:pivotFmt>
        <c:idx val="105"/>
        <c:spPr>
          <a:solidFill>
            <a:schemeClr val="accent1"/>
          </a:solidFill>
          <a:ln>
            <a:noFill/>
          </a:ln>
          <a:effectLst/>
        </c:spPr>
        <c:marker>
          <c:symbol val="none"/>
        </c:marker>
      </c:pivotFmt>
      <c:pivotFmt>
        <c:idx val="106"/>
        <c:spPr>
          <a:solidFill>
            <a:schemeClr val="accent1"/>
          </a:solidFill>
          <a:ln>
            <a:noFill/>
          </a:ln>
          <a:effectLst/>
        </c:spPr>
        <c:marker>
          <c:symbol val="none"/>
        </c:marker>
      </c:pivotFmt>
      <c:pivotFmt>
        <c:idx val="107"/>
        <c:spPr>
          <a:solidFill>
            <a:schemeClr val="accent1"/>
          </a:solidFill>
          <a:ln>
            <a:noFill/>
          </a:ln>
          <a:effectLst/>
        </c:spPr>
        <c:marker>
          <c:symbol val="none"/>
        </c:marker>
      </c:pivotFmt>
      <c:pivotFmt>
        <c:idx val="108"/>
        <c:spPr>
          <a:solidFill>
            <a:schemeClr val="accent1"/>
          </a:solidFill>
          <a:ln>
            <a:noFill/>
          </a:ln>
          <a:effectLst/>
        </c:spPr>
        <c:marker>
          <c:symbol val="none"/>
        </c:marker>
      </c:pivotFmt>
      <c:pivotFmt>
        <c:idx val="109"/>
        <c:spPr>
          <a:solidFill>
            <a:schemeClr val="accent1"/>
          </a:solidFill>
          <a:ln>
            <a:noFill/>
          </a:ln>
          <a:effectLst/>
        </c:spPr>
        <c:marker>
          <c:symbol val="none"/>
        </c:marker>
      </c:pivotFmt>
      <c:pivotFmt>
        <c:idx val="110"/>
        <c:spPr>
          <a:solidFill>
            <a:schemeClr val="accent1"/>
          </a:solidFill>
          <a:ln>
            <a:noFill/>
          </a:ln>
          <a:effectLst/>
        </c:spPr>
        <c:marker>
          <c:symbol val="none"/>
        </c:marker>
      </c:pivotFmt>
      <c:pivotFmt>
        <c:idx val="111"/>
        <c:spPr>
          <a:solidFill>
            <a:schemeClr val="accent1"/>
          </a:solidFill>
          <a:ln>
            <a:noFill/>
          </a:ln>
          <a:effectLst/>
        </c:spPr>
        <c:marker>
          <c:symbol val="none"/>
        </c:marker>
      </c:pivotFmt>
      <c:pivotFmt>
        <c:idx val="112"/>
        <c:spPr>
          <a:solidFill>
            <a:schemeClr val="accent1"/>
          </a:solidFill>
          <a:ln>
            <a:noFill/>
          </a:ln>
          <a:effectLst/>
        </c:spPr>
        <c:marker>
          <c:symbol val="none"/>
        </c:marker>
      </c:pivotFmt>
      <c:pivotFmt>
        <c:idx val="113"/>
        <c:spPr>
          <a:solidFill>
            <a:schemeClr val="accent1"/>
          </a:solidFill>
          <a:ln>
            <a:noFill/>
          </a:ln>
          <a:effectLst/>
        </c:spPr>
        <c:marker>
          <c:symbol val="none"/>
        </c:marker>
      </c:pivotFmt>
      <c:pivotFmt>
        <c:idx val="114"/>
        <c:spPr>
          <a:solidFill>
            <a:schemeClr val="accent1"/>
          </a:solidFill>
          <a:ln>
            <a:noFill/>
          </a:ln>
          <a:effectLst/>
        </c:spPr>
        <c:marker>
          <c:symbol val="none"/>
        </c:marker>
      </c:pivotFmt>
      <c:pivotFmt>
        <c:idx val="115"/>
        <c:spPr>
          <a:solidFill>
            <a:schemeClr val="accent1"/>
          </a:solidFill>
          <a:ln>
            <a:noFill/>
          </a:ln>
          <a:effectLst/>
        </c:spPr>
        <c:marker>
          <c:symbol val="none"/>
        </c:marker>
      </c:pivotFmt>
      <c:pivotFmt>
        <c:idx val="116"/>
        <c:spPr>
          <a:solidFill>
            <a:schemeClr val="accent1"/>
          </a:solidFill>
          <a:ln>
            <a:noFill/>
          </a:ln>
          <a:effectLst/>
        </c:spPr>
        <c:marker>
          <c:symbol val="none"/>
        </c:marker>
      </c:pivotFmt>
      <c:pivotFmt>
        <c:idx val="117"/>
        <c:spPr>
          <a:solidFill>
            <a:schemeClr val="accent1"/>
          </a:solidFill>
          <a:ln>
            <a:noFill/>
          </a:ln>
          <a:effectLst/>
        </c:spPr>
        <c:marker>
          <c:symbol val="none"/>
        </c:marker>
      </c:pivotFmt>
      <c:pivotFmt>
        <c:idx val="118"/>
        <c:spPr>
          <a:solidFill>
            <a:schemeClr val="accent1"/>
          </a:solidFill>
          <a:ln>
            <a:noFill/>
          </a:ln>
          <a:effectLst/>
        </c:spPr>
        <c:marker>
          <c:symbol val="none"/>
        </c:marker>
      </c:pivotFmt>
      <c:pivotFmt>
        <c:idx val="119"/>
        <c:spPr>
          <a:solidFill>
            <a:schemeClr val="accent1"/>
          </a:solidFill>
          <a:ln>
            <a:noFill/>
          </a:ln>
          <a:effectLst/>
        </c:spPr>
        <c:marker>
          <c:symbol val="none"/>
        </c:marker>
      </c:pivotFmt>
      <c:pivotFmt>
        <c:idx val="120"/>
        <c:spPr>
          <a:solidFill>
            <a:schemeClr val="accent1"/>
          </a:solidFill>
          <a:ln>
            <a:noFill/>
          </a:ln>
          <a:effectLst/>
        </c:spPr>
        <c:marker>
          <c:symbol val="none"/>
        </c:marker>
      </c:pivotFmt>
      <c:pivotFmt>
        <c:idx val="121"/>
        <c:spPr>
          <a:solidFill>
            <a:schemeClr val="accent1"/>
          </a:solidFill>
          <a:ln>
            <a:noFill/>
          </a:ln>
          <a:effectLst/>
        </c:spPr>
        <c:marker>
          <c:symbol val="none"/>
        </c:marker>
      </c:pivotFmt>
      <c:pivotFmt>
        <c:idx val="122"/>
        <c:spPr>
          <a:solidFill>
            <a:schemeClr val="accent1"/>
          </a:solidFill>
          <a:ln>
            <a:noFill/>
          </a:ln>
          <a:effectLst/>
        </c:spPr>
        <c:marker>
          <c:symbol val="none"/>
        </c:marker>
      </c:pivotFmt>
      <c:pivotFmt>
        <c:idx val="123"/>
        <c:spPr>
          <a:solidFill>
            <a:schemeClr val="accent1"/>
          </a:solidFill>
          <a:ln>
            <a:noFill/>
          </a:ln>
          <a:effectLst/>
        </c:spPr>
        <c:marker>
          <c:symbol val="none"/>
        </c:marker>
      </c:pivotFmt>
      <c:pivotFmt>
        <c:idx val="124"/>
        <c:spPr>
          <a:solidFill>
            <a:schemeClr val="accent1"/>
          </a:solidFill>
          <a:ln>
            <a:noFill/>
          </a:ln>
          <a:effectLst/>
        </c:spPr>
        <c:marker>
          <c:symbol val="none"/>
        </c:marker>
      </c:pivotFmt>
      <c:pivotFmt>
        <c:idx val="125"/>
        <c:spPr>
          <a:solidFill>
            <a:schemeClr val="accent1"/>
          </a:solidFill>
          <a:ln>
            <a:noFill/>
          </a:ln>
          <a:effectLst/>
        </c:spPr>
        <c:marker>
          <c:symbol val="none"/>
        </c:marker>
      </c:pivotFmt>
      <c:pivotFmt>
        <c:idx val="126"/>
        <c:spPr>
          <a:solidFill>
            <a:schemeClr val="accent1"/>
          </a:solidFill>
          <a:ln>
            <a:noFill/>
          </a:ln>
          <a:effectLst/>
        </c:spPr>
        <c:marker>
          <c:symbol val="none"/>
        </c:marker>
      </c:pivotFmt>
      <c:pivotFmt>
        <c:idx val="127"/>
        <c:spPr>
          <a:solidFill>
            <a:schemeClr val="accent1"/>
          </a:solidFill>
          <a:ln>
            <a:noFill/>
          </a:ln>
          <a:effectLst/>
        </c:spPr>
        <c:marker>
          <c:symbol val="none"/>
        </c:marker>
      </c:pivotFmt>
      <c:pivotFmt>
        <c:idx val="128"/>
        <c:spPr>
          <a:solidFill>
            <a:schemeClr val="accent1"/>
          </a:solidFill>
          <a:ln>
            <a:noFill/>
          </a:ln>
          <a:effectLst/>
        </c:spPr>
        <c:marker>
          <c:symbol val="none"/>
        </c:marker>
      </c:pivotFmt>
      <c:pivotFmt>
        <c:idx val="129"/>
        <c:spPr>
          <a:solidFill>
            <a:schemeClr val="accent1"/>
          </a:solidFill>
          <a:ln>
            <a:noFill/>
          </a:ln>
          <a:effectLst/>
        </c:spPr>
        <c:marker>
          <c:symbol val="none"/>
        </c:marker>
      </c:pivotFmt>
      <c:pivotFmt>
        <c:idx val="130"/>
        <c:spPr>
          <a:solidFill>
            <a:schemeClr val="accent1"/>
          </a:solidFill>
          <a:ln>
            <a:noFill/>
          </a:ln>
          <a:effectLst/>
        </c:spPr>
        <c:marker>
          <c:symbol val="none"/>
        </c:marker>
      </c:pivotFmt>
      <c:pivotFmt>
        <c:idx val="131"/>
        <c:spPr>
          <a:solidFill>
            <a:schemeClr val="accent1"/>
          </a:solidFill>
          <a:ln>
            <a:noFill/>
          </a:ln>
          <a:effectLst/>
        </c:spPr>
        <c:marker>
          <c:symbol val="none"/>
        </c:marker>
      </c:pivotFmt>
      <c:pivotFmt>
        <c:idx val="132"/>
        <c:spPr>
          <a:solidFill>
            <a:schemeClr val="accent1"/>
          </a:solidFill>
          <a:ln>
            <a:noFill/>
          </a:ln>
          <a:effectLst/>
        </c:spPr>
        <c:marker>
          <c:symbol val="none"/>
        </c:marker>
      </c:pivotFmt>
      <c:pivotFmt>
        <c:idx val="133"/>
        <c:spPr>
          <a:solidFill>
            <a:schemeClr val="accent1"/>
          </a:solidFill>
          <a:ln>
            <a:noFill/>
          </a:ln>
          <a:effectLst/>
        </c:spPr>
        <c:marker>
          <c:symbol val="none"/>
        </c:marker>
      </c:pivotFmt>
      <c:pivotFmt>
        <c:idx val="134"/>
        <c:spPr>
          <a:solidFill>
            <a:schemeClr val="accent1"/>
          </a:solidFill>
          <a:ln>
            <a:noFill/>
          </a:ln>
          <a:effectLst/>
        </c:spPr>
        <c:marker>
          <c:symbol val="none"/>
        </c:marker>
      </c:pivotFmt>
      <c:pivotFmt>
        <c:idx val="135"/>
        <c:spPr>
          <a:solidFill>
            <a:schemeClr val="accent1"/>
          </a:solidFill>
          <a:ln>
            <a:noFill/>
          </a:ln>
          <a:effectLst/>
        </c:spPr>
        <c:marker>
          <c:symbol val="none"/>
        </c:marker>
      </c:pivotFmt>
      <c:pivotFmt>
        <c:idx val="136"/>
        <c:spPr>
          <a:solidFill>
            <a:schemeClr val="accent1"/>
          </a:solidFill>
          <a:ln>
            <a:noFill/>
          </a:ln>
          <a:effectLst/>
        </c:spPr>
        <c:marker>
          <c:symbol val="none"/>
        </c:marker>
      </c:pivotFmt>
      <c:pivotFmt>
        <c:idx val="137"/>
        <c:spPr>
          <a:solidFill>
            <a:schemeClr val="accent1"/>
          </a:solidFill>
          <a:ln>
            <a:noFill/>
          </a:ln>
          <a:effectLst/>
        </c:spPr>
        <c:marker>
          <c:symbol val="none"/>
        </c:marker>
      </c:pivotFmt>
      <c:pivotFmt>
        <c:idx val="138"/>
        <c:spPr>
          <a:solidFill>
            <a:schemeClr val="accent1"/>
          </a:solidFill>
          <a:ln>
            <a:noFill/>
          </a:ln>
          <a:effectLst/>
        </c:spPr>
        <c:marker>
          <c:symbol val="none"/>
        </c:marker>
      </c:pivotFmt>
      <c:pivotFmt>
        <c:idx val="139"/>
        <c:spPr>
          <a:solidFill>
            <a:schemeClr val="accent1"/>
          </a:solidFill>
          <a:ln>
            <a:noFill/>
          </a:ln>
          <a:effectLst/>
        </c:spPr>
        <c:marker>
          <c:symbol val="none"/>
        </c:marker>
      </c:pivotFmt>
      <c:pivotFmt>
        <c:idx val="140"/>
        <c:spPr>
          <a:solidFill>
            <a:schemeClr val="accent1"/>
          </a:solidFill>
          <a:ln>
            <a:noFill/>
          </a:ln>
          <a:effectLst/>
        </c:spPr>
        <c:marker>
          <c:symbol val="none"/>
        </c:marker>
      </c:pivotFmt>
      <c:pivotFmt>
        <c:idx val="141"/>
        <c:spPr>
          <a:solidFill>
            <a:schemeClr val="accent1"/>
          </a:solidFill>
          <a:ln>
            <a:noFill/>
          </a:ln>
          <a:effectLst/>
        </c:spPr>
        <c:marker>
          <c:symbol val="none"/>
        </c:marker>
      </c:pivotFmt>
      <c:pivotFmt>
        <c:idx val="142"/>
        <c:spPr>
          <a:solidFill>
            <a:schemeClr val="accent1"/>
          </a:solidFill>
          <a:ln>
            <a:noFill/>
          </a:ln>
          <a:effectLst/>
        </c:spPr>
        <c:marker>
          <c:symbol val="none"/>
        </c:marker>
      </c:pivotFmt>
      <c:pivotFmt>
        <c:idx val="143"/>
        <c:spPr>
          <a:solidFill>
            <a:schemeClr val="accent1"/>
          </a:solidFill>
          <a:ln>
            <a:noFill/>
          </a:ln>
          <a:effectLst/>
        </c:spPr>
        <c:marker>
          <c:symbol val="none"/>
        </c:marker>
      </c:pivotFmt>
      <c:pivotFmt>
        <c:idx val="144"/>
        <c:spPr>
          <a:solidFill>
            <a:schemeClr val="accent1"/>
          </a:solidFill>
          <a:ln>
            <a:noFill/>
          </a:ln>
          <a:effectLst/>
        </c:spPr>
        <c:marker>
          <c:symbol val="none"/>
        </c:marker>
      </c:pivotFmt>
      <c:pivotFmt>
        <c:idx val="145"/>
        <c:spPr>
          <a:solidFill>
            <a:schemeClr val="accent1"/>
          </a:solidFill>
          <a:ln>
            <a:noFill/>
          </a:ln>
          <a:effectLst/>
        </c:spPr>
        <c:marker>
          <c:symbol val="none"/>
        </c:marker>
      </c:pivotFmt>
      <c:pivotFmt>
        <c:idx val="146"/>
        <c:spPr>
          <a:solidFill>
            <a:schemeClr val="accent1"/>
          </a:solidFill>
          <a:ln>
            <a:noFill/>
          </a:ln>
          <a:effectLst/>
        </c:spPr>
        <c:marker>
          <c:symbol val="none"/>
        </c:marker>
      </c:pivotFmt>
      <c:pivotFmt>
        <c:idx val="147"/>
        <c:spPr>
          <a:solidFill>
            <a:schemeClr val="accent1"/>
          </a:solidFill>
          <a:ln>
            <a:noFill/>
          </a:ln>
          <a:effectLst/>
        </c:spPr>
        <c:marker>
          <c:symbol val="none"/>
        </c:marker>
      </c:pivotFmt>
      <c:pivotFmt>
        <c:idx val="148"/>
        <c:spPr>
          <a:solidFill>
            <a:schemeClr val="accent1"/>
          </a:solidFill>
          <a:ln>
            <a:noFill/>
          </a:ln>
          <a:effectLst/>
        </c:spPr>
        <c:marker>
          <c:symbol val="none"/>
        </c:marker>
      </c:pivotFmt>
      <c:pivotFmt>
        <c:idx val="149"/>
        <c:spPr>
          <a:solidFill>
            <a:schemeClr val="accent1"/>
          </a:solidFill>
          <a:ln>
            <a:noFill/>
          </a:ln>
          <a:effectLst/>
        </c:spPr>
        <c:marker>
          <c:symbol val="none"/>
        </c:marker>
      </c:pivotFmt>
      <c:pivotFmt>
        <c:idx val="150"/>
        <c:spPr>
          <a:solidFill>
            <a:schemeClr val="accent1"/>
          </a:solidFill>
          <a:ln>
            <a:noFill/>
          </a:ln>
          <a:effectLst/>
        </c:spPr>
        <c:marker>
          <c:symbol val="none"/>
        </c:marker>
      </c:pivotFmt>
      <c:pivotFmt>
        <c:idx val="151"/>
        <c:spPr>
          <a:solidFill>
            <a:schemeClr val="accent1"/>
          </a:solidFill>
          <a:ln>
            <a:noFill/>
          </a:ln>
          <a:effectLst/>
        </c:spPr>
        <c:marker>
          <c:symbol val="none"/>
        </c:marker>
      </c:pivotFmt>
      <c:pivotFmt>
        <c:idx val="152"/>
        <c:spPr>
          <a:solidFill>
            <a:schemeClr val="accent1"/>
          </a:solidFill>
          <a:ln>
            <a:noFill/>
          </a:ln>
          <a:effectLst/>
        </c:spPr>
        <c:marker>
          <c:symbol val="none"/>
        </c:marker>
      </c:pivotFmt>
      <c:pivotFmt>
        <c:idx val="153"/>
        <c:spPr>
          <a:solidFill>
            <a:schemeClr val="accent1"/>
          </a:solidFill>
          <a:ln>
            <a:noFill/>
          </a:ln>
          <a:effectLst/>
        </c:spPr>
        <c:marker>
          <c:symbol val="none"/>
        </c:marker>
      </c:pivotFmt>
      <c:pivotFmt>
        <c:idx val="154"/>
        <c:spPr>
          <a:solidFill>
            <a:schemeClr val="accent1"/>
          </a:solidFill>
          <a:ln>
            <a:noFill/>
          </a:ln>
          <a:effectLst/>
        </c:spPr>
        <c:marker>
          <c:symbol val="none"/>
        </c:marker>
      </c:pivotFmt>
      <c:pivotFmt>
        <c:idx val="155"/>
        <c:spPr>
          <a:solidFill>
            <a:schemeClr val="accent1"/>
          </a:solidFill>
          <a:ln>
            <a:noFill/>
          </a:ln>
          <a:effectLst/>
        </c:spPr>
        <c:marker>
          <c:symbol val="none"/>
        </c:marker>
      </c:pivotFmt>
      <c:pivotFmt>
        <c:idx val="156"/>
        <c:spPr>
          <a:solidFill>
            <a:schemeClr val="accent1"/>
          </a:solidFill>
          <a:ln>
            <a:noFill/>
          </a:ln>
          <a:effectLst/>
        </c:spPr>
        <c:marker>
          <c:symbol val="none"/>
        </c:marker>
      </c:pivotFmt>
      <c:pivotFmt>
        <c:idx val="157"/>
        <c:spPr>
          <a:solidFill>
            <a:schemeClr val="accent1"/>
          </a:solidFill>
          <a:ln>
            <a:noFill/>
          </a:ln>
          <a:effectLst/>
        </c:spPr>
        <c:marker>
          <c:symbol val="none"/>
        </c:marker>
      </c:pivotFmt>
      <c:pivotFmt>
        <c:idx val="158"/>
        <c:spPr>
          <a:solidFill>
            <a:schemeClr val="accent1"/>
          </a:solidFill>
          <a:ln>
            <a:noFill/>
          </a:ln>
          <a:effectLst/>
        </c:spPr>
        <c:marker>
          <c:symbol val="none"/>
        </c:marker>
      </c:pivotFmt>
      <c:pivotFmt>
        <c:idx val="159"/>
        <c:spPr>
          <a:solidFill>
            <a:schemeClr val="accent1"/>
          </a:solidFill>
          <a:ln>
            <a:noFill/>
          </a:ln>
          <a:effectLst/>
        </c:spPr>
        <c:marker>
          <c:symbol val="none"/>
        </c:marker>
      </c:pivotFmt>
      <c:pivotFmt>
        <c:idx val="160"/>
        <c:spPr>
          <a:solidFill>
            <a:schemeClr val="accent1"/>
          </a:solidFill>
          <a:ln>
            <a:noFill/>
          </a:ln>
          <a:effectLst/>
        </c:spPr>
        <c:marker>
          <c:symbol val="none"/>
        </c:marker>
      </c:pivotFmt>
      <c:pivotFmt>
        <c:idx val="161"/>
        <c:spPr>
          <a:solidFill>
            <a:schemeClr val="accent1"/>
          </a:solidFill>
          <a:ln>
            <a:noFill/>
          </a:ln>
          <a:effectLst/>
        </c:spPr>
        <c:marker>
          <c:symbol val="none"/>
        </c:marker>
      </c:pivotFmt>
      <c:pivotFmt>
        <c:idx val="162"/>
        <c:spPr>
          <a:solidFill>
            <a:schemeClr val="accent1"/>
          </a:solidFill>
          <a:ln>
            <a:noFill/>
          </a:ln>
          <a:effectLst/>
        </c:spPr>
        <c:marker>
          <c:symbol val="none"/>
        </c:marker>
      </c:pivotFmt>
      <c:pivotFmt>
        <c:idx val="163"/>
        <c:spPr>
          <a:solidFill>
            <a:schemeClr val="accent1"/>
          </a:solidFill>
          <a:ln>
            <a:noFill/>
          </a:ln>
          <a:effectLst/>
        </c:spPr>
        <c:marker>
          <c:symbol val="none"/>
        </c:marker>
      </c:pivotFmt>
      <c:pivotFmt>
        <c:idx val="164"/>
        <c:spPr>
          <a:solidFill>
            <a:schemeClr val="accent1"/>
          </a:solidFill>
          <a:ln>
            <a:noFill/>
          </a:ln>
          <a:effectLst/>
        </c:spPr>
        <c:marker>
          <c:symbol val="none"/>
        </c:marker>
      </c:pivotFmt>
      <c:pivotFmt>
        <c:idx val="165"/>
        <c:spPr>
          <a:solidFill>
            <a:schemeClr val="accent1"/>
          </a:solidFill>
          <a:ln>
            <a:noFill/>
          </a:ln>
          <a:effectLst/>
        </c:spPr>
        <c:marker>
          <c:symbol val="none"/>
        </c:marker>
      </c:pivotFmt>
      <c:pivotFmt>
        <c:idx val="166"/>
        <c:spPr>
          <a:solidFill>
            <a:schemeClr val="accent1"/>
          </a:solidFill>
          <a:ln>
            <a:noFill/>
          </a:ln>
          <a:effectLst/>
        </c:spPr>
        <c:marker>
          <c:symbol val="none"/>
        </c:marker>
      </c:pivotFmt>
      <c:pivotFmt>
        <c:idx val="167"/>
        <c:spPr>
          <a:solidFill>
            <a:schemeClr val="accent1"/>
          </a:solidFill>
          <a:ln>
            <a:noFill/>
          </a:ln>
          <a:effectLst/>
        </c:spPr>
        <c:marker>
          <c:symbol val="none"/>
        </c:marker>
      </c:pivotFmt>
      <c:pivotFmt>
        <c:idx val="168"/>
        <c:spPr>
          <a:solidFill>
            <a:schemeClr val="accent1"/>
          </a:solidFill>
          <a:ln>
            <a:noFill/>
          </a:ln>
          <a:effectLst/>
        </c:spPr>
        <c:marker>
          <c:symbol val="none"/>
        </c:marker>
      </c:pivotFmt>
      <c:pivotFmt>
        <c:idx val="169"/>
        <c:spPr>
          <a:solidFill>
            <a:schemeClr val="accent1"/>
          </a:solidFill>
          <a:ln>
            <a:noFill/>
          </a:ln>
          <a:effectLst/>
        </c:spPr>
        <c:marker>
          <c:symbol val="none"/>
        </c:marker>
      </c:pivotFmt>
      <c:pivotFmt>
        <c:idx val="170"/>
        <c:spPr>
          <a:solidFill>
            <a:schemeClr val="accent1"/>
          </a:solidFill>
          <a:ln>
            <a:noFill/>
          </a:ln>
          <a:effectLst/>
        </c:spPr>
        <c:marker>
          <c:symbol val="none"/>
        </c:marker>
      </c:pivotFmt>
      <c:pivotFmt>
        <c:idx val="171"/>
        <c:spPr>
          <a:solidFill>
            <a:schemeClr val="accent1"/>
          </a:solidFill>
          <a:ln>
            <a:noFill/>
          </a:ln>
          <a:effectLst/>
        </c:spPr>
        <c:marker>
          <c:symbol val="none"/>
        </c:marker>
      </c:pivotFmt>
      <c:pivotFmt>
        <c:idx val="172"/>
        <c:spPr>
          <a:solidFill>
            <a:schemeClr val="accent1"/>
          </a:solidFill>
          <a:ln>
            <a:noFill/>
          </a:ln>
          <a:effectLst/>
        </c:spPr>
        <c:marker>
          <c:symbol val="none"/>
        </c:marker>
      </c:pivotFmt>
      <c:pivotFmt>
        <c:idx val="173"/>
        <c:spPr>
          <a:solidFill>
            <a:schemeClr val="accent1"/>
          </a:solidFill>
          <a:ln>
            <a:noFill/>
          </a:ln>
          <a:effectLst/>
        </c:spPr>
        <c:marker>
          <c:symbol val="none"/>
        </c:marker>
      </c:pivotFmt>
      <c:pivotFmt>
        <c:idx val="174"/>
        <c:spPr>
          <a:solidFill>
            <a:schemeClr val="accent1"/>
          </a:solidFill>
          <a:ln>
            <a:noFill/>
          </a:ln>
          <a:effectLst/>
        </c:spPr>
        <c:marker>
          <c:symbol val="none"/>
        </c:marker>
      </c:pivotFmt>
      <c:pivotFmt>
        <c:idx val="175"/>
        <c:spPr>
          <a:solidFill>
            <a:schemeClr val="accent1"/>
          </a:solidFill>
          <a:ln>
            <a:noFill/>
          </a:ln>
          <a:effectLst/>
        </c:spPr>
        <c:marker>
          <c:symbol val="none"/>
        </c:marker>
      </c:pivotFmt>
      <c:pivotFmt>
        <c:idx val="176"/>
        <c:spPr>
          <a:solidFill>
            <a:schemeClr val="accent1"/>
          </a:solidFill>
          <a:ln>
            <a:noFill/>
          </a:ln>
          <a:effectLst/>
        </c:spPr>
        <c:marker>
          <c:symbol val="none"/>
        </c:marker>
      </c:pivotFmt>
      <c:pivotFmt>
        <c:idx val="177"/>
        <c:spPr>
          <a:solidFill>
            <a:schemeClr val="accent1"/>
          </a:solidFill>
          <a:ln>
            <a:noFill/>
          </a:ln>
          <a:effectLst/>
        </c:spPr>
        <c:marker>
          <c:symbol val="none"/>
        </c:marker>
      </c:pivotFmt>
      <c:pivotFmt>
        <c:idx val="178"/>
        <c:spPr>
          <a:solidFill>
            <a:schemeClr val="accent1"/>
          </a:solidFill>
          <a:ln>
            <a:noFill/>
          </a:ln>
          <a:effectLst/>
        </c:spPr>
        <c:marker>
          <c:symbol val="none"/>
        </c:marker>
      </c:pivotFmt>
      <c:pivotFmt>
        <c:idx val="179"/>
        <c:spPr>
          <a:solidFill>
            <a:schemeClr val="accent1"/>
          </a:solidFill>
          <a:ln>
            <a:noFill/>
          </a:ln>
          <a:effectLst/>
        </c:spPr>
        <c:marker>
          <c:symbol val="none"/>
        </c:marker>
      </c:pivotFmt>
      <c:pivotFmt>
        <c:idx val="180"/>
        <c:spPr>
          <a:solidFill>
            <a:schemeClr val="accent1"/>
          </a:solidFill>
          <a:ln>
            <a:noFill/>
          </a:ln>
          <a:effectLst/>
        </c:spPr>
        <c:marker>
          <c:symbol val="none"/>
        </c:marker>
      </c:pivotFmt>
      <c:pivotFmt>
        <c:idx val="181"/>
        <c:spPr>
          <a:solidFill>
            <a:schemeClr val="accent1"/>
          </a:solidFill>
          <a:ln>
            <a:noFill/>
          </a:ln>
          <a:effectLst/>
        </c:spPr>
        <c:marker>
          <c:symbol val="none"/>
        </c:marker>
      </c:pivotFmt>
      <c:pivotFmt>
        <c:idx val="182"/>
        <c:spPr>
          <a:solidFill>
            <a:schemeClr val="accent1"/>
          </a:solidFill>
          <a:ln>
            <a:noFill/>
          </a:ln>
          <a:effectLst/>
        </c:spPr>
        <c:marker>
          <c:symbol val="none"/>
        </c:marker>
      </c:pivotFmt>
      <c:pivotFmt>
        <c:idx val="183"/>
        <c:spPr>
          <a:solidFill>
            <a:schemeClr val="accent1"/>
          </a:solidFill>
          <a:ln>
            <a:noFill/>
          </a:ln>
          <a:effectLst/>
        </c:spPr>
        <c:marker>
          <c:symbol val="none"/>
        </c:marker>
      </c:pivotFmt>
      <c:pivotFmt>
        <c:idx val="184"/>
        <c:spPr>
          <a:solidFill>
            <a:schemeClr val="accent1"/>
          </a:solidFill>
          <a:ln>
            <a:noFill/>
          </a:ln>
          <a:effectLst/>
        </c:spPr>
        <c:marker>
          <c:symbol val="none"/>
        </c:marker>
      </c:pivotFmt>
      <c:pivotFmt>
        <c:idx val="185"/>
        <c:spPr>
          <a:solidFill>
            <a:schemeClr val="accent1"/>
          </a:solidFill>
          <a:ln>
            <a:noFill/>
          </a:ln>
          <a:effectLst/>
        </c:spPr>
        <c:marker>
          <c:symbol val="none"/>
        </c:marker>
      </c:pivotFmt>
      <c:pivotFmt>
        <c:idx val="186"/>
        <c:spPr>
          <a:solidFill>
            <a:schemeClr val="accent1"/>
          </a:solidFill>
          <a:ln>
            <a:noFill/>
          </a:ln>
          <a:effectLst/>
        </c:spPr>
        <c:marker>
          <c:symbol val="none"/>
        </c:marker>
      </c:pivotFmt>
      <c:pivotFmt>
        <c:idx val="187"/>
        <c:spPr>
          <a:solidFill>
            <a:schemeClr val="accent1"/>
          </a:solidFill>
          <a:ln>
            <a:noFill/>
          </a:ln>
          <a:effectLst/>
        </c:spPr>
        <c:marker>
          <c:symbol val="none"/>
        </c:marker>
      </c:pivotFmt>
      <c:pivotFmt>
        <c:idx val="188"/>
        <c:spPr>
          <a:solidFill>
            <a:schemeClr val="accent1"/>
          </a:solidFill>
          <a:ln>
            <a:noFill/>
          </a:ln>
          <a:effectLst/>
        </c:spPr>
        <c:marker>
          <c:symbol val="none"/>
        </c:marker>
      </c:pivotFmt>
      <c:pivotFmt>
        <c:idx val="189"/>
        <c:spPr>
          <a:solidFill>
            <a:schemeClr val="accent1"/>
          </a:solidFill>
          <a:ln>
            <a:noFill/>
          </a:ln>
          <a:effectLst/>
        </c:spPr>
        <c:marker>
          <c:symbol val="none"/>
        </c:marker>
      </c:pivotFmt>
      <c:pivotFmt>
        <c:idx val="190"/>
        <c:spPr>
          <a:solidFill>
            <a:schemeClr val="accent1"/>
          </a:solidFill>
          <a:ln>
            <a:noFill/>
          </a:ln>
          <a:effectLst/>
        </c:spPr>
        <c:marker>
          <c:symbol val="none"/>
        </c:marker>
      </c:pivotFmt>
      <c:pivotFmt>
        <c:idx val="191"/>
        <c:spPr>
          <a:solidFill>
            <a:schemeClr val="accent1"/>
          </a:solidFill>
          <a:ln>
            <a:noFill/>
          </a:ln>
          <a:effectLst/>
        </c:spPr>
        <c:marker>
          <c:symbol val="none"/>
        </c:marker>
      </c:pivotFmt>
      <c:pivotFmt>
        <c:idx val="192"/>
        <c:spPr>
          <a:solidFill>
            <a:schemeClr val="accent1"/>
          </a:solidFill>
          <a:ln>
            <a:noFill/>
          </a:ln>
          <a:effectLst/>
        </c:spPr>
        <c:marker>
          <c:symbol val="none"/>
        </c:marker>
      </c:pivotFmt>
      <c:pivotFmt>
        <c:idx val="193"/>
        <c:spPr>
          <a:solidFill>
            <a:schemeClr val="accent1"/>
          </a:solidFill>
          <a:ln>
            <a:noFill/>
          </a:ln>
          <a:effectLst/>
        </c:spPr>
        <c:marker>
          <c:symbol val="none"/>
        </c:marker>
      </c:pivotFmt>
      <c:pivotFmt>
        <c:idx val="194"/>
        <c:spPr>
          <a:solidFill>
            <a:schemeClr val="accent1"/>
          </a:solidFill>
          <a:ln>
            <a:noFill/>
          </a:ln>
          <a:effectLst/>
        </c:spPr>
        <c:marker>
          <c:symbol val="none"/>
        </c:marker>
      </c:pivotFmt>
      <c:pivotFmt>
        <c:idx val="195"/>
        <c:spPr>
          <a:solidFill>
            <a:schemeClr val="accent1"/>
          </a:solidFill>
          <a:ln>
            <a:noFill/>
          </a:ln>
          <a:effectLst/>
        </c:spPr>
        <c:marker>
          <c:symbol val="none"/>
        </c:marker>
      </c:pivotFmt>
      <c:pivotFmt>
        <c:idx val="196"/>
        <c:spPr>
          <a:solidFill>
            <a:schemeClr val="accent1"/>
          </a:solidFill>
          <a:ln>
            <a:noFill/>
          </a:ln>
          <a:effectLst/>
        </c:spPr>
        <c:marker>
          <c:symbol val="none"/>
        </c:marker>
      </c:pivotFmt>
      <c:pivotFmt>
        <c:idx val="197"/>
        <c:spPr>
          <a:solidFill>
            <a:schemeClr val="accent1"/>
          </a:solidFill>
          <a:ln>
            <a:noFill/>
          </a:ln>
          <a:effectLst/>
        </c:spPr>
        <c:marker>
          <c:symbol val="none"/>
        </c:marker>
      </c:pivotFmt>
      <c:pivotFmt>
        <c:idx val="198"/>
        <c:spPr>
          <a:solidFill>
            <a:schemeClr val="accent1"/>
          </a:solidFill>
          <a:ln>
            <a:noFill/>
          </a:ln>
          <a:effectLst/>
        </c:spPr>
        <c:marker>
          <c:symbol val="none"/>
        </c:marker>
      </c:pivotFmt>
      <c:pivotFmt>
        <c:idx val="199"/>
        <c:spPr>
          <a:solidFill>
            <a:schemeClr val="accent1"/>
          </a:solidFill>
          <a:ln>
            <a:noFill/>
          </a:ln>
          <a:effectLst/>
        </c:spPr>
        <c:marker>
          <c:symbol val="none"/>
        </c:marker>
      </c:pivotFmt>
      <c:pivotFmt>
        <c:idx val="200"/>
        <c:spPr>
          <a:solidFill>
            <a:schemeClr val="accent1"/>
          </a:solidFill>
          <a:ln>
            <a:noFill/>
          </a:ln>
          <a:effectLst/>
        </c:spPr>
        <c:marker>
          <c:symbol val="none"/>
        </c:marker>
      </c:pivotFmt>
    </c:pivotFmts>
    <c:plotArea>
      <c:layout>
        <c:manualLayout>
          <c:layoutTarget val="inner"/>
          <c:xMode val="edge"/>
          <c:yMode val="edge"/>
          <c:x val="5.3652117014784916E-2"/>
          <c:y val="8.9285714285714288E-2"/>
          <c:w val="0.93350941426439327"/>
          <c:h val="0.67381702287214096"/>
        </c:manualLayout>
      </c:layout>
      <c:barChart>
        <c:barDir val="col"/>
        <c:grouping val="clustered"/>
        <c:varyColors val="0"/>
        <c:ser>
          <c:idx val="0"/>
          <c:order val="0"/>
          <c:tx>
            <c:v>Series1</c:v>
          </c:tx>
          <c:spPr>
            <a:solidFill>
              <a:schemeClr val="accent1"/>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0</c:v>
              </c:pt>
              <c:pt idx="5">
                <c:v>1</c:v>
              </c:pt>
            </c:numLit>
          </c:val>
          <c:extLst>
            <c:ext xmlns:c16="http://schemas.microsoft.com/office/drawing/2014/chart" uri="{C3380CC4-5D6E-409C-BE32-E72D297353CC}">
              <c16:uniqueId val="{00000000-4A9F-453A-9F5C-5B15A679AFB1}"/>
            </c:ext>
          </c:extLst>
        </c:ser>
        <c:ser>
          <c:idx val="1"/>
          <c:order val="1"/>
          <c:tx>
            <c:v>Series2</c:v>
          </c:tx>
          <c:spPr>
            <a:solidFill>
              <a:schemeClr val="accent2"/>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5</c:v>
              </c:pt>
              <c:pt idx="5">
                <c:v>0</c:v>
              </c:pt>
            </c:numLit>
          </c:val>
          <c:extLst>
            <c:ext xmlns:c16="http://schemas.microsoft.com/office/drawing/2014/chart" uri="{C3380CC4-5D6E-409C-BE32-E72D297353CC}">
              <c16:uniqueId val="{00000001-4A9F-453A-9F5C-5B15A679AFB1}"/>
            </c:ext>
          </c:extLst>
        </c:ser>
        <c:ser>
          <c:idx val="2"/>
          <c:order val="2"/>
          <c:tx>
            <c:v>Series3</c:v>
          </c:tx>
          <c:spPr>
            <a:solidFill>
              <a:schemeClr val="accent3"/>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1</c:v>
              </c:pt>
              <c:pt idx="3">
                <c:v>0</c:v>
              </c:pt>
              <c:pt idx="4">
                <c:v>0</c:v>
              </c:pt>
              <c:pt idx="5">
                <c:v>0</c:v>
              </c:pt>
            </c:numLit>
          </c:val>
          <c:extLst>
            <c:ext xmlns:c16="http://schemas.microsoft.com/office/drawing/2014/chart" uri="{C3380CC4-5D6E-409C-BE32-E72D297353CC}">
              <c16:uniqueId val="{00000002-4A9F-453A-9F5C-5B15A679AFB1}"/>
            </c:ext>
          </c:extLst>
        </c:ser>
        <c:ser>
          <c:idx val="3"/>
          <c:order val="3"/>
          <c:tx>
            <c:v>Series4</c:v>
          </c:tx>
          <c:spPr>
            <a:solidFill>
              <a:schemeClr val="accent4"/>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1</c:v>
              </c:pt>
              <c:pt idx="1">
                <c:v>0</c:v>
              </c:pt>
              <c:pt idx="2">
                <c:v>1</c:v>
              </c:pt>
              <c:pt idx="3">
                <c:v>0</c:v>
              </c:pt>
              <c:pt idx="4">
                <c:v>0</c:v>
              </c:pt>
              <c:pt idx="5">
                <c:v>0</c:v>
              </c:pt>
            </c:numLit>
          </c:val>
          <c:extLst>
            <c:ext xmlns:c16="http://schemas.microsoft.com/office/drawing/2014/chart" uri="{C3380CC4-5D6E-409C-BE32-E72D297353CC}">
              <c16:uniqueId val="{00000003-4A9F-453A-9F5C-5B15A679AFB1}"/>
            </c:ext>
          </c:extLst>
        </c:ser>
        <c:ser>
          <c:idx val="4"/>
          <c:order val="4"/>
          <c:tx>
            <c:v>Series5</c:v>
          </c:tx>
          <c:spPr>
            <a:solidFill>
              <a:schemeClr val="accent5"/>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1</c:v>
              </c:pt>
              <c:pt idx="1">
                <c:v>0</c:v>
              </c:pt>
              <c:pt idx="2">
                <c:v>0</c:v>
              </c:pt>
              <c:pt idx="3">
                <c:v>0</c:v>
              </c:pt>
              <c:pt idx="4">
                <c:v>3</c:v>
              </c:pt>
              <c:pt idx="5">
                <c:v>0</c:v>
              </c:pt>
            </c:numLit>
          </c:val>
          <c:extLst>
            <c:ext xmlns:c16="http://schemas.microsoft.com/office/drawing/2014/chart" uri="{C3380CC4-5D6E-409C-BE32-E72D297353CC}">
              <c16:uniqueId val="{00000004-4A9F-453A-9F5C-5B15A679AFB1}"/>
            </c:ext>
          </c:extLst>
        </c:ser>
        <c:ser>
          <c:idx val="5"/>
          <c:order val="5"/>
          <c:tx>
            <c:v>Series6</c:v>
          </c:tx>
          <c:spPr>
            <a:solidFill>
              <a:schemeClr val="accent6"/>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3</c:v>
              </c:pt>
              <c:pt idx="2">
                <c:v>1</c:v>
              </c:pt>
              <c:pt idx="3">
                <c:v>0</c:v>
              </c:pt>
              <c:pt idx="4">
                <c:v>2</c:v>
              </c:pt>
              <c:pt idx="5">
                <c:v>4</c:v>
              </c:pt>
            </c:numLit>
          </c:val>
          <c:extLst>
            <c:ext xmlns:c16="http://schemas.microsoft.com/office/drawing/2014/chart" uri="{C3380CC4-5D6E-409C-BE32-E72D297353CC}">
              <c16:uniqueId val="{00000005-4A9F-453A-9F5C-5B15A679AFB1}"/>
            </c:ext>
          </c:extLst>
        </c:ser>
        <c:ser>
          <c:idx val="6"/>
          <c:order val="6"/>
          <c:tx>
            <c:v>Series7</c:v>
          </c:tx>
          <c:spPr>
            <a:solidFill>
              <a:schemeClr val="accent1">
                <a:lumMod val="6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34</c:v>
              </c:pt>
              <c:pt idx="5">
                <c:v>0</c:v>
              </c:pt>
            </c:numLit>
          </c:val>
          <c:extLst>
            <c:ext xmlns:c16="http://schemas.microsoft.com/office/drawing/2014/chart" uri="{C3380CC4-5D6E-409C-BE32-E72D297353CC}">
              <c16:uniqueId val="{00000006-4A9F-453A-9F5C-5B15A679AFB1}"/>
            </c:ext>
          </c:extLst>
        </c:ser>
        <c:ser>
          <c:idx val="7"/>
          <c:order val="7"/>
          <c:tx>
            <c:v>Series8</c:v>
          </c:tx>
          <c:spPr>
            <a:solidFill>
              <a:schemeClr val="accent2">
                <a:lumMod val="6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1</c:v>
              </c:pt>
              <c:pt idx="1">
                <c:v>0</c:v>
              </c:pt>
              <c:pt idx="2">
                <c:v>0</c:v>
              </c:pt>
              <c:pt idx="3">
                <c:v>0</c:v>
              </c:pt>
              <c:pt idx="4">
                <c:v>7</c:v>
              </c:pt>
              <c:pt idx="5">
                <c:v>3</c:v>
              </c:pt>
            </c:numLit>
          </c:val>
          <c:extLst>
            <c:ext xmlns:c16="http://schemas.microsoft.com/office/drawing/2014/chart" uri="{C3380CC4-5D6E-409C-BE32-E72D297353CC}">
              <c16:uniqueId val="{00000007-4A9F-453A-9F5C-5B15A679AFB1}"/>
            </c:ext>
          </c:extLst>
        </c:ser>
        <c:ser>
          <c:idx val="8"/>
          <c:order val="8"/>
          <c:tx>
            <c:v>Series9</c:v>
          </c:tx>
          <c:spPr>
            <a:solidFill>
              <a:schemeClr val="accent3">
                <a:lumMod val="6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1</c:v>
              </c:pt>
              <c:pt idx="4">
                <c:v>7</c:v>
              </c:pt>
              <c:pt idx="5">
                <c:v>0</c:v>
              </c:pt>
            </c:numLit>
          </c:val>
          <c:extLst>
            <c:ext xmlns:c16="http://schemas.microsoft.com/office/drawing/2014/chart" uri="{C3380CC4-5D6E-409C-BE32-E72D297353CC}">
              <c16:uniqueId val="{00000008-4A9F-453A-9F5C-5B15A679AFB1}"/>
            </c:ext>
          </c:extLst>
        </c:ser>
        <c:ser>
          <c:idx val="9"/>
          <c:order val="9"/>
          <c:tx>
            <c:v>Series10</c:v>
          </c:tx>
          <c:spPr>
            <a:solidFill>
              <a:schemeClr val="accent4">
                <a:lumMod val="6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11</c:v>
              </c:pt>
              <c:pt idx="5">
                <c:v>0</c:v>
              </c:pt>
            </c:numLit>
          </c:val>
          <c:extLst>
            <c:ext xmlns:c16="http://schemas.microsoft.com/office/drawing/2014/chart" uri="{C3380CC4-5D6E-409C-BE32-E72D297353CC}">
              <c16:uniqueId val="{00000009-4A9F-453A-9F5C-5B15A679AFB1}"/>
            </c:ext>
          </c:extLst>
        </c:ser>
        <c:ser>
          <c:idx val="10"/>
          <c:order val="10"/>
          <c:tx>
            <c:v>Series11</c:v>
          </c:tx>
          <c:spPr>
            <a:solidFill>
              <a:schemeClr val="accent5">
                <a:lumMod val="6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2</c:v>
              </c:pt>
              <c:pt idx="1">
                <c:v>8</c:v>
              </c:pt>
              <c:pt idx="2">
                <c:v>38</c:v>
              </c:pt>
              <c:pt idx="3">
                <c:v>1</c:v>
              </c:pt>
              <c:pt idx="4">
                <c:v>8</c:v>
              </c:pt>
              <c:pt idx="5">
                <c:v>32</c:v>
              </c:pt>
            </c:numLit>
          </c:val>
          <c:extLst>
            <c:ext xmlns:c16="http://schemas.microsoft.com/office/drawing/2014/chart" uri="{C3380CC4-5D6E-409C-BE32-E72D297353CC}">
              <c16:uniqueId val="{0000000A-4A9F-453A-9F5C-5B15A679AFB1}"/>
            </c:ext>
          </c:extLst>
        </c:ser>
        <c:ser>
          <c:idx val="11"/>
          <c:order val="11"/>
          <c:tx>
            <c:v>Series12</c:v>
          </c:tx>
          <c:spPr>
            <a:solidFill>
              <a:schemeClr val="accent6">
                <a:lumMod val="6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2</c:v>
              </c:pt>
              <c:pt idx="5">
                <c:v>0</c:v>
              </c:pt>
            </c:numLit>
          </c:val>
          <c:extLst>
            <c:ext xmlns:c16="http://schemas.microsoft.com/office/drawing/2014/chart" uri="{C3380CC4-5D6E-409C-BE32-E72D297353CC}">
              <c16:uniqueId val="{0000000B-4A9F-453A-9F5C-5B15A679AFB1}"/>
            </c:ext>
          </c:extLst>
        </c:ser>
        <c:ser>
          <c:idx val="12"/>
          <c:order val="12"/>
          <c:tx>
            <c:v>Series13</c:v>
          </c:tx>
          <c:spPr>
            <a:solidFill>
              <a:schemeClr val="accent1">
                <a:lumMod val="80000"/>
                <a:lumOff val="2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1</c:v>
              </c:pt>
              <c:pt idx="1">
                <c:v>0</c:v>
              </c:pt>
              <c:pt idx="2">
                <c:v>0</c:v>
              </c:pt>
              <c:pt idx="3">
                <c:v>0</c:v>
              </c:pt>
              <c:pt idx="4">
                <c:v>0</c:v>
              </c:pt>
              <c:pt idx="5">
                <c:v>0</c:v>
              </c:pt>
            </c:numLit>
          </c:val>
          <c:extLst>
            <c:ext xmlns:c16="http://schemas.microsoft.com/office/drawing/2014/chart" uri="{C3380CC4-5D6E-409C-BE32-E72D297353CC}">
              <c16:uniqueId val="{0000000C-4A9F-453A-9F5C-5B15A679AFB1}"/>
            </c:ext>
          </c:extLst>
        </c:ser>
        <c:ser>
          <c:idx val="13"/>
          <c:order val="13"/>
          <c:tx>
            <c:v>Series14</c:v>
          </c:tx>
          <c:spPr>
            <a:solidFill>
              <a:schemeClr val="accent2">
                <a:lumMod val="80000"/>
                <a:lumOff val="2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6</c:v>
              </c:pt>
              <c:pt idx="3">
                <c:v>1</c:v>
              </c:pt>
              <c:pt idx="4">
                <c:v>0</c:v>
              </c:pt>
              <c:pt idx="5">
                <c:v>2</c:v>
              </c:pt>
            </c:numLit>
          </c:val>
          <c:extLst>
            <c:ext xmlns:c16="http://schemas.microsoft.com/office/drawing/2014/chart" uri="{C3380CC4-5D6E-409C-BE32-E72D297353CC}">
              <c16:uniqueId val="{0000000D-4A9F-453A-9F5C-5B15A679AFB1}"/>
            </c:ext>
          </c:extLst>
        </c:ser>
        <c:ser>
          <c:idx val="14"/>
          <c:order val="14"/>
          <c:tx>
            <c:v>Series15</c:v>
          </c:tx>
          <c:spPr>
            <a:solidFill>
              <a:schemeClr val="accent3">
                <a:lumMod val="80000"/>
                <a:lumOff val="2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1</c:v>
              </c:pt>
              <c:pt idx="1">
                <c:v>0</c:v>
              </c:pt>
              <c:pt idx="2">
                <c:v>0</c:v>
              </c:pt>
              <c:pt idx="3">
                <c:v>0</c:v>
              </c:pt>
              <c:pt idx="4">
                <c:v>7</c:v>
              </c:pt>
              <c:pt idx="5">
                <c:v>4</c:v>
              </c:pt>
            </c:numLit>
          </c:val>
          <c:extLst>
            <c:ext xmlns:c16="http://schemas.microsoft.com/office/drawing/2014/chart" uri="{C3380CC4-5D6E-409C-BE32-E72D297353CC}">
              <c16:uniqueId val="{0000000E-4A9F-453A-9F5C-5B15A679AFB1}"/>
            </c:ext>
          </c:extLst>
        </c:ser>
        <c:ser>
          <c:idx val="15"/>
          <c:order val="15"/>
          <c:tx>
            <c:v>Series16</c:v>
          </c:tx>
          <c:spPr>
            <a:solidFill>
              <a:schemeClr val="accent4">
                <a:lumMod val="80000"/>
                <a:lumOff val="2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1</c:v>
              </c:pt>
              <c:pt idx="3">
                <c:v>0</c:v>
              </c:pt>
              <c:pt idx="4">
                <c:v>0</c:v>
              </c:pt>
              <c:pt idx="5">
                <c:v>0</c:v>
              </c:pt>
            </c:numLit>
          </c:val>
          <c:extLst>
            <c:ext xmlns:c16="http://schemas.microsoft.com/office/drawing/2014/chart" uri="{C3380CC4-5D6E-409C-BE32-E72D297353CC}">
              <c16:uniqueId val="{0000000F-4A9F-453A-9F5C-5B15A679AFB1}"/>
            </c:ext>
          </c:extLst>
        </c:ser>
        <c:ser>
          <c:idx val="16"/>
          <c:order val="16"/>
          <c:tx>
            <c:v>Series17</c:v>
          </c:tx>
          <c:spPr>
            <a:solidFill>
              <a:schemeClr val="accent5">
                <a:lumMod val="80000"/>
                <a:lumOff val="2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2</c:v>
              </c:pt>
              <c:pt idx="2">
                <c:v>4</c:v>
              </c:pt>
              <c:pt idx="3">
                <c:v>0</c:v>
              </c:pt>
              <c:pt idx="4">
                <c:v>0</c:v>
              </c:pt>
              <c:pt idx="5">
                <c:v>3</c:v>
              </c:pt>
            </c:numLit>
          </c:val>
          <c:extLst>
            <c:ext xmlns:c16="http://schemas.microsoft.com/office/drawing/2014/chart" uri="{C3380CC4-5D6E-409C-BE32-E72D297353CC}">
              <c16:uniqueId val="{00000010-4A9F-453A-9F5C-5B15A679AFB1}"/>
            </c:ext>
          </c:extLst>
        </c:ser>
        <c:ser>
          <c:idx val="17"/>
          <c:order val="17"/>
          <c:tx>
            <c:v>Series18</c:v>
          </c:tx>
          <c:spPr>
            <a:solidFill>
              <a:schemeClr val="accent6">
                <a:lumMod val="80000"/>
                <a:lumOff val="2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3</c:v>
              </c:pt>
              <c:pt idx="3">
                <c:v>1</c:v>
              </c:pt>
              <c:pt idx="4">
                <c:v>5</c:v>
              </c:pt>
              <c:pt idx="5">
                <c:v>6</c:v>
              </c:pt>
            </c:numLit>
          </c:val>
          <c:extLst>
            <c:ext xmlns:c16="http://schemas.microsoft.com/office/drawing/2014/chart" uri="{C3380CC4-5D6E-409C-BE32-E72D297353CC}">
              <c16:uniqueId val="{00000011-4A9F-453A-9F5C-5B15A679AFB1}"/>
            </c:ext>
          </c:extLst>
        </c:ser>
        <c:ser>
          <c:idx val="18"/>
          <c:order val="18"/>
          <c:tx>
            <c:v>Series19</c:v>
          </c:tx>
          <c:spPr>
            <a:solidFill>
              <a:schemeClr val="accent1">
                <a:lumMod val="8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1</c:v>
              </c:pt>
              <c:pt idx="1">
                <c:v>7</c:v>
              </c:pt>
              <c:pt idx="2">
                <c:v>7</c:v>
              </c:pt>
              <c:pt idx="3">
                <c:v>0</c:v>
              </c:pt>
              <c:pt idx="4">
                <c:v>8</c:v>
              </c:pt>
              <c:pt idx="5">
                <c:v>5</c:v>
              </c:pt>
            </c:numLit>
          </c:val>
          <c:extLst>
            <c:ext xmlns:c16="http://schemas.microsoft.com/office/drawing/2014/chart" uri="{C3380CC4-5D6E-409C-BE32-E72D297353CC}">
              <c16:uniqueId val="{00000012-4A9F-453A-9F5C-5B15A679AFB1}"/>
            </c:ext>
          </c:extLst>
        </c:ser>
        <c:ser>
          <c:idx val="19"/>
          <c:order val="19"/>
          <c:tx>
            <c:v>Series20</c:v>
          </c:tx>
          <c:spPr>
            <a:solidFill>
              <a:schemeClr val="accent2">
                <a:lumMod val="8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0</c:v>
              </c:pt>
              <c:pt idx="5">
                <c:v>1</c:v>
              </c:pt>
            </c:numLit>
          </c:val>
          <c:extLst>
            <c:ext xmlns:c16="http://schemas.microsoft.com/office/drawing/2014/chart" uri="{C3380CC4-5D6E-409C-BE32-E72D297353CC}">
              <c16:uniqueId val="{00000013-4A9F-453A-9F5C-5B15A679AFB1}"/>
            </c:ext>
          </c:extLst>
        </c:ser>
        <c:ser>
          <c:idx val="20"/>
          <c:order val="20"/>
          <c:tx>
            <c:v>Series21</c:v>
          </c:tx>
          <c:spPr>
            <a:solidFill>
              <a:schemeClr val="accent3">
                <a:lumMod val="8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1</c:v>
              </c:pt>
              <c:pt idx="2">
                <c:v>1</c:v>
              </c:pt>
              <c:pt idx="3">
                <c:v>0</c:v>
              </c:pt>
              <c:pt idx="4">
                <c:v>24</c:v>
              </c:pt>
              <c:pt idx="5">
                <c:v>0</c:v>
              </c:pt>
            </c:numLit>
          </c:val>
          <c:extLst>
            <c:ext xmlns:c16="http://schemas.microsoft.com/office/drawing/2014/chart" uri="{C3380CC4-5D6E-409C-BE32-E72D297353CC}">
              <c16:uniqueId val="{00000014-4A9F-453A-9F5C-5B15A679AFB1}"/>
            </c:ext>
          </c:extLst>
        </c:ser>
        <c:ser>
          <c:idx val="21"/>
          <c:order val="21"/>
          <c:tx>
            <c:v>Series22</c:v>
          </c:tx>
          <c:spPr>
            <a:solidFill>
              <a:schemeClr val="accent4">
                <a:lumMod val="8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1</c:v>
              </c:pt>
              <c:pt idx="1">
                <c:v>1</c:v>
              </c:pt>
              <c:pt idx="2">
                <c:v>11</c:v>
              </c:pt>
              <c:pt idx="3">
                <c:v>0</c:v>
              </c:pt>
              <c:pt idx="4">
                <c:v>4</c:v>
              </c:pt>
              <c:pt idx="5">
                <c:v>8</c:v>
              </c:pt>
            </c:numLit>
          </c:val>
          <c:extLst>
            <c:ext xmlns:c16="http://schemas.microsoft.com/office/drawing/2014/chart" uri="{C3380CC4-5D6E-409C-BE32-E72D297353CC}">
              <c16:uniqueId val="{00000015-4A9F-453A-9F5C-5B15A679AFB1}"/>
            </c:ext>
          </c:extLst>
        </c:ser>
        <c:ser>
          <c:idx val="22"/>
          <c:order val="22"/>
          <c:tx>
            <c:v>Series23</c:v>
          </c:tx>
          <c:spPr>
            <a:solidFill>
              <a:schemeClr val="accent5">
                <a:lumMod val="8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1</c:v>
              </c:pt>
              <c:pt idx="2">
                <c:v>0</c:v>
              </c:pt>
              <c:pt idx="3">
                <c:v>0</c:v>
              </c:pt>
              <c:pt idx="4">
                <c:v>0</c:v>
              </c:pt>
              <c:pt idx="5">
                <c:v>0</c:v>
              </c:pt>
            </c:numLit>
          </c:val>
          <c:extLst>
            <c:ext xmlns:c16="http://schemas.microsoft.com/office/drawing/2014/chart" uri="{C3380CC4-5D6E-409C-BE32-E72D297353CC}">
              <c16:uniqueId val="{00000016-4A9F-453A-9F5C-5B15A679AFB1}"/>
            </c:ext>
          </c:extLst>
        </c:ser>
        <c:ser>
          <c:idx val="23"/>
          <c:order val="23"/>
          <c:tx>
            <c:v>Series24</c:v>
          </c:tx>
          <c:spPr>
            <a:solidFill>
              <a:schemeClr val="accent6">
                <a:lumMod val="8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1</c:v>
              </c:pt>
              <c:pt idx="1">
                <c:v>0</c:v>
              </c:pt>
              <c:pt idx="2">
                <c:v>0</c:v>
              </c:pt>
              <c:pt idx="3">
                <c:v>0</c:v>
              </c:pt>
              <c:pt idx="4">
                <c:v>3</c:v>
              </c:pt>
              <c:pt idx="5">
                <c:v>3</c:v>
              </c:pt>
            </c:numLit>
          </c:val>
          <c:extLst>
            <c:ext xmlns:c16="http://schemas.microsoft.com/office/drawing/2014/chart" uri="{C3380CC4-5D6E-409C-BE32-E72D297353CC}">
              <c16:uniqueId val="{00000017-4A9F-453A-9F5C-5B15A679AFB1}"/>
            </c:ext>
          </c:extLst>
        </c:ser>
        <c:ser>
          <c:idx val="24"/>
          <c:order val="24"/>
          <c:tx>
            <c:v>Series25</c:v>
          </c:tx>
          <c:spPr>
            <a:solidFill>
              <a:schemeClr val="accent1">
                <a:lumMod val="60000"/>
                <a:lumOff val="4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14</c:v>
              </c:pt>
              <c:pt idx="5">
                <c:v>0</c:v>
              </c:pt>
            </c:numLit>
          </c:val>
          <c:extLst>
            <c:ext xmlns:c16="http://schemas.microsoft.com/office/drawing/2014/chart" uri="{C3380CC4-5D6E-409C-BE32-E72D297353CC}">
              <c16:uniqueId val="{00000018-4A9F-453A-9F5C-5B15A679AFB1}"/>
            </c:ext>
          </c:extLst>
        </c:ser>
        <c:ser>
          <c:idx val="25"/>
          <c:order val="25"/>
          <c:tx>
            <c:v>Series26</c:v>
          </c:tx>
          <c:spPr>
            <a:solidFill>
              <a:schemeClr val="accent2">
                <a:lumMod val="60000"/>
                <a:lumOff val="4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0</c:v>
              </c:pt>
              <c:pt idx="5">
                <c:v>1</c:v>
              </c:pt>
            </c:numLit>
          </c:val>
          <c:extLst>
            <c:ext xmlns:c16="http://schemas.microsoft.com/office/drawing/2014/chart" uri="{C3380CC4-5D6E-409C-BE32-E72D297353CC}">
              <c16:uniqueId val="{00000019-4A9F-453A-9F5C-5B15A679AFB1}"/>
            </c:ext>
          </c:extLst>
        </c:ser>
        <c:ser>
          <c:idx val="26"/>
          <c:order val="26"/>
          <c:tx>
            <c:v>Series27</c:v>
          </c:tx>
          <c:spPr>
            <a:solidFill>
              <a:schemeClr val="accent3">
                <a:lumMod val="60000"/>
                <a:lumOff val="4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2</c:v>
              </c:pt>
              <c:pt idx="1">
                <c:v>0</c:v>
              </c:pt>
              <c:pt idx="2">
                <c:v>0</c:v>
              </c:pt>
              <c:pt idx="3">
                <c:v>0</c:v>
              </c:pt>
              <c:pt idx="4">
                <c:v>0</c:v>
              </c:pt>
              <c:pt idx="5">
                <c:v>6</c:v>
              </c:pt>
            </c:numLit>
          </c:val>
          <c:extLst>
            <c:ext xmlns:c16="http://schemas.microsoft.com/office/drawing/2014/chart" uri="{C3380CC4-5D6E-409C-BE32-E72D297353CC}">
              <c16:uniqueId val="{0000001A-4A9F-453A-9F5C-5B15A679AFB1}"/>
            </c:ext>
          </c:extLst>
        </c:ser>
        <c:ser>
          <c:idx val="27"/>
          <c:order val="27"/>
          <c:tx>
            <c:v>Series28</c:v>
          </c:tx>
          <c:spPr>
            <a:solidFill>
              <a:schemeClr val="accent4">
                <a:lumMod val="60000"/>
                <a:lumOff val="4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1</c:v>
              </c:pt>
              <c:pt idx="1">
                <c:v>0</c:v>
              </c:pt>
              <c:pt idx="2">
                <c:v>0</c:v>
              </c:pt>
              <c:pt idx="3">
                <c:v>0</c:v>
              </c:pt>
              <c:pt idx="4">
                <c:v>0</c:v>
              </c:pt>
              <c:pt idx="5">
                <c:v>0</c:v>
              </c:pt>
            </c:numLit>
          </c:val>
          <c:extLst>
            <c:ext xmlns:c16="http://schemas.microsoft.com/office/drawing/2014/chart" uri="{C3380CC4-5D6E-409C-BE32-E72D297353CC}">
              <c16:uniqueId val="{0000001B-4A9F-453A-9F5C-5B15A679AFB1}"/>
            </c:ext>
          </c:extLst>
        </c:ser>
        <c:ser>
          <c:idx val="28"/>
          <c:order val="28"/>
          <c:tx>
            <c:v>Series29</c:v>
          </c:tx>
          <c:spPr>
            <a:solidFill>
              <a:schemeClr val="accent5">
                <a:lumMod val="60000"/>
                <a:lumOff val="4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1</c:v>
              </c:pt>
              <c:pt idx="2">
                <c:v>0</c:v>
              </c:pt>
              <c:pt idx="3">
                <c:v>0</c:v>
              </c:pt>
              <c:pt idx="4">
                <c:v>3</c:v>
              </c:pt>
              <c:pt idx="5">
                <c:v>2</c:v>
              </c:pt>
            </c:numLit>
          </c:val>
          <c:extLst>
            <c:ext xmlns:c16="http://schemas.microsoft.com/office/drawing/2014/chart" uri="{C3380CC4-5D6E-409C-BE32-E72D297353CC}">
              <c16:uniqueId val="{0000001C-4A9F-453A-9F5C-5B15A679AFB1}"/>
            </c:ext>
          </c:extLst>
        </c:ser>
        <c:ser>
          <c:idx val="29"/>
          <c:order val="29"/>
          <c:tx>
            <c:v>Series30</c:v>
          </c:tx>
          <c:spPr>
            <a:solidFill>
              <a:schemeClr val="accent6">
                <a:lumMod val="60000"/>
                <a:lumOff val="4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1</c:v>
              </c:pt>
              <c:pt idx="3">
                <c:v>0</c:v>
              </c:pt>
              <c:pt idx="4">
                <c:v>0</c:v>
              </c:pt>
              <c:pt idx="5">
                <c:v>4</c:v>
              </c:pt>
            </c:numLit>
          </c:val>
          <c:extLst>
            <c:ext xmlns:c16="http://schemas.microsoft.com/office/drawing/2014/chart" uri="{C3380CC4-5D6E-409C-BE32-E72D297353CC}">
              <c16:uniqueId val="{0000001D-4A9F-453A-9F5C-5B15A679AFB1}"/>
            </c:ext>
          </c:extLst>
        </c:ser>
        <c:ser>
          <c:idx val="30"/>
          <c:order val="30"/>
          <c:tx>
            <c:v>Series31</c:v>
          </c:tx>
          <c:spPr>
            <a:solidFill>
              <a:schemeClr val="accent1">
                <a:lumMod val="5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0</c:v>
              </c:pt>
              <c:pt idx="5">
                <c:v>1</c:v>
              </c:pt>
            </c:numLit>
          </c:val>
          <c:extLst>
            <c:ext xmlns:c16="http://schemas.microsoft.com/office/drawing/2014/chart" uri="{C3380CC4-5D6E-409C-BE32-E72D297353CC}">
              <c16:uniqueId val="{0000001E-4A9F-453A-9F5C-5B15A679AFB1}"/>
            </c:ext>
          </c:extLst>
        </c:ser>
        <c:ser>
          <c:idx val="31"/>
          <c:order val="31"/>
          <c:tx>
            <c:v>Series32</c:v>
          </c:tx>
          <c:spPr>
            <a:solidFill>
              <a:schemeClr val="accent2">
                <a:lumMod val="5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2</c:v>
              </c:pt>
              <c:pt idx="3">
                <c:v>0</c:v>
              </c:pt>
              <c:pt idx="4">
                <c:v>0</c:v>
              </c:pt>
              <c:pt idx="5">
                <c:v>7</c:v>
              </c:pt>
            </c:numLit>
          </c:val>
          <c:extLst>
            <c:ext xmlns:c16="http://schemas.microsoft.com/office/drawing/2014/chart" uri="{C3380CC4-5D6E-409C-BE32-E72D297353CC}">
              <c16:uniqueId val="{0000001F-4A9F-453A-9F5C-5B15A679AFB1}"/>
            </c:ext>
          </c:extLst>
        </c:ser>
        <c:ser>
          <c:idx val="32"/>
          <c:order val="32"/>
          <c:tx>
            <c:v>Series33</c:v>
          </c:tx>
          <c:spPr>
            <a:solidFill>
              <a:schemeClr val="accent3">
                <a:lumMod val="5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4</c:v>
              </c:pt>
              <c:pt idx="5">
                <c:v>0</c:v>
              </c:pt>
            </c:numLit>
          </c:val>
          <c:extLst>
            <c:ext xmlns:c16="http://schemas.microsoft.com/office/drawing/2014/chart" uri="{C3380CC4-5D6E-409C-BE32-E72D297353CC}">
              <c16:uniqueId val="{00000020-4A9F-453A-9F5C-5B15A679AFB1}"/>
            </c:ext>
          </c:extLst>
        </c:ser>
        <c:ser>
          <c:idx val="33"/>
          <c:order val="33"/>
          <c:tx>
            <c:v>Series34</c:v>
          </c:tx>
          <c:spPr>
            <a:solidFill>
              <a:schemeClr val="accent4">
                <a:lumMod val="5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0</c:v>
              </c:pt>
              <c:pt idx="5">
                <c:v>2</c:v>
              </c:pt>
            </c:numLit>
          </c:val>
          <c:extLst>
            <c:ext xmlns:c16="http://schemas.microsoft.com/office/drawing/2014/chart" uri="{C3380CC4-5D6E-409C-BE32-E72D297353CC}">
              <c16:uniqueId val="{00000021-4A9F-453A-9F5C-5B15A679AFB1}"/>
            </c:ext>
          </c:extLst>
        </c:ser>
        <c:ser>
          <c:idx val="34"/>
          <c:order val="34"/>
          <c:tx>
            <c:v>Series35</c:v>
          </c:tx>
          <c:spPr>
            <a:solidFill>
              <a:schemeClr val="accent5">
                <a:lumMod val="5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1</c:v>
              </c:pt>
              <c:pt idx="3">
                <c:v>0</c:v>
              </c:pt>
              <c:pt idx="4">
                <c:v>0</c:v>
              </c:pt>
              <c:pt idx="5">
                <c:v>0</c:v>
              </c:pt>
            </c:numLit>
          </c:val>
          <c:extLst>
            <c:ext xmlns:c16="http://schemas.microsoft.com/office/drawing/2014/chart" uri="{C3380CC4-5D6E-409C-BE32-E72D297353CC}">
              <c16:uniqueId val="{00000022-4A9F-453A-9F5C-5B15A679AFB1}"/>
            </c:ext>
          </c:extLst>
        </c:ser>
        <c:ser>
          <c:idx val="35"/>
          <c:order val="35"/>
          <c:tx>
            <c:v>Series36</c:v>
          </c:tx>
          <c:spPr>
            <a:solidFill>
              <a:schemeClr val="accent6">
                <a:lumMod val="50000"/>
              </a:schemeClr>
            </a:solidFill>
            <a:ln>
              <a:noFill/>
            </a:ln>
            <a:effectLst/>
          </c:spPr>
          <c:invertIfNegative val="0"/>
          <c:cat>
            <c:strLit>
              <c:ptCount val="6"/>
              <c:pt idx="0">
                <c:v>Exceptional Conduct</c:v>
              </c:pt>
              <c:pt idx="1">
                <c:v>Retro Changes in Law</c:v>
              </c:pt>
              <c:pt idx="2">
                <c:v>vs. Le</c:v>
              </c:pt>
              <c:pt idx="3">
                <c:v>vs. Lopez</c:v>
              </c:pt>
              <c:pt idx="4">
                <c:v>vs. McCart</c:v>
              </c:pt>
              <c:pt idx="5">
                <c:v>vs. Rodriguez</c:v>
              </c:pt>
            </c:strLit>
          </c:cat>
          <c:val>
            <c:numLit>
              <c:formatCode>General</c:formatCode>
              <c:ptCount val="6"/>
              <c:pt idx="0">
                <c:v>0</c:v>
              </c:pt>
              <c:pt idx="1">
                <c:v>0</c:v>
              </c:pt>
              <c:pt idx="2">
                <c:v>0</c:v>
              </c:pt>
              <c:pt idx="3">
                <c:v>0</c:v>
              </c:pt>
              <c:pt idx="4">
                <c:v>0</c:v>
              </c:pt>
              <c:pt idx="5">
                <c:v>5</c:v>
              </c:pt>
            </c:numLit>
          </c:val>
          <c:extLst>
            <c:ext xmlns:c16="http://schemas.microsoft.com/office/drawing/2014/chart" uri="{C3380CC4-5D6E-409C-BE32-E72D297353CC}">
              <c16:uniqueId val="{00000023-4A9F-453A-9F5C-5B15A679AFB1}"/>
            </c:ext>
          </c:extLst>
        </c:ser>
        <c:dLbls>
          <c:showLegendKey val="0"/>
          <c:showVal val="0"/>
          <c:showCatName val="0"/>
          <c:showSerName val="0"/>
          <c:showPercent val="0"/>
          <c:showBubbleSize val="0"/>
        </c:dLbls>
        <c:gapWidth val="100"/>
        <c:axId val="133864832"/>
        <c:axId val="133883008"/>
      </c:barChart>
      <c:catAx>
        <c:axId val="133864832"/>
        <c:scaling>
          <c:orientation val="minMax"/>
        </c:scaling>
        <c:delete val="0"/>
        <c:axPos val="b"/>
        <c:numFmt formatCode="General" sourceLinked="1"/>
        <c:majorTickMark val="out"/>
        <c:minorTickMark val="none"/>
        <c:tickLblPos val="nextTo"/>
        <c:spPr>
          <a:noFill/>
          <a:ln w="9525" cap="flat" cmpd="sng" algn="ctr">
            <a:solidFill>
              <a:schemeClr val="bg1">
                <a:lumMod val="50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83008"/>
        <c:crosses val="autoZero"/>
        <c:auto val="1"/>
        <c:lblAlgn val="ctr"/>
        <c:lblOffset val="100"/>
        <c:noMultiLvlLbl val="0"/>
      </c:catAx>
      <c:valAx>
        <c:axId val="1338830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64832"/>
        <c:crosses val="autoZero"/>
        <c:crossBetween val="between"/>
        <c:majorUnit val="2"/>
      </c:valAx>
      <c:spPr>
        <a:noFill/>
        <a:ln>
          <a:noFill/>
        </a:ln>
        <a:effectLst/>
      </c:spPr>
    </c:plotArea>
    <c:legend>
      <c:legendPos val="b"/>
      <c:layout>
        <c:manualLayout>
          <c:xMode val="edge"/>
          <c:yMode val="edge"/>
          <c:x val="0.30276923105200088"/>
          <c:y val="0.91253390201224849"/>
          <c:w val="0.31771962994828234"/>
          <c:h val="3.5878796400449942E-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1</xdr:row>
      <xdr:rowOff>0</xdr:rowOff>
    </xdr:from>
    <xdr:to>
      <xdr:col>41</xdr:col>
      <xdr:colOff>38100</xdr:colOff>
      <xdr:row>36</xdr:row>
      <xdr:rowOff>99060</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0</xdr:colOff>
      <xdr:row>39</xdr:row>
      <xdr:rowOff>0</xdr:rowOff>
    </xdr:from>
    <xdr:to>
      <xdr:col>41</xdr:col>
      <xdr:colOff>38100</xdr:colOff>
      <xdr:row>74</xdr:row>
      <xdr:rowOff>99060</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77</xdr:row>
      <xdr:rowOff>0</xdr:rowOff>
    </xdr:from>
    <xdr:to>
      <xdr:col>41</xdr:col>
      <xdr:colOff>38100</xdr:colOff>
      <xdr:row>112</xdr:row>
      <xdr:rowOff>99060</xdr:rowOff>
    </xdr:to>
    <xdr:graphicFrame macro="">
      <xdr:nvGraphicFramePr>
        <xdr:cNvPr id="4" name="Chart 3">
          <a:extLst>
            <a:ext uri="{FF2B5EF4-FFF2-40B4-BE49-F238E27FC236}">
              <a16:creationId xmlns:a16="http://schemas.microsoft.com/office/drawing/2014/main" id="{00000000-0008-0000-02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115</xdr:row>
      <xdr:rowOff>0</xdr:rowOff>
    </xdr:from>
    <xdr:to>
      <xdr:col>41</xdr:col>
      <xdr:colOff>38100</xdr:colOff>
      <xdr:row>151</xdr:row>
      <xdr:rowOff>80010</xdr:rowOff>
    </xdr:to>
    <xdr:graphicFrame macro="">
      <xdr:nvGraphicFramePr>
        <xdr:cNvPr id="5" name="Chart 4">
          <a:extLst>
            <a:ext uri="{FF2B5EF4-FFF2-40B4-BE49-F238E27FC236}">
              <a16:creationId xmlns:a16="http://schemas.microsoft.com/office/drawing/2014/main" id="{00000000-0008-0000-02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85726</xdr:colOff>
      <xdr:row>29</xdr:row>
      <xdr:rowOff>66675</xdr:rowOff>
    </xdr:from>
    <xdr:to>
      <xdr:col>23</xdr:col>
      <xdr:colOff>9525</xdr:colOff>
      <xdr:row>30</xdr:row>
      <xdr:rowOff>114301</xdr:rowOff>
    </xdr:to>
    <xdr:sp macro="" textlink="">
      <xdr:nvSpPr>
        <xdr:cNvPr id="6" name="TextBox 5">
          <a:extLst>
            <a:ext uri="{FF2B5EF4-FFF2-40B4-BE49-F238E27FC236}">
              <a16:creationId xmlns:a16="http://schemas.microsoft.com/office/drawing/2014/main" id="{00000000-0008-0000-0200-000006000000}"/>
            </a:ext>
          </a:extLst>
        </xdr:cNvPr>
        <xdr:cNvSpPr txBox="1"/>
      </xdr:nvSpPr>
      <xdr:spPr>
        <a:xfrm>
          <a:off x="4438651" y="5591175"/>
          <a:ext cx="2333624" cy="238126"/>
        </a:xfrm>
        <a:prstGeom prst="rect">
          <a:avLst/>
        </a:prstGeom>
        <a:solidFill>
          <a:schemeClr val="lt1">
            <a:alpha val="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800">
              <a:solidFill>
                <a:schemeClr val="tx1">
                  <a:lumMod val="50000"/>
                  <a:lumOff val="50000"/>
                </a:schemeClr>
              </a:solidFill>
            </a:rPr>
            <a:t>Only 2 letters were mailed</a:t>
          </a:r>
          <a:r>
            <a:rPr lang="en-US" sz="800" baseline="0">
              <a:solidFill>
                <a:schemeClr val="tx1">
                  <a:lumMod val="50000"/>
                  <a:lumOff val="50000"/>
                </a:schemeClr>
              </a:solidFill>
            </a:rPr>
            <a:t> prior to March 2018.</a:t>
          </a:r>
          <a:endParaRPr lang="en-US" sz="800">
            <a:solidFill>
              <a:schemeClr val="tx1">
                <a:lumMod val="50000"/>
                <a:lumOff val="50000"/>
              </a:schemeClr>
            </a:solidFill>
          </a:endParaRPr>
        </a:p>
      </xdr:txBody>
    </xdr:sp>
    <xdr:clientData/>
  </xdr:twoCellAnchor>
</xdr:wsDr>
</file>

<file path=xl/drawings/drawing2.xml><?xml version="1.0" encoding="utf-8"?>
<c:userShapes xmlns:c="http://schemas.openxmlformats.org/drawingml/2006/chart">
  <cdr:relSizeAnchor xmlns:cdr="http://schemas.openxmlformats.org/drawingml/2006/chartDrawing">
    <cdr:from>
      <cdr:x>0.00729</cdr:x>
      <cdr:y>0.93328</cdr:y>
    </cdr:from>
    <cdr:to>
      <cdr:x>0.99381</cdr:x>
      <cdr:y>0.9881</cdr:y>
    </cdr:to>
    <cdr:sp macro="" textlink="">
      <cdr:nvSpPr>
        <cdr:cNvPr id="3" name="TextBox 4"/>
        <cdr:cNvSpPr txBox="1"/>
      </cdr:nvSpPr>
      <cdr:spPr>
        <a:xfrm xmlns:a="http://schemas.openxmlformats.org/drawingml/2006/main">
          <a:off x="78672" y="6315075"/>
          <a:ext cx="10646352" cy="370963"/>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800"/>
            <a:t>Note:</a:t>
          </a:r>
          <a:r>
            <a:rPr lang="en-US" sz="800" baseline="0"/>
            <a:t> Chart only shows counties with offenders indentified on the 1170(d) (1) list.</a:t>
          </a:r>
        </a:p>
        <a:p xmlns:a="http://schemas.openxmlformats.org/drawingml/2006/main">
          <a:r>
            <a:rPr lang="en-US" sz="800"/>
            <a:t>* Counties with an asterisk have a state prison in the county.</a:t>
          </a:r>
        </a:p>
      </cdr:txBody>
    </cdr:sp>
  </cdr:relSizeAnchor>
</c:userShapes>
</file>

<file path=xl/drawings/drawing3.xml><?xml version="1.0" encoding="utf-8"?>
<xdr:wsDr xmlns:xdr="http://schemas.openxmlformats.org/drawingml/2006/spreadsheetDrawing" xmlns:a="http://schemas.openxmlformats.org/drawingml/2006/main">
  <xdr:twoCellAnchor>
    <xdr:from>
      <xdr:col>18</xdr:col>
      <xdr:colOff>0</xdr:colOff>
      <xdr:row>64</xdr:row>
      <xdr:rowOff>0</xdr:rowOff>
    </xdr:from>
    <xdr:to>
      <xdr:col>34</xdr:col>
      <xdr:colOff>222885</xdr:colOff>
      <xdr:row>97</xdr:row>
      <xdr:rowOff>114300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0.00438</cdr:x>
      <cdr:y>0.95685</cdr:y>
    </cdr:from>
    <cdr:to>
      <cdr:x>0.9909</cdr:x>
      <cdr:y>0.99256</cdr:y>
    </cdr:to>
    <cdr:sp macro="" textlink="">
      <cdr:nvSpPr>
        <cdr:cNvPr id="2" name="TextBox 4"/>
        <cdr:cNvSpPr txBox="1"/>
      </cdr:nvSpPr>
      <cdr:spPr>
        <a:xfrm xmlns:a="http://schemas.openxmlformats.org/drawingml/2006/main">
          <a:off x="47625" y="6124575"/>
          <a:ext cx="10734675" cy="22860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800"/>
            <a:t>*</a:t>
          </a:r>
          <a:r>
            <a:rPr lang="en-US" sz="800" baseline="0"/>
            <a:t> Chart only shows counties with offenders indentified on the 1170(d) (1) list.</a:t>
          </a:r>
          <a:endParaRPr lang="en-US" sz="800"/>
        </a:p>
      </cdr:txBody>
    </cdr:sp>
  </cdr:relSizeAnchor>
  <cdr:relSizeAnchor xmlns:cdr="http://schemas.openxmlformats.org/drawingml/2006/chartDrawing">
    <cdr:from>
      <cdr:x>0.43184</cdr:x>
      <cdr:y>0.34127</cdr:y>
    </cdr:from>
    <cdr:to>
      <cdr:x>0.56752</cdr:x>
      <cdr:y>0.45288</cdr:y>
    </cdr:to>
    <cdr:sp macro="" textlink="">
      <cdr:nvSpPr>
        <cdr:cNvPr id="3" name="TextBox 3"/>
        <cdr:cNvSpPr txBox="1"/>
      </cdr:nvSpPr>
      <cdr:spPr>
        <a:xfrm xmlns:a="http://schemas.openxmlformats.org/drawingml/2006/main" rot="20322285">
          <a:off x="4699000" y="2184400"/>
          <a:ext cx="1476375" cy="714375"/>
        </a:xfrm>
        <a:prstGeom xmlns:a="http://schemas.openxmlformats.org/drawingml/2006/main" prst="rect">
          <a:avLst/>
        </a:prstGeom>
        <a:solidFill xmlns:a="http://schemas.openxmlformats.org/drawingml/2006/main">
          <a:schemeClr val="bg1">
            <a:alpha val="0"/>
          </a:schemeClr>
        </a:solidFill>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r>
            <a:rPr lang="en-US" sz="3600">
              <a:solidFill>
                <a:schemeClr val="bg1">
                  <a:lumMod val="75000"/>
                </a:schemeClr>
              </a:solidFill>
            </a:rPr>
            <a:t>DRAFT</a:t>
          </a:r>
        </a:p>
      </cdr:txBody>
    </cdr:sp>
  </cdr:relSizeAnchor>
</c:userShapes>
</file>

<file path=xl/externalLinks/_rels/externalLink1.xml.rels><?xml version="1.0" encoding="UTF-8" standalone="yes"?>
<Relationships xmlns="http://schemas.openxmlformats.org/package/2006/relationships"><Relationship Id="rId1" Type="http://schemas.openxmlformats.org/officeDocument/2006/relationships/externalLinkPath" Target="/Users/irene.mcclain/Desktop/asldkfjSLDKJ.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rystal.tellez/Desktop/Copy%20of%201170%20(d)%20Main%20Tracking%20Log%20(003)%20RESPONS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s://cdcr.sharepoint.com/sites/cdcr_ao_dai_crs/Shared%20Documents/1170%20(d)%20Main%20Tracking%20Log%20Reconcile%20Crystal's%20(Autosaved).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crystal.tellez/AppData/Roaming/Microsoft/Excel/1170%20(d)%20Main%20Tracking%20Log%20Reconcile%20Crystal's%20(Autosaved)%20(version%201).xlsb"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crystal.tellez/Desktop/1170%20(d)%20Main%20Tracking%20Log%20Reconcile%20Crystal's%20(Autosaved)%20(Repaired).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crystal.tellez/Desktop/Copy%20of%201170%20(d)%20Main%20Tracking%20Log%20(003)%20Selena's.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crystal.tellez/Desktop/Copy%20of%201170%20(d)%20Main%20Tracking%20Log%20(0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s"/>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rop-downs"/>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70(d)(1)"/>
      <sheetName val="Sheet1"/>
      <sheetName val="LettersMailedReport"/>
      <sheetName val="ReportCharts-RefreshOnly"/>
      <sheetName val="PivotTables-OnlyRefreshData"/>
      <sheetName val="Drop-downs"/>
    </sheetNames>
    <sheetDataSet>
      <sheetData sheetId="0"/>
      <sheetData sheetId="1"/>
      <sheetData sheetId="2"/>
      <sheetData sheetId="3"/>
      <sheetData sheetId="4"/>
      <sheetData sheetId="5"/>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70(d)(1)"/>
      <sheetName val="Sheet1"/>
      <sheetName val="LettersMailedReport"/>
      <sheetName val="ReportCharts-RefreshOnly"/>
      <sheetName val="PivotTables-OnlyRefreshData"/>
      <sheetName val="Drop-downs"/>
    </sheetNames>
    <sheetDataSet>
      <sheetData sheetId="0" refreshError="1"/>
      <sheetData sheetId="1" refreshError="1"/>
      <sheetData sheetId="2" refreshError="1"/>
      <sheetData sheetId="3" refreshError="1"/>
      <sheetData sheetId="4" refreshError="1"/>
      <sheetData sheetId="5"/>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70(d)(1)"/>
      <sheetName val="LettersMailedReport"/>
      <sheetName val="ReportCharts-RefreshOnly"/>
      <sheetName val="PivotTables-OnlyRefreshData"/>
      <sheetName val="Drop-downs"/>
    </sheetNames>
    <sheetDataSet>
      <sheetData sheetId="0" refreshError="1"/>
      <sheetData sheetId="1" refreshError="1"/>
      <sheetData sheetId="2" refreshError="1"/>
      <sheetData sheetId="3" refreshError="1"/>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170(d)(1)"/>
      <sheetName val="LettersMailedReport"/>
      <sheetName val="ReportCharts-RefreshOnly"/>
      <sheetName val="PivotTables-OnlyRefreshData"/>
      <sheetName val="Drop-downs"/>
    </sheetNames>
    <sheetDataSet>
      <sheetData sheetId="0" refreshError="1"/>
      <sheetData sheetId="1" refreshError="1"/>
      <sheetData sheetId="2" refreshError="1"/>
      <sheetData sheetId="3" refreshError="1"/>
      <sheetData sheetId="4"/>
    </sheetDataSet>
  </externalBook>
</externalLink>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cClain, Irene@CDCR" refreshedDate="44461.326187268518" createdVersion="5" refreshedVersion="6" minRefreshableVersion="3" recordCount="2681" xr:uid="{00000000-000A-0000-FFFF-FFFF00000000}">
  <cacheSource type="worksheet">
    <worksheetSource ref="A1:U1048576" sheet="1170(d)(1)"/>
  </cacheSource>
  <cacheFields count="21">
    <cacheField name="Category" numFmtId="0">
      <sharedItems containsBlank="1" count="16">
        <s v="Commutation-Not 1170(d)"/>
        <s v="Gun Enhancements"/>
        <s v="vs. Gonzalez"/>
        <s v="vs. Rodriguez"/>
        <s v="vs. Lopez"/>
        <s v="vs. Le"/>
        <s v="vs. McCart"/>
        <s v="Exceptional Conduct"/>
        <s v="vs. Manfredi"/>
        <s v="vs. Cook"/>
        <s v="Law Enforcement Agency"/>
        <s v="667(a) Prior Prison"/>
        <s v="Drug Enhancements"/>
        <s v="AB 109"/>
        <s v="COVID"/>
        <m/>
      </sharedItems>
    </cacheField>
    <cacheField name="Inmate's Last Name" numFmtId="0">
      <sharedItems containsBlank="1"/>
    </cacheField>
    <cacheField name="CDC #" numFmtId="0">
      <sharedItems containsBlank="1"/>
    </cacheField>
    <cacheField name="PID #" numFmtId="0">
      <sharedItems containsBlank="1" containsMixedTypes="1" containsNumber="1" containsInteger="1" minValue="1103872" maxValue="121118866"/>
    </cacheField>
    <cacheField name="Institution" numFmtId="0">
      <sharedItems containsBlank="1"/>
    </cacheField>
    <cacheField name="County" numFmtId="0">
      <sharedItems containsBlank="1" count="50">
        <s v="Los Angeles*"/>
        <s v="Solano*"/>
        <s v="Orange"/>
        <s v="Fresno*"/>
        <s v="Merced"/>
        <s v="Sonoma"/>
        <s v="Yolo"/>
        <s v="Butte"/>
        <s v="Riverside*"/>
        <s v="San Bernardino*"/>
        <s v="San Diego*"/>
        <s v="Tulare"/>
        <s v="Santa Clara"/>
        <s v="Kern*"/>
        <s v="Monterey*"/>
        <s v="Ventura"/>
        <s v="San Benito"/>
        <s v="Sacramento*"/>
        <s v="Contra Costa"/>
        <s v="Kings*"/>
        <s v="Alameda"/>
        <s v="San Joaquin*"/>
        <s v="Imperial*"/>
        <s v="Marin*"/>
        <s v="Stanislaus"/>
        <s v="San Luis Obispo*"/>
        <s v="Amador*"/>
        <s v="Lassen*"/>
        <s v="Del Norte*"/>
        <s v="Napa"/>
        <s v="Tuolumne*"/>
        <s v="Shasta"/>
        <s v="Mendocino"/>
        <s v="Sutter"/>
        <s v="Santa Cruz"/>
        <s v="Madera*"/>
        <s v="Placer"/>
        <s v="San Mateo"/>
        <s v="El Dorado"/>
        <s v="Yuba"/>
        <s v="Santa Barbara"/>
        <s v="Siskiyou"/>
        <s v="San Francisco"/>
        <s v="Humboldt"/>
        <s v="Tehama"/>
        <s v="Mariposa"/>
        <s v="Nevada"/>
        <s v="Colusa"/>
        <s v="Lake"/>
        <m/>
      </sharedItems>
    </cacheField>
    <cacheField name="Case #" numFmtId="0">
      <sharedItems containsBlank="1" containsMixedTypes="1" containsNumber="1" containsInteger="1" minValue="1643" maxValue="2790327906"/>
    </cacheField>
    <cacheField name="Static_x000a_Release _x000a_Date" numFmtId="0">
      <sharedItems containsDate="1" containsBlank="1" containsMixedTypes="1" minDate="1941-04-23T00:00:00" maxDate="9999-12-31T00:00:00"/>
    </cacheField>
    <cacheField name="Date Legal_x000a_Documents_x000a_Printed" numFmtId="0">
      <sharedItems containsNonDate="0" containsDate="1" containsString="0" containsBlank="1" minDate="2017-01-13T00:00:00" maxDate="2021-09-10T00:00:00"/>
    </cacheField>
    <cacheField name="Date Letter Created" numFmtId="0">
      <sharedItems containsNonDate="0" containsDate="1" containsString="0" containsBlank="1" minDate="2017-01-13T00:00:00" maxDate="2021-12-10T00:00:00"/>
    </cacheField>
    <cacheField name="Date Letter Sent to Secretary's Office" numFmtId="0">
      <sharedItems containsNonDate="0" containsDate="1" containsString="0" containsBlank="1" minDate="2017-01-13T00:00:00" maxDate="2021-09-16T00:00:00"/>
    </cacheField>
    <cacheField name="Secretary's Decision" numFmtId="14">
      <sharedItems containsBlank="1"/>
    </cacheField>
    <cacheField name="Date Letter Mailed To Court" numFmtId="0">
      <sharedItems containsNonDate="0" containsDate="1" containsString="0" containsBlank="1" minDate="2017-01-17T00:00:00" maxDate="2021-09-21T00:00:00" count="223">
        <d v="2017-01-17T00:00:00"/>
        <d v="2018-11-06T00:00:00"/>
        <d v="2018-09-06T00:00:00"/>
        <d v="2018-09-13T00:00:00"/>
        <d v="2018-03-22T00:00:00"/>
        <d v="2018-03-12T00:00:00"/>
        <d v="2018-04-10T00:00:00"/>
        <d v="2018-05-21T00:00:00"/>
        <d v="2018-04-05T00:00:00"/>
        <d v="2018-04-26T00:00:00"/>
        <d v="2018-04-23T00:00:00"/>
        <d v="2018-04-16T00:00:00"/>
        <d v="2018-05-22T00:00:00"/>
        <d v="2018-05-31T00:00:00"/>
        <d v="2018-06-15T00:00:00"/>
        <d v="2018-06-20T00:00:00"/>
        <d v="2018-06-29T00:00:00"/>
        <d v="2018-08-22T00:00:00"/>
        <d v="2018-07-10T00:00:00"/>
        <d v="2018-07-18T00:00:00"/>
        <d v="2018-06-28T00:00:00"/>
        <d v="2019-08-16T00:00:00"/>
        <d v="2018-09-10T00:00:00"/>
        <d v="2018-09-11T00:00:00"/>
        <d v="2018-06-08T00:00:00"/>
        <d v="2018-06-19T00:00:00"/>
        <d v="2018-05-15T00:00:00"/>
        <m/>
        <d v="2018-07-24T00:00:00"/>
        <d v="2018-08-29T00:00:00"/>
        <d v="2018-06-07T00:00:00"/>
        <d v="2018-06-06T00:00:00"/>
        <d v="2018-06-13T00:00:00"/>
        <d v="2018-03-14T00:00:00"/>
        <d v="2018-06-14T00:00:00"/>
        <d v="2018-06-05T00:00:00"/>
        <d v="2018-05-23T00:00:00"/>
        <d v="2018-06-17T00:00:00"/>
        <d v="2018-08-08T00:00:00"/>
        <d v="2017-10-26T00:00:00"/>
        <d v="2018-07-31T00:00:00"/>
        <d v="2018-07-17T00:00:00"/>
        <d v="2018-08-13T00:00:00"/>
        <d v="2018-09-17T00:00:00"/>
        <d v="2018-06-21T00:00:00"/>
        <d v="2018-09-24T00:00:00"/>
        <d v="2018-10-01T00:00:00"/>
        <d v="2018-09-26T00:00:00"/>
        <d v="2018-08-21T00:00:00"/>
        <d v="2018-07-11T00:00:00"/>
        <d v="2018-07-26T00:00:00"/>
        <d v="2018-10-03T00:00:00"/>
        <d v="2018-10-17T00:00:00"/>
        <d v="2018-08-16T00:00:00"/>
        <d v="2019-07-01T00:00:00"/>
        <d v="2019-07-09T00:00:00"/>
        <d v="2018-11-05T00:00:00"/>
        <d v="2019-06-11T00:00:00"/>
        <d v="2018-10-25T00:00:00"/>
        <d v="2019-06-28T00:00:00"/>
        <d v="2018-11-29T00:00:00"/>
        <d v="2018-11-19T00:00:00"/>
        <d v="2018-12-27T00:00:00"/>
        <d v="2018-11-26T00:00:00"/>
        <d v="2019-07-22T00:00:00"/>
        <d v="2018-05-11T00:00:00"/>
        <d v="2018-12-31T00:00:00"/>
        <d v="2018-10-05T00:00:00"/>
        <d v="2019-12-19T00:00:00"/>
        <d v="2020-09-17T00:00:00"/>
        <d v="2019-05-22T00:00:00"/>
        <d v="2020-09-25T00:00:00"/>
        <d v="2021-04-06T00:00:00"/>
        <d v="2019-02-19T00:00:00"/>
        <d v="2018-06-04T00:00:00"/>
        <d v="2019-03-07T00:00:00"/>
        <d v="2020-01-21T00:00:00"/>
        <d v="2018-10-31T00:00:00"/>
        <d v="2018-09-08T00:00:00"/>
        <d v="2019-07-10T00:00:00"/>
        <d v="2021-03-17T00:00:00"/>
        <d v="2019-02-26T00:00:00"/>
        <d v="2019-04-05T00:00:00"/>
        <d v="2019-04-15T00:00:00"/>
        <d v="2021-02-17T00:00:00"/>
        <d v="2019-04-22T00:00:00"/>
        <d v="2019-05-02T00:00:00"/>
        <d v="2019-05-29T00:00:00"/>
        <d v="2019-06-18T00:00:00"/>
        <d v="2019-01-04T00:00:00"/>
        <d v="2019-12-06T00:00:00"/>
        <d v="2018-09-12T00:00:00"/>
        <d v="2018-09-21T00:00:00"/>
        <d v="2018-09-25T00:00:00"/>
        <d v="2018-10-12T00:00:00"/>
        <d v="2019-06-13T00:00:00"/>
        <d v="2019-11-25T00:00:00"/>
        <d v="2020-02-07T00:00:00"/>
        <d v="2019-09-12T00:00:00"/>
        <d v="2018-07-27T00:00:00"/>
        <d v="2019-09-10T00:00:00"/>
        <d v="2018-09-28T00:00:00"/>
        <d v="2019-06-20T00:00:00"/>
        <d v="2019-06-03T00:00:00"/>
        <d v="2020-11-12T00:00:00"/>
        <d v="2021-03-18T00:00:00"/>
        <d v="2019-01-28T00:00:00"/>
        <d v="2019-07-05T00:00:00"/>
        <d v="2020-01-17T00:00:00"/>
        <d v="2018-06-12T00:00:00"/>
        <d v="2019-07-02T00:00:00"/>
        <d v="2018-12-13T00:00:00"/>
        <d v="2019-01-08T00:00:00"/>
        <d v="2019-03-18T00:00:00"/>
        <d v="2019-08-02T00:00:00"/>
        <d v="2021-04-05T00:00:00"/>
        <d v="2020-03-19T00:00:00"/>
        <d v="2019-07-23T00:00:00"/>
        <d v="2018-08-17T00:00:00"/>
        <d v="2021-03-26T00:00:00"/>
        <d v="2019-02-25T00:00:00"/>
        <d v="2019-09-17T00:00:00"/>
        <d v="2019-07-15T00:00:00"/>
        <d v="2021-04-23T00:00:00"/>
        <d v="2020-10-23T00:00:00"/>
        <d v="2019-09-04T00:00:00"/>
        <d v="2020-01-03T00:00:00"/>
        <d v="2019-11-18T00:00:00"/>
        <d v="2019-08-27T00:00:00"/>
        <d v="2019-06-27T00:00:00"/>
        <d v="2019-04-19T00:00:00"/>
        <d v="2020-11-24T00:00:00"/>
        <d v="2019-10-03T00:00:00"/>
        <d v="2020-08-13T00:00:00"/>
        <d v="2020-11-06T00:00:00"/>
        <d v="2019-02-11T00:00:00"/>
        <d v="2019-05-21T00:00:00"/>
        <d v="2020-07-29T00:00:00"/>
        <d v="2019-10-25T00:00:00"/>
        <d v="2020-10-02T00:00:00"/>
        <d v="2019-12-12T00:00:00"/>
        <d v="2019-09-30T00:00:00"/>
        <d v="2020-12-18T00:00:00"/>
        <d v="2020-01-14T00:00:00"/>
        <d v="2021-01-22T00:00:00"/>
        <d v="2018-10-26T00:00:00"/>
        <d v="2020-10-07T00:00:00"/>
        <d v="2019-10-09T00:00:00"/>
        <d v="2019-10-01T00:00:00"/>
        <d v="2019-06-19T00:00:00"/>
        <d v="2019-10-11T00:00:00"/>
        <d v="2019-10-07T00:00:00"/>
        <d v="2019-10-10T00:00:00"/>
        <d v="2019-04-30T00:00:00"/>
        <d v="2019-12-24T00:00:00"/>
        <d v="2019-08-06T00:00:00"/>
        <d v="2019-10-15T00:00:00"/>
        <d v="2019-09-24T00:00:00"/>
        <d v="2020-02-05T00:00:00"/>
        <d v="2020-11-21T00:00:00"/>
        <d v="2020-11-19T00:00:00"/>
        <d v="2019-10-28T00:00:00"/>
        <d v="2019-08-29T00:00:00"/>
        <d v="2020-02-24T00:00:00"/>
        <d v="2019-07-25T00:00:00"/>
        <d v="2019-12-20T00:00:00"/>
        <d v="2021-02-03T00:00:00"/>
        <d v="2021-04-28T00:00:00"/>
        <d v="2020-09-03T00:00:00"/>
        <d v="2020-09-23T00:00:00"/>
        <d v="2019-09-20T00:00:00"/>
        <d v="2020-09-26T00:00:00"/>
        <d v="2019-10-17T00:00:00"/>
        <d v="2020-12-28T00:00:00"/>
        <d v="2021-04-09T00:00:00"/>
        <d v="2019-11-26T00:00:00"/>
        <d v="2019-12-23T00:00:00"/>
        <d v="2019-12-27T00:00:00"/>
        <d v="2019-12-30T00:00:00"/>
        <d v="2020-01-01T00:00:00"/>
        <d v="2020-01-08T00:00:00"/>
        <d v="2020-01-30T00:00:00"/>
        <d v="2020-01-15T00:00:00"/>
        <d v="2020-02-06T00:00:00"/>
        <d v="2020-01-29T00:00:00"/>
        <d v="2020-02-13T00:00:00"/>
        <d v="2019-08-01T00:00:00"/>
        <d v="2020-01-28T00:00:00"/>
        <d v="2020-03-05T00:00:00"/>
        <d v="2020-01-06T00:00:00"/>
        <d v="2020-01-23T00:00:00"/>
        <d v="2020-02-27T00:00:00"/>
        <d v="2020-03-16T00:00:00"/>
        <d v="2019-07-31T00:00:00"/>
        <d v="2020-02-19T00:00:00"/>
        <d v="2020-02-21T00:00:00"/>
        <d v="2020-12-10T00:00:00"/>
        <d v="2020-09-02T00:00:00"/>
        <d v="2020-09-22T00:00:00"/>
        <d v="2019-11-05T00:00:00"/>
        <d v="2020-02-03T00:00:00"/>
        <d v="2020-12-08T00:00:00"/>
        <d v="2020-12-15T00:00:00"/>
        <d v="2021-01-29T00:00:00"/>
        <d v="2020-12-17T00:00:00"/>
        <d v="2020-01-20T00:00:00"/>
        <d v="2021-01-27T00:00:00"/>
        <d v="2020-12-22T00:00:00"/>
        <d v="2020-12-24T00:00:00"/>
        <d v="2021-02-19T00:00:00"/>
        <d v="2020-12-30T00:00:00"/>
        <d v="2021-02-25T00:00:00"/>
        <d v="2020-01-16T00:00:00"/>
        <d v="2021-06-14T00:00:00"/>
        <d v="2021-06-15T00:00:00"/>
        <d v="2021-07-09T00:00:00"/>
        <d v="2021-08-05T00:00:00"/>
        <d v="2021-08-11T00:00:00"/>
        <d v="2021-09-03T00:00:00"/>
        <d v="2021-08-19T00:00:00"/>
        <d v="2021-08-20T00:00:00"/>
        <d v="2021-08-18T00:00:00"/>
        <d v="2021-09-20T00:00:00"/>
      </sharedItems>
    </cacheField>
    <cacheField name="Date Response Received by Court" numFmtId="0">
      <sharedItems containsNonDate="0" containsDate="1" containsString="0" containsBlank="1" minDate="2018-03-23T00:00:00" maxDate="2021-09-17T00:00:00"/>
    </cacheField>
    <cacheField name="Resentencing Hearing Date" numFmtId="0">
      <sharedItems containsNonDate="0" containsDate="1" containsString="0" containsBlank="1" minDate="2018-01-13T00:00:00" maxDate="2021-11-03T00:00:00"/>
    </cacheField>
    <cacheField name="Action Taken" numFmtId="0">
      <sharedItems containsBlank="1"/>
    </cacheField>
    <cacheField name="Days Term Reduced By" numFmtId="0">
      <sharedItems containsString="0" containsBlank="1" containsNumber="1" minValue="19" maxValue="18262.5"/>
    </cacheField>
    <cacheField name="Years Term Reduced By" numFmtId="4">
      <sharedItems containsBlank="1" containsMixedTypes="1" containsNumber="1" minValue="5.2054794520547946E-2" maxValue="50.034246575342465"/>
    </cacheField>
    <cacheField name="Cost Savings" numFmtId="7">
      <sharedItems containsBlank="1" containsMixedTypes="1" containsNumber="1" minValue="429.9205479452055" maxValue="413232.84246575343"/>
    </cacheField>
    <cacheField name="Notes" numFmtId="0">
      <sharedItems containsDate="1" containsBlank="1" containsMixedTypes="1" minDate="2018-09-28T00:00:00" maxDate="2020-07-01T00:00:00"/>
    </cacheField>
    <cacheField name="Completion Date" numFmtId="0">
      <sharedItems containsNonDate="0" containsDate="1" containsString="0" containsBlank="1" minDate="2018-03-22T00:00:00" maxDate="2021-09-17T00:00:0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81">
  <r>
    <x v="0"/>
    <s v="Jordan"/>
    <s v="J27227"/>
    <n v="11736736"/>
    <s v="MCSP-Facility C"/>
    <x v="0"/>
    <m/>
    <d v="2025-02-25T00:00:00"/>
    <d v="2017-01-13T00:00:00"/>
    <d v="2017-01-13T00:00:00"/>
    <d v="2017-01-13T00:00:00"/>
    <s v="Approved"/>
    <x v="0"/>
    <d v="2018-08-22T00:00:00"/>
    <d v="2018-08-17T00:00:00"/>
    <s v="Commuted"/>
    <m/>
    <s v=""/>
    <s v=""/>
    <s v="Commutation"/>
    <d v="2018-08-22T00:00:00"/>
  </r>
  <r>
    <x v="1"/>
    <s v="Huffsmith"/>
    <s v="G50555"/>
    <n v="11094640"/>
    <s v="CMF-Facility A"/>
    <x v="1"/>
    <s v="FCR240953"/>
    <d v="2026-07-09T00:00:00"/>
    <d v="2018-10-26T00:00:00"/>
    <d v="2018-10-30T00:00:00"/>
    <d v="2018-11-06T00:00:00"/>
    <s v="Approved"/>
    <x v="1"/>
    <d v="2018-12-26T00:00:00"/>
    <d v="2018-02-17T00:00:00"/>
    <s v="No action - reason provided"/>
    <m/>
    <s v=""/>
    <s v=""/>
    <s v="Due to commitment offense and the court is unpersuaded that he will not do the crime again if he felthe needed some cash"/>
    <d v="2018-12-26T00:00:00"/>
  </r>
  <r>
    <x v="1"/>
    <s v="Bitter"/>
    <s v="AW7425"/>
    <n v="11944098"/>
    <s v="CIM-Facility B"/>
    <x v="2"/>
    <s v="13CF3862"/>
    <d v="2029-07-28T00:00:00"/>
    <d v="2017-08-26T00:00:00"/>
    <d v="2017-08-26T00:00:00"/>
    <d v="2017-08-27T00:00:00"/>
    <s v="Approved"/>
    <x v="2"/>
    <m/>
    <m/>
    <m/>
    <m/>
    <s v=""/>
    <s v=""/>
    <m/>
    <m/>
  </r>
  <r>
    <x v="1"/>
    <s v="Downs"/>
    <s v="BB1808"/>
    <n v="11597329"/>
    <s v="COR-Facility 03A"/>
    <x v="3"/>
    <s v="F16902522"/>
    <d v="2033-03-06T00:00:00"/>
    <d v="2017-08-26T00:00:00"/>
    <d v="2017-08-26T00:00:00"/>
    <d v="2017-08-27T00:00:00"/>
    <s v="Approved"/>
    <x v="2"/>
    <m/>
    <m/>
    <m/>
    <m/>
    <s v=""/>
    <s v=""/>
    <s v="Hearing on 06/11/2019. Request court documents"/>
    <m/>
  </r>
  <r>
    <x v="2"/>
    <s v="Reed"/>
    <s v="T44028"/>
    <n v="11926123"/>
    <s v="CMF-Facility A"/>
    <x v="0"/>
    <s v="TA056694-03"/>
    <d v="9999-12-31T00:00:00"/>
    <d v="2018-08-27T00:00:00"/>
    <d v="2018-08-27T00:00:00"/>
    <d v="2018-09-12T00:00:00"/>
    <s v="Approved"/>
    <x v="3"/>
    <d v="2019-05-31T00:00:00"/>
    <d v="2019-01-16T00:00:00"/>
    <s v="No reduction - AOJ corrected"/>
    <m/>
    <s v=""/>
    <s v=""/>
    <m/>
    <d v="2019-05-31T00:00:00"/>
  </r>
  <r>
    <x v="3"/>
    <s v="Buchannan"/>
    <s v="G09478"/>
    <n v="11615821"/>
    <s v="HDSP-Facility B"/>
    <x v="1"/>
    <s v="FCR262484"/>
    <d v="2029-11-22T00:00:00"/>
    <d v="2018-02-05T00:00:00"/>
    <d v="2018-02-05T00:00:00"/>
    <d v="2018-03-20T00:00:00"/>
    <s v="Approved"/>
    <x v="4"/>
    <d v="2018-04-05T00:00:00"/>
    <d v="2018-03-29T00:00:00"/>
    <s v="No action - no reason specified"/>
    <m/>
    <s v=""/>
    <s v=""/>
    <s v="declined req for recall"/>
    <d v="2018-04-05T00:00:00"/>
  </r>
  <r>
    <x v="4"/>
    <s v="Lua "/>
    <s v="AS1183"/>
    <n v="12106307"/>
    <s v="SATF-Facility E"/>
    <x v="4"/>
    <s v="15CR05186"/>
    <d v="2041-06-16T00:00:00"/>
    <d v="2018-02-05T00:00:00"/>
    <d v="2018-02-05T00:00:00"/>
    <d v="2018-02-05T00:00:00"/>
    <s v="Approved"/>
    <x v="5"/>
    <d v="2018-06-14T00:00:00"/>
    <d v="2018-05-09T00:00:00"/>
    <s v="No action - reason provided"/>
    <m/>
    <s v=""/>
    <s v=""/>
    <s v="may re-refer - still waiting for transcripts per email"/>
    <d v="2018-06-20T00:00:00"/>
  </r>
  <r>
    <x v="5"/>
    <s v="Johnson"/>
    <s v="V20440"/>
    <n v="11254455"/>
    <s v="SCC-Facility A"/>
    <x v="0"/>
    <s v="BA248080"/>
    <d v="2020-01-09T00:00:00"/>
    <d v="2018-02-05T00:00:00"/>
    <d v="2018-02-13T00:00:00"/>
    <d v="2018-02-13T00:00:00"/>
    <s v="Approved"/>
    <x v="6"/>
    <d v="2018-08-06T00:00:00"/>
    <d v="2018-07-31T00:00:00"/>
    <s v="Released"/>
    <n v="1825"/>
    <n v="5"/>
    <n v="41295"/>
    <s v="Paroled 08/07/2018"/>
    <d v="2018-08-15T00:00:00"/>
  </r>
  <r>
    <x v="5"/>
    <s v="Timberlake"/>
    <s v="G13646"/>
    <n v="11618463"/>
    <s v="NKSP-Facility B"/>
    <x v="5"/>
    <s v="SCR577619"/>
    <d v="2030-08-08T00:00:00"/>
    <d v="2018-02-05T00:00:00"/>
    <d v="2018-05-16T00:00:00"/>
    <d v="2018-05-16T00:00:00"/>
    <s v="Approved"/>
    <x v="7"/>
    <d v="2018-10-09T00:00:00"/>
    <d v="2018-08-07T00:00:00"/>
    <s v="Reduced"/>
    <n v="1582"/>
    <n v="4.3342465753424655"/>
    <n v="35796.542465753424"/>
    <m/>
    <d v="2018-10-18T00:00:00"/>
  </r>
  <r>
    <x v="5"/>
    <s v="Contreras"/>
    <s v="AY7209"/>
    <n v="11367786"/>
    <s v="SCC-Facility C"/>
    <x v="6"/>
    <s v="CRF20149572"/>
    <d v="2043-12-26T00:00:00"/>
    <d v="2018-02-05T00:00:00"/>
    <d v="2018-04-02T00:00:00"/>
    <d v="2018-04-03T00:00:00"/>
    <s v="Approved"/>
    <x v="8"/>
    <d v="2018-08-07T00:00:00"/>
    <d v="2018-08-03T00:00:00"/>
    <s v="Reduced"/>
    <n v="1825"/>
    <n v="5"/>
    <n v="41295"/>
    <m/>
    <d v="2018-08-20T00:00:00"/>
  </r>
  <r>
    <x v="5"/>
    <s v="Ruiz"/>
    <s v="AB4127"/>
    <n v="11330341"/>
    <s v="SAC-Facility C"/>
    <x v="7"/>
    <s v="CM030425"/>
    <m/>
    <d v="2018-02-05T00:00:00"/>
    <d v="2018-04-02T00:00:00"/>
    <d v="2018-04-03T00:00:00"/>
    <s v="Approved"/>
    <x v="8"/>
    <d v="2018-05-14T00:00:00"/>
    <d v="2018-05-14T00:00:00"/>
    <s v="Reduced"/>
    <n v="1825"/>
    <n v="5"/>
    <n v="41295"/>
    <s v="186.22 stayed"/>
    <d v="2018-05-14T00:00:00"/>
  </r>
  <r>
    <x v="4"/>
    <s v="Gonzalez"/>
    <s v="AC3002"/>
    <n v="11053435"/>
    <s v="CIM-Facility B"/>
    <x v="0"/>
    <s v="NA081958"/>
    <d v="2022-02-25T00:00:00"/>
    <d v="2018-02-05T00:00:00"/>
    <d v="2018-02-05T00:00:00"/>
    <d v="2018-02-05T00:00:00"/>
    <s v="Approved"/>
    <x v="5"/>
    <d v="2018-05-07T00:00:00"/>
    <d v="2018-05-09T00:00:00"/>
    <s v="Released"/>
    <n v="243"/>
    <n v="0.66575342465753429"/>
    <n v="5498.4575342465751"/>
    <s v="Life to 13y 4m released 5-17-18"/>
    <d v="2018-05-09T00:00:00"/>
  </r>
  <r>
    <x v="4"/>
    <s v="Romero"/>
    <s v="AC3465"/>
    <n v="11053598"/>
    <s v="WSP-Facility D"/>
    <x v="8"/>
    <s v="RIF146231"/>
    <d v="2020-07-20T00:00:00"/>
    <d v="2018-02-05T00:00:00"/>
    <d v="2018-02-05T00:00:00"/>
    <d v="2018-02-05T00:00:00"/>
    <s v="Approved"/>
    <x v="5"/>
    <d v="2018-07-23T00:00:00"/>
    <d v="2018-08-17T00:00:00"/>
    <s v="Released"/>
    <n v="730"/>
    <n v="2"/>
    <n v="16518"/>
    <s v="life to 11 years DSL, released 8/28/18"/>
    <d v="2018-08-28T00:00:00"/>
  </r>
  <r>
    <x v="6"/>
    <s v="Bernandez"/>
    <s v="X00454"/>
    <n v="11014317"/>
    <s v="CCWF-Facility C"/>
    <x v="9"/>
    <s v="16CR038939"/>
    <d v="2021-07-29T00:00:00"/>
    <d v="2018-02-05T00:00:00"/>
    <d v="2018-04-20T00:00:00"/>
    <d v="2018-04-20T00:00:00"/>
    <s v="Approved"/>
    <x v="9"/>
    <d v="2018-06-04T00:00:00"/>
    <d v="2018-05-30T00:00:00"/>
    <s v="Reduced"/>
    <n v="485"/>
    <n v="1.3287671232876712"/>
    <n v="10974.287671232876"/>
    <m/>
    <d v="2018-06-04T00:00:00"/>
  </r>
  <r>
    <x v="3"/>
    <s v="Leanos"/>
    <s v="V46937"/>
    <n v="11286086"/>
    <s v="PRMCCF-Central Valley"/>
    <x v="8"/>
    <s v="SWF003428"/>
    <d v="2018-12-07T00:00:00"/>
    <d v="2018-02-05T00:00:00"/>
    <d v="2018-02-05T00:00:00"/>
    <d v="2018-02-12T00:00:00"/>
    <s v="Approved"/>
    <x v="4"/>
    <d v="2018-05-04T00:00:00"/>
    <d v="2018-04-24T00:00:00"/>
    <s v="Released"/>
    <n v="1460"/>
    <n v="4"/>
    <n v="33036"/>
    <s v="Paroled on 05/10/2018"/>
    <d v="2018-05-04T00:00:00"/>
  </r>
  <r>
    <x v="3"/>
    <s v="Knotchapone"/>
    <s v="AK9696"/>
    <n v="11279751"/>
    <s v="SATF-Facility A"/>
    <x v="5"/>
    <s v="SCR549215"/>
    <d v="2028-08-14T00:00:00"/>
    <d v="2018-02-05T00:00:00"/>
    <d v="2018-02-05T00:00:00"/>
    <d v="2018-02-12T00:00:00"/>
    <s v="Approved"/>
    <x v="4"/>
    <d v="2018-07-31T00:00:00"/>
    <d v="2018-07-03T00:00:00"/>
    <s v="Reduced"/>
    <n v="3650"/>
    <n v="10"/>
    <n v="82590"/>
    <m/>
    <d v="2018-08-14T00:00:00"/>
  </r>
  <r>
    <x v="3"/>
    <s v="Loza"/>
    <s v="AY7084"/>
    <n v="12112142"/>
    <s v="CIM-Facility B"/>
    <x v="10"/>
    <s v="SCN342087"/>
    <d v="2027-06-19T00:00:00"/>
    <d v="2018-02-05T00:00:00"/>
    <d v="2018-02-05T00:00:00"/>
    <d v="2018-03-20T00:00:00"/>
    <s v="Approved"/>
    <x v="4"/>
    <d v="2018-09-10T00:00:00"/>
    <d v="2018-08-17T00:00:00"/>
    <s v="Reduced"/>
    <n v="365"/>
    <n v="1"/>
    <n v="8259"/>
    <m/>
    <d v="2018-09-10T00:00:00"/>
  </r>
  <r>
    <x v="3"/>
    <s v="Rojas"/>
    <s v="G38089"/>
    <n v="11633899"/>
    <s v="PVSP-STRH"/>
    <x v="11"/>
    <s v="178796A"/>
    <d v="2024-10-29T00:00:00"/>
    <d v="2018-02-05T00:00:00"/>
    <d v="2018-04-12T00:00:00"/>
    <d v="2018-04-17T00:00:00"/>
    <s v="Approved"/>
    <x v="10"/>
    <d v="2018-06-14T00:00:00"/>
    <d v="2018-06-06T00:00:00"/>
    <s v="Reduced"/>
    <n v="1460"/>
    <n v="4"/>
    <n v="33036"/>
    <m/>
    <d v="2018-06-20T00:00:00"/>
  </r>
  <r>
    <x v="3"/>
    <s v="Contreras"/>
    <s v="T88013"/>
    <n v="11951074"/>
    <s v="CTF-Facility A"/>
    <x v="12"/>
    <s v="CC511865"/>
    <d v="2029-03-25T00:00:00"/>
    <d v="2018-02-05T00:00:00"/>
    <d v="2018-04-12T00:00:00"/>
    <d v="2018-04-12T00:00:00"/>
    <s v="Approved"/>
    <x v="11"/>
    <d v="2018-06-25T00:00:00"/>
    <d v="2018-06-18T00:00:00"/>
    <s v="Reduced"/>
    <n v="850"/>
    <n v="2.3287671232876712"/>
    <n v="19233.287671232876"/>
    <m/>
    <d v="2018-06-28T00:00:00"/>
  </r>
  <r>
    <x v="3"/>
    <s v="Garcia"/>
    <s v="AC9408"/>
    <n v="11339946"/>
    <s v="CVSP-Facility D"/>
    <x v="13"/>
    <s v="DF008726C"/>
    <d v="2020-02-21T00:00:00"/>
    <d v="2018-02-05T00:00:00"/>
    <d v="2018-04-12T00:00:00"/>
    <d v="2018-04-12T00:00:00"/>
    <s v="Approved"/>
    <x v="11"/>
    <d v="2018-06-12T00:00:00"/>
    <d v="2018-05-31T00:00:00"/>
    <s v="Reduced"/>
    <n v="365"/>
    <n v="1"/>
    <n v="8259"/>
    <s v="Paroled 4/25/2019"/>
    <d v="2018-06-12T00:00:00"/>
  </r>
  <r>
    <x v="3"/>
    <s v="Quiroz"/>
    <s v="G21913"/>
    <n v="11623753"/>
    <s v="SVSP-Facility B"/>
    <x v="5"/>
    <s v="SCR525551"/>
    <d v="2032-11-17T00:00:00"/>
    <d v="2018-02-05T00:00:00"/>
    <d v="2018-04-12T00:00:00"/>
    <d v="2018-04-12T00:00:00"/>
    <s v="Approved"/>
    <x v="11"/>
    <d v="2018-08-10T00:00:00"/>
    <d v="2018-07-09T00:00:00"/>
    <s v="Reduced"/>
    <n v="2920"/>
    <n v="8"/>
    <n v="66072"/>
    <m/>
    <d v="2018-08-14T00:00:00"/>
  </r>
  <r>
    <x v="3"/>
    <s v="Tabares"/>
    <s v="AP1112"/>
    <n v="11313409"/>
    <s v="SOL-Facility B"/>
    <x v="1"/>
    <s v="FCR296019"/>
    <d v="2026-10-10T00:00:00"/>
    <d v="2018-02-05T00:00:00"/>
    <d v="2018-04-12T00:00:00"/>
    <d v="2018-04-12T00:00:00"/>
    <s v="Approved"/>
    <x v="11"/>
    <d v="2019-03-08T00:00:00"/>
    <d v="2019-03-01T00:00:00"/>
    <s v="Reduced"/>
    <n v="365"/>
    <n v="1"/>
    <n v="8259"/>
    <s v="reduced by 1 year"/>
    <d v="2019-03-12T00:00:00"/>
  </r>
  <r>
    <x v="5"/>
    <s v="Bustamante"/>
    <s v="AP9292"/>
    <n v="11828082"/>
    <s v="CAC-Facility B"/>
    <x v="10"/>
    <s v="SCD244472"/>
    <d v="2022-10-14T00:00:00"/>
    <d v="2018-02-05T00:00:00"/>
    <d v="2018-05-16T00:00:00"/>
    <d v="2018-05-16T00:00:00"/>
    <s v="Approved"/>
    <x v="12"/>
    <d v="2018-08-28T00:00:00"/>
    <d v="2018-08-23T00:00:00"/>
    <s v="No reduction - AOJ corrected"/>
    <m/>
    <s v=""/>
    <s v=""/>
    <m/>
    <d v="2018-09-05T00:00:00"/>
  </r>
  <r>
    <x v="5"/>
    <s v="Moore"/>
    <s v="G31977"/>
    <n v="11629971"/>
    <s v="SCC-Facility B"/>
    <x v="0"/>
    <s v="NA076808"/>
    <d v="2020-07-18T00:00:00"/>
    <d v="2018-02-05T00:00:00"/>
    <d v="2018-04-02T00:00:00"/>
    <d v="2018-04-03T00:00:00"/>
    <s v="Approved"/>
    <x v="8"/>
    <d v="2018-07-05T00:00:00"/>
    <d v="2018-06-27T00:00:00"/>
    <s v="No reduction - AOJ corrected"/>
    <m/>
    <s v=""/>
    <s v=""/>
    <m/>
    <d v="2018-07-06T00:00:00"/>
  </r>
  <r>
    <x v="7"/>
    <s v="Martinez"/>
    <s v="F28640"/>
    <n v="11198321"/>
    <s v="VSP-Facility D"/>
    <x v="14"/>
    <s v="SS102246A"/>
    <d v="2023-12-15T00:00:00"/>
    <d v="2017-02-23T00:00:00"/>
    <d v="2017-02-23T00:00:00"/>
    <d v="2017-02-23T00:00:00"/>
    <s v="Approved"/>
    <x v="13"/>
    <d v="2018-07-03T00:00:00"/>
    <d v="2018-06-18T00:00:00"/>
    <s v="No action - no reason specified"/>
    <m/>
    <s v=""/>
    <s v=""/>
    <m/>
    <d v="2018-07-03T00:00:00"/>
  </r>
  <r>
    <x v="3"/>
    <s v="Chavez"/>
    <s v="AZ8028"/>
    <n v="12151416"/>
    <s v="VSP-Facility C"/>
    <x v="15"/>
    <n v="2015023625"/>
    <d v="2030-01-08T00:00:00"/>
    <d v="2018-02-05T00:00:00"/>
    <d v="2018-04-12T00:00:00"/>
    <d v="2018-04-12T00:00:00"/>
    <s v="Approved"/>
    <x v="11"/>
    <d v="2018-06-20T00:00:00"/>
    <d v="2018-06-11T00:00:00"/>
    <s v="No reduction - AOJ corrected"/>
    <m/>
    <s v=""/>
    <s v=""/>
    <s v="chose to impose then stay a 12022.7"/>
    <d v="2018-06-20T00:00:00"/>
  </r>
  <r>
    <x v="3"/>
    <s v="Ortiz"/>
    <s v="AM0721"/>
    <n v="11357871"/>
    <s v="NKSP-Facility A"/>
    <x v="0"/>
    <s v="NA092190"/>
    <d v="2025-07-20T00:00:00"/>
    <d v="2018-06-11T00:00:00"/>
    <d v="2018-06-12T00:00:00"/>
    <d v="2018-06-13T00:00:00"/>
    <s v="Approved"/>
    <x v="14"/>
    <d v="2019-03-08T00:00:00"/>
    <d v="2018-06-19T00:00:00"/>
    <s v="No action - due to plea"/>
    <m/>
    <s v=""/>
    <s v=""/>
    <m/>
    <d v="2019-03-08T00:00:00"/>
  </r>
  <r>
    <x v="5"/>
    <s v="Espinoza"/>
    <s v="BD5683"/>
    <n v="12174173"/>
    <s v="PVSP-Facility B"/>
    <x v="10"/>
    <s v="VA142979"/>
    <d v="2028-08-16T00:00:00"/>
    <d v="2018-06-11T00:00:00"/>
    <d v="2018-06-12T00:00:00"/>
    <d v="2018-06-20T00:00:00"/>
    <s v="Approved"/>
    <x v="15"/>
    <d v="2019-03-08T00:00:00"/>
    <d v="2018-06-20T00:00:00"/>
    <s v="No action - no reason specified"/>
    <m/>
    <s v=""/>
    <s v=""/>
    <s v="No reason specified "/>
    <d v="2019-03-08T00:00:00"/>
  </r>
  <r>
    <x v="3"/>
    <s v="Estrada"/>
    <s v="AK4987"/>
    <n v="11276325"/>
    <s v="PRMCCF-Central Valley"/>
    <x v="16"/>
    <s v="CR1001997"/>
    <d v="2025-08-05T00:00:00"/>
    <d v="2018-02-05T00:00:00"/>
    <d v="2018-02-05T00:00:00"/>
    <d v="2018-02-12T00:00:00"/>
    <s v="Approved"/>
    <x v="4"/>
    <d v="2018-07-03T00:00:00"/>
    <d v="2018-06-21T00:00:00"/>
    <s v="No action - reason provided"/>
    <m/>
    <s v=""/>
    <s v=""/>
    <s v="removed a 12022.7/ issue still exists/ re-refer"/>
    <d v="2019-07-17T00:00:00"/>
  </r>
  <r>
    <x v="5"/>
    <s v="Hoffman"/>
    <s v="K49600"/>
    <n v="11800996"/>
    <s v="COR-MSF"/>
    <x v="9"/>
    <s v="FSB903904"/>
    <d v="2020-02-08T00:00:00"/>
    <d v="2018-02-05T00:00:00"/>
    <d v="2018-05-16T00:00:00"/>
    <d v="2018-05-16T00:00:00"/>
    <s v="Approved"/>
    <x v="7"/>
    <d v="2018-07-03T00:00:00"/>
    <d v="2018-06-28T00:00:00"/>
    <s v="No action - no reason specified"/>
    <m/>
    <s v=""/>
    <s v=""/>
    <m/>
    <d v="2018-07-03T00:00:00"/>
  </r>
  <r>
    <x v="5"/>
    <s v="Lopez"/>
    <s v="BC3659"/>
    <n v="12166952"/>
    <s v="CEN-Facility A"/>
    <x v="0"/>
    <s v="BA446926"/>
    <d v="2029-04-14T00:00:00"/>
    <d v="2018-06-11T00:00:00"/>
    <d v="2018-06-12T00:00:00"/>
    <d v="2018-06-20T00:00:00"/>
    <s v="Approved"/>
    <x v="15"/>
    <d v="2018-08-22T00:00:00"/>
    <d v="2018-07-09T00:00:00"/>
    <s v="No action - reason provided"/>
    <m/>
    <s v=""/>
    <s v=""/>
    <s v="245 serious &amp; not becauz of enh."/>
    <d v="2018-08-22T00:00:00"/>
  </r>
  <r>
    <x v="3"/>
    <s v="Torres"/>
    <s v="G56539"/>
    <n v="11645730"/>
    <s v="MCSP-Facility A"/>
    <x v="17"/>
    <s v="07F08841"/>
    <d v="2032-07-21T00:00:00"/>
    <d v="2018-06-11T00:00:00"/>
    <d v="2018-06-12T00:00:00"/>
    <d v="2018-06-27T00:00:00"/>
    <s v="Approved"/>
    <x v="16"/>
    <d v="2018-08-20T00:00:00"/>
    <d v="2018-07-11T00:00:00"/>
    <s v="No action - due to plea"/>
    <m/>
    <s v=""/>
    <s v=""/>
    <m/>
    <d v="2018-08-20T00:00:00"/>
  </r>
  <r>
    <x v="5"/>
    <s v="Prado"/>
    <s v="BD8031"/>
    <n v="12175626"/>
    <s v="CAL-Facility D"/>
    <x v="0"/>
    <s v="YA093499"/>
    <d v="2035-02-13T00:00:00"/>
    <d v="2018-06-11T00:00:00"/>
    <d v="2018-06-12T00:00:00"/>
    <d v="2018-06-27T00:00:00"/>
    <s v="Approved"/>
    <x v="16"/>
    <d v="2018-08-22T00:00:00"/>
    <d v="2018-07-13T00:00:00"/>
    <s v="No action - no reason specified"/>
    <m/>
    <s v=""/>
    <s v=""/>
    <m/>
    <d v="2018-08-22T00:00:00"/>
  </r>
  <r>
    <x v="8"/>
    <s v="Davila"/>
    <s v="BC7058"/>
    <n v="12168953"/>
    <s v="SATF-Facility E"/>
    <x v="0"/>
    <s v="MA066758-01"/>
    <d v="2046-06-23T00:00:00"/>
    <d v="2018-08-01T00:00:00"/>
    <d v="2018-08-14T00:00:00"/>
    <d v="2018-08-15T00:00:00"/>
    <s v="Approved"/>
    <x v="17"/>
    <d v="2018-11-28T00:00:00"/>
    <d v="2018-07-13T00:00:00"/>
    <s v="No action - no reason specified"/>
    <m/>
    <s v=""/>
    <s v=""/>
    <m/>
    <d v="2018-11-28T00:00:00"/>
  </r>
  <r>
    <x v="5"/>
    <s v="Garcia"/>
    <s v="G46967"/>
    <n v="11639571"/>
    <s v="ISP-Facility B"/>
    <x v="0"/>
    <s v="YA07715001"/>
    <m/>
    <d v="2018-02-05T00:00:00"/>
    <d v="2018-04-02T00:00:00"/>
    <d v="2018-04-03T00:00:00"/>
    <s v="Approved"/>
    <x v="8"/>
    <d v="2018-07-20T00:00:00"/>
    <d v="2018-07-16T00:00:00"/>
    <s v="No action - due to plea"/>
    <m/>
    <s v=""/>
    <s v=""/>
    <m/>
    <d v="2018-07-25T00:00:00"/>
  </r>
  <r>
    <x v="6"/>
    <s v="Truong"/>
    <s v="F41159"/>
    <n v="11573751"/>
    <s v="CMF-Facility A"/>
    <x v="1"/>
    <s v="FCR325024"/>
    <d v="2023-02-04T00:00:00"/>
    <d v="2018-05-23T00:00:00"/>
    <d v="2018-05-31T00:00:00"/>
    <d v="2018-06-12T00:00:00"/>
    <s v="Approved"/>
    <x v="14"/>
    <d v="2018-07-25T00:00:00"/>
    <d v="2018-07-16T00:00:00"/>
    <s v="No action - no reason specified"/>
    <m/>
    <s v=""/>
    <s v=""/>
    <s v="Court gathered parties/ sentence is correct per judge and parties"/>
    <d v="2018-07-25T00:00:00"/>
  </r>
  <r>
    <x v="3"/>
    <s v="Sydow"/>
    <s v="AI2512"/>
    <n v="11372799"/>
    <s v="PBSP-Facility C"/>
    <x v="0"/>
    <s v="KA092702"/>
    <d v="2028-03-02T00:00:00"/>
    <d v="2018-06-11T00:00:00"/>
    <d v="2018-06-12T00:00:00"/>
    <d v="2018-06-13T00:00:00"/>
    <s v="Approved"/>
    <x v="14"/>
    <d v="2019-03-08T00:00:00"/>
    <d v="2018-07-20T00:00:00"/>
    <s v="No action - due to plea"/>
    <m/>
    <s v=""/>
    <s v=""/>
    <m/>
    <d v="2019-03-08T00:00:00"/>
  </r>
  <r>
    <x v="1"/>
    <s v="Yoon"/>
    <s v="AD1280"/>
    <n v="11341119"/>
    <s v="CCI-Facility E"/>
    <x v="0"/>
    <s v="LA62505"/>
    <d v="2019-08-13T00:00:00"/>
    <d v="2018-03-19T00:00:00"/>
    <d v="2018-03-19T00:00:00"/>
    <d v="2018-03-19T00:00:00"/>
    <s v="Approved"/>
    <x v="9"/>
    <d v="2018-07-25T00:00:00"/>
    <d v="2018-07-25T00:00:00"/>
    <s v="No action - no reason specified"/>
    <m/>
    <s v=""/>
    <s v=""/>
    <m/>
    <d v="2018-08-23T00:00:00"/>
  </r>
  <r>
    <x v="2"/>
    <s v="Buenrostro"/>
    <s v="AC9573"/>
    <n v="11340042"/>
    <s v="CVSP-Facility B"/>
    <x v="2"/>
    <s v="08SF0167"/>
    <d v="2021-05-31T00:00:00"/>
    <d v="2018-06-19T00:00:00"/>
    <d v="2018-06-19T00:00:00"/>
    <d v="2018-07-02T00:00:00"/>
    <s v="Approved"/>
    <x v="18"/>
    <d v="2018-07-30T00:00:00"/>
    <d v="2018-07-30T00:00:00"/>
    <s v="No action - no reason specified"/>
    <m/>
    <s v=""/>
    <s v=""/>
    <m/>
    <d v="2019-01-24T00:00:00"/>
  </r>
  <r>
    <x v="2"/>
    <s v="Morales"/>
    <s v="AU2701"/>
    <n v="12118554"/>
    <s v="PVSP-Facility C"/>
    <x v="3"/>
    <s v="F14903012"/>
    <d v="2024-02-27T00:00:00"/>
    <d v="2018-06-21T00:00:00"/>
    <d v="2018-06-21T00:00:00"/>
    <d v="2018-07-02T00:00:00"/>
    <s v="Approved"/>
    <x v="18"/>
    <d v="2018-08-06T00:00:00"/>
    <d v="2018-07-30T00:00:00"/>
    <s v="No action - due to plea"/>
    <m/>
    <s v=""/>
    <s v=""/>
    <m/>
    <d v="2018-08-15T00:00:00"/>
  </r>
  <r>
    <x v="2"/>
    <s v="Moua"/>
    <s v="AP1862"/>
    <n v="11056069"/>
    <s v="PUMCCF-Delano"/>
    <x v="3"/>
    <s v="F12905682"/>
    <d v="2025-09-04T00:00:00"/>
    <d v="2018-06-22T00:00:00"/>
    <d v="2018-06-22T00:00:00"/>
    <d v="2018-07-11T00:00:00"/>
    <s v="Approved"/>
    <x v="19"/>
    <d v="2018-08-06T00:00:00"/>
    <d v="2018-07-30T00:00:00"/>
    <s v="No action - due to plea"/>
    <m/>
    <s v=""/>
    <s v=""/>
    <m/>
    <d v="2018-08-15T00:00:00"/>
  </r>
  <r>
    <x v="3"/>
    <s v="Hernandez"/>
    <s v="AI2502"/>
    <n v="11372795"/>
    <s v="VSP-Facility B"/>
    <x v="0"/>
    <s v="KA092702"/>
    <d v="2025-06-04T00:00:00"/>
    <d v="2018-06-11T00:00:00"/>
    <d v="2018-06-12T00:00:00"/>
    <d v="2018-06-13T00:00:00"/>
    <s v="Approved"/>
    <x v="14"/>
    <d v="2019-03-08T00:00:00"/>
    <d v="2018-07-31T00:00:00"/>
    <s v="No action - due to plea"/>
    <m/>
    <s v=""/>
    <s v=""/>
    <m/>
    <d v="2019-03-08T00:00:00"/>
  </r>
  <r>
    <x v="6"/>
    <s v="Pratt"/>
    <s v="B71679"/>
    <n v="11394046"/>
    <s v="RJD-Facility C"/>
    <x v="13"/>
    <s v="SC069495A"/>
    <d v="2025-05-26T00:00:00"/>
    <d v="2018-02-05T00:00:00"/>
    <d v="2018-05-22T00:00:00"/>
    <d v="2018-05-23T00:00:00"/>
    <s v="Approved"/>
    <x v="13"/>
    <m/>
    <m/>
    <s v="Disregard Letter"/>
    <m/>
    <s v=""/>
    <s v=""/>
    <m/>
    <d v="2018-05-31T00:00:00"/>
  </r>
  <r>
    <x v="5"/>
    <s v="Martinez"/>
    <s v="AK8176"/>
    <n v="11278660"/>
    <s v="CTF-Facility A"/>
    <x v="18"/>
    <n v="5103953"/>
    <d v="2020-08-27T00:00:00"/>
    <d v="2018-02-05T00:00:00"/>
    <d v="2018-02-13T00:00:00"/>
    <d v="2018-02-13T00:00:00"/>
    <s v="Approved"/>
    <x v="6"/>
    <m/>
    <m/>
    <m/>
    <m/>
    <s v=""/>
    <s v=""/>
    <s v="Active Parole"/>
    <d v="2020-01-20T00:00:00"/>
  </r>
  <r>
    <x v="5"/>
    <s v="Cardona"/>
    <s v="AU1345"/>
    <n v="12117773"/>
    <s v="COCF-La Palma CC"/>
    <x v="17"/>
    <s v="11F08231"/>
    <d v="2020-07-01T00:00:00"/>
    <d v="2018-02-05T00:00:00"/>
    <d v="2018-05-22T00:00:00"/>
    <d v="2018-05-23T00:00:00"/>
    <s v="Approved"/>
    <x v="13"/>
    <d v="2019-05-20T00:00:00"/>
    <d v="2019-05-08T00:00:00"/>
    <s v="Released"/>
    <n v="730"/>
    <n v="2"/>
    <n v="16518"/>
    <s v="reduced by 2 years, released 05/21/2019"/>
    <d v="2019-05-20T00:00:00"/>
  </r>
  <r>
    <x v="5"/>
    <s v="Haqq"/>
    <s v="AW3463"/>
    <n v="11995112"/>
    <s v="CAC-Facility C"/>
    <x v="10"/>
    <s v="SCD252583"/>
    <d v="2024-09-13T00:00:00"/>
    <d v="2018-02-05T00:00:00"/>
    <d v="2018-05-16T00:00:00"/>
    <d v="2018-05-16T00:00:00"/>
    <s v="Approved"/>
    <x v="7"/>
    <d v="2019-03-05T00:00:00"/>
    <d v="2018-07-23T00:00:00"/>
    <s v="Reduced"/>
    <n v="365"/>
    <n v="1"/>
    <n v="8259"/>
    <s v="reduced by 1 year"/>
    <d v="2019-03-05T00:00:00"/>
  </r>
  <r>
    <x v="5"/>
    <s v="Gonzalez"/>
    <s v="F93355"/>
    <n v="11605762"/>
    <s v="SVSP-Facility B"/>
    <x v="11"/>
    <s v="DCF183664A"/>
    <d v="2020-02-21T00:00:00"/>
    <d v="2018-02-05T00:00:00"/>
    <d v="2018-05-16T00:00:00"/>
    <d v="2018-05-16T00:00:00"/>
    <s v="Approved"/>
    <x v="7"/>
    <d v="2019-03-05T00:00:00"/>
    <d v="2018-08-07T00:00:00"/>
    <s v="No reduction - AOJ corrected"/>
    <m/>
    <s v=""/>
    <s v=""/>
    <s v="Term restructered"/>
    <d v="2019-03-05T00:00:00"/>
  </r>
  <r>
    <x v="2"/>
    <s v="Lyons"/>
    <s v="V65828"/>
    <n v="11996569"/>
    <s v="PRMCCF-Desert View"/>
    <x v="0"/>
    <s v="BA265115"/>
    <d v="2019-10-03T00:00:00"/>
    <d v="2018-02-05T00:00:00"/>
    <d v="2018-04-02T00:00:00"/>
    <d v="2018-04-03T00:00:00"/>
    <s v="Approved"/>
    <x v="20"/>
    <m/>
    <m/>
    <m/>
    <m/>
    <s v=""/>
    <s v=""/>
    <s v="Paroled on 05/01/2019"/>
    <d v="2019-05-01T00:00:00"/>
  </r>
  <r>
    <x v="5"/>
    <s v="Young"/>
    <s v="BB8674"/>
    <n v="12164025"/>
    <s v="NKSP-Facility A"/>
    <x v="0"/>
    <s v="BA391531"/>
    <d v="2022-02-14T00:00:00"/>
    <d v="2018-02-05T00:00:00"/>
    <d v="2018-05-16T00:00:00"/>
    <d v="2018-05-16T00:00:00"/>
    <s v="Approved"/>
    <x v="7"/>
    <d v="2019-03-05T00:00:00"/>
    <d v="2018-10-09T00:00:00"/>
    <s v="No reduction - AOJ corrected"/>
    <m/>
    <s v=""/>
    <s v=""/>
    <s v="Term restructered"/>
    <d v="2019-03-05T00:00:00"/>
  </r>
  <r>
    <x v="4"/>
    <s v="Stone"/>
    <s v="F53649"/>
    <n v="11581342"/>
    <s v="COR-Central Service"/>
    <x v="19"/>
    <m/>
    <d v="2046-06-11T00:00:00"/>
    <d v="2018-02-05T00:00:00"/>
    <d v="2018-02-05T00:00:00"/>
    <d v="2018-02-05T00:00:00"/>
    <s v="Approved"/>
    <x v="5"/>
    <d v="2019-03-05T00:00:00"/>
    <d v="2018-06-21T00:00:00"/>
    <s v="Reduced"/>
    <n v="3043"/>
    <n v="8.3369863013698637"/>
    <n v="68855.169863013696"/>
    <s v="reduced by 8 years 4 months"/>
    <d v="2019-03-05T00:00:00"/>
  </r>
  <r>
    <x v="3"/>
    <s v="Neves"/>
    <s v="F75007"/>
    <n v="11208765"/>
    <s v="PRMCCF-Central Valley"/>
    <x v="3"/>
    <m/>
    <d v="2025-08-11T00:00:00"/>
    <d v="2018-02-05T00:00:00"/>
    <d v="2018-02-05T00:00:00"/>
    <d v="2018-02-12T00:00:00"/>
    <s v="Approved"/>
    <x v="5"/>
    <d v="2019-02-26T00:00:00"/>
    <d v="2018-09-25T00:00:00"/>
    <s v="Released"/>
    <n v="3652"/>
    <n v="10.005479452054795"/>
    <n v="82635.254794520544"/>
    <s v="reduced by 10 years"/>
    <d v="2019-02-26T00:00:00"/>
  </r>
  <r>
    <x v="3"/>
    <s v="Her"/>
    <s v="V30533"/>
    <n v="11975558"/>
    <s v="FOL-Facility MSF"/>
    <x v="4"/>
    <s v="MF36990"/>
    <d v="2024-04-13T00:00:00"/>
    <d v="2018-02-05T00:00:00"/>
    <d v="2018-02-05T00:00:00"/>
    <d v="2018-02-12T00:00:00"/>
    <s v="Approved"/>
    <x v="5"/>
    <m/>
    <m/>
    <m/>
    <m/>
    <s v=""/>
    <s v=""/>
    <s v="active parole 9/3/2020 (not 1170(d)(1))"/>
    <d v="2021-03-18T00:00:00"/>
  </r>
  <r>
    <x v="2"/>
    <s v="Blanco"/>
    <s v="AD2034"/>
    <n v="11341603"/>
    <s v="SATF-Facility C"/>
    <x v="11"/>
    <s v="VCF228313A"/>
    <d v="2020-06-07T00:00:00"/>
    <d v="2018-06-19T00:00:00"/>
    <d v="2018-06-19T00:00:00"/>
    <d v="2018-06-27T00:00:00"/>
    <s v="Approved"/>
    <x v="16"/>
    <d v="2019-03-28T00:00:00"/>
    <d v="2018-07-31T00:00:00"/>
    <s v="No action - due to plea"/>
    <m/>
    <s v=""/>
    <s v=""/>
    <m/>
    <d v="2019-03-28T00:00:00"/>
  </r>
  <r>
    <x v="3"/>
    <s v="Thomas"/>
    <s v="AW7591"/>
    <n v="12132530"/>
    <s v="PVSP-Facility C"/>
    <x v="20"/>
    <s v="H51957A"/>
    <d v="2023-03-18T00:00:00"/>
    <d v="2018-02-05T00:00:00"/>
    <d v="2018-02-05T00:00:00"/>
    <d v="2018-02-15T00:00:00"/>
    <s v="Approved"/>
    <x v="5"/>
    <m/>
    <m/>
    <m/>
    <m/>
    <s v=""/>
    <s v=""/>
    <m/>
    <m/>
  </r>
  <r>
    <x v="3"/>
    <s v="Abila"/>
    <s v="AT8323"/>
    <n v="12116191"/>
    <s v="KVSP-Facility D"/>
    <x v="21"/>
    <s v="MF036296A"/>
    <d v="2030-02-10T00:00:00"/>
    <d v="2018-02-05T00:00:00"/>
    <d v="2018-02-05T00:00:00"/>
    <d v="2018-03-20T00:00:00"/>
    <s v="Approved"/>
    <x v="4"/>
    <d v="2018-07-20T00:00:00"/>
    <d v="2018-06-25T00:00:00"/>
    <s v="Reduced"/>
    <n v="1095"/>
    <n v="3"/>
    <n v="24777"/>
    <s v="reduced by 3 years"/>
    <d v="2018-07-20T00:00:00"/>
  </r>
  <r>
    <x v="6"/>
    <s v="Ford"/>
    <s v="WA1812"/>
    <n v="10262492"/>
    <s v="CCWF-Facility B"/>
    <x v="9"/>
    <s v="16CR041769"/>
    <d v="2021-12-08T00:00:00"/>
    <d v="2019-08-01T00:00:00"/>
    <d v="2019-08-01T00:00:00"/>
    <d v="2019-08-15T00:00:00"/>
    <s v="Approved"/>
    <x v="21"/>
    <m/>
    <d v="2019-09-20T00:00:00"/>
    <s v="No action - reason provided"/>
    <m/>
    <s v=""/>
    <s v=""/>
    <s v="Released 7/30/2019 not for 1170 (d)(1)"/>
    <d v="2019-10-30T00:00:00"/>
  </r>
  <r>
    <x v="6"/>
    <s v="Zendejas"/>
    <s v="T17309"/>
    <n v="11911131"/>
    <s v="SATF-Facility C"/>
    <x v="22"/>
    <s v="JCF25158"/>
    <d v="2024-07-09T00:00:00"/>
    <d v="2018-08-31T00:00:00"/>
    <d v="2018-08-31T00:00:00"/>
    <d v="2018-09-05T00:00:00"/>
    <s v="Approved"/>
    <x v="22"/>
    <d v="2019-05-31T00:00:00"/>
    <d v="2019-03-19T00:00:00"/>
    <s v="Reduced"/>
    <n v="974"/>
    <n v="2.6684931506849314"/>
    <n v="22039.084931506852"/>
    <s v="reduced by 2 years 8 months"/>
    <d v="2019-05-31T00:00:00"/>
  </r>
  <r>
    <x v="2"/>
    <s v="Avila"/>
    <s v="AB3429"/>
    <n v="11329900"/>
    <s v="KVSP-Facility A"/>
    <x v="0"/>
    <s v="VA102440-032"/>
    <d v="2077-01-10T00:00:00"/>
    <d v="2018-08-27T00:00:00"/>
    <d v="2018-08-27T00:00:00"/>
    <d v="2018-08-29T00:00:00"/>
    <s v="Approved"/>
    <x v="23"/>
    <d v="2019-09-17T00:00:00"/>
    <d v="2019-07-03T00:00:00"/>
    <s v="Reduced"/>
    <n v="974"/>
    <n v="2.6684931506849314"/>
    <n v="22039.084931506852"/>
    <m/>
    <d v="2019-09-24T00:00:00"/>
  </r>
  <r>
    <x v="3"/>
    <s v="Hermosillo"/>
    <s v="AF4232"/>
    <n v="11355421"/>
    <s v="SQ-Facility A"/>
    <x v="5"/>
    <s v="SCR556246"/>
    <d v="2022-10-06T00:00:00"/>
    <d v="2018-02-05T00:00:00"/>
    <d v="2018-04-12T00:00:00"/>
    <d v="2018-04-12T00:00:00"/>
    <s v="Approved"/>
    <x v="11"/>
    <d v="2018-11-09T00:00:00"/>
    <d v="2018-09-24T00:00:00"/>
    <s v="Reduced"/>
    <n v="730"/>
    <n v="2"/>
    <n v="16518"/>
    <s v="reduced by 2 years"/>
    <d v="2019-03-05T00:00:00"/>
  </r>
  <r>
    <x v="3"/>
    <s v="Hernandez"/>
    <s v="AV3416"/>
    <n v="12124644"/>
    <s v="SVSP-Facility B"/>
    <x v="12"/>
    <s v="C1367379"/>
    <d v="2027-06-15T00:00:00"/>
    <d v="2018-02-05T00:00:00"/>
    <d v="2018-04-12T00:00:00"/>
    <d v="2018-04-12T00:00:00"/>
    <s v="Approved"/>
    <x v="11"/>
    <d v="2018-09-06T00:00:00"/>
    <d v="2018-08-27T00:00:00"/>
    <s v="Reduced"/>
    <n v="1095"/>
    <n v="3"/>
    <n v="24777"/>
    <s v="reduced by 3 years"/>
    <d v="2019-03-05T00:00:00"/>
  </r>
  <r>
    <x v="3"/>
    <s v="Rodriguez"/>
    <s v="F21360"/>
    <n v="11561682"/>
    <s v="CVSP-MSF"/>
    <x v="11"/>
    <s v="VCF154180"/>
    <d v="2019-04-30T00:00:00"/>
    <d v="2018-02-05T00:00:00"/>
    <d v="2018-02-05T00:00:00"/>
    <d v="2018-03-20T00:00:00"/>
    <s v="Approved"/>
    <x v="4"/>
    <d v="2019-03-05T00:00:00"/>
    <d v="2018-04-30T00:00:00"/>
    <s v="No reduction - AOJ corrected"/>
    <m/>
    <s v=""/>
    <s v=""/>
    <s v="Term restructered"/>
    <d v="2019-03-05T00:00:00"/>
  </r>
  <r>
    <x v="2"/>
    <s v="Lopez"/>
    <s v="G41511"/>
    <n v="11636112"/>
    <s v="PBSP-STRH"/>
    <x v="0"/>
    <s v="PA070407"/>
    <d v="2026-02-23T00:00:00"/>
    <d v="2018-06-22T00:00:00"/>
    <d v="2018-06-22T00:00:00"/>
    <d v="2018-07-11T00:00:00"/>
    <s v="Approved"/>
    <x v="19"/>
    <d v="2018-09-10T00:00:00"/>
    <d v="2018-07-31T00:00:00"/>
    <s v="No action - no reason specified"/>
    <m/>
    <s v=""/>
    <s v=""/>
    <m/>
    <d v="2018-09-10T00:00:00"/>
  </r>
  <r>
    <x v="1"/>
    <s v="Agundez"/>
    <s v="AM3803"/>
    <n v="11302741"/>
    <s v="PUMCCF-Shafter"/>
    <x v="3"/>
    <s v="F11900049"/>
    <d v="2021-01-21T00:00:00"/>
    <d v="2018-06-07T00:00:00"/>
    <d v="2018-06-08T00:00:00"/>
    <d v="2018-06-08T00:00:00"/>
    <s v="Approved"/>
    <x v="24"/>
    <m/>
    <m/>
    <m/>
    <m/>
    <s v=""/>
    <s v=""/>
    <s v="Active Parole"/>
    <d v="2019-12-18T00:00:00"/>
  </r>
  <r>
    <x v="3"/>
    <s v="Pulido"/>
    <s v="T79515"/>
    <n v="11946313"/>
    <s v="CAL-Facility D"/>
    <x v="5"/>
    <s v="SCR525551"/>
    <d v="2032-09-15T00:00:00"/>
    <d v="2018-02-05T00:00:00"/>
    <d v="2018-04-12T00:00:00"/>
    <d v="2018-04-17T00:00:00"/>
    <s v="Approved"/>
    <x v="10"/>
    <d v="2018-09-21T00:00:00"/>
    <d v="2018-07-09T00:00:00"/>
    <s v="Reduced"/>
    <n v="3165"/>
    <n v="8.6712328767123292"/>
    <n v="71615.712328767127"/>
    <s v="reduced by 8 years 8 months"/>
    <d v="2019-03-05T00:00:00"/>
  </r>
  <r>
    <x v="2"/>
    <s v="Castillo"/>
    <s v="AW9698"/>
    <n v="12134391"/>
    <s v="HDSP-Facility C"/>
    <x v="16"/>
    <s v="CR-14-00819"/>
    <d v="2021-06-10T00:00:00"/>
    <d v="2018-06-19T00:00:00"/>
    <d v="2018-06-19T00:00:00"/>
    <d v="2018-07-02T00:00:00"/>
    <s v="Approved"/>
    <x v="18"/>
    <d v="2018-10-22T00:00:00"/>
    <d v="2018-08-01T00:00:00"/>
    <s v="No action - reason provided"/>
    <m/>
    <s v=""/>
    <s v=""/>
    <s v="PC 186.22(b)(1)© does not apply, deft pled to PC 186.22(b)(1)(A)"/>
    <d v="2018-10-23T00:00:00"/>
  </r>
  <r>
    <x v="6"/>
    <s v="Murguia"/>
    <s v="V04589"/>
    <n v="11960507"/>
    <s v="RJD-Facility A"/>
    <x v="8"/>
    <s v="RIF1401728"/>
    <d v="2024-04-30T00:00:00"/>
    <d v="2018-02-20T00:00:00"/>
    <d v="2018-02-20T00:00:00"/>
    <d v="2018-02-20T00:00:00"/>
    <s v="Approved"/>
    <x v="5"/>
    <d v="2018-05-03T00:00:00"/>
    <d v="2018-04-27T00:00:00"/>
    <s v="Reduced"/>
    <n v="324"/>
    <n v="0.88767123287671235"/>
    <n v="7331.2767123287676"/>
    <m/>
    <d v="2018-05-11T00:00:00"/>
  </r>
  <r>
    <x v="6"/>
    <s v="Cannon"/>
    <s v="X13752"/>
    <n v="11022712"/>
    <s v="CCWF-Facility B"/>
    <x v="9"/>
    <s v="FCH1100047"/>
    <d v="2019-05-09T00:00:00"/>
    <d v="2018-03-08T00:00:00"/>
    <d v="2018-03-08T00:00:00"/>
    <d v="2018-03-08T00:00:00"/>
    <s v="Approved"/>
    <x v="5"/>
    <d v="2018-05-29T00:00:00"/>
    <d v="2018-05-15T00:00:00"/>
    <s v="Released"/>
    <n v="730"/>
    <n v="2"/>
    <n v="16518"/>
    <s v="Parole 6/5/2018"/>
    <d v="2018-05-29T00:00:00"/>
  </r>
  <r>
    <x v="7"/>
    <s v="Nunez"/>
    <s v="K94708"/>
    <n v="11173579"/>
    <s v="VSP-Facility D"/>
    <x v="10"/>
    <s v="SCD126036"/>
    <d v="2021-03-07T00:00:00"/>
    <d v="2018-06-12T00:00:00"/>
    <d v="2018-06-14T00:00:00"/>
    <d v="2018-06-17T00:00:00"/>
    <s v="Approved"/>
    <x v="25"/>
    <d v="2019-02-07T00:00:00"/>
    <d v="2019-02-07T00:00:00"/>
    <s v="Released"/>
    <n v="4748"/>
    <n v="13.008219178082191"/>
    <n v="107434.88219178082"/>
    <s v="reduced by 13 years, released 02/14/2019"/>
    <d v="2019-02-11T00:00:00"/>
  </r>
  <r>
    <x v="7"/>
    <s v="Mason"/>
    <s v="P63481"/>
    <n v="11282444"/>
    <s v="SQ-Facility A"/>
    <x v="23"/>
    <s v="SC108369A"/>
    <d v="2022-03-24T00:00:00"/>
    <d v="2018-05-09T00:00:00"/>
    <d v="2018-05-09T00:00:00"/>
    <d v="2018-05-09T00:00:00"/>
    <s v="Approved"/>
    <x v="26"/>
    <d v="2018-08-16T00:00:00"/>
    <d v="2018-07-30T00:00:00"/>
    <s v="Released"/>
    <n v="4748.25"/>
    <n v="13.008904109589041"/>
    <n v="107440.53904109589"/>
    <s v="Life to 12 year term, release 8/20/18"/>
    <d v="2018-08-16T00:00:00"/>
  </r>
  <r>
    <x v="7"/>
    <s v="Kahn"/>
    <s v="F55145"/>
    <n v="11582217"/>
    <s v="SQ-Facility A"/>
    <x v="18"/>
    <s v="0400606"/>
    <d v="2025-09-28T00:00:00"/>
    <d v="2018-03-22T00:00:00"/>
    <d v="2018-03-22T00:00:00"/>
    <d v="2018-03-22T00:00:00"/>
    <s v="Declined"/>
    <x v="27"/>
    <m/>
    <m/>
    <m/>
    <m/>
    <s v=""/>
    <s v=""/>
    <m/>
    <d v="2018-03-22T00:00:00"/>
  </r>
  <r>
    <x v="2"/>
    <s v="Phan"/>
    <s v="AH3051"/>
    <n v="11366921"/>
    <s v="SAC-Facility B"/>
    <x v="2"/>
    <s v="08WF0487"/>
    <d v="2032-09-12T00:00:00"/>
    <d v="2018-06-27T00:00:00"/>
    <d v="2018-06-27T00:00:00"/>
    <d v="2018-07-18T00:00:00"/>
    <s v="Approved"/>
    <x v="28"/>
    <d v="2018-08-07T00:00:00"/>
    <d v="2018-08-02T00:00:00"/>
    <s v="No action - reason provided"/>
    <m/>
    <s v=""/>
    <s v=""/>
    <s v="Gonzalez does not apply"/>
    <d v="2018-09-17T00:00:00"/>
  </r>
  <r>
    <x v="9"/>
    <s v="Randazzle"/>
    <s v="AS0897"/>
    <n v="11931315"/>
    <s v="CAC-Facility C"/>
    <x v="13"/>
    <s v="BF145781A"/>
    <d v="2036-04-05T00:00:00"/>
    <d v="2018-08-01T00:00:00"/>
    <d v="2018-08-14T00:00:00"/>
    <d v="2018-08-22T00:00:00"/>
    <s v="Approved"/>
    <x v="29"/>
    <d v="2019-04-24T00:00:00"/>
    <d v="2019-03-20T00:00:00"/>
    <s v="Reduced"/>
    <n v="1095"/>
    <n v="3"/>
    <n v="24777"/>
    <s v="reduced by 3 years"/>
    <d v="2019-04-30T00:00:00"/>
  </r>
  <r>
    <x v="6"/>
    <s v="Miller"/>
    <s v="H58423"/>
    <n v="11682920"/>
    <s v="HDSP-Facility B"/>
    <x v="10"/>
    <s v="SCS279592"/>
    <d v="2020-04-06T00:00:00"/>
    <d v="2018-04-12T00:00:00"/>
    <d v="2018-04-12T00:00:00"/>
    <d v="2018-04-12T00:00:00"/>
    <s v="Approved"/>
    <x v="11"/>
    <d v="2018-05-07T00:00:00"/>
    <d v="2018-05-01T00:00:00"/>
    <s v="Reduced"/>
    <n v="365"/>
    <n v="1"/>
    <n v="8259"/>
    <s v="Paroled 06/10/2019"/>
    <d v="2018-05-07T00:00:00"/>
  </r>
  <r>
    <x v="6"/>
    <s v="Garcia"/>
    <s v="AR0300"/>
    <n v="12099595"/>
    <s v="SAC-Facility B"/>
    <x v="3"/>
    <s v="F17903752"/>
    <d v="2020-04-05T00:00:00"/>
    <d v="2018-04-18T00:00:00"/>
    <d v="2018-04-19T00:00:00"/>
    <d v="2018-04-19T00:00:00"/>
    <s v="Approved"/>
    <x v="10"/>
    <d v="2018-05-23T00:00:00"/>
    <d v="2018-05-02T00:00:00"/>
    <s v="Reduced"/>
    <n v="1095"/>
    <n v="3"/>
    <n v="24777"/>
    <s v="Paroled 07/02/2018"/>
    <d v="2018-05-31T00:00:00"/>
  </r>
  <r>
    <x v="6"/>
    <s v="Kindschy"/>
    <s v="D26404"/>
    <n v="11099942"/>
    <s v="SATF-Facility D"/>
    <x v="17"/>
    <s v="09F00086"/>
    <d v="2023-07-17T00:00:00"/>
    <d v="2018-04-18T00:00:00"/>
    <d v="2018-04-18T00:00:00"/>
    <d v="2018-04-18T00:00:00"/>
    <s v="Approved"/>
    <x v="10"/>
    <d v="2018-11-02T00:00:00"/>
    <d v="2018-11-02T00:00:00"/>
    <s v="No reduction - AOJ corrected"/>
    <m/>
    <s v=""/>
    <s v=""/>
    <m/>
    <d v="2019-01-11T00:00:00"/>
  </r>
  <r>
    <x v="6"/>
    <s v="Ferreira"/>
    <s v="X25220"/>
    <n v="11030312"/>
    <s v="CIW-Facility A"/>
    <x v="9"/>
    <s v="FWV1403923"/>
    <d v="2022-01-29T00:00:00"/>
    <d v="2018-04-20T00:00:00"/>
    <d v="2018-04-20T00:00:00"/>
    <d v="2018-04-20T00:00:00"/>
    <s v="Approved"/>
    <x v="9"/>
    <d v="2018-05-25T00:00:00"/>
    <d v="2018-05-15T00:00:00"/>
    <s v="Reduced"/>
    <n v="485"/>
    <n v="1.3287671232876712"/>
    <n v="10974.287671232876"/>
    <m/>
    <d v="2018-06-12T00:00:00"/>
  </r>
  <r>
    <x v="6"/>
    <s v="Cuevas"/>
    <s v="WF1024"/>
    <n v="12125255"/>
    <s v="CIW-Central Service"/>
    <x v="9"/>
    <s v="16CR066195"/>
    <d v="2019-12-07T00:00:00"/>
    <d v="2018-04-23T00:00:00"/>
    <d v="2018-04-23T00:00:00"/>
    <d v="2018-04-23T00:00:00"/>
    <s v="Approved"/>
    <x v="10"/>
    <d v="2018-06-04T00:00:00"/>
    <d v="2018-05-31T00:00:00"/>
    <s v="Reduced"/>
    <n v="365"/>
    <n v="1"/>
    <n v="8259"/>
    <s v="Paroled 08/08/2019"/>
    <d v="2018-06-04T00:00:00"/>
  </r>
  <r>
    <x v="6"/>
    <s v="Reeves"/>
    <s v="WA1136"/>
    <n v="10262739"/>
    <s v="CIW-Facility A"/>
    <x v="9"/>
    <s v="FWV1400888"/>
    <d v="2019-12-11T00:00:00"/>
    <d v="2018-04-23T00:00:00"/>
    <d v="2018-05-31T00:00:00"/>
    <d v="2018-06-12T00:00:00"/>
    <s v="Approved"/>
    <x v="14"/>
    <d v="2018-06-11T00:00:00"/>
    <d v="2018-06-01T00:00:00"/>
    <s v="Reduced"/>
    <n v="1095"/>
    <n v="3"/>
    <n v="24777"/>
    <s v="sent Mccart letter 9/10/2018"/>
    <d v="2018-06-12T00:00:00"/>
  </r>
  <r>
    <x v="6"/>
    <s v="Fonseca"/>
    <s v="X14828"/>
    <n v="11023410"/>
    <s v="CIW-Facility A"/>
    <x v="9"/>
    <s v="FWV17002285"/>
    <d v="2020-01-03T00:00:00"/>
    <d v="2018-04-23T00:00:00"/>
    <d v="2018-05-30T00:00:00"/>
    <d v="2018-05-30T00:00:00"/>
    <s v="Approved"/>
    <x v="10"/>
    <d v="2018-05-29T00:00:00"/>
    <d v="2018-05-11T00:00:00"/>
    <s v="Reduced"/>
    <n v="365"/>
    <n v="1"/>
    <n v="8259"/>
    <m/>
    <d v="2018-05-29T00:00:00"/>
  </r>
  <r>
    <x v="6"/>
    <s v="Ford"/>
    <s v="WA1812"/>
    <n v="10262492"/>
    <s v="CIW-Facility A"/>
    <x v="9"/>
    <s v="16CR041769"/>
    <d v="2020-04-17T00:00:00"/>
    <d v="2018-04-23T00:00:00"/>
    <d v="2018-05-30T00:00:00"/>
    <d v="2018-05-30T00:00:00"/>
    <s v="Approved"/>
    <x v="30"/>
    <d v="2018-06-11T00:00:00"/>
    <d v="2018-06-08T00:00:00"/>
    <s v="Reduced"/>
    <n v="320"/>
    <n v="0.87671232876712324"/>
    <n v="7240.767123287671"/>
    <s v="amend"/>
    <d v="2018-06-12T00:00:00"/>
  </r>
  <r>
    <x v="6"/>
    <s v="Martinez"/>
    <s v="V22138"/>
    <n v="11970726"/>
    <s v="HDSP-Facility B"/>
    <x v="0"/>
    <s v="MA06048602"/>
    <d v="2020-01-15T00:00:00"/>
    <d v="2018-05-23T00:00:00"/>
    <d v="2018-05-31T00:00:00"/>
    <d v="2018-06-12T00:00:00"/>
    <s v="Approved"/>
    <x v="14"/>
    <d v="2018-08-28T00:00:00"/>
    <d v="2018-08-03T00:00:00"/>
    <s v="No action - reason provided"/>
    <m/>
    <s v=""/>
    <s v=""/>
    <s v="refers to look at Imperial/do they want to reduce."/>
    <d v="2018-09-10T00:00:00"/>
  </r>
  <r>
    <x v="6"/>
    <s v="Garcia"/>
    <s v="J91670"/>
    <n v="11769978"/>
    <s v="PVSP-Facility STRH"/>
    <x v="0"/>
    <s v="MA05865002"/>
    <d v="2023-05-14T00:00:00"/>
    <d v="2018-04-23T00:00:00"/>
    <d v="2018-05-30T00:00:00"/>
    <d v="2018-05-30T00:00:00"/>
    <s v="Approved"/>
    <x v="31"/>
    <m/>
    <m/>
    <s v="Disregard Letter"/>
    <m/>
    <s v=""/>
    <s v=""/>
    <s v="Disregard only"/>
    <d v="2018-06-06T00:00:00"/>
  </r>
  <r>
    <x v="6"/>
    <s v="Johnson"/>
    <s v="C92006"/>
    <n v="11446248"/>
    <s v="CTF-Facility C"/>
    <x v="22"/>
    <s v="JCF18914"/>
    <d v="2021-11-05T00:00:00"/>
    <d v="2018-04-23T00:00:00"/>
    <d v="2018-06-07T00:00:00"/>
    <d v="2018-06-13T00:00:00"/>
    <s v="Approved"/>
    <x v="32"/>
    <m/>
    <m/>
    <s v="Disregard Letter"/>
    <m/>
    <s v=""/>
    <s v=""/>
    <s v="Disregard only"/>
    <d v="2018-06-13T00:00:00"/>
  </r>
  <r>
    <x v="7"/>
    <s v="Grobman"/>
    <s v="F91808"/>
    <n v="11212466"/>
    <s v="LAC-Facility A"/>
    <x v="12"/>
    <m/>
    <d v="2134-12-03T00:00:00"/>
    <d v="2018-02-15T00:00:00"/>
    <d v="2018-02-15T00:00:00"/>
    <d v="2018-02-15T00:00:00"/>
    <s v="Approved"/>
    <x v="33"/>
    <d v="2018-08-31T00:00:00"/>
    <d v="2018-08-31T00:00:00"/>
    <s v="Released"/>
    <n v="5479"/>
    <n v="15.010958904109589"/>
    <n v="123975.5095890411"/>
    <s v="Credit for time served/no supervision"/>
    <d v="2018-09-05T00:00:00"/>
  </r>
  <r>
    <x v="2"/>
    <s v="Quijada"/>
    <s v="V53680"/>
    <n v="11989368"/>
    <s v="PUMCCF-Taft"/>
    <x v="0"/>
    <s v="LA043182-01"/>
    <d v="2021-03-29T00:00:00"/>
    <d v="2018-06-19T00:00:00"/>
    <d v="2018-06-19T00:00:00"/>
    <d v="2018-07-02T00:00:00"/>
    <s v="Approved"/>
    <x v="18"/>
    <d v="2018-08-15T00:00:00"/>
    <d v="2018-08-06T00:00:00"/>
    <s v="No action - due to plea"/>
    <m/>
    <s v=""/>
    <s v=""/>
    <m/>
    <d v="2018-08-20T00:00:00"/>
  </r>
  <r>
    <x v="2"/>
    <s v="Gama"/>
    <s v="BA4591"/>
    <n v="12155385"/>
    <s v="HDSP-Facility C"/>
    <x v="24"/>
    <n v="1474371"/>
    <d v="2026-10-27T00:00:00"/>
    <d v="2018-06-22T00:00:00"/>
    <d v="2018-06-22T00:00:00"/>
    <d v="2018-07-11T00:00:00"/>
    <s v="Approved"/>
    <x v="19"/>
    <d v="2018-08-13T00:00:00"/>
    <d v="2018-08-08T00:00:00"/>
    <s v="No action - reason provided"/>
    <m/>
    <s v=""/>
    <s v=""/>
    <s v="AOJ corrected 245 crime description only"/>
    <d v="2018-09-05T00:00:00"/>
  </r>
  <r>
    <x v="5"/>
    <s v="Alvarado"/>
    <s v="AM5457"/>
    <n v="11303686"/>
    <s v="PBSP-Facility C"/>
    <x v="2"/>
    <s v="10WF2663"/>
    <d v="2022-11-23T00:00:00"/>
    <d v="2018-05-16T00:00:00"/>
    <d v="2018-05-16T00:00:00"/>
    <d v="2018-05-16T00:00:00"/>
    <s v="Approved"/>
    <x v="12"/>
    <d v="2018-06-29T00:00:00"/>
    <d v="2018-06-15T00:00:00"/>
    <s v="Reduced"/>
    <n v="790"/>
    <n v="2.1643835616438358"/>
    <n v="17875.64383561644"/>
    <m/>
    <d v="2018-07-03T00:00:00"/>
  </r>
  <r>
    <x v="6"/>
    <s v="Trouong"/>
    <s v="P45870"/>
    <n v="11127378"/>
    <s v="CMC-Facility B"/>
    <x v="22"/>
    <s v="jcf25383"/>
    <d v="2031-12-13T00:00:00"/>
    <d v="2018-05-16T00:00:00"/>
    <d v="2018-05-23T00:00:00"/>
    <d v="2018-05-23T00:00:00"/>
    <s v="Approved"/>
    <x v="13"/>
    <d v="2018-07-27T00:00:00"/>
    <d v="2018-07-19T00:00:00"/>
    <s v="Reduced"/>
    <n v="365"/>
    <n v="1"/>
    <n v="8259"/>
    <m/>
    <d v="2018-08-14T00:00:00"/>
  </r>
  <r>
    <x v="6"/>
    <s v="Hicks"/>
    <s v="K09979"/>
    <n v="11779599"/>
    <s v="CMC-Facility B"/>
    <x v="13"/>
    <s v="01F01647"/>
    <d v="2019-10-24T00:00:00"/>
    <d v="2018-05-16T00:00:00"/>
    <d v="2018-05-16T00:00:00"/>
    <d v="2018-05-16T00:00:00"/>
    <s v="Approved"/>
    <x v="12"/>
    <d v="2018-06-15T00:00:00"/>
    <d v="2018-06-08T00:00:00"/>
    <s v="Reduced"/>
    <n v="365"/>
    <n v="1"/>
    <n v="8259"/>
    <s v="amend    "/>
    <d v="2018-06-28T00:00:00"/>
  </r>
  <r>
    <x v="6"/>
    <s v="Santana"/>
    <s v="AX3873"/>
    <n v="11059564"/>
    <s v="CHCF-Facility A"/>
    <x v="25"/>
    <s v="17F09459"/>
    <d v="2020-12-21T00:00:00"/>
    <d v="2018-05-16T00:00:00"/>
    <d v="2018-05-30T00:00:00"/>
    <d v="2018-05-30T00:00:00"/>
    <s v="Approved"/>
    <x v="31"/>
    <d v="2018-09-18T00:00:00"/>
    <d v="2018-09-13T00:00:00"/>
    <s v="Reduced"/>
    <n v="730"/>
    <n v="2"/>
    <n v="16518"/>
    <s v="2 years"/>
    <d v="2018-09-19T00:00:00"/>
  </r>
  <r>
    <x v="6"/>
    <s v="Chaires"/>
    <s v="E59533"/>
    <n v="11528292"/>
    <s v="ISP-Facility B"/>
    <x v="26"/>
    <s v="09CR15395"/>
    <d v="2020-08-16T00:00:00"/>
    <d v="2018-05-16T00:00:00"/>
    <d v="2018-05-30T00:00:00"/>
    <d v="2018-05-30T00:00:00"/>
    <s v="Approved"/>
    <x v="31"/>
    <d v="2018-08-02T00:00:00"/>
    <d v="2018-07-31T00:00:00"/>
    <s v="Reduced"/>
    <n v="1095"/>
    <n v="3"/>
    <n v="24777"/>
    <m/>
    <d v="2018-08-20T00:00:00"/>
  </r>
  <r>
    <x v="6"/>
    <s v="Dukes"/>
    <s v="D33572"/>
    <n v="11466205"/>
    <s v="SAC-Facility A"/>
    <x v="0"/>
    <s v="MA055582-01"/>
    <d v="2020-09-20T00:00:00"/>
    <d v="2018-05-16T00:00:00"/>
    <d v="2018-05-30T00:00:00"/>
    <d v="2018-05-30T00:00:00"/>
    <s v="Approved"/>
    <x v="31"/>
    <d v="2018-06-21T00:00:00"/>
    <d v="2018-06-18T00:00:00"/>
    <s v="Reduced"/>
    <n v="730"/>
    <n v="2"/>
    <n v="16518"/>
    <s v="Dicharged 05/06/2019"/>
    <d v="2018-06-28T00:00:00"/>
  </r>
  <r>
    <x v="6"/>
    <s v="Smith"/>
    <s v="W97393"/>
    <n v="11006149"/>
    <s v="CIW-Central Service"/>
    <x v="9"/>
    <s v="FWV17002190"/>
    <d v="2020-10-17T00:00:00"/>
    <d v="2018-05-16T00:00:00"/>
    <d v="2018-05-30T00:00:00"/>
    <d v="2018-05-30T00:00:00"/>
    <s v="Approved"/>
    <x v="30"/>
    <d v="2018-07-03T00:00:00"/>
    <d v="2018-06-20T00:00:00"/>
    <s v="Reduced"/>
    <n v="245"/>
    <n v="0.67123287671232879"/>
    <n v="5543.7123287671238"/>
    <s v="Paroled 03/24/2019"/>
    <d v="2018-07-03T00:00:00"/>
  </r>
  <r>
    <x v="6"/>
    <s v="Jagerson"/>
    <s v="J37492"/>
    <n v="11742039"/>
    <s v="COR-Facility 03A"/>
    <x v="27"/>
    <s v="CH026579"/>
    <d v="2021-01-02T00:00:00"/>
    <d v="2018-05-16T00:00:00"/>
    <d v="2018-05-30T00:00:00"/>
    <d v="2018-05-30T00:00:00"/>
    <s v="Approved"/>
    <x v="31"/>
    <d v="2018-11-29T00:00:00"/>
    <d v="2018-11-21T00:00:00"/>
    <s v="Reduced"/>
    <n v="730"/>
    <n v="2"/>
    <n v="16518"/>
    <s v="Reduced to 5 years"/>
    <d v="2018-12-03T00:00:00"/>
  </r>
  <r>
    <x v="6"/>
    <s v="Snyder"/>
    <s v="H82933"/>
    <n v="11695467"/>
    <s v="LAC-Facility D"/>
    <x v="17"/>
    <s v="SS011913"/>
    <d v="2021-03-09T00:00:00"/>
    <d v="2018-05-16T00:00:00"/>
    <d v="2018-05-16T00:00:00"/>
    <d v="2018-05-16T00:00:00"/>
    <s v="Approved"/>
    <x v="34"/>
    <d v="2018-08-08T00:00:00"/>
    <d v="2018-07-09T00:00:00"/>
    <s v="Reduced"/>
    <n v="730"/>
    <n v="2"/>
    <n v="16518"/>
    <s v="Paroled 09/25/2019"/>
    <d v="2018-08-20T00:00:00"/>
  </r>
  <r>
    <x v="6"/>
    <s v="Rojas"/>
    <s v="J03385"/>
    <n v="11724511"/>
    <s v="KVSP-Facility B"/>
    <x v="27"/>
    <s v="CF1915"/>
    <d v="2021-11-02T00:00:00"/>
    <d v="2018-05-16T00:00:00"/>
    <d v="2018-05-30T00:00:00"/>
    <d v="2018-05-30T00:00:00"/>
    <s v="Approved"/>
    <x v="30"/>
    <d v="2018-11-29T00:00:00"/>
    <d v="2018-11-16T00:00:00"/>
    <s v="Released"/>
    <n v="2191"/>
    <n v="6.0027397260273974"/>
    <n v="49576.627397260272"/>
    <s v="Reduced to 10 years, released 12/11/2018"/>
    <d v="2018-12-03T00:00:00"/>
  </r>
  <r>
    <x v="6"/>
    <s v="Le"/>
    <s v="K19579"/>
    <n v="11784699"/>
    <s v="CIW-Facility A"/>
    <x v="22"/>
    <s v="CF11343"/>
    <d v="2022-03-23T00:00:00"/>
    <d v="2018-05-16T00:00:00"/>
    <d v="2018-05-31T00:00:00"/>
    <d v="2018-06-07T00:00:00"/>
    <s v="Approved"/>
    <x v="30"/>
    <d v="2018-08-10T00:00:00"/>
    <d v="2018-08-10T00:00:00"/>
    <s v="Reduced"/>
    <n v="365"/>
    <n v="1"/>
    <n v="8259"/>
    <m/>
    <d v="2018-08-20T00:00:00"/>
  </r>
  <r>
    <x v="6"/>
    <s v="Pagan"/>
    <s v="P56652"/>
    <n v="11269127"/>
    <s v="COR-Facility 04A"/>
    <x v="22"/>
    <s v="JCF21550"/>
    <d v="2021-07-07T00:00:00"/>
    <d v="2018-05-16T00:00:00"/>
    <d v="2018-05-31T00:00:00"/>
    <d v="2018-06-07T00:00:00"/>
    <s v="Approved"/>
    <x v="30"/>
    <d v="2018-09-17T00:00:00"/>
    <d v="2018-09-13T00:00:00"/>
    <s v="Reduced"/>
    <n v="1461"/>
    <n v="4.0027397260273974"/>
    <n v="33058.627397260272"/>
    <s v="reduced 4 years"/>
    <d v="2018-09-17T00:00:00"/>
  </r>
  <r>
    <x v="6"/>
    <s v="Guardado"/>
    <s v="H69129"/>
    <n v="11688478"/>
    <s v="HDSP-Facility B"/>
    <x v="22"/>
    <s v="JCF15358"/>
    <d v="2021-09-14T00:00:00"/>
    <d v="2018-05-16T00:00:00"/>
    <d v="2018-05-31T00:00:00"/>
    <d v="2018-06-07T00:00:00"/>
    <s v="Approved"/>
    <x v="30"/>
    <d v="2018-07-03T00:00:00"/>
    <d v="2018-06-07T00:00:00"/>
    <s v="Reduced"/>
    <n v="730"/>
    <n v="2"/>
    <n v="16518"/>
    <m/>
    <d v="2018-07-03T00:00:00"/>
  </r>
  <r>
    <x v="6"/>
    <s v="Chambers"/>
    <s v="F45266"/>
    <n v="11576168"/>
    <s v="CAL-Facility C"/>
    <x v="22"/>
    <s v="JCF38260"/>
    <d v="2022-03-25T00:00:00"/>
    <d v="2018-05-16T00:00:00"/>
    <d v="2018-06-05T00:00:00"/>
    <d v="2018-06-05T00:00:00"/>
    <s v="Approved"/>
    <x v="35"/>
    <d v="2018-07-03T00:00:00"/>
    <d v="2018-06-29T00:00:00"/>
    <s v="Reduced"/>
    <n v="730"/>
    <n v="2"/>
    <n v="16518"/>
    <m/>
    <d v="2018-07-03T00:00:00"/>
  </r>
  <r>
    <x v="6"/>
    <s v="Keith"/>
    <s v="P75834"/>
    <n v="11886812"/>
    <s v="CAL-Facility C"/>
    <x v="22"/>
    <s v="CF11940"/>
    <d v="2025-06-14T00:00:00"/>
    <d v="2018-05-16T00:00:00"/>
    <d v="2018-05-31T00:00:00"/>
    <d v="2018-06-07T00:00:00"/>
    <s v="Approved"/>
    <x v="30"/>
    <d v="2018-07-03T00:00:00"/>
    <d v="2018-06-14T00:00:00"/>
    <s v="Reduced"/>
    <n v="365"/>
    <n v="1"/>
    <n v="8259"/>
    <m/>
    <d v="2018-07-03T00:00:00"/>
  </r>
  <r>
    <x v="6"/>
    <s v="Balderas"/>
    <s v="P23850"/>
    <n v="11858421"/>
    <s v="CAL-Facility D"/>
    <x v="22"/>
    <s v="JCF27450"/>
    <d v="2025-07-22T00:00:00"/>
    <d v="2018-05-16T00:00:00"/>
    <d v="2018-05-31T00:00:00"/>
    <d v="2018-06-07T00:00:00"/>
    <s v="Approved"/>
    <x v="30"/>
    <d v="2018-07-25T00:00:00"/>
    <d v="2018-07-10T00:00:00"/>
    <s v="Reduced"/>
    <n v="730"/>
    <n v="2"/>
    <n v="16518"/>
    <m/>
    <d v="2018-08-20T00:00:00"/>
  </r>
  <r>
    <x v="6"/>
    <s v="Holmes"/>
    <s v="P01526"/>
    <n v="11846146"/>
    <s v="CEN-Facility B"/>
    <x v="22"/>
    <s v="JCF25703"/>
    <d v="2025-10-08T00:00:00"/>
    <d v="2018-05-16T00:00:00"/>
    <d v="2018-05-22T00:00:00"/>
    <d v="2018-05-30T00:00:00"/>
    <s v="Approved"/>
    <x v="30"/>
    <d v="2018-09-21T00:00:00"/>
    <d v="2018-08-30T00:00:00"/>
    <s v="Reduced"/>
    <n v="730"/>
    <n v="2"/>
    <n v="16518"/>
    <s v="2 years"/>
    <d v="2018-09-21T00:00:00"/>
  </r>
  <r>
    <x v="6"/>
    <s v="Parker"/>
    <s v="J30799"/>
    <n v="11738565"/>
    <s v="SATF-Facility C"/>
    <x v="22"/>
    <s v="CF10795"/>
    <d v="2019-12-10T00:00:00"/>
    <d v="2018-05-16T00:00:00"/>
    <d v="2018-05-23T00:00:00"/>
    <d v="2018-05-23T00:00:00"/>
    <s v="Approved"/>
    <x v="13"/>
    <d v="2018-08-15T00:00:00"/>
    <d v="2018-11-30T00:00:00"/>
    <s v="Reduced"/>
    <n v="1461"/>
    <n v="4.0027397260273974"/>
    <n v="33058.627397260272"/>
    <s v="SATF made LPU referal "/>
    <d v="2019-01-11T00:00:00"/>
  </r>
  <r>
    <x v="5"/>
    <s v="Acosta"/>
    <s v="AU2134"/>
    <n v="12118218"/>
    <s v="ASP-Facility B"/>
    <x v="0"/>
    <s v="TA131816"/>
    <d v="2022-08-29T00:00:00"/>
    <d v="2018-05-16T00:00:00"/>
    <d v="2018-05-16T00:00:00"/>
    <d v="2018-05-16T00:00:00"/>
    <s v="Approved"/>
    <x v="12"/>
    <d v="2018-09-04T00:00:00"/>
    <d v="2018-08-29T00:00:00"/>
    <s v="No reduction - AOJ corrected"/>
    <m/>
    <s v=""/>
    <s v=""/>
    <m/>
    <d v="2018-09-10T00:00:00"/>
  </r>
  <r>
    <x v="6"/>
    <s v="Harvey"/>
    <s v="C48884"/>
    <n v="11426958"/>
    <s v="KVSP-Facility B"/>
    <x v="17"/>
    <n v="79231"/>
    <d v="2020-10-30T00:00:00"/>
    <d v="2018-05-16T00:00:00"/>
    <d v="2018-05-16T00:00:00"/>
    <d v="2018-05-16T00:00:00"/>
    <s v="Approved"/>
    <x v="13"/>
    <m/>
    <m/>
    <s v="Disregard Letter"/>
    <m/>
    <s v=""/>
    <s v=""/>
    <s v="Disregard only"/>
    <d v="2018-05-31T00:00:00"/>
  </r>
  <r>
    <x v="6"/>
    <s v="Dethphilaphanh"/>
    <s v="K92412"/>
    <n v="11823875"/>
    <s v="LAC-Facility D"/>
    <x v="0"/>
    <s v="MA05243001"/>
    <d v="2025-05-30T00:00:00"/>
    <d v="2018-05-16T00:00:00"/>
    <d v="2018-04-25T00:00:00"/>
    <d v="2018-06-20T00:00:00"/>
    <s v="Approved"/>
    <x v="15"/>
    <m/>
    <m/>
    <s v="Disregard Letter"/>
    <m/>
    <s v=""/>
    <s v=""/>
    <s v="Disregard only"/>
    <d v="2018-06-20T00:00:00"/>
  </r>
  <r>
    <x v="2"/>
    <s v="Esparza"/>
    <s v="AP1653"/>
    <n v="11313701"/>
    <s v="COCF-La Palma CC"/>
    <x v="0"/>
    <s v="PA072524"/>
    <d v="2024-05-28T00:00:00"/>
    <d v="2018-06-21T00:00:00"/>
    <d v="2018-06-21T00:00:00"/>
    <d v="2018-07-02T00:00:00"/>
    <s v="Approved"/>
    <x v="18"/>
    <d v="2018-08-09T00:00:00"/>
    <d v="2018-08-09T00:00:00"/>
    <s v="No action - due to plea"/>
    <m/>
    <s v=""/>
    <s v=""/>
    <s v="order in ERMS"/>
    <d v="2018-08-15T00:00:00"/>
  </r>
  <r>
    <x v="6"/>
    <s v="Gooch"/>
    <s v="X20074"/>
    <n v="11026881"/>
    <s v="CIW-Facility A"/>
    <x v="9"/>
    <s v="FWV17000466"/>
    <d v="2020-04-18T00:00:00"/>
    <d v="2018-05-23T00:00:00"/>
    <d v="2018-05-31T00:00:00"/>
    <d v="2018-06-12T00:00:00"/>
    <s v="Approved"/>
    <x v="14"/>
    <d v="2018-12-26T00:00:00"/>
    <d v="2018-08-13T00:00:00"/>
    <s v="No action - due to plea"/>
    <m/>
    <s v=""/>
    <s v=""/>
    <m/>
    <d v="2018-12-26T00:00:00"/>
  </r>
  <r>
    <x v="5"/>
    <s v="Nguyen"/>
    <s v="AN3780"/>
    <n v="11308933"/>
    <s v="CRC-Facility C"/>
    <x v="2"/>
    <s v="09WF0656"/>
    <d v="2026-03-07T00:00:00"/>
    <d v="2018-05-16T00:00:00"/>
    <d v="2018-05-16T00:00:00"/>
    <d v="2018-05-16T00:00:00"/>
    <s v="Approved"/>
    <x v="7"/>
    <d v="2020-02-03T00:00:00"/>
    <d v="2020-01-31T00:00:00"/>
    <s v="Released"/>
    <n v="2922"/>
    <n v="8.0054794520547947"/>
    <n v="66117.254794520544"/>
    <s v="Released on 02/08/2020"/>
    <d v="2020-02-03T00:00:00"/>
  </r>
  <r>
    <x v="6"/>
    <s v="Keville"/>
    <s v="F04338"/>
    <n v="11551415"/>
    <s v="HDSP-STRH"/>
    <x v="22"/>
    <s v="JCF23892"/>
    <d v="2019-10-05T00:00:00"/>
    <d v="2018-05-16T00:00:00"/>
    <d v="2018-05-23T00:00:00"/>
    <d v="2018-05-23T00:00:00"/>
    <s v="Approved"/>
    <x v="13"/>
    <d v="2019-02-05T00:00:00"/>
    <d v="2018-06-27T00:00:00"/>
    <s v="Released"/>
    <n v="730"/>
    <n v="2"/>
    <n v="16518"/>
    <s v="reduced by 2 years, released 02/08/2019"/>
    <d v="2019-02-05T00:00:00"/>
  </r>
  <r>
    <x v="6"/>
    <s v="Alcala"/>
    <s v="P99359"/>
    <n v="11899642"/>
    <s v="KVSP-Facility A"/>
    <x v="13"/>
    <s v="JCF25378"/>
    <d v="2034-10-08T00:00:00"/>
    <d v="2018-05-16T00:00:00"/>
    <d v="2018-05-23T00:00:00"/>
    <d v="2018-05-16T00:00:00"/>
    <s v="Approved"/>
    <x v="12"/>
    <d v="2019-03-05T00:00:00"/>
    <d v="2019-01-14T00:00:00"/>
    <s v="Reduced"/>
    <n v="730"/>
    <n v="2"/>
    <n v="16518"/>
    <s v="reduced by 2 years"/>
    <d v="2019-03-05T00:00:00"/>
  </r>
  <r>
    <x v="6"/>
    <s v="Brewer"/>
    <s v="K24191"/>
    <n v="11787133"/>
    <s v="CMC-Facility A"/>
    <x v="14"/>
    <s v="98CR1245"/>
    <d v="2019-10-31T00:00:00"/>
    <d v="2018-05-16T00:00:00"/>
    <d v="2018-05-16T00:00:00"/>
    <d v="2018-05-16T00:00:00"/>
    <s v="Approved"/>
    <x v="7"/>
    <m/>
    <m/>
    <m/>
    <m/>
    <s v=""/>
    <s v=""/>
    <s v="Paroled on 09/21/2019"/>
    <d v="2019-09-21T00:00:00"/>
  </r>
  <r>
    <x v="6"/>
    <s v="Marquez"/>
    <s v="J13327"/>
    <n v="11188139"/>
    <s v="CAL-Facility D"/>
    <x v="19"/>
    <s v="13CM7388B"/>
    <d v="2019-12-02T00:00:00"/>
    <d v="2018-05-16T00:00:00"/>
    <d v="2018-05-23T00:00:00"/>
    <d v="2018-05-23T00:00:00"/>
    <s v="Approved"/>
    <x v="13"/>
    <m/>
    <m/>
    <m/>
    <m/>
    <s v=""/>
    <s v=""/>
    <m/>
    <m/>
  </r>
  <r>
    <x v="6"/>
    <s v="Burton"/>
    <s v="J45095"/>
    <n v="11745969"/>
    <s v="SVSP-STRH"/>
    <x v="3"/>
    <s v="F14904679"/>
    <d v="2020-07-16T00:00:00"/>
    <d v="2018-05-16T00:00:00"/>
    <d v="2018-05-23T00:00:00"/>
    <d v="2018-05-23T00:00:00"/>
    <s v="Approved"/>
    <x v="13"/>
    <d v="2018-12-26T00:00:00"/>
    <d v="2018-12-13T00:00:00"/>
    <s v="Reduced"/>
    <n v="730"/>
    <n v="2"/>
    <n v="16518"/>
    <s v="reduced by 2 years"/>
    <d v="2018-12-27T00:00:00"/>
  </r>
  <r>
    <x v="6"/>
    <s v="Pifer"/>
    <s v="B86791"/>
    <n v="11082137"/>
    <s v="LAC-Facility B"/>
    <x v="22"/>
    <s v="JCF13395"/>
    <d v="2020-07-30T00:00:00"/>
    <d v="2018-05-16T00:00:00"/>
    <d v="2018-05-31T00:00:00"/>
    <d v="2018-06-07T00:00:00"/>
    <s v="Approved"/>
    <x v="30"/>
    <d v="2019-06-03T00:00:00"/>
    <d v="2018-08-30T00:00:00"/>
    <s v="Released"/>
    <n v="852"/>
    <n v="2.3342465753424659"/>
    <n v="19278.542465753424"/>
    <s v="reduced by 2 years 4 months, released 06/11/2019"/>
    <d v="2019-06-05T00:00:00"/>
  </r>
  <r>
    <x v="6"/>
    <s v="Timms"/>
    <s v="D15635"/>
    <n v="11457494"/>
    <s v="CCI-Facility E"/>
    <x v="10"/>
    <s v="SCS226070"/>
    <d v="2020-08-02T00:00:00"/>
    <d v="2018-05-16T00:00:00"/>
    <d v="2018-05-30T00:00:00"/>
    <d v="2018-05-30T00:00:00"/>
    <s v="Approved"/>
    <x v="31"/>
    <d v="2019-07-19T00:00:00"/>
    <d v="2019-07-10T00:00:00"/>
    <s v="Reduced"/>
    <n v="365"/>
    <n v="1"/>
    <n v="8259"/>
    <s v="reduced by 1 year"/>
    <d v="2019-07-19T00:00:00"/>
  </r>
  <r>
    <x v="6"/>
    <s v="Gonzalez"/>
    <s v="K05984"/>
    <n v="11777439"/>
    <s v="PVSP-Facility A"/>
    <x v="22"/>
    <s v="JCF26356"/>
    <d v="2020-09-18T00:00:00"/>
    <d v="2018-05-16T00:00:00"/>
    <d v="2018-05-30T00:00:00"/>
    <d v="2018-05-30T00:00:00"/>
    <s v="Approved"/>
    <x v="30"/>
    <m/>
    <m/>
    <m/>
    <m/>
    <s v=""/>
    <s v=""/>
    <s v="Released 7/28/2020"/>
    <d v="2021-03-18T00:00:00"/>
  </r>
  <r>
    <x v="6"/>
    <s v="Ronk"/>
    <s v="AE3952"/>
    <n v="11349053"/>
    <s v="KVSP-Facility Z02"/>
    <x v="14"/>
    <s v="SS160581A"/>
    <d v="2020-08-25T00:00:00"/>
    <d v="2018-05-16T00:00:00"/>
    <d v="2018-05-23T00:00:00"/>
    <d v="2018-05-23T00:00:00"/>
    <s v="Approved"/>
    <x v="13"/>
    <d v="2019-03-05T00:00:00"/>
    <d v="2018-07-25T00:00:00"/>
    <s v="Reduced"/>
    <n v="730"/>
    <n v="2"/>
    <n v="16518"/>
    <s v="reduced by 2 years"/>
    <d v="2019-03-05T00:00:00"/>
  </r>
  <r>
    <x v="6"/>
    <s v="Anderson"/>
    <s v="K08881"/>
    <n v="11778981"/>
    <s v="CAL-Facility C"/>
    <x v="14"/>
    <s v="SS041856A"/>
    <d v="2020-08-27T00:00:00"/>
    <d v="2018-05-16T00:00:00"/>
    <d v="2018-05-16T00:00:00"/>
    <d v="2018-05-16T00:00:00"/>
    <s v="Approved"/>
    <x v="7"/>
    <d v="2019-01-08T00:00:00"/>
    <d v="2018-11-21T00:00:00"/>
    <s v="No reduction - AOJ corrected"/>
    <m/>
    <s v=""/>
    <s v=""/>
    <s v="Term restructered"/>
    <d v="2019-01-11T00:00:00"/>
  </r>
  <r>
    <x v="6"/>
    <s v="Lepe"/>
    <s v="V97787"/>
    <n v="11252056"/>
    <s v="CCI-Facility A"/>
    <x v="22"/>
    <s v="JCF25511"/>
    <d v="2020-10-07T00:00:00"/>
    <d v="2018-05-16T00:00:00"/>
    <d v="2018-05-31T00:00:00"/>
    <d v="2018-06-07T00:00:00"/>
    <s v="Approved"/>
    <x v="30"/>
    <d v="2019-01-08T00:00:00"/>
    <d v="2018-11-01T00:00:00"/>
    <s v="Reduced"/>
    <n v="730"/>
    <n v="2"/>
    <n v="16518"/>
    <s v="reduced 2 years"/>
    <d v="2019-01-11T00:00:00"/>
  </r>
  <r>
    <x v="6"/>
    <s v="Ortiz"/>
    <s v="AV6232"/>
    <n v="1216370"/>
    <s v="COR-Facility 03A"/>
    <x v="26"/>
    <s v="16CR25051"/>
    <d v="2020-10-23T00:00:00"/>
    <d v="2018-05-16T00:00:00"/>
    <d v="2018-05-23T00:00:00"/>
    <d v="2018-05-23T00:00:00"/>
    <s v="Approved"/>
    <x v="36"/>
    <d v="2018-05-21T00:00:00"/>
    <d v="2018-06-15T00:00:00"/>
    <s v="Reduced"/>
    <n v="365"/>
    <n v="1"/>
    <n v="8259"/>
    <s v="reduced by 1 year"/>
    <d v="2019-03-05T00:00:00"/>
  </r>
  <r>
    <x v="6"/>
    <s v="Jefferson"/>
    <s v="V80634"/>
    <n v="12005347"/>
    <s v="COR-Facility 03A"/>
    <x v="25"/>
    <s v="16F-09098"/>
    <d v="2020-12-18T00:00:00"/>
    <d v="2018-05-16T00:00:00"/>
    <d v="2018-05-30T00:00:00"/>
    <d v="2018-05-30T00:00:00"/>
    <s v="Approved"/>
    <x v="31"/>
    <m/>
    <m/>
    <m/>
    <m/>
    <s v=""/>
    <s v=""/>
    <s v="Released per prop 64 10/10/20 (not 1170(d)(1))"/>
    <d v="2021-03-18T00:00:00"/>
  </r>
  <r>
    <x v="6"/>
    <s v="Roberson"/>
    <s v="AL6531"/>
    <n v="11642971"/>
    <s v="SVSP-Facility C"/>
    <x v="21"/>
    <s v="16CR24381"/>
    <d v="2021-02-07T00:00:00"/>
    <d v="2018-05-16T00:00:00"/>
    <d v="2018-05-30T00:00:00"/>
    <d v="2018-05-30T00:00:00"/>
    <s v="Approved"/>
    <x v="31"/>
    <d v="2019-02-22T00:00:00"/>
    <d v="2018-08-06T00:00:00"/>
    <s v="Reduced"/>
    <n v="304"/>
    <n v="0.83287671232876714"/>
    <n v="6878.728767123288"/>
    <s v="reduced by 10 months"/>
    <d v="2019-02-22T00:00:00"/>
  </r>
  <r>
    <x v="6"/>
    <s v="Scott"/>
    <s v="E33174"/>
    <n v="11515386"/>
    <s v="SCC-Facility C"/>
    <x v="19"/>
    <s v="09CM7011"/>
    <d v="2026-01-10T00:00:00"/>
    <d v="2018-05-16T00:00:00"/>
    <d v="2018-05-30T00:00:00"/>
    <d v="2018-05-30T00:00:00"/>
    <s v="Approved"/>
    <x v="28"/>
    <m/>
    <m/>
    <m/>
    <m/>
    <s v=""/>
    <s v=""/>
    <m/>
    <m/>
  </r>
  <r>
    <x v="7"/>
    <s v="Campos"/>
    <s v="P96000"/>
    <n v="11897785"/>
    <s v="VSP-Facility C"/>
    <x v="21"/>
    <s v="SF076265"/>
    <d v="2043-04-06T00:00:00"/>
    <d v="2018-06-13T00:00:00"/>
    <d v="2018-06-13T00:00:00"/>
    <d v="2018-06-14T00:00:00"/>
    <s v="Approved"/>
    <x v="37"/>
    <d v="2019-04-03T00:00:00"/>
    <d v="2018-08-14T00:00:00"/>
    <s v="No action - reason provided"/>
    <m/>
    <s v=""/>
    <s v=""/>
    <s v="court declined to modify sentence"/>
    <d v="2019-04-03T00:00:00"/>
  </r>
  <r>
    <x v="6"/>
    <s v="Cuelho"/>
    <s v="H90590"/>
    <n v="11699416"/>
    <s v="CEN-Facility D"/>
    <x v="22"/>
    <s v="JCF24282"/>
    <d v="2021-11-12T00:00:00"/>
    <d v="2018-05-16T00:00:00"/>
    <d v="2018-05-31T00:00:00"/>
    <d v="2018-06-07T00:00:00"/>
    <s v="Approved"/>
    <x v="30"/>
    <d v="2019-06-03T00:00:00"/>
    <d v="2019-05-28T00:00:00"/>
    <s v="Reduced"/>
    <n v="730"/>
    <n v="2"/>
    <n v="16518"/>
    <s v="reduced by 2 years"/>
    <d v="2019-06-05T00:00:00"/>
  </r>
  <r>
    <x v="6"/>
    <s v="Brock"/>
    <s v="V84367"/>
    <n v="11169946"/>
    <s v="SQ-Facility B"/>
    <x v="1"/>
    <s v="FCR312466"/>
    <d v="2022-01-02T00:00:00"/>
    <d v="2018-05-16T00:00:00"/>
    <d v="2018-05-16T00:00:00"/>
    <d v="2018-05-16T00:00:00"/>
    <s v="Approved"/>
    <x v="12"/>
    <d v="2019-03-05T00:00:00"/>
    <d v="2018-10-18T00:00:00"/>
    <s v="Reduced"/>
    <n v="365"/>
    <n v="1"/>
    <n v="8259"/>
    <s v="reduced by 1 year"/>
    <d v="2019-03-05T00:00:00"/>
  </r>
  <r>
    <x v="6"/>
    <s v="Diaz"/>
    <s v="W86478"/>
    <n v="10230209"/>
    <s v="CIW-Facility A"/>
    <x v="9"/>
    <s v="16CR064146"/>
    <d v="2022-03-09T00:00:00"/>
    <d v="2018-05-16T00:00:00"/>
    <d v="2018-05-22T00:00:00"/>
    <d v="2018-05-30T00:00:00"/>
    <s v="Approved"/>
    <x v="30"/>
    <m/>
    <m/>
    <m/>
    <m/>
    <s v=""/>
    <s v=""/>
    <s v="AOJ rec'd - did not correct. 2nd letter"/>
    <m/>
  </r>
  <r>
    <x v="6"/>
    <s v="Mendoza"/>
    <s v="D06426"/>
    <n v="11453097"/>
    <s v="KVSP-Facility D"/>
    <x v="17"/>
    <s v="98F03686"/>
    <d v="2021-06-02T00:00:00"/>
    <d v="2018-05-16T00:00:00"/>
    <d v="2018-05-23T00:00:00"/>
    <d v="2018-05-23T00:00:00"/>
    <s v="Approved"/>
    <x v="13"/>
    <m/>
    <m/>
    <m/>
    <m/>
    <s v=""/>
    <s v=""/>
    <s v="Paroled 12/17/20 (not 1170(d)(1))"/>
    <d v="2021-03-18T00:00:00"/>
  </r>
  <r>
    <x v="5"/>
    <s v="Green"/>
    <s v="G66899"/>
    <n v="11651893"/>
    <s v="COCF-La Palma CC"/>
    <x v="0"/>
    <s v="07F06491"/>
    <d v="2025-02-24T00:00:00"/>
    <d v="2018-06-11T00:00:00"/>
    <d v="2018-06-12T00:00:00"/>
    <d v="2018-06-27T00:00:00"/>
    <s v="Approved"/>
    <x v="16"/>
    <d v="2019-06-12T00:00:00"/>
    <d v="2019-05-03T00:00:00"/>
    <s v="Reduced"/>
    <n v="1826"/>
    <n v="5.0027397260273974"/>
    <n v="41317.627397260272"/>
    <s v="reduced by 5 years"/>
    <d v="2019-07-17T00:00:00"/>
  </r>
  <r>
    <x v="6"/>
    <s v="Bayse"/>
    <s v="E28715"/>
    <n v="11513114"/>
    <s v="MCSP-Facility A"/>
    <x v="19"/>
    <s v="06CR10987"/>
    <d v="2022-09-27T00:00:00"/>
    <d v="2018-05-16T00:00:00"/>
    <d v="2018-05-31T00:00:00"/>
    <d v="2018-06-13T00:00:00"/>
    <s v="Approved"/>
    <x v="14"/>
    <m/>
    <m/>
    <m/>
    <m/>
    <s v=""/>
    <s v=""/>
    <m/>
    <m/>
  </r>
  <r>
    <x v="6"/>
    <s v="Hunt"/>
    <s v="D41831"/>
    <n v="11136152"/>
    <s v="CEN-Facility C"/>
    <x v="22"/>
    <s v="JCF27056"/>
    <d v="2022-10-06T00:00:00"/>
    <d v="2018-05-16T00:00:00"/>
    <d v="2018-05-31T00:00:00"/>
    <d v="2018-06-07T00:00:00"/>
    <s v="Approved"/>
    <x v="30"/>
    <m/>
    <m/>
    <m/>
    <m/>
    <s v=""/>
    <s v=""/>
    <s v="Paroled on 7/29/20 (not 1170(d)(1))"/>
    <d v="2021-03-18T00:00:00"/>
  </r>
  <r>
    <x v="6"/>
    <s v="Coleman"/>
    <s v="P99126"/>
    <n v="11899515"/>
    <s v="KVSP-Facility D"/>
    <x v="22"/>
    <s v="JCF28251"/>
    <d v="2025-04-19T00:00:00"/>
    <d v="2018-05-16T00:00:00"/>
    <d v="2018-05-31T00:00:00"/>
    <d v="2018-06-07T00:00:00"/>
    <s v="Approved"/>
    <x v="30"/>
    <d v="2019-03-08T00:00:00"/>
    <d v="2018-07-24T00:00:00"/>
    <s v="Reduced"/>
    <n v="730"/>
    <n v="2"/>
    <n v="16518"/>
    <s v="reduced by 2 years"/>
    <d v="2019-03-08T00:00:00"/>
  </r>
  <r>
    <x v="6"/>
    <s v="Hoover"/>
    <s v="P46754"/>
    <n v="11870889"/>
    <s v="KVSP-Facility C"/>
    <x v="22"/>
    <s v="JCF27019"/>
    <d v="2025-03-16T00:00:00"/>
    <d v="2018-05-16T00:00:00"/>
    <d v="2018-05-31T00:00:00"/>
    <d v="2018-06-07T00:00:00"/>
    <s v="Approved"/>
    <x v="30"/>
    <d v="2019-03-08T00:00:00"/>
    <d v="2018-06-21T00:00:00"/>
    <s v="Reduced"/>
    <n v="1095"/>
    <n v="3"/>
    <n v="24777"/>
    <s v="reduced by 3 years"/>
    <d v="2019-03-08T00:00:00"/>
  </r>
  <r>
    <x v="6"/>
    <s v="Cruz"/>
    <s v="V93039"/>
    <n v="12012133"/>
    <s v="SVSP-Facility C"/>
    <x v="14"/>
    <s v="SS160407C"/>
    <d v="2025-08-26T00:00:00"/>
    <d v="2018-05-16T00:00:00"/>
    <d v="2018-05-23T00:00:00"/>
    <d v="2018-05-23T00:00:00"/>
    <s v="Approved"/>
    <x v="13"/>
    <m/>
    <m/>
    <m/>
    <m/>
    <s v=""/>
    <s v=""/>
    <m/>
    <m/>
  </r>
  <r>
    <x v="3"/>
    <s v="Garcia"/>
    <s v="V98408"/>
    <n v="12015267"/>
    <s v="KVSP-Facility D"/>
    <x v="11"/>
    <s v="VCF142748"/>
    <d v="2029-01-20T00:00:00"/>
    <d v="2018-05-22T00:00:00"/>
    <d v="2018-05-23T00:00:00"/>
    <d v="2018-05-23T00:00:00"/>
    <s v="Approved"/>
    <x v="13"/>
    <d v="2018-07-23T00:00:00"/>
    <d v="2018-07-12T00:00:00"/>
    <s v="Reduced"/>
    <n v="2190"/>
    <n v="6"/>
    <n v="49554"/>
    <m/>
    <d v="2018-07-24T00:00:00"/>
  </r>
  <r>
    <x v="3"/>
    <s v="Alaniz"/>
    <s v="BC1627"/>
    <n v="12165789"/>
    <s v="PVSP-Facility B"/>
    <x v="11"/>
    <s v="VCF343538"/>
    <d v="2031-01-12T00:00:00"/>
    <d v="2018-05-22T00:00:00"/>
    <d v="2018-05-23T00:00:00"/>
    <d v="2018-05-23T00:00:00"/>
    <s v="Approved"/>
    <x v="13"/>
    <d v="2018-07-25T00:00:00"/>
    <d v="2018-07-13T00:00:00"/>
    <s v="No reduction - AOJ corrected"/>
    <m/>
    <s v=""/>
    <s v=""/>
    <m/>
    <d v="2018-08-20T00:00:00"/>
  </r>
  <r>
    <x v="2"/>
    <s v="Avila"/>
    <s v="G29553"/>
    <n v="11628459"/>
    <s v="CEN-Facility C"/>
    <x v="8"/>
    <s v="RIF137407"/>
    <d v="2023-09-26T00:00:00"/>
    <d v="2018-08-23T00:00:00"/>
    <d v="2018-08-23T00:00:00"/>
    <d v="2018-08-29T00:00:00"/>
    <s v="Approved"/>
    <x v="23"/>
    <m/>
    <m/>
    <m/>
    <m/>
    <s v=""/>
    <s v=""/>
    <m/>
    <m/>
  </r>
  <r>
    <x v="5"/>
    <s v="Herrera"/>
    <s v="BC9826"/>
    <n v="11326543"/>
    <s v="RJD-Facility A"/>
    <x v="2"/>
    <s v="14NF5117"/>
    <d v="2037-07-20T00:00:00"/>
    <d v="2018-05-22T00:00:00"/>
    <d v="2018-05-23T00:00:00"/>
    <d v="2018-05-23T00:00:00"/>
    <s v="Approved"/>
    <x v="13"/>
    <d v="2018-06-20T00:00:00"/>
    <d v="2018-06-13T00:00:00"/>
    <s v="No action - handle thru appeal"/>
    <m/>
    <s v=""/>
    <s v=""/>
    <s v="Appeal process/same issue/AG agrees -formal opinion final will prove resentenced accordingly"/>
    <d v="2018-06-20T00:00:00"/>
  </r>
  <r>
    <x v="5"/>
    <s v="Jones"/>
    <s v="BA9908"/>
    <n v="12158662"/>
    <s v="CCC-Facility C"/>
    <x v="11"/>
    <s v="VCF293185"/>
    <d v="2028-09-17T00:00:00"/>
    <d v="2018-05-22T00:00:00"/>
    <d v="2018-05-22T00:00:00"/>
    <d v="2018-05-23T00:00:00"/>
    <s v="Approved"/>
    <x v="13"/>
    <d v="2018-09-04T00:00:00"/>
    <d v="2018-08-27T00:00:00"/>
    <s v="No action - due to plea"/>
    <m/>
    <s v=""/>
    <s v=""/>
    <m/>
    <d v="2018-09-04T00:00:00"/>
  </r>
  <r>
    <x v="2"/>
    <s v="Garibaldi"/>
    <s v="BE2733"/>
    <n v="12178489"/>
    <s v="CAL-Facility C"/>
    <x v="0"/>
    <s v="LAM VA145134-01"/>
    <d v="2034-04-21T00:00:00"/>
    <d v="2018-06-27T00:00:00"/>
    <d v="2018-06-27T00:00:00"/>
    <d v="2018-08-01T00:00:00"/>
    <s v="Approved"/>
    <x v="38"/>
    <d v="2018-08-21T00:00:00"/>
    <d v="2018-08-15T00:00:00"/>
    <s v="No action - no reason specified"/>
    <m/>
    <s v=""/>
    <s v=""/>
    <m/>
    <d v="2018-09-05T00:00:00"/>
  </r>
  <r>
    <x v="6"/>
    <s v="Datu"/>
    <s v="X22476"/>
    <n v="10254359"/>
    <s v="FCRF-McFarland"/>
    <x v="9"/>
    <s v="FCH1200078"/>
    <d v="2020-11-14T00:00:00"/>
    <d v="2018-05-23T00:00:00"/>
    <d v="2018-05-23T00:00:00"/>
    <d v="2018-05-23T00:00:00"/>
    <s v="Approved"/>
    <x v="36"/>
    <d v="2018-05-31T00:00:00"/>
    <d v="2018-05-24T00:00:00"/>
    <s v="Reduced"/>
    <n v="730"/>
    <n v="2"/>
    <n v="16518"/>
    <m/>
    <d v="2018-06-06T00:00:00"/>
  </r>
  <r>
    <x v="6"/>
    <s v="Munoz"/>
    <s v="V66029"/>
    <n v="11996693"/>
    <s v="CMC-Facility B"/>
    <x v="25"/>
    <s v="F448433"/>
    <d v="2021-04-01T00:00:00"/>
    <d v="2018-05-23T00:00:00"/>
    <d v="2018-05-30T00:00:00"/>
    <d v="2018-05-30T00:00:00"/>
    <s v="Approved"/>
    <x v="31"/>
    <d v="2018-10-02T00:00:00"/>
    <d v="2018-10-02T00:00:00"/>
    <s v="Reduced"/>
    <n v="730"/>
    <n v="2"/>
    <n v="16518"/>
    <m/>
    <d v="2018-11-05T00:00:00"/>
  </r>
  <r>
    <x v="6"/>
    <s v="Gums"/>
    <s v="K06457"/>
    <n v="11777708"/>
    <s v="CAL-Facility A"/>
    <x v="22"/>
    <s v="JCF28417"/>
    <d v="2019-12-04T00:00:00"/>
    <d v="2018-05-23T00:00:00"/>
    <d v="2018-06-05T00:00:00"/>
    <d v="2018-06-05T00:00:00"/>
    <s v="Approved"/>
    <x v="35"/>
    <d v="2018-07-05T00:00:00"/>
    <d v="2018-06-21T00:00:00"/>
    <s v="Reduced"/>
    <n v="365"/>
    <n v="1"/>
    <n v="8259"/>
    <s v="thompson term reduced"/>
    <d v="2018-07-06T00:00:00"/>
  </r>
  <r>
    <x v="6"/>
    <s v="Lewis/Calip"/>
    <s v="K04527"/>
    <n v="11776672"/>
    <s v="ISP-Facility C"/>
    <x v="22"/>
    <s v="CF12026"/>
    <d v="2019-12-30T00:00:00"/>
    <d v="2018-05-23T00:00:00"/>
    <d v="2018-06-05T00:00:00"/>
    <d v="2018-06-05T00:00:00"/>
    <s v="Approved"/>
    <x v="35"/>
    <d v="2018-07-03T00:00:00"/>
    <d v="2018-06-07T00:00:00"/>
    <s v="Reduced"/>
    <n v="365"/>
    <n v="1"/>
    <n v="8259"/>
    <s v="Paroled 06/18/2019"/>
    <d v="2018-06-28T00:00:00"/>
  </r>
  <r>
    <x v="6"/>
    <s v="Ortega"/>
    <s v="F05173"/>
    <n v="11551916"/>
    <s v="HDSP-Facility C"/>
    <x v="22"/>
    <s v="JCF29932"/>
    <d v="2020-01-14T00:00:00"/>
    <d v="2018-05-23T00:00:00"/>
    <d v="2018-06-05T00:00:00"/>
    <d v="2018-06-05T00:00:00"/>
    <s v="Approved"/>
    <x v="35"/>
    <d v="2018-07-23T00:00:00"/>
    <d v="2018-07-19T00:00:00"/>
    <s v="Reduced"/>
    <n v="365"/>
    <n v="1"/>
    <n v="8259"/>
    <s v="Paroled 05/13/2019"/>
    <d v="2018-07-23T00:00:00"/>
  </r>
  <r>
    <x v="6"/>
    <s v="Alviz"/>
    <s v="H80509"/>
    <n v="11694195"/>
    <s v="SAC-Facility B"/>
    <x v="17"/>
    <s v="05F03511"/>
    <d v="2020-06-11T00:00:00"/>
    <d v="2018-05-23T00:00:00"/>
    <d v="2018-05-31T00:00:00"/>
    <d v="2018-06-12T00:00:00"/>
    <s v="Approved"/>
    <x v="14"/>
    <d v="2018-07-30T00:00:00"/>
    <d v="2018-10-05T00:00:00"/>
    <s v="Reduced"/>
    <n v="1905"/>
    <n v="5.2191780821917808"/>
    <n v="43105.191780821922"/>
    <m/>
    <d v="2018-10-11T00:00:00"/>
  </r>
  <r>
    <x v="6"/>
    <s v="Zamora"/>
    <s v="H39305"/>
    <n v="11672893"/>
    <s v="CAL-Facility D"/>
    <x v="13"/>
    <s v="DF011241A"/>
    <d v="2023-06-18T00:00:00"/>
    <d v="2018-05-23T00:00:00"/>
    <d v="2018-05-23T00:00:00"/>
    <d v="2018-05-23T00:00:00"/>
    <s v="Approved"/>
    <x v="13"/>
    <d v="2018-07-10T00:00:00"/>
    <d v="2018-06-29T00:00:00"/>
    <s v="Reduced"/>
    <n v="730"/>
    <n v="2"/>
    <n v="16518"/>
    <m/>
    <d v="2018-07-10T00:00:00"/>
  </r>
  <r>
    <x v="10"/>
    <s v="Healy"/>
    <s v="H01925"/>
    <n v="11129319"/>
    <s v="SACCO"/>
    <x v="1"/>
    <s v="C34802"/>
    <d v="2036-09-20T00:00:00"/>
    <d v="2017-10-05T00:00:00"/>
    <d v="2017-10-05T00:00:00"/>
    <d v="2017-10-05T00:00:00"/>
    <s v="Approved"/>
    <x v="39"/>
    <d v="2019-05-01T00:00:00"/>
    <d v="2019-04-17T00:00:00"/>
    <s v="Reduced"/>
    <n v="7791"/>
    <n v="21.345205479452055"/>
    <n v="176290.05205479453"/>
    <s v="reduced by 21 years 4 months"/>
    <d v="2019-05-23T00:00:00"/>
  </r>
  <r>
    <x v="2"/>
    <s v="Rodriguez"/>
    <s v="BE8130"/>
    <n v="11568093"/>
    <s v="ISP-Facility C"/>
    <x v="0"/>
    <s v="DOW VA142910-01"/>
    <d v="2029-08-17T00:00:00"/>
    <d v="2018-06-27T00:00:00"/>
    <d v="2018-06-27T00:00:00"/>
    <d v="2018-08-01T00:00:00"/>
    <s v="Approved"/>
    <x v="38"/>
    <d v="2018-08-21T00:00:00"/>
    <d v="2018-08-15T00:00:00"/>
    <s v="No action - no reason specified"/>
    <m/>
    <s v=""/>
    <s v=""/>
    <m/>
    <d v="2018-09-05T00:00:00"/>
  </r>
  <r>
    <x v="2"/>
    <s v="Munoz"/>
    <s v="AX4543"/>
    <n v="11997960"/>
    <s v="HDSP-Facility D"/>
    <x v="0"/>
    <s v="BA877718"/>
    <d v="2082-04-13T00:00:00"/>
    <d v="2018-07-12T00:00:00"/>
    <d v="2018-07-18T00:00:00"/>
    <d v="2018-08-01T00:00:00"/>
    <s v="Approved"/>
    <x v="38"/>
    <d v="2018-08-20T00:00:00"/>
    <d v="2018-08-15T00:00:00"/>
    <s v="No action - reason provided"/>
    <m/>
    <s v=""/>
    <s v=""/>
    <s v="also appelate court affirmed"/>
    <d v="2018-08-20T00:00:00"/>
  </r>
  <r>
    <x v="3"/>
    <s v="Sam"/>
    <s v="AA7548"/>
    <n v="11326150"/>
    <s v="PVSP-Facility B"/>
    <x v="12"/>
    <n v="210962"/>
    <d v="9999-01-25T00:00:00"/>
    <d v="2018-07-23T00:00:00"/>
    <d v="2018-07-23T00:00:00"/>
    <d v="2018-08-01T00:00:00"/>
    <s v="Approved"/>
    <x v="38"/>
    <d v="2018-09-13T00:00:00"/>
    <d v="2018-08-15T00:00:00"/>
    <s v="No action - no reason specified"/>
    <m/>
    <s v=""/>
    <s v=""/>
    <m/>
    <d v="2018-09-17T00:00:00"/>
  </r>
  <r>
    <x v="6"/>
    <s v="Reay"/>
    <s v="P17003"/>
    <n v="11854688"/>
    <s v="HDSP-Facility A"/>
    <x v="13"/>
    <s v="DF008498A"/>
    <d v="2019-12-08T00:00:00"/>
    <d v="2018-05-23T00:00:00"/>
    <d v="2018-05-23T00:00:00"/>
    <d v="2018-05-23T00:00:00"/>
    <s v="Approved"/>
    <x v="13"/>
    <d v="2019-03-05T00:00:00"/>
    <d v="2019-01-17T00:00:00"/>
    <s v="Reduced"/>
    <n v="730"/>
    <n v="2"/>
    <n v="16518"/>
    <s v="reduced by 2 years"/>
    <d v="2019-03-05T00:00:00"/>
  </r>
  <r>
    <x v="6"/>
    <s v="Irigoyen"/>
    <s v="E79852"/>
    <n v="11538774"/>
    <s v="Wasco-Facility B"/>
    <x v="22"/>
    <s v="JCF19840"/>
    <d v="2020-01-30T00:00:00"/>
    <d v="2018-05-23T00:00:00"/>
    <d v="2018-06-05T00:00:00"/>
    <d v="2018-06-05T00:00:00"/>
    <s v="Approved"/>
    <x v="35"/>
    <d v="2018-12-10T00:00:00"/>
    <d v="2018-11-30T00:00:00"/>
    <s v="Reduced"/>
    <n v="730"/>
    <n v="2"/>
    <n v="16518"/>
    <s v="reduced 2 years"/>
    <d v="2019-01-11T00:00:00"/>
  </r>
  <r>
    <x v="6"/>
    <s v="Rodriguez"/>
    <s v="T67143"/>
    <n v="11939029"/>
    <s v="COR-Facility 04A"/>
    <x v="28"/>
    <s v="CRPB135133"/>
    <d v="2020-03-10T00:00:00"/>
    <d v="2018-05-23T00:00:00"/>
    <d v="2018-05-31T00:00:00"/>
    <d v="2018-06-12T00:00:00"/>
    <s v="Approved"/>
    <x v="14"/>
    <m/>
    <m/>
    <m/>
    <m/>
    <s v=""/>
    <s v=""/>
    <m/>
    <m/>
  </r>
  <r>
    <x v="2"/>
    <s v="Gamez"/>
    <s v="F79091"/>
    <n v="11596956"/>
    <s v="MCSP-FACILITY A"/>
    <x v="0"/>
    <s v="YA064878-02"/>
    <d v="2034-10-01T00:00:00"/>
    <d v="2018-07-12T00:00:00"/>
    <d v="2018-07-12T00:00:00"/>
    <d v="2018-07-25T00:00:00"/>
    <s v="Approved"/>
    <x v="40"/>
    <d v="2018-09-05T00:00:00"/>
    <d v="2018-08-16T00:00:00"/>
    <s v="No action - reason provided"/>
    <m/>
    <s v=""/>
    <s v=""/>
    <s v="&quot;gang alleg not based on Personal inflict GBI&quot;"/>
    <d v="2018-09-05T00:00:00"/>
  </r>
  <r>
    <x v="6"/>
    <s v="Hernandez"/>
    <s v="E84526"/>
    <n v="11541090"/>
    <s v="CAL-Facility D"/>
    <x v="27"/>
    <s v="CH014153"/>
    <d v="2020-05-16T00:00:00"/>
    <d v="2018-05-23T00:00:00"/>
    <d v="2018-06-07T00:00:00"/>
    <d v="2018-06-13T00:00:00"/>
    <s v="Approved"/>
    <x v="14"/>
    <d v="2019-03-04T00:00:00"/>
    <d v="2019-01-24T00:00:00"/>
    <s v="Released"/>
    <n v="2191"/>
    <n v="6.0027397260273974"/>
    <n v="49576.627397260272"/>
    <s v="reduced by 6 years, released 03/19/2019"/>
    <d v="2019-03-14T00:00:00"/>
  </r>
  <r>
    <x v="6"/>
    <s v="Robinson"/>
    <s v="T87557"/>
    <n v="11290901"/>
    <s v="CAL-Facility B"/>
    <x v="25"/>
    <s v="F375992"/>
    <d v="2020-07-03T00:00:00"/>
    <d v="2018-05-23T00:00:00"/>
    <d v="2018-05-31T00:00:00"/>
    <d v="2018-06-12T00:00:00"/>
    <s v="Approved"/>
    <x v="14"/>
    <d v="2018-12-17T00:00:00"/>
    <d v="2018-12-06T00:00:00"/>
    <s v="Released"/>
    <n v="730"/>
    <n v="2"/>
    <n v="16518"/>
    <s v="Overdue, released 12/27/2018"/>
    <d v="2018-12-21T00:00:00"/>
  </r>
  <r>
    <x v="6"/>
    <s v="Scott"/>
    <s v="J87640"/>
    <n v="11767862"/>
    <s v="KVSP-Facility A"/>
    <x v="17"/>
    <s v="06F01522"/>
    <d v="2023-01-04T00:00:00"/>
    <d v="2018-05-23T00:00:00"/>
    <d v="2018-05-31T00:00:00"/>
    <d v="2018-06-12T00:00:00"/>
    <s v="Approved"/>
    <x v="14"/>
    <m/>
    <m/>
    <m/>
    <m/>
    <s v=""/>
    <s v=""/>
    <m/>
    <m/>
  </r>
  <r>
    <x v="6"/>
    <s v="Patino"/>
    <s v="AA8037"/>
    <n v="11326463"/>
    <s v="FOL-Facility A"/>
    <x v="27"/>
    <s v="CH033419"/>
    <d v="2023-03-09T00:00:00"/>
    <d v="2018-05-23T00:00:00"/>
    <d v="2018-05-30T00:00:00"/>
    <d v="2018-05-30T00:00:00"/>
    <s v="Approved"/>
    <x v="31"/>
    <d v="2018-11-29T00:00:00"/>
    <d v="2018-11-14T00:00:00"/>
    <s v="Reduced"/>
    <n v="365"/>
    <n v="1"/>
    <n v="8259"/>
    <s v="Reduced 1 year"/>
    <d v="2018-12-04T00:00:00"/>
  </r>
  <r>
    <x v="6"/>
    <s v="Reed"/>
    <s v="D12268"/>
    <n v="11133975"/>
    <s v="RJD-Facility C"/>
    <x v="14"/>
    <s v="SS012002A"/>
    <d v="2023-05-05T00:00:00"/>
    <d v="2018-05-23T00:00:00"/>
    <d v="2018-05-30T00:00:00"/>
    <d v="2018-05-30T00:00:00"/>
    <s v="Approved"/>
    <x v="31"/>
    <m/>
    <m/>
    <m/>
    <m/>
    <s v=""/>
    <s v=""/>
    <m/>
    <m/>
  </r>
  <r>
    <x v="6"/>
    <s v="Jacobo"/>
    <s v="H67368"/>
    <n v="11120936"/>
    <s v="RJD-Facility C"/>
    <x v="10"/>
    <s v="SCS177086"/>
    <d v="2023-05-29T00:00:00"/>
    <d v="2018-05-23T00:00:00"/>
    <d v="2018-05-30T00:00:00"/>
    <d v="2018-05-30T00:00:00"/>
    <s v="Approved"/>
    <x v="31"/>
    <d v="2019-04-05T00:00:00"/>
    <d v="2019-03-20T00:00:00"/>
    <s v="Reduced"/>
    <n v="2191"/>
    <n v="6.0027397260273974"/>
    <n v="49576.627397260272"/>
    <s v="reduced by 6 years"/>
    <d v="2019-04-05T00:00:00"/>
  </r>
  <r>
    <x v="6"/>
    <s v="Davis"/>
    <s v="E51146"/>
    <n v="11524050"/>
    <s v="WSP-Facility B"/>
    <x v="17"/>
    <s v="12F08306"/>
    <d v="2023-07-07T00:00:00"/>
    <d v="2018-05-23T00:00:00"/>
    <d v="2018-05-30T00:00:00"/>
    <d v="2018-05-30T00:00:00"/>
    <s v="Approved"/>
    <x v="31"/>
    <d v="2019-04-03T00:00:00"/>
    <d v="2019-03-18T00:00:00"/>
    <s v="Reduced"/>
    <n v="730"/>
    <n v="2"/>
    <n v="16518"/>
    <s v="reduced by 2 years"/>
    <d v="2019-04-03T00:00:00"/>
  </r>
  <r>
    <x v="6"/>
    <s v="Stokes"/>
    <s v="X35821"/>
    <n v="11037609"/>
    <s v="CCWF-Facility A"/>
    <x v="9"/>
    <s v="FWV1401092"/>
    <d v="2020-05-25T00:00:00"/>
    <d v="2018-05-31T00:00:00"/>
    <d v="2018-05-31T00:00:00"/>
    <d v="2018-04-19T00:00:00"/>
    <s v="Approved"/>
    <x v="10"/>
    <d v="2018-06-11T00:00:00"/>
    <d v="2018-06-08T00:00:00"/>
    <s v="Reduced"/>
    <n v="365"/>
    <n v="1"/>
    <n v="8259"/>
    <s v="discharged 07/01/2019"/>
    <d v="2018-06-12T00:00:00"/>
  </r>
  <r>
    <x v="6"/>
    <s v="Dockery"/>
    <s v="WE0293"/>
    <n v="11015109"/>
    <s v="CIW-Facility A"/>
    <x v="9"/>
    <s v="FWV1600241"/>
    <d v="2020-06-03T00:00:00"/>
    <d v="2018-05-31T00:00:00"/>
    <d v="2018-05-31T00:00:00"/>
    <d v="2018-07-18T00:00:00"/>
    <s v="Approved"/>
    <x v="14"/>
    <d v="2018-07-11T00:00:00"/>
    <d v="2018-06-28T00:00:00"/>
    <s v="Reduced"/>
    <n v="1095"/>
    <n v="3"/>
    <n v="24777"/>
    <m/>
    <d v="2019-05-15T00:00:00"/>
  </r>
  <r>
    <x v="6"/>
    <s v="Whitner"/>
    <s v="C92539"/>
    <n v="11126393"/>
    <s v="SAC-Facility C"/>
    <x v="25"/>
    <s v="15F05117"/>
    <d v="2020-03-27T00:00:00"/>
    <d v="2018-05-31T00:00:00"/>
    <d v="2018-05-31T00:00:00"/>
    <d v="2018-06-13T00:00:00"/>
    <s v="Approved"/>
    <x v="14"/>
    <d v="2019-03-08T00:00:00"/>
    <d v="2018-11-19T00:00:00"/>
    <s v="Reduced"/>
    <n v="1095"/>
    <n v="3"/>
    <n v="24777"/>
    <s v="reduced by 1 year"/>
    <d v="2019-03-08T00:00:00"/>
  </r>
  <r>
    <x v="7"/>
    <s v="Thompson"/>
    <s v="W34528"/>
    <n v="10971431"/>
    <s v="CCWF-Facility D"/>
    <x v="0"/>
    <s v="VA000359"/>
    <d v="2024-05-05T00:00:00"/>
    <d v="2018-07-09T00:00:00"/>
    <d v="2018-07-09T00:00:00"/>
    <d v="2018-07-09T00:00:00"/>
    <s v="Approved"/>
    <x v="41"/>
    <d v="2018-09-17T00:00:00"/>
    <d v="2018-09-28T00:00:00"/>
    <s v="Released"/>
    <n v="4991.75"/>
    <n v="13.676027397260274"/>
    <n v="112950.3102739726"/>
    <s v="Life reduced to 19 years 4 months, released 10/09/2018"/>
    <d v="2018-10-04T00:00:00"/>
  </r>
  <r>
    <x v="3"/>
    <s v="Proeung"/>
    <s v="AA9332"/>
    <n v="11327285"/>
    <s v="VSP-Facility C"/>
    <x v="17"/>
    <s v="08F06947"/>
    <d v="2020-10-10T00:00:00"/>
    <d v="2018-06-11T00:00:00"/>
    <d v="2018-06-12T00:00:00"/>
    <d v="2018-06-13T00:00:00"/>
    <s v="Approved"/>
    <x v="14"/>
    <m/>
    <m/>
    <m/>
    <m/>
    <s v=""/>
    <s v=""/>
    <s v="Active Parole"/>
    <d v="2019-08-23T00:00:00"/>
  </r>
  <r>
    <x v="1"/>
    <s v="Holmes"/>
    <s v="BC6921"/>
    <n v="12168906"/>
    <s v="CAC-Facility A"/>
    <x v="3"/>
    <s v="F16902872"/>
    <d v="2026-01-10T00:00:00"/>
    <d v="2018-06-08T00:00:00"/>
    <d v="2018-06-08T00:00:00"/>
    <d v="2018-06-08T00:00:00"/>
    <s v="Declined"/>
    <x v="27"/>
    <m/>
    <m/>
    <m/>
    <m/>
    <s v=""/>
    <s v=""/>
    <m/>
    <d v="2018-06-13T00:00:00"/>
  </r>
  <r>
    <x v="5"/>
    <s v="Cuevas"/>
    <s v="AW8112"/>
    <n v="12133433"/>
    <s v="CEN-Facility A"/>
    <x v="10"/>
    <s v="SCD250727"/>
    <d v="2027-09-29T00:00:00"/>
    <d v="2018-06-11T00:00:00"/>
    <d v="2018-06-12T00:00:00"/>
    <d v="2018-06-20T00:00:00"/>
    <s v="Approved"/>
    <x v="15"/>
    <d v="2018-10-25T00:00:00"/>
    <d v="2018-10-25T00:00:00"/>
    <s v="Reduced"/>
    <n v="365"/>
    <n v="1"/>
    <n v="8259"/>
    <m/>
    <d v="2018-11-15T00:00:00"/>
  </r>
  <r>
    <x v="5"/>
    <s v="Carvajal"/>
    <s v="AM3907"/>
    <n v="11302668"/>
    <s v="CEN-Facility C"/>
    <x v="0"/>
    <s v="MA050224"/>
    <d v="2028-01-21T00:00:00"/>
    <d v="2018-06-11T00:00:00"/>
    <d v="2018-06-12T00:00:00"/>
    <d v="2018-06-13T00:00:00"/>
    <s v="Approved"/>
    <x v="14"/>
    <d v="2018-09-04T00:00:00"/>
    <d v="2018-08-21T00:00:00"/>
    <s v="Reduced"/>
    <n v="2190"/>
    <n v="6"/>
    <n v="49554"/>
    <m/>
    <d v="2018-09-10T00:00:00"/>
  </r>
  <r>
    <x v="5"/>
    <s v="Martinez"/>
    <s v="BC5565"/>
    <n v="12168075"/>
    <s v="ISP-Facility C"/>
    <x v="0"/>
    <s v="NA097744"/>
    <d v="2029-05-05T00:00:00"/>
    <d v="2018-06-11T00:00:00"/>
    <d v="2018-06-12T00:00:00"/>
    <d v="2018-06-20T00:00:00"/>
    <s v="Approved"/>
    <x v="15"/>
    <d v="2018-07-09T00:00:00"/>
    <d v="2018-06-05T00:00:00"/>
    <s v="Reduced"/>
    <n v="730"/>
    <n v="2"/>
    <n v="16518"/>
    <m/>
    <d v="2018-07-10T00:00:00"/>
  </r>
  <r>
    <x v="5"/>
    <s v="Espinoza"/>
    <s v="BE5463"/>
    <n v="12180204"/>
    <s v="ISP-Facility C"/>
    <x v="0"/>
    <s v="YA092238A"/>
    <d v="2031-06-20T00:00:00"/>
    <d v="2018-06-11T00:00:00"/>
    <d v="2018-06-12T00:00:00"/>
    <d v="2018-06-27T00:00:00"/>
    <s v="Approved"/>
    <x v="16"/>
    <d v="2018-09-04T00:00:00"/>
    <d v="2018-08-31T00:00:00"/>
    <s v="Reduced"/>
    <n v="730"/>
    <n v="2"/>
    <n v="16518"/>
    <m/>
    <d v="2018-11-01T00:00:00"/>
  </r>
  <r>
    <x v="5"/>
    <s v="Rodriguez"/>
    <s v="AR3064"/>
    <n v="12101229"/>
    <s v="NKSP-Facility D"/>
    <x v="0"/>
    <s v="LA081391"/>
    <d v="2036-02-29T00:00:00"/>
    <d v="2018-06-11T00:00:00"/>
    <d v="2018-06-12T00:00:00"/>
    <d v="2018-06-13T00:00:00"/>
    <s v="Approved"/>
    <x v="14"/>
    <d v="2018-08-03T00:00:00"/>
    <d v="2018-10-16T00:00:00"/>
    <s v="Reduced"/>
    <n v="1095"/>
    <n v="3"/>
    <n v="24777"/>
    <s v="Institution still waiting for the legal docements.  Per the Court Clerk, PC 12022.5 was stayed, total term 19 years 4 months"/>
    <d v="2018-12-27T00:00:00"/>
  </r>
  <r>
    <x v="5"/>
    <s v="Mejia"/>
    <s v="AV1997"/>
    <n v="11669198"/>
    <s v="CEN-Facility C"/>
    <x v="0"/>
    <s v="VA129329-01"/>
    <d v="2046-11-03T00:00:00"/>
    <d v="2018-06-11T00:00:00"/>
    <d v="2018-06-12T00:00:00"/>
    <d v="2018-06-20T00:00:00"/>
    <s v="Approved"/>
    <x v="15"/>
    <d v="2018-11-09T00:00:00"/>
    <d v="2018-10-30T00:00:00"/>
    <s v="Reduced"/>
    <n v="1095"/>
    <n v="3"/>
    <n v="24777"/>
    <m/>
    <d v="2018-11-13T00:00:00"/>
  </r>
  <r>
    <x v="5"/>
    <s v="Mateuz"/>
    <s v="G33095"/>
    <n v="11630648"/>
    <s v="NKSP-Facility D"/>
    <x v="0"/>
    <s v="BA309786"/>
    <d v="2062-12-23T00:00:00"/>
    <d v="2018-06-11T00:00:00"/>
    <d v="2018-06-12T00:00:00"/>
    <d v="2018-06-27T00:00:00"/>
    <s v="Approved"/>
    <x v="16"/>
    <d v="2018-10-15T00:00:00"/>
    <d v="2018-10-03T00:00:00"/>
    <s v="Reduced"/>
    <n v="1461"/>
    <n v="4.0027397260273974"/>
    <n v="33058.627397260272"/>
    <m/>
    <d v="2018-10-18T00:00:00"/>
  </r>
  <r>
    <x v="5"/>
    <s v="Diaz"/>
    <s v="AU3303"/>
    <n v="12118882"/>
    <s v="SCC-Facility C"/>
    <x v="17"/>
    <s v="13F05311"/>
    <d v="2027-06-16T00:00:00"/>
    <d v="2018-06-11T00:00:00"/>
    <d v="2018-06-12T00:00:00"/>
    <d v="2018-06-20T00:00:00"/>
    <s v="Approved"/>
    <x v="15"/>
    <d v="2018-10-26T00:00:00"/>
    <d v="2018-10-22T00:00:00"/>
    <s v="Reduced"/>
    <n v="1095"/>
    <n v="3"/>
    <n v="24777"/>
    <m/>
    <d v="2018-11-01T00:00:00"/>
  </r>
  <r>
    <x v="3"/>
    <s v="Valencia"/>
    <s v="AL9963"/>
    <n v="11300224"/>
    <s v="ISP-Facility B"/>
    <x v="8"/>
    <s v="SWF10001941"/>
    <d v="2039-03-15T00:00:00"/>
    <d v="2018-06-11T00:00:00"/>
    <d v="2018-06-12T00:00:00"/>
    <d v="2018-06-13T00:00:00"/>
    <s v="Approved"/>
    <x v="14"/>
    <d v="2018-08-20T00:00:00"/>
    <d v="2018-08-02T00:00:00"/>
    <s v="Reduced"/>
    <n v="1460"/>
    <n v="4"/>
    <n v="33036"/>
    <s v="MEPD"/>
    <d v="2018-08-20T00:00:00"/>
  </r>
  <r>
    <x v="3"/>
    <s v="Allison"/>
    <s v="V78875"/>
    <n v="12004292"/>
    <s v="SAC-Facility A"/>
    <x v="0"/>
    <s v="GA054782"/>
    <d v="2062-10-04T00:00:00"/>
    <d v="2018-06-11T00:00:00"/>
    <d v="2018-06-12T00:00:00"/>
    <d v="2018-06-27T00:00:00"/>
    <s v="Approved"/>
    <x v="16"/>
    <d v="2018-09-28T00:00:00"/>
    <d v="2018-09-26T00:00:00"/>
    <s v="Reduced"/>
    <n v="5965"/>
    <n v="16.342465753424658"/>
    <n v="134972.42465753425"/>
    <m/>
    <d v="2018-10-01T00:00:00"/>
  </r>
  <r>
    <x v="3"/>
    <s v="Horn"/>
    <s v="AF4321"/>
    <n v="11064596"/>
    <s v="KVSP-Facility A"/>
    <x v="10"/>
    <s v="SCD220652"/>
    <d v="2121-10-08T00:00:00"/>
    <d v="2018-06-11T00:00:00"/>
    <d v="2018-06-12T00:00:00"/>
    <d v="2018-06-13T00:00:00"/>
    <s v="Approved"/>
    <x v="14"/>
    <d v="2018-11-01T00:00:00"/>
    <d v="2018-10-29T00:00:00"/>
    <s v="Reduced"/>
    <n v="7304"/>
    <n v="20.010958904109589"/>
    <n v="165270.50958904109"/>
    <s v="reduced by 20 years"/>
    <d v="2018-11-09T00:00:00"/>
  </r>
  <r>
    <x v="3"/>
    <s v="Bautista"/>
    <s v="V43719"/>
    <n v="11983394"/>
    <s v="CIM-Facility D"/>
    <x v="0"/>
    <s v="PA044318"/>
    <d v="2029-04-03T00:00:00"/>
    <d v="2018-06-11T00:00:00"/>
    <d v="2018-06-12T00:00:00"/>
    <d v="2018-06-27T00:00:00"/>
    <s v="Approved"/>
    <x v="16"/>
    <d v="2018-09-07T00:00:00"/>
    <d v="2018-08-29T00:00:00"/>
    <s v="Reduced"/>
    <n v="120"/>
    <n v="0.32876712328767121"/>
    <n v="2715.2876712328766"/>
    <s v="4 months"/>
    <d v="2018-09-10T00:00:00"/>
  </r>
  <r>
    <x v="3"/>
    <s v="Espino"/>
    <s v="G23291"/>
    <n v="11624643"/>
    <s v="CAC-Facility B"/>
    <x v="0"/>
    <s v="VA099155"/>
    <d v="2031-09-13T00:00:00"/>
    <d v="2018-06-11T00:00:00"/>
    <d v="2018-06-12T00:00:00"/>
    <d v="2018-06-27T00:00:00"/>
    <s v="Approved"/>
    <x v="16"/>
    <d v="2018-09-10T00:00:00"/>
    <d v="2018-08-31T00:00:00"/>
    <s v="Reduced"/>
    <n v="1945"/>
    <n v="5.3287671232876717"/>
    <n v="44010.28767123288"/>
    <s v="5 yeas 4 months"/>
    <d v="2018-09-10T00:00:00"/>
  </r>
  <r>
    <x v="3"/>
    <s v="Martinez"/>
    <s v="G20808"/>
    <n v="11623008"/>
    <s v="SATF-Facility C"/>
    <x v="0"/>
    <s v="TA094782"/>
    <d v="2025-08-10T00:00:00"/>
    <d v="2018-06-11T00:00:00"/>
    <d v="2018-06-12T00:00:00"/>
    <d v="2018-06-27T00:00:00"/>
    <s v="Approved"/>
    <x v="16"/>
    <d v="2018-09-05T00:00:00"/>
    <d v="2018-09-27T00:00:00"/>
    <s v="Reduced"/>
    <n v="1460"/>
    <n v="4"/>
    <n v="33036"/>
    <m/>
    <d v="2018-10-25T00:00:00"/>
  </r>
  <r>
    <x v="3"/>
    <s v="Sandoval"/>
    <s v="AS0548"/>
    <n v="12105833"/>
    <s v="ISP-Facility B"/>
    <x v="0"/>
    <s v="BA403584"/>
    <d v="2026-09-23T00:00:00"/>
    <d v="2018-06-11T00:00:00"/>
    <d v="2018-06-12T00:00:00"/>
    <d v="2018-06-13T00:00:00"/>
    <s v="Approved"/>
    <x v="14"/>
    <d v="2018-08-17T00:00:00"/>
    <d v="2018-08-08T00:00:00"/>
    <s v="Reduced"/>
    <n v="1095"/>
    <n v="3"/>
    <n v="24777"/>
    <m/>
    <d v="2018-08-28T00:00:00"/>
  </r>
  <r>
    <x v="3"/>
    <s v="Davis"/>
    <s v="AF0712"/>
    <n v="11353273"/>
    <s v="CAC-Facility B"/>
    <x v="8"/>
    <s v="SWF1000654"/>
    <d v="2026-11-11T00:00:00"/>
    <d v="2018-06-11T00:00:00"/>
    <d v="2018-06-12T00:00:00"/>
    <d v="2018-06-13T00:00:00"/>
    <s v="Approved"/>
    <x v="14"/>
    <d v="2018-07-26T00:00:00"/>
    <d v="2018-07-20T00:00:00"/>
    <s v="Reduced"/>
    <n v="1461"/>
    <n v="4.0027397260273974"/>
    <n v="33058.627397260272"/>
    <m/>
    <d v="2018-08-14T00:00:00"/>
  </r>
  <r>
    <x v="3"/>
    <s v="Lee"/>
    <s v="AN5340"/>
    <n v="11310016"/>
    <s v="PRMCCF-Desert View"/>
    <x v="17"/>
    <s v="08F09791"/>
    <d v="2027-02-27T00:00:00"/>
    <d v="2018-06-11T00:00:00"/>
    <d v="2018-06-12T00:00:00"/>
    <d v="2018-06-13T00:00:00"/>
    <s v="Approved"/>
    <x v="14"/>
    <d v="2018-09-25T00:00:00"/>
    <d v="2018-09-20T00:00:00"/>
    <s v="Reduced"/>
    <n v="1461"/>
    <n v="4.0027397260273974"/>
    <n v="33058.627397260272"/>
    <m/>
    <d v="2018-10-01T00:00:00"/>
  </r>
  <r>
    <x v="3"/>
    <s v="Smith"/>
    <s v="V39131"/>
    <n v="11980670"/>
    <s v="SQ-Facility B"/>
    <x v="0"/>
    <s v="YA055283"/>
    <d v="2022-09-29T00:00:00"/>
    <d v="2018-06-11T00:00:00"/>
    <d v="2018-06-12T00:00:00"/>
    <d v="2018-06-27T00:00:00"/>
    <s v="Approved"/>
    <x v="16"/>
    <d v="2018-07-30T00:00:00"/>
    <d v="2018-07-12T00:00:00"/>
    <s v="Reduced"/>
    <n v="608"/>
    <n v="1.6657534246575343"/>
    <n v="13757.457534246576"/>
    <s v="1 year 8 months"/>
    <d v="2018-09-05T00:00:00"/>
  </r>
  <r>
    <x v="3"/>
    <s v="Garcia"/>
    <s v="AS1089"/>
    <n v="12106203"/>
    <s v="SATF-Facility C"/>
    <x v="0"/>
    <s v="NA093486"/>
    <d v="2031-05-19T00:00:00"/>
    <d v="2018-06-11T00:00:00"/>
    <d v="2018-06-12T00:00:00"/>
    <d v="2018-06-20T00:00:00"/>
    <s v="Approved"/>
    <x v="15"/>
    <d v="2018-09-27T00:00:00"/>
    <d v="2018-09-05T00:00:00"/>
    <s v="No reduction - AOJ corrected"/>
    <m/>
    <s v=""/>
    <s v=""/>
    <s v="Sentenced changed, no reduction in total term"/>
    <d v="2018-10-10T00:00:00"/>
  </r>
  <r>
    <x v="3"/>
    <s v="Trejo"/>
    <s v="AI6660"/>
    <n v="11375379"/>
    <s v="NKSP-Facility B"/>
    <x v="0"/>
    <s v="PA068301"/>
    <d v="2026-06-20T00:00:00"/>
    <d v="2018-06-11T00:00:00"/>
    <d v="2018-06-12T00:00:00"/>
    <d v="2018-06-13T00:00:00"/>
    <s v="Approved"/>
    <x v="14"/>
    <d v="2018-11-09T00:00:00"/>
    <d v="2018-10-02T00:00:00"/>
    <s v="No reduction - AOJ corrected"/>
    <m/>
    <s v=""/>
    <s v=""/>
    <s v="Sentence restructured, total term remain the same"/>
    <d v="2018-11-13T00:00:00"/>
  </r>
  <r>
    <x v="5"/>
    <s v="Ferguson"/>
    <s v="AB3687"/>
    <n v="11330055"/>
    <s v="SQ-Facility A"/>
    <x v="17"/>
    <s v="14F06826"/>
    <d v="2027-06-30T00:00:00"/>
    <d v="2018-06-11T00:00:00"/>
    <d v="2018-06-12T00:00:00"/>
    <d v="2018-06-13T00:00:00"/>
    <s v="Approved"/>
    <x v="14"/>
    <d v="2018-07-02T00:00:00"/>
    <d v="2018-06-26T00:00:00"/>
    <s v="No reduction - AOJ corrected"/>
    <m/>
    <s v=""/>
    <s v=""/>
    <s v="no change to total term"/>
    <d v="2018-07-06T00:00:00"/>
  </r>
  <r>
    <x v="3"/>
    <s v="Aguilar"/>
    <s v="BD8160"/>
    <n v="12175719"/>
    <s v="VSP-Facility B"/>
    <x v="0"/>
    <s v="NA104957"/>
    <d v="2029-07-27T00:00:00"/>
    <d v="2018-06-11T00:00:00"/>
    <d v="2018-06-12T00:00:00"/>
    <d v="2018-06-27T00:00:00"/>
    <s v="Approved"/>
    <x v="20"/>
    <d v="2018-09-27T00:00:00"/>
    <d v="2018-09-18T00:00:00"/>
    <s v="No reduction - AOJ corrected"/>
    <m/>
    <s v=""/>
    <s v=""/>
    <m/>
    <d v="2018-10-01T00:00:00"/>
  </r>
  <r>
    <x v="2"/>
    <s v="Murillo"/>
    <s v="F75729"/>
    <n v="11594828"/>
    <s v="SAC-Facility C"/>
    <x v="0"/>
    <s v="YA064878-01"/>
    <d v="2035-10-06T00:00:00"/>
    <d v="2018-07-12T00:00:00"/>
    <d v="2018-07-12T00:00:00"/>
    <d v="2018-07-25T00:00:00"/>
    <s v="Approved"/>
    <x v="40"/>
    <d v="2018-08-24T00:00:00"/>
    <d v="2018-08-16T00:00:00"/>
    <s v="No action - reason provided"/>
    <m/>
    <s v=""/>
    <s v=""/>
    <s v="&quot;gang alleg not based on Personal inflict GBI&quot;"/>
    <d v="2018-09-05T00:00:00"/>
  </r>
  <r>
    <x v="1"/>
    <s v="Tecuapacho"/>
    <s v="AX5752"/>
    <n v="12137894"/>
    <s v="PUMCCF-Delano"/>
    <x v="0"/>
    <s v="BA435591-01"/>
    <d v="2024-09-22T00:00:00"/>
    <d v="2018-07-18T00:00:00"/>
    <d v="2018-07-31T00:00:00"/>
    <d v="2018-08-08T00:00:00"/>
    <s v="Approved"/>
    <x v="38"/>
    <d v="2018-09-05T00:00:00"/>
    <d v="2018-08-17T00:00:00"/>
    <s v="No action - reason provided"/>
    <m/>
    <s v=""/>
    <s v=""/>
    <s v="Danger to community"/>
    <d v="2018-09-05T00:00:00"/>
  </r>
  <r>
    <x v="5"/>
    <s v="Sulusi"/>
    <s v="G33431"/>
    <n v="11630861"/>
    <s v="RJD-Facility D"/>
    <x v="0"/>
    <s v="NA077662"/>
    <d v="2024-02-07T00:00:00"/>
    <d v="2018-06-11T00:00:00"/>
    <d v="2018-06-12T00:00:00"/>
    <d v="2018-06-27T00:00:00"/>
    <s v="Approved"/>
    <x v="16"/>
    <d v="2019-03-28T00:00:00"/>
    <d v="2018-08-24T00:00:00"/>
    <s v="No action - due to plea"/>
    <m/>
    <s v=""/>
    <s v=""/>
    <m/>
    <d v="2019-03-28T00:00:00"/>
  </r>
  <r>
    <x v="5"/>
    <s v="Hernandez"/>
    <s v="T07660"/>
    <n v="11905744"/>
    <s v="HDSP-Facility B"/>
    <x v="21"/>
    <s v="SF079707A"/>
    <d v="2027-07-29T00:00:00"/>
    <d v="2018-07-25T00:00:00"/>
    <d v="2018-07-25T00:00:00"/>
    <d v="2018-08-07T00:00:00"/>
    <s v="Approved"/>
    <x v="42"/>
    <d v="2018-09-04T00:00:00"/>
    <d v="2018-08-24T00:00:00"/>
    <s v="No action - reason provided"/>
    <m/>
    <s v=""/>
    <s v=""/>
    <s v="There was no increased gang enhancement penalty in this case, only the standard gamg enhancment penalty  was imposed"/>
    <d v="2018-09-05T00:00:00"/>
  </r>
  <r>
    <x v="5"/>
    <s v="Herrera"/>
    <s v="AG5496"/>
    <n v="11362239"/>
    <s v="CAC-Facility C"/>
    <x v="0"/>
    <s v="BA360934"/>
    <d v="2025-02-16T00:00:00"/>
    <d v="2018-07-25T00:00:00"/>
    <d v="2018-07-25T00:00:00"/>
    <d v="2018-08-07T00:00:00"/>
    <s v="Approved"/>
    <x v="42"/>
    <d v="2018-09-04T00:00:00"/>
    <d v="2018-08-28T00:00:00"/>
    <s v="No action - due to plea"/>
    <m/>
    <s v=""/>
    <s v=""/>
    <m/>
    <d v="2018-09-05T00:00:00"/>
  </r>
  <r>
    <x v="2"/>
    <s v="Palomino"/>
    <s v="G21200"/>
    <n v="11623293"/>
    <s v="PVSP-Facility D"/>
    <x v="0"/>
    <s v="PA056138-01"/>
    <d v="2061-10-17T00:00:00"/>
    <d v="2018-07-12T00:00:00"/>
    <d v="2018-07-12T00:00:00"/>
    <d v="2018-07-25T00:00:00"/>
    <s v="Approved"/>
    <x v="40"/>
    <d v="2018-12-26T00:00:00"/>
    <d v="2018-08-30T00:00:00"/>
    <s v="No action - no reason specified"/>
    <m/>
    <s v=""/>
    <s v=""/>
    <m/>
    <d v="2018-12-26T00:00:00"/>
  </r>
  <r>
    <x v="7"/>
    <s v="Quinones"/>
    <s v="F56725"/>
    <n v="11583211"/>
    <s v="VSP-Facility D"/>
    <x v="17"/>
    <s v="04F01683"/>
    <d v="2020-12-29T00:00:00"/>
    <d v="2018-06-15T00:00:00"/>
    <d v="2018-06-18T00:00:00"/>
    <d v="2018-06-18T00:00:00"/>
    <s v="Approved"/>
    <x v="15"/>
    <d v="2018-09-17T00:00:00"/>
    <d v="2018-08-31T00:00:00"/>
    <s v="No reduction - AOJ corrected"/>
    <m/>
    <s v=""/>
    <s v=""/>
    <m/>
    <d v="2018-09-17T00:00:00"/>
  </r>
  <r>
    <x v="7"/>
    <s v="Bao"/>
    <s v="P77497"/>
    <n v="11887657"/>
    <s v="CTF-Facility B"/>
    <x v="0"/>
    <s v="BA180230"/>
    <d v="2023-04-26T00:00:00"/>
    <d v="2018-06-11T00:00:00"/>
    <d v="2018-06-11T00:00:00"/>
    <d v="2018-06-11T00:00:00"/>
    <s v="Approved"/>
    <x v="32"/>
    <m/>
    <m/>
    <m/>
    <m/>
    <s v=""/>
    <s v=""/>
    <s v="Released Per BPH on YPED"/>
    <d v="2019-12-02T00:00:00"/>
  </r>
  <r>
    <x v="5"/>
    <s v="Fauolo"/>
    <s v="G66898"/>
    <n v="11651892"/>
    <s v="FOL-Facility A"/>
    <x v="10"/>
    <s v="07F06491"/>
    <d v="2027-10-02T00:00:00"/>
    <d v="2018-06-11T00:00:00"/>
    <d v="2018-06-12T00:00:00"/>
    <d v="2018-06-27T00:00:00"/>
    <s v="Approved"/>
    <x v="16"/>
    <d v="2019-05-31T00:00:00"/>
    <d v="2019-05-03T00:00:00"/>
    <s v="Reduced"/>
    <n v="1826"/>
    <n v="5.0027397260273974"/>
    <n v="41317.627397260272"/>
    <s v="reduced by 5 years"/>
    <d v="2019-05-31T00:00:00"/>
  </r>
  <r>
    <x v="5"/>
    <s v="Baldwin"/>
    <s v="AX4686"/>
    <n v="12137267"/>
    <s v="WSP-Facility B"/>
    <x v="8"/>
    <s v="RIF1407001"/>
    <d v="2030-01-23T00:00:00"/>
    <d v="2018-06-11T00:00:00"/>
    <d v="2018-06-12T00:00:00"/>
    <d v="2018-06-20T00:00:00"/>
    <s v="Approved"/>
    <x v="15"/>
    <d v="2019-03-08T00:00:00"/>
    <d v="2018-08-31T00:00:00"/>
    <s v="No action - no reason specified"/>
    <m/>
    <s v=""/>
    <s v=""/>
    <s v="No reason specified "/>
    <d v="2019-03-08T00:00:00"/>
  </r>
  <r>
    <x v="5"/>
    <s v="Gaines"/>
    <s v="AW1504"/>
    <n v="12129526"/>
    <s v="HDSP-Facility D"/>
    <x v="10"/>
    <s v="SCD252046"/>
    <d v="2028-06-16T00:00:00"/>
    <d v="2018-06-11T00:00:00"/>
    <d v="2018-06-12T00:00:00"/>
    <d v="2018-06-20T00:00:00"/>
    <s v="Approved"/>
    <x v="15"/>
    <d v="2021-03-18T00:00:00"/>
    <d v="2021-03-08T00:00:00"/>
    <s v="Reduced"/>
    <n v="1826"/>
    <n v="5.0027397260273974"/>
    <n v="41317.627397260272"/>
    <s v="Reduced by 5 years 186.22 Stricken"/>
    <d v="2021-03-18T00:00:00"/>
  </r>
  <r>
    <x v="8"/>
    <s v="Flores-Lopez"/>
    <s v="BE5211"/>
    <n v="12180075"/>
    <s v="ISP-Facility B"/>
    <x v="8"/>
    <s v="SWF1500181"/>
    <d v="2031-04-09T00:00:00"/>
    <d v="2018-08-01T00:00:00"/>
    <d v="2018-08-14T00:00:00"/>
    <d v="2018-08-15T00:00:00"/>
    <s v="Approved"/>
    <x v="17"/>
    <d v="2018-09-11T00:00:00"/>
    <d v="2018-09-04T00:00:00"/>
    <s v="No action - due to plea"/>
    <m/>
    <s v=""/>
    <s v=""/>
    <m/>
    <d v="2018-09-12T00:00:00"/>
  </r>
  <r>
    <x v="2"/>
    <s v="Valenzuela"/>
    <s v="V94389"/>
    <n v="12012830"/>
    <s v="CEN-Facility A"/>
    <x v="0"/>
    <s v="NA069430"/>
    <d v="2022-12-13T00:00:00"/>
    <d v="2018-06-19T00:00:00"/>
    <d v="2018-06-19T00:00:00"/>
    <d v="2018-07-02T00:00:00"/>
    <s v="Approved"/>
    <x v="18"/>
    <d v="2018-09-14T00:00:00"/>
    <d v="2018-09-05T00:00:00"/>
    <s v="No action - reason provided"/>
    <m/>
    <s v=""/>
    <s v=""/>
    <s v="186.22 1a NOT b1c  OLA?"/>
    <d v="2018-09-17T00:00:00"/>
  </r>
  <r>
    <x v="5"/>
    <s v="Garcia"/>
    <s v="F64079"/>
    <n v="11587615"/>
    <s v="CVSP-Facility D"/>
    <x v="0"/>
    <s v="VA095461"/>
    <d v="2032-08-18T00:00:00"/>
    <d v="2018-06-11T00:00:00"/>
    <d v="2018-06-12T00:00:00"/>
    <d v="2018-06-27T00:00:00"/>
    <s v="Approved"/>
    <x v="16"/>
    <d v="2019-02-15T00:00:00"/>
    <d v="2019-01-25T00:00:00"/>
    <s v="Reduced"/>
    <n v="1704"/>
    <n v="4.6684931506849319"/>
    <n v="38557.084931506848"/>
    <s v="reduced by 4 years 8 months"/>
    <d v="2019-02-15T00:00:00"/>
  </r>
  <r>
    <x v="5"/>
    <s v="Ariaz"/>
    <s v="G19851"/>
    <n v="11622412"/>
    <s v="PBSP-Facility A"/>
    <x v="0"/>
    <s v="BA367914"/>
    <d v="2033-02-27T00:00:00"/>
    <d v="2018-06-11T00:00:00"/>
    <d v="2018-06-12T00:00:00"/>
    <d v="2018-06-27T00:00:00"/>
    <s v="Approved"/>
    <x v="16"/>
    <d v="2021-06-23T00:00:00"/>
    <d v="2021-06-02T00:00:00"/>
    <s v="No action - no reason specified"/>
    <m/>
    <s v=""/>
    <s v=""/>
    <m/>
    <d v="2021-06-28T00:00:00"/>
  </r>
  <r>
    <x v="5"/>
    <s v="Reed"/>
    <s v="BE7341"/>
    <n v="12181381"/>
    <s v="CAL-Facility C"/>
    <x v="17"/>
    <s v="15F03781"/>
    <d v="2036-09-23T00:00:00"/>
    <d v="2018-06-11T00:00:00"/>
    <d v="2018-06-12T00:00:00"/>
    <d v="2018-06-27T00:00:00"/>
    <s v="Approved"/>
    <x v="16"/>
    <d v="2018-07-06T00:00:00"/>
    <d v="2018-11-01T00:00:00"/>
    <s v="Reduced"/>
    <n v="730"/>
    <n v="2"/>
    <n v="16518"/>
    <s v="reduced by 2 years"/>
    <d v="2018-12-04T00:00:00"/>
  </r>
  <r>
    <x v="5"/>
    <s v="Wright"/>
    <s v="BD6988"/>
    <n v="12174342"/>
    <s v="SATF-Facility C"/>
    <x v="0"/>
    <s v="TA139004"/>
    <d v="2050-05-11T00:00:00"/>
    <d v="2018-06-11T00:00:00"/>
    <d v="2018-06-12T00:00:00"/>
    <d v="2018-06-27T00:00:00"/>
    <s v="Approved"/>
    <x v="16"/>
    <m/>
    <m/>
    <m/>
    <m/>
    <s v=""/>
    <s v=""/>
    <m/>
    <m/>
  </r>
  <r>
    <x v="5"/>
    <s v="Gutierrez"/>
    <s v="AS2317"/>
    <n v="11563845"/>
    <s v="CCC-Facility C"/>
    <x v="8"/>
    <s v="INF1201437"/>
    <d v="2023-07-08T00:00:00"/>
    <d v="2018-06-11T00:00:00"/>
    <d v="2018-06-12T00:00:00"/>
    <d v="2018-06-12T00:00:00"/>
    <s v="Approved"/>
    <x v="14"/>
    <d v="2019-03-08T00:00:00"/>
    <d v="2018-08-06T00:00:00"/>
    <s v="No reduction - AOJ corrected"/>
    <m/>
    <s v=""/>
    <s v=""/>
    <s v="Term restructered"/>
    <d v="2019-03-08T00:00:00"/>
  </r>
  <r>
    <x v="5"/>
    <s v="Garfias"/>
    <s v="K85631"/>
    <n v="11820232"/>
    <s v="ASP-Facility F"/>
    <x v="3"/>
    <n v="6003164"/>
    <d v="2021-02-01T00:00:00"/>
    <d v="2018-07-18T00:00:00"/>
    <d v="2018-07-20T00:00:00"/>
    <d v="2018-07-25T00:00:00"/>
    <s v="Approved"/>
    <x v="40"/>
    <d v="2018-09-11T00:00:00"/>
    <d v="2018-09-06T00:00:00"/>
    <s v="No action - reason provided"/>
    <m/>
    <s v=""/>
    <s v=""/>
    <s v="Sentence imposed by the court was not unauthorized."/>
    <d v="2018-09-17T00:00:00"/>
  </r>
  <r>
    <x v="5"/>
    <s v="Torres"/>
    <s v="K93976"/>
    <n v="11824697"/>
    <s v="SVSP-Facility D"/>
    <x v="13"/>
    <s v="SC071649A"/>
    <d v="2035-11-04T00:00:00"/>
    <d v="2018-07-18T00:00:00"/>
    <d v="2018-07-20T00:00:00"/>
    <d v="2018-07-25T00:00:00"/>
    <s v="Approved"/>
    <x v="40"/>
    <d v="2018-09-26T00:00:00"/>
    <d v="2018-09-07T00:00:00"/>
    <s v="No action - no reason specified"/>
    <m/>
    <s v=""/>
    <s v=""/>
    <s v="without prejudice"/>
    <d v="2018-10-01T00:00:00"/>
  </r>
  <r>
    <x v="2"/>
    <s v="Vasquez"/>
    <s v="AA9441"/>
    <n v="11327353"/>
    <s v="PBSP-Facility C"/>
    <x v="24"/>
    <n v="1221624"/>
    <d v="2026-04-06T00:00:00"/>
    <d v="2018-08-27T00:00:00"/>
    <d v="2018-08-27T00:00:00"/>
    <d v="2018-09-12T00:00:00"/>
    <s v="Approved"/>
    <x v="43"/>
    <d v="2019-05-23T00:00:00"/>
    <d v="2019-05-03T00:00:00"/>
    <s v="Reduced"/>
    <n v="121"/>
    <n v="0.33150684931506852"/>
    <n v="2737.9150684931506"/>
    <s v="reduced by 4 months"/>
    <d v="2019-05-23T00:00:00"/>
  </r>
  <r>
    <x v="5"/>
    <s v="Moua"/>
    <s v="AS5899"/>
    <n v="12108977"/>
    <s v="FOL-Facility A"/>
    <x v="17"/>
    <s v="12F00705"/>
    <d v="2027-06-17T00:00:00"/>
    <d v="2018-06-11T00:00:00"/>
    <d v="2018-06-12T00:00:00"/>
    <d v="2018-06-20T00:00:00"/>
    <s v="Approved"/>
    <x v="15"/>
    <d v="2019-03-22T00:00:00"/>
    <d v="2019-03-08T00:00:00"/>
    <s v="Reduced"/>
    <n v="1826"/>
    <n v="5.0027397260273974"/>
    <n v="41317.627397260272"/>
    <s v="reduced by 5 years 186.22 stayed"/>
    <d v="2019-03-22T00:00:00"/>
  </r>
  <r>
    <x v="5"/>
    <s v="Ramirez"/>
    <s v="WE7054"/>
    <n v="11717880"/>
    <s v="CCWF-Facility D"/>
    <x v="17"/>
    <s v="11F01694"/>
    <d v="2027-07-24T00:00:00"/>
    <d v="2018-06-11T00:00:00"/>
    <d v="2018-06-12T00:00:00"/>
    <d v="2018-06-27T00:00:00"/>
    <s v="Approved"/>
    <x v="16"/>
    <d v="2019-06-04T00:00:00"/>
    <d v="2019-05-03T00:00:00"/>
    <s v="Reduced"/>
    <n v="487"/>
    <n v="1.3342465753424657"/>
    <n v="11019.542465753426"/>
    <s v="reduced by 1 year 4 months"/>
    <d v="2019-06-04T00:00:00"/>
  </r>
  <r>
    <x v="5"/>
    <s v="Aguilar"/>
    <s v="BD5810"/>
    <n v="12174230"/>
    <s v="CAC-Facility C"/>
    <x v="0"/>
    <s v="MA068749"/>
    <d v="2027-09-12T00:00:00"/>
    <d v="2018-06-11T00:00:00"/>
    <d v="2018-06-12T00:00:00"/>
    <d v="2018-06-27T00:00:00"/>
    <s v="Approved"/>
    <x v="16"/>
    <m/>
    <m/>
    <m/>
    <m/>
    <s v=""/>
    <s v=""/>
    <m/>
    <m/>
  </r>
  <r>
    <x v="3"/>
    <s v="Estrada"/>
    <s v="G18640"/>
    <n v="11621643"/>
    <s v="WSP-Facility B"/>
    <x v="8"/>
    <s v="BAF1500017"/>
    <d v="2077-02-21T00:00:00"/>
    <d v="2018-06-11T00:00:00"/>
    <d v="2018-06-12T00:00:00"/>
    <d v="2018-06-27T00:00:00"/>
    <s v="Approved"/>
    <x v="16"/>
    <d v="2019-03-28T00:00:00"/>
    <d v="2018-08-08T00:00:00"/>
    <s v="Reduced"/>
    <n v="5113"/>
    <n v="14.008219178082191"/>
    <n v="115693.88219178082"/>
    <s v="reduced by 14 years"/>
    <d v="2019-03-28T00:00:00"/>
  </r>
  <r>
    <x v="3"/>
    <s v="Barral"/>
    <s v="AC4304"/>
    <n v="11336720"/>
    <s v="PBSP-Facility A"/>
    <x v="0"/>
    <s v="NA083714"/>
    <d v="2028-05-17T00:00:00"/>
    <d v="2018-06-11T00:00:00"/>
    <d v="2018-06-12T00:00:00"/>
    <d v="2018-06-13T00:00:00"/>
    <s v="Approved"/>
    <x v="14"/>
    <m/>
    <m/>
    <m/>
    <m/>
    <s v=""/>
    <s v=""/>
    <m/>
    <m/>
  </r>
  <r>
    <x v="5"/>
    <s v="Alvarado"/>
    <s v="AZ8037"/>
    <n v="12151415"/>
    <s v="CAL-Facility A"/>
    <x v="0"/>
    <s v="NA102213"/>
    <d v="2038-08-04T00:00:00"/>
    <d v="2018-07-23T00:00:00"/>
    <d v="2018-07-23T00:00:00"/>
    <d v="2018-08-01T00:00:00"/>
    <s v="Approved"/>
    <x v="38"/>
    <d v="2018-09-14T00:00:00"/>
    <d v="2018-09-07T00:00:00"/>
    <s v="No action - due to plea"/>
    <m/>
    <s v=""/>
    <s v=""/>
    <m/>
    <d v="2018-09-17T00:00:00"/>
  </r>
  <r>
    <x v="2"/>
    <s v="Martinez"/>
    <s v="V91209"/>
    <n v="12011019"/>
    <s v="DVI-Facility A"/>
    <x v="12"/>
    <s v="CC585260"/>
    <d v="2030-06-10T00:00:00"/>
    <d v="2018-06-11T00:00:00"/>
    <d v="2018-06-12T00:00:00"/>
    <d v="2018-07-25T00:00:00"/>
    <s v="Approved"/>
    <x v="40"/>
    <d v="2019-12-12T00:00:00"/>
    <d v="2019-12-02T00:00:00"/>
    <s v="Reduced"/>
    <n v="1095.75"/>
    <n v="3.0020547945205478"/>
    <n v="24793.970547945206"/>
    <s v="reduced by 3 years"/>
    <d v="2019-12-12T00:00:00"/>
  </r>
  <r>
    <x v="3"/>
    <s v="Khamphoumy"/>
    <s v="AC2080"/>
    <n v="11335316"/>
    <s v="HDSP-STRH"/>
    <x v="3"/>
    <s v="09f00804"/>
    <d v="2030-12-03T00:00:00"/>
    <d v="2018-06-11T00:00:00"/>
    <d v="2018-06-12T00:00:00"/>
    <d v="2018-06-14T00:00:00"/>
    <s v="Approved"/>
    <x v="15"/>
    <m/>
    <m/>
    <m/>
    <m/>
    <s v=""/>
    <s v=""/>
    <m/>
    <m/>
  </r>
  <r>
    <x v="3"/>
    <s v="Giron"/>
    <s v="AI2501"/>
    <n v="11372794"/>
    <s v="HDSP-Facility C"/>
    <x v="0"/>
    <s v="KA092702"/>
    <d v="2031-04-22T00:00:00"/>
    <d v="2018-06-11T00:00:00"/>
    <d v="2018-06-12T00:00:00"/>
    <d v="2018-06-20T00:00:00"/>
    <s v="Approved"/>
    <x v="15"/>
    <m/>
    <m/>
    <m/>
    <m/>
    <s v=""/>
    <s v=""/>
    <m/>
    <m/>
  </r>
  <r>
    <x v="2"/>
    <s v="Hernandez"/>
    <s v="AZ4083"/>
    <n v="12149037"/>
    <s v="CEN-Facility B"/>
    <x v="0"/>
    <s v="VA139446"/>
    <d v="2025-05-29T00:00:00"/>
    <d v="2018-08-21T00:00:00"/>
    <d v="2018-08-21T00:00:00"/>
    <d v="2018-08-22T00:00:00"/>
    <s v="Approved"/>
    <x v="29"/>
    <d v="2018-09-14T00:00:00"/>
    <d v="2018-09-07T00:00:00"/>
    <s v="No action - reason provided"/>
    <m/>
    <s v=""/>
    <s v=""/>
    <s v="186.22 bb NOT b1c - Question to OLA?"/>
    <d v="2018-09-17T00:00:00"/>
  </r>
  <r>
    <x v="3"/>
    <s v="Duenas"/>
    <s v="AI3734"/>
    <n v="11373629"/>
    <s v="KVSP-Facility B"/>
    <x v="0"/>
    <s v="BA377637"/>
    <d v="2034-12-11T00:00:00"/>
    <d v="2018-06-11T00:00:00"/>
    <d v="2018-06-12T00:00:00"/>
    <d v="2018-06-20T00:00:00"/>
    <s v="Approved"/>
    <x v="15"/>
    <d v="2019-03-28T00:00:00"/>
    <d v="2018-08-28T00:00:00"/>
    <s v="No reduction - AOJ corrected"/>
    <m/>
    <s v=""/>
    <s v=""/>
    <s v="Term restructered"/>
    <d v="2019-03-28T00:00:00"/>
  </r>
  <r>
    <x v="3"/>
    <s v="Padilla"/>
    <s v="BB7107"/>
    <n v="12163036"/>
    <s v="CAL-Facility A"/>
    <x v="0"/>
    <s v="SA091011"/>
    <d v="2035-11-07T00:00:00"/>
    <d v="2018-06-11T00:00:00"/>
    <d v="2018-06-12T00:00:00"/>
    <d v="2018-06-20T00:00:00"/>
    <s v="Approved"/>
    <x v="15"/>
    <d v="2019-04-04T00:00:00"/>
    <d v="2019-02-20T00:00:00"/>
    <s v="Reduced"/>
    <n v="365"/>
    <n v="1"/>
    <n v="8259"/>
    <s v="reduced by 1 year"/>
    <d v="2019-04-04T00:00:00"/>
  </r>
  <r>
    <x v="5"/>
    <s v="Medrano"/>
    <s v="G53972"/>
    <n v="11644062"/>
    <s v="PUMCCF-Shafter"/>
    <x v="3"/>
    <s v="F09906964"/>
    <d v="2025-08-09T00:00:00"/>
    <d v="2018-02-05T00:00:00"/>
    <d v="2018-02-13T00:00:00"/>
    <d v="2018-02-15T00:00:00"/>
    <s v="Approved"/>
    <x v="10"/>
    <d v="2018-09-14T00:00:00"/>
    <d v="2018-09-10T00:00:00"/>
    <s v="No action - due to plea"/>
    <m/>
    <s v=""/>
    <s v=""/>
    <m/>
    <d v="2018-09-17T00:00:00"/>
  </r>
  <r>
    <x v="2"/>
    <s v="Carcamo"/>
    <s v="AE6748"/>
    <n v="11350815"/>
    <s v="ISP-Facility A"/>
    <x v="8"/>
    <s v="RIF137980"/>
    <d v="2048-04-11T00:00:00"/>
    <d v="2018-07-12T00:00:00"/>
    <d v="2018-07-18T00:00:00"/>
    <d v="2018-07-18T00:00:00"/>
    <s v="Approved"/>
    <x v="28"/>
    <d v="2018-09-14T00:00:00"/>
    <d v="2018-09-10T00:00:00"/>
    <s v="No action - due to plea"/>
    <m/>
    <s v=""/>
    <s v=""/>
    <m/>
    <d v="2018-09-17T00:00:00"/>
  </r>
  <r>
    <x v="3"/>
    <s v="Ventura"/>
    <s v="AH3406"/>
    <n v="11367147"/>
    <s v="FOL-Facility A"/>
    <x v="0"/>
    <s v="KA092805"/>
    <d v="2024-10-15T00:00:00"/>
    <d v="2018-06-11T00:00:00"/>
    <d v="2018-06-12T00:00:00"/>
    <d v="2018-06-13T00:00:00"/>
    <s v="Approved"/>
    <x v="14"/>
    <m/>
    <m/>
    <m/>
    <m/>
    <s v=""/>
    <s v=""/>
    <m/>
    <m/>
  </r>
  <r>
    <x v="2"/>
    <s v="Leon"/>
    <s v="BC7816"/>
    <n v="12138111"/>
    <s v="SVSP-Facility B"/>
    <x v="29"/>
    <s v="CR180773"/>
    <d v="2030-04-17T00:00:00"/>
    <d v="2018-06-27T00:00:00"/>
    <d v="2018-06-27T00:00:00"/>
    <d v="2018-07-11T00:00:00"/>
    <s v="Approved"/>
    <x v="19"/>
    <d v="2018-09-14T00:00:00"/>
    <d v="2018-09-11T00:00:00"/>
    <s v="No action - due to plea"/>
    <m/>
    <s v=""/>
    <s v=""/>
    <m/>
    <d v="2018-09-17T00:00:00"/>
  </r>
  <r>
    <x v="3"/>
    <s v="Miranda"/>
    <s v="AF7819"/>
    <n v="11357601"/>
    <s v="PVSP-Facility C"/>
    <x v="0"/>
    <s v="BA365489"/>
    <d v="2024-11-21T00:00:00"/>
    <d v="2018-06-11T00:00:00"/>
    <d v="2018-06-12T00:00:00"/>
    <d v="2018-06-13T00:00:00"/>
    <s v="Approved"/>
    <x v="14"/>
    <d v="2019-03-08T00:00:00"/>
    <d v="2018-12-21T00:00:00"/>
    <s v="Reduced"/>
    <n v="1095"/>
    <n v="3"/>
    <n v="24777"/>
    <s v="reduced by 3 years"/>
    <d v="2019-03-08T00:00:00"/>
  </r>
  <r>
    <x v="3"/>
    <s v="Chavarria"/>
    <s v="F77743"/>
    <n v="11596098"/>
    <s v="CMF-Facility F"/>
    <x v="0"/>
    <s v="VA093605"/>
    <d v="2024-08-19T00:00:00"/>
    <d v="2018-06-11T00:00:00"/>
    <d v="2018-06-12T00:00:00"/>
    <d v="2018-06-27T00:00:00"/>
    <s v="Approved"/>
    <x v="16"/>
    <d v="2021-03-18T00:00:00"/>
    <d v="2018-07-23T00:00:00"/>
    <s v="No reduction - AOJ corrected"/>
    <m/>
    <s v=""/>
    <s v=""/>
    <s v="Term Restructured"/>
    <d v="2021-03-18T00:00:00"/>
  </r>
  <r>
    <x v="8"/>
    <s v="Williams"/>
    <s v="F87791"/>
    <n v="11602469"/>
    <s v="CTF-Facility B"/>
    <x v="21"/>
    <s v="SF104256A"/>
    <d v="2030-04-20T00:00:00"/>
    <d v="2018-08-01T00:00:00"/>
    <d v="2018-08-14T00:00:00"/>
    <d v="2018-08-15T00:00:00"/>
    <s v="Approved"/>
    <x v="17"/>
    <d v="2018-09-14T00:00:00"/>
    <d v="2018-09-11T00:00:00"/>
    <s v="No action - due to plea"/>
    <m/>
    <s v=""/>
    <s v=""/>
    <m/>
    <d v="2018-09-17T00:00:00"/>
  </r>
  <r>
    <x v="8"/>
    <s v="Montes"/>
    <s v="BA8123"/>
    <n v="12157617"/>
    <s v="ASP-Facility C"/>
    <x v="3"/>
    <s v="F15901534"/>
    <d v="2021-02-15T00:00:00"/>
    <d v="2018-08-01T00:00:00"/>
    <d v="2018-08-14T00:00:00"/>
    <d v="2018-08-15T00:00:00"/>
    <s v="Approved"/>
    <x v="17"/>
    <d v="2018-09-14T00:00:00"/>
    <d v="2018-09-11T00:00:00"/>
    <s v="No action - reason provided"/>
    <m/>
    <s v=""/>
    <s v=""/>
    <s v="2 separate occasions"/>
    <d v="2018-09-17T00:00:00"/>
  </r>
  <r>
    <x v="3"/>
    <s v="Carmona"/>
    <s v="BA7868"/>
    <n v="12157492"/>
    <s v="ISP-Facility C"/>
    <x v="0"/>
    <s v="TA139450"/>
    <d v="2027-03-04T00:00:00"/>
    <d v="2018-06-11T00:00:00"/>
    <d v="2018-06-12T00:00:00"/>
    <d v="2018-06-20T00:00:00"/>
    <s v="Approved"/>
    <x v="15"/>
    <d v="2019-12-09T00:00:00"/>
    <d v="2019-11-21T00:00:00"/>
    <s v="No action - due to plea"/>
    <m/>
    <s v=""/>
    <s v=""/>
    <m/>
    <d v="2019-12-09T00:00:00"/>
  </r>
  <r>
    <x v="2"/>
    <s v="Campos"/>
    <s v="AN0064"/>
    <n v="11306615"/>
    <s v="CVSP-Facility C"/>
    <x v="8"/>
    <s v="RIF1201498"/>
    <d v="2020-03-05T00:00:00"/>
    <d v="2018-06-19T00:00:00"/>
    <d v="2018-06-19T00:00:00"/>
    <d v="2018-06-27T00:00:00"/>
    <s v="Approved"/>
    <x v="16"/>
    <m/>
    <m/>
    <m/>
    <m/>
    <s v=""/>
    <s v=""/>
    <s v="Active Parole"/>
    <d v="2019-09-21T00:00:00"/>
  </r>
  <r>
    <x v="3"/>
    <s v="Fimbres"/>
    <s v="V60794"/>
    <n v="11993632"/>
    <s v="CCI-Facility C"/>
    <x v="8"/>
    <s v="RIF114979"/>
    <d v="2021-12-27T00:00:00"/>
    <d v="2018-06-11T00:00:00"/>
    <d v="2018-06-12T00:00:00"/>
    <d v="2018-06-27T00:00:00"/>
    <s v="Approved"/>
    <x v="16"/>
    <m/>
    <m/>
    <m/>
    <m/>
    <s v=""/>
    <s v=""/>
    <s v="Paroled 2/26/21 (not 1170(d)(1))"/>
    <d v="2021-03-18T00:00:00"/>
  </r>
  <r>
    <x v="2"/>
    <s v="Stevens"/>
    <s v="BF2713"/>
    <n v="12184655"/>
    <s v="CAL-Facility A"/>
    <x v="1"/>
    <s v="FCR324894"/>
    <d v="2026-11-22T00:00:00"/>
    <d v="2018-06-22T00:00:00"/>
    <d v="2018-06-22T00:00:00"/>
    <d v="2018-07-11T00:00:00"/>
    <s v="Approved"/>
    <x v="19"/>
    <d v="2018-09-25T00:00:00"/>
    <d v="2018-09-12T00:00:00"/>
    <s v="No action - reason provided"/>
    <m/>
    <s v=""/>
    <s v=""/>
    <s v="Court/DA state Gonzalez does not apply"/>
    <d v="2018-10-01T00:00:00"/>
  </r>
  <r>
    <x v="3"/>
    <s v="Sith"/>
    <s v="F97277"/>
    <n v="11608276"/>
    <s v="SCC-Facility A"/>
    <x v="21"/>
    <s v="SF09281"/>
    <d v="2030-08-27T00:00:00"/>
    <d v="2018-07-25T00:00:00"/>
    <d v="2018-07-25T00:00:00"/>
    <d v="2018-08-15T00:00:00"/>
    <s v="Approved"/>
    <x v="17"/>
    <d v="2018-09-14T00:00:00"/>
    <d v="2018-09-12T00:00:00"/>
    <s v="No action - no reason specified"/>
    <m/>
    <s v=""/>
    <s v=""/>
    <m/>
    <d v="2018-09-17T00:00:00"/>
  </r>
  <r>
    <x v="3"/>
    <s v="Ferra"/>
    <s v="V60819"/>
    <n v="11993649"/>
    <s v="CCI-Facility CS"/>
    <x v="0"/>
    <s v="BA349994"/>
    <d v="2023-11-18T00:00:00"/>
    <d v="2018-06-12T00:00:00"/>
    <d v="2018-06-12T00:00:00"/>
    <d v="2018-06-27T00:00:00"/>
    <s v="Approved"/>
    <x v="16"/>
    <m/>
    <m/>
    <m/>
    <m/>
    <s v=""/>
    <s v=""/>
    <s v="Paroled 12/09/2020 (not 1170(d)(1))"/>
    <d v="2021-03-18T00:00:00"/>
  </r>
  <r>
    <x v="9"/>
    <s v="Barrera"/>
    <s v="WF4894"/>
    <n v="12152548"/>
    <s v="CCWF-Facility D"/>
    <x v="30"/>
    <s v="CRF46999"/>
    <d v="2037-10-21T00:00:00"/>
    <d v="2018-08-01T00:00:00"/>
    <d v="2018-08-14T00:00:00"/>
    <d v="2018-08-22T00:00:00"/>
    <s v="Approved"/>
    <x v="29"/>
    <d v="2018-10-11T00:00:00"/>
    <d v="2018-09-12T00:00:00"/>
    <s v="No action - reason provided"/>
    <m/>
    <s v=""/>
    <s v=""/>
    <m/>
    <d v="2018-10-18T00:00:00"/>
  </r>
  <r>
    <x v="6"/>
    <s v="Moore"/>
    <s v="D58268"/>
    <n v="11102800"/>
    <s v="CMC-Facility B"/>
    <x v="25"/>
    <s v="F389814"/>
    <d v="2021-01-30T00:00:00"/>
    <d v="2018-06-15T00:00:00"/>
    <d v="2018-06-15T00:00:00"/>
    <d v="2018-06-20T00:00:00"/>
    <s v="Approved"/>
    <x v="15"/>
    <d v="2018-09-19T00:00:00"/>
    <d v="2018-09-13T00:00:00"/>
    <s v="Reduced"/>
    <n v="1460"/>
    <n v="4"/>
    <n v="33036"/>
    <s v="4 years, discharged 10/18/2018"/>
    <d v="2018-09-20T00:00:00"/>
  </r>
  <r>
    <x v="6"/>
    <s v="Gonzalez"/>
    <s v="T92124"/>
    <n v="11953430"/>
    <s v="PBSP-STRH"/>
    <x v="13"/>
    <s v="MF009907A"/>
    <d v="2021-10-14T00:00:00"/>
    <d v="2018-06-15T00:00:00"/>
    <d v="2018-06-15T00:00:00"/>
    <d v="2018-06-20T00:00:00"/>
    <s v="Approved"/>
    <x v="15"/>
    <d v="2018-09-25T00:00:00"/>
    <d v="2018-09-14T00:00:00"/>
    <s v="Reduced"/>
    <n v="730"/>
    <n v="2"/>
    <n v="16518"/>
    <m/>
    <d v="2018-10-01T00:00:00"/>
  </r>
  <r>
    <x v="6"/>
    <s v="Williams"/>
    <s v="AC5138"/>
    <n v="11054189"/>
    <s v="SAC-Facility A"/>
    <x v="25"/>
    <s v="17F05809A"/>
    <d v="2022-02-14T00:00:00"/>
    <d v="2018-06-15T00:00:00"/>
    <d v="2018-06-15T00:00:00"/>
    <d v="2018-06-20T00:00:00"/>
    <s v="Approved"/>
    <x v="15"/>
    <d v="2018-07-23T00:00:00"/>
    <d v="2018-07-17T00:00:00"/>
    <s v="Reduced"/>
    <n v="973"/>
    <n v="2.6657534246575341"/>
    <n v="22016.457534246576"/>
    <m/>
    <d v="2018-08-14T00:00:00"/>
  </r>
  <r>
    <x v="6"/>
    <s v="Nycz"/>
    <s v="J00952"/>
    <n v="11723191"/>
    <s v="MCSP-Facility A"/>
    <x v="27"/>
    <s v="CH024614"/>
    <d v="2021-05-25T00:00:00"/>
    <d v="2018-06-15T00:00:00"/>
    <d v="2018-06-15T00:00:00"/>
    <d v="2018-06-20T00:00:00"/>
    <s v="Approved"/>
    <x v="15"/>
    <d v="2018-11-29T00:00:00"/>
    <d v="2018-11-16T00:00:00"/>
    <s v="Reduced"/>
    <n v="730"/>
    <n v="2"/>
    <n v="16518"/>
    <s v="Reduced to 10 years"/>
    <d v="2018-12-03T00:00:00"/>
  </r>
  <r>
    <x v="6"/>
    <s v="Jaramillo"/>
    <s v="G07678"/>
    <n v="11614661"/>
    <s v="LAC-Facility D"/>
    <x v="17"/>
    <s v="15F00492"/>
    <d v="2021-07-20T00:00:00"/>
    <d v="2018-06-15T00:00:00"/>
    <d v="2018-06-15T00:00:00"/>
    <d v="2018-06-20T00:00:00"/>
    <s v="Approved"/>
    <x v="15"/>
    <d v="2018-07-19T00:00:00"/>
    <d v="2018-07-13T00:00:00"/>
    <s v="Reduced"/>
    <n v="485"/>
    <n v="1.3287671232876712"/>
    <n v="10974.287671232876"/>
    <s v="amend"/>
    <d v="2018-07-20T00:00:00"/>
  </r>
  <r>
    <x v="3"/>
    <s v="Victoria"/>
    <s v="AR7712"/>
    <n v="12104160"/>
    <s v="COR-Facility 03C"/>
    <x v="3"/>
    <s v="F11906747"/>
    <d v="2030-07-11T00:00:00"/>
    <d v="2018-02-05T00:00:00"/>
    <d v="2018-04-12T00:00:00"/>
    <d v="2018-04-12T00:00:00"/>
    <s v="Approved"/>
    <x v="11"/>
    <d v="2018-09-28T00:00:00"/>
    <d v="2018-09-13T00:00:00"/>
    <s v="No action - reason provided"/>
    <m/>
    <s v=""/>
    <s v=""/>
    <s v="Peo v. Vega"/>
    <d v="2018-10-01T00:00:00"/>
  </r>
  <r>
    <x v="6"/>
    <s v="Martin"/>
    <s v="AK5697"/>
    <n v="11276867"/>
    <s v="KVSP-Facility D"/>
    <x v="27"/>
    <s v="MF011194A"/>
    <d v="2023-03-26T00:00:00"/>
    <d v="2018-06-15T00:00:00"/>
    <d v="2018-06-15T00:00:00"/>
    <d v="2018-06-20T00:00:00"/>
    <s v="Approved"/>
    <x v="15"/>
    <d v="2018-11-29T00:00:00"/>
    <d v="2018-11-19T00:00:00"/>
    <s v="Reduced"/>
    <n v="730"/>
    <n v="2"/>
    <n v="16518"/>
    <s v="reduced by 2 years"/>
    <d v="2019-01-11T00:00:00"/>
  </r>
  <r>
    <x v="6"/>
    <s v="Chezick"/>
    <s v="F48419"/>
    <n v="11578168"/>
    <s v="Cal-Facility D"/>
    <x v="19"/>
    <s v="10CM7230"/>
    <d v="2021-09-15T00:00:00"/>
    <d v="2018-06-15T00:00:00"/>
    <d v="2018-06-15T00:00:00"/>
    <d v="2018-06-20T00:00:00"/>
    <s v="Approved"/>
    <x v="15"/>
    <d v="2019-03-28T00:00:00"/>
    <d v="2018-07-06T00:00:00"/>
    <s v="Reduced"/>
    <n v="1461"/>
    <n v="4.0027397260273974"/>
    <n v="33058.627397260272"/>
    <s v="reduced by 4 years"/>
    <d v="2019-03-28T00:00:00"/>
  </r>
  <r>
    <x v="6"/>
    <s v="Vallin"/>
    <s v="AZ0953"/>
    <n v="11638577"/>
    <s v="SHS-Coalinga State"/>
    <x v="25"/>
    <s v="17F00235"/>
    <d v="2021-09-25T00:00:00"/>
    <d v="2018-06-15T00:00:00"/>
    <d v="2018-06-15T00:00:00"/>
    <d v="2018-06-20T00:00:00"/>
    <s v="Approved"/>
    <x v="15"/>
    <d v="2018-12-18T00:00:00"/>
    <d v="2018-12-11T00:00:00"/>
    <s v="Reduced"/>
    <n v="1095"/>
    <n v="3"/>
    <n v="24777"/>
    <m/>
    <d v="2018-12-21T00:00:00"/>
  </r>
  <r>
    <x v="6"/>
    <s v="Shaw"/>
    <s v="V71251"/>
    <n v="11999810"/>
    <s v="KVSP-Facility A"/>
    <x v="27"/>
    <s v="CH033288"/>
    <d v="2022-03-05T00:00:00"/>
    <d v="2018-06-15T00:00:00"/>
    <d v="2018-06-15T00:00:00"/>
    <d v="2018-06-20T00:00:00"/>
    <s v="Approved"/>
    <x v="15"/>
    <d v="2018-11-29T00:00:00"/>
    <d v="2018-11-20T00:00:00"/>
    <s v="Reduced"/>
    <n v="243"/>
    <n v="0.66575342465753429"/>
    <n v="5498.4575342465751"/>
    <s v="Reduced 8 months"/>
    <d v="2018-12-04T00:00:00"/>
  </r>
  <r>
    <x v="6"/>
    <s v="Williams "/>
    <s v="H23300"/>
    <n v="11234047"/>
    <s v="MCSP-Facility B"/>
    <x v="10"/>
    <s v="SCS237186"/>
    <d v="2021-09-06T00:00:00"/>
    <d v="2018-06-18T00:00:00"/>
    <d v="2018-06-18T00:00:00"/>
    <d v="2018-06-20T00:00:00"/>
    <s v="Approved"/>
    <x v="15"/>
    <d v="2018-07-09T00:00:00"/>
    <d v="2018-06-28T00:00:00"/>
    <s v="Reduced"/>
    <n v="2435"/>
    <n v="6.6712328767123283"/>
    <n v="55097.712328767127"/>
    <s v="Paroled 08/22/2018"/>
    <d v="2018-07-09T00:00:00"/>
  </r>
  <r>
    <x v="6"/>
    <s v="Galvan"/>
    <s v="V86206"/>
    <n v="11259091"/>
    <s v="COR-Facility 03A"/>
    <x v="25"/>
    <s v="16F07542"/>
    <d v="2025-03-27T00:00:00"/>
    <d v="2018-06-18T00:00:00"/>
    <d v="2018-06-18T00:00:00"/>
    <d v="2018-06-20T00:00:00"/>
    <s v="Approved"/>
    <x v="15"/>
    <d v="2018-09-18T00:00:00"/>
    <d v="2018-09-13T00:00:00"/>
    <s v="Reduced"/>
    <n v="730"/>
    <n v="2"/>
    <n v="16518"/>
    <s v="2 years"/>
    <d v="2018-09-19T00:00:00"/>
  </r>
  <r>
    <x v="6"/>
    <s v="Besheer"/>
    <s v="P88128"/>
    <n v="11893516"/>
    <s v="LAC-STRH"/>
    <x v="21"/>
    <s v="STKCR20171916"/>
    <d v="2025-07-03T00:00:00"/>
    <d v="2018-06-18T00:00:00"/>
    <d v="2018-06-18T00:00:00"/>
    <d v="2018-06-20T00:00:00"/>
    <s v="Approved"/>
    <x v="15"/>
    <d v="2018-08-14T00:00:00"/>
    <d v="2018-08-07T00:00:00"/>
    <s v="Reduced"/>
    <n v="365"/>
    <n v="1"/>
    <n v="8259"/>
    <m/>
    <d v="2018-08-20T00:00:00"/>
  </r>
  <r>
    <x v="6"/>
    <s v="Gallegos"/>
    <s v="J70418"/>
    <n v="11175984"/>
    <s v="PBSP-Facility A"/>
    <x v="27"/>
    <s v="CH022704"/>
    <d v="2025-07-30T00:00:00"/>
    <d v="2018-06-18T00:00:00"/>
    <d v="2018-06-18T00:00:00"/>
    <d v="2018-06-20T00:00:00"/>
    <s v="Approved"/>
    <x v="15"/>
    <d v="2018-06-27T00:00:00"/>
    <d v="2018-06-14T00:00:00"/>
    <s v="Reduced"/>
    <n v="975"/>
    <n v="2.6712328767123288"/>
    <n v="22061.712328767124"/>
    <s v="amend"/>
    <d v="2018-06-28T00:00:00"/>
  </r>
  <r>
    <x v="6"/>
    <s v="Knuth "/>
    <s v="AZ5462"/>
    <n v="11307162"/>
    <s v="PBSP-Facility C "/>
    <x v="9"/>
    <s v="FWV17001534"/>
    <d v="2022-05-16T00:00:00"/>
    <d v="2018-06-18T00:00:00"/>
    <d v="2018-06-18T00:00:00"/>
    <d v="2018-06-20T00:00:00"/>
    <s v="Approved"/>
    <x v="15"/>
    <d v="2018-07-05T00:00:00"/>
    <d v="2018-07-03T00:00:00"/>
    <s v="Reduced"/>
    <n v="365"/>
    <n v="1"/>
    <n v="8259"/>
    <m/>
    <d v="2018-07-06T00:00:00"/>
  </r>
  <r>
    <x v="10"/>
    <s v="Gussner"/>
    <s v="AA9843"/>
    <n v="11327610"/>
    <s v="CCC-Washington Ridge Camp"/>
    <x v="14"/>
    <s v="SS091939"/>
    <d v="2021-02-17T00:00:00"/>
    <d v="2018-06-18T00:00:00"/>
    <d v="2018-06-18T00:00:00"/>
    <d v="2018-06-18T00:00:00"/>
    <s v="Approved"/>
    <x v="44"/>
    <d v="2018-10-10T00:00:00"/>
    <d v="2018-09-28T00:00:00"/>
    <s v="Released"/>
    <n v="1460"/>
    <n v="4"/>
    <n v="33036"/>
    <s v="Awaiting court docs/courts put in mail, released 10/26/2018"/>
    <d v="2018-10-22T00:00:00"/>
  </r>
  <r>
    <x v="6"/>
    <s v="Lizarraga"/>
    <s v="WE2162"/>
    <n v="11040783"/>
    <s v="CCWF-Facility B"/>
    <x v="9"/>
    <s v="FWV1300889"/>
    <d v="2021-07-08T00:00:00"/>
    <d v="2018-06-18T00:00:00"/>
    <d v="2018-06-15T00:00:00"/>
    <d v="2018-06-20T00:00:00"/>
    <s v="Approved"/>
    <x v="15"/>
    <d v="2018-07-25T00:00:00"/>
    <d v="2018-07-13T00:00:00"/>
    <s v="No reduction - AOJ corrected"/>
    <m/>
    <s v=""/>
    <s v=""/>
    <m/>
    <d v="2018-07-26T00:00:00"/>
  </r>
  <r>
    <x v="6"/>
    <s v="Campos"/>
    <s v="J05478"/>
    <n v="11247638"/>
    <s v="CAL-Facility D"/>
    <x v="28"/>
    <s v="98020X"/>
    <d v="2025-09-22T00:00:00"/>
    <d v="2018-06-18T00:00:00"/>
    <d v="2018-06-18T00:00:00"/>
    <d v="2018-06-20T00:00:00"/>
    <s v="Approved"/>
    <x v="15"/>
    <m/>
    <m/>
    <s v="Disregard Letter"/>
    <m/>
    <s v=""/>
    <s v=""/>
    <s v="Disregard only"/>
    <d v="2018-06-20T00:00:00"/>
  </r>
  <r>
    <x v="7"/>
    <s v="Vellanoweth"/>
    <s v="G35073"/>
    <n v="11631895"/>
    <s v="MCSP-Facility D"/>
    <x v="17"/>
    <s v="07F03967"/>
    <d v="2023-02-04T00:00:00"/>
    <d v="2018-06-18T00:00:00"/>
    <d v="2018-06-20T00:00:00"/>
    <d v="2018-06-21T00:00:00"/>
    <s v="Declined"/>
    <x v="27"/>
    <m/>
    <m/>
    <m/>
    <m/>
    <s v=""/>
    <s v=""/>
    <m/>
    <d v="2018-08-22T00:00:00"/>
  </r>
  <r>
    <x v="6"/>
    <s v="Rodriguez"/>
    <s v="AV8617"/>
    <n v="11949447"/>
    <s v="COR-Facility 04 A"/>
    <x v="14"/>
    <s v="SS160060A"/>
    <d v="2025-08-18T00:00:00"/>
    <d v="2018-06-18T00:00:00"/>
    <d v="2018-06-18T00:00:00"/>
    <d v="2018-06-20T00:00:00"/>
    <s v="Approved"/>
    <x v="15"/>
    <m/>
    <m/>
    <m/>
    <m/>
    <s v=""/>
    <s v=""/>
    <m/>
    <m/>
  </r>
  <r>
    <x v="6"/>
    <s v="Johnson"/>
    <s v="H92609"/>
    <n v="11239455"/>
    <s v="SATF-Facility C"/>
    <x v="19"/>
    <s v="15CM7088B"/>
    <d v="2025-08-26T00:00:00"/>
    <d v="2018-06-18T00:00:00"/>
    <d v="2018-06-18T00:00:00"/>
    <d v="2018-06-20T00:00:00"/>
    <s v="Approved"/>
    <x v="15"/>
    <m/>
    <m/>
    <m/>
    <m/>
    <s v=""/>
    <s v=""/>
    <m/>
    <m/>
  </r>
  <r>
    <x v="6"/>
    <s v="Hamblet"/>
    <s v="K81397"/>
    <n v="11817957"/>
    <s v="SAC-Facility B"/>
    <x v="19"/>
    <s v="16CM-0263A"/>
    <d v="2022-05-10T00:00:00"/>
    <d v="2018-06-18T00:00:00"/>
    <d v="2018-06-18T00:00:00"/>
    <d v="2018-06-20T00:00:00"/>
    <s v="Approved"/>
    <x v="15"/>
    <m/>
    <m/>
    <m/>
    <m/>
    <s v=""/>
    <s v=""/>
    <m/>
    <m/>
  </r>
  <r>
    <x v="2"/>
    <s v="Cisneros"/>
    <s v="F93379"/>
    <n v="11605783"/>
    <s v="PUMCCF-Taft"/>
    <x v="11"/>
    <s v="VCF157620"/>
    <d v="2022-09-22T00:00:00"/>
    <d v="2018-06-19T00:00:00"/>
    <d v="2018-06-19T00:00:00"/>
    <d v="2018-07-11T00:00:00"/>
    <s v="Approved"/>
    <x v="19"/>
    <d v="2018-08-28T00:00:00"/>
    <d v="2018-08-23T00:00:00"/>
    <s v="Reduced"/>
    <n v="243"/>
    <n v="0.66575342465753429"/>
    <n v="5498.4575342465751"/>
    <m/>
    <d v="2018-09-05T00:00:00"/>
  </r>
  <r>
    <x v="2"/>
    <s v="Sandoval"/>
    <s v="F71170"/>
    <n v="11591974"/>
    <s v="SCC-Facility B"/>
    <x v="0"/>
    <s v="VA105541-01"/>
    <d v="2022-05-17T00:00:00"/>
    <d v="2018-06-19T00:00:00"/>
    <d v="2018-06-19T00:00:00"/>
    <d v="2018-07-25T00:00:00"/>
    <s v="Approved"/>
    <x v="40"/>
    <d v="2018-10-04T00:00:00"/>
    <d v="2018-09-24T00:00:00"/>
    <s v="Reduced"/>
    <n v="730"/>
    <n v="2"/>
    <n v="16518"/>
    <m/>
    <d v="2018-10-11T00:00:00"/>
  </r>
  <r>
    <x v="2"/>
    <s v="Burgess"/>
    <s v="F14969"/>
    <n v="11557828"/>
    <s v="ASP-Facility A"/>
    <x v="14"/>
    <s v="SS041505A"/>
    <d v="2020-09-23T00:00:00"/>
    <d v="2018-06-19T00:00:00"/>
    <d v="2018-06-19T00:00:00"/>
    <d v="2018-06-27T00:00:00"/>
    <s v="Approved"/>
    <x v="16"/>
    <d v="2018-08-20T00:00:00"/>
    <d v="2018-08-07T00:00:00"/>
    <s v="Reduced"/>
    <n v="365"/>
    <n v="1"/>
    <n v="8259"/>
    <m/>
    <d v="2018-08-20T00:00:00"/>
  </r>
  <r>
    <x v="2"/>
    <s v="Alatorre"/>
    <s v="G06472"/>
    <n v="11613910"/>
    <s v="PRMCCF-Central Valley"/>
    <x v="0"/>
    <s v="KA077015-02"/>
    <d v="2020-05-19T00:00:00"/>
    <d v="2018-06-19T00:00:00"/>
    <d v="2018-06-19T00:00:00"/>
    <d v="2018-06-27T00:00:00"/>
    <s v="Approved"/>
    <x v="16"/>
    <d v="2018-09-04T00:00:00"/>
    <d v="2018-08-29T00:00:00"/>
    <s v="Reduced"/>
    <n v="1095"/>
    <n v="3"/>
    <n v="24777"/>
    <s v="Paroled 11/08/2018"/>
    <d v="2018-09-10T00:00:00"/>
  </r>
  <r>
    <x v="2"/>
    <s v="Velasco"/>
    <s v="V88605"/>
    <n v="12010131"/>
    <s v="KVSP-Facility B"/>
    <x v="4"/>
    <n v="28804"/>
    <d v="2019-12-23T00:00:00"/>
    <d v="2018-06-19T00:00:00"/>
    <d v="2018-06-19T00:00:00"/>
    <d v="2018-07-02T00:00:00"/>
    <s v="Approved"/>
    <x v="18"/>
    <d v="2018-09-04T00:00:00"/>
    <d v="2018-08-30T00:00:00"/>
    <s v="Released"/>
    <n v="1095"/>
    <n v="3"/>
    <n v="24777"/>
    <s v="Released 09/18/2018"/>
    <d v="2018-09-11T00:00:00"/>
  </r>
  <r>
    <x v="2"/>
    <s v="Rodriguez"/>
    <s v="AI6969"/>
    <n v="11075920"/>
    <s v="COR-Facility 03A"/>
    <x v="17"/>
    <s v="09F04182"/>
    <d v="2021-07-04T00:00:00"/>
    <d v="2018-06-19T00:00:00"/>
    <d v="2018-06-19T00:00:00"/>
    <d v="2018-07-02T00:00:00"/>
    <s v="Approved"/>
    <x v="18"/>
    <d v="2018-12-10T00:00:00"/>
    <d v="2018-12-03T00:00:00"/>
    <s v="Reduced"/>
    <n v="365"/>
    <n v="1"/>
    <n v="8259"/>
    <s v="Paroled 05/16/2019"/>
    <d v="2018-12-10T00:00:00"/>
  </r>
  <r>
    <x v="5"/>
    <s v="Olson"/>
    <s v="K54762"/>
    <n v="11803737"/>
    <s v="MCSP-FACILITY B"/>
    <x v="13"/>
    <s v="SC075785"/>
    <d v="9999-01-25T00:00:00"/>
    <d v="2018-07-23T00:00:00"/>
    <d v="2018-07-23T00:00:00"/>
    <d v="2018-07-25T00:00:00"/>
    <s v="Approved"/>
    <x v="40"/>
    <d v="2018-10-09T00:00:00"/>
    <d v="2018-09-14T00:00:00"/>
    <s v="No action - no reason specified"/>
    <m/>
    <s v=""/>
    <s v=""/>
    <m/>
    <d v="2018-10-18T00:00:00"/>
  </r>
  <r>
    <x v="8"/>
    <s v="Hatfield"/>
    <s v="BA0583"/>
    <n v="11476143"/>
    <s v="RJD-Facility E"/>
    <x v="3"/>
    <s v="F15902135"/>
    <d v="2025-10-28T00:00:00"/>
    <d v="2018-08-20T00:00:00"/>
    <d v="2018-08-20T00:00:00"/>
    <d v="2018-08-22T00:00:00"/>
    <s v="Approved"/>
    <x v="29"/>
    <d v="2018-11-09T00:00:00"/>
    <d v="2018-09-17T00:00:00"/>
    <s v="No action - reason provided"/>
    <m/>
    <s v=""/>
    <s v=""/>
    <s v="Offenses were committed on three distinct dates"/>
    <d v="2018-11-13T00:00:00"/>
  </r>
  <r>
    <x v="8"/>
    <s v="Ceballos"/>
    <s v="BG0767"/>
    <n v="11579351"/>
    <s v="ASP-Facility B"/>
    <x v="15"/>
    <n v="2016016719"/>
    <d v="2026-05-03T00:00:00"/>
    <d v="2018-08-01T00:00:00"/>
    <d v="2018-08-14T00:00:00"/>
    <d v="2018-08-15T00:00:00"/>
    <s v="Approved"/>
    <x v="17"/>
    <d v="2018-11-08T00:00:00"/>
    <d v="2018-09-18T00:00:00"/>
    <s v="No action - no reason specified"/>
    <m/>
    <s v=""/>
    <s v=""/>
    <m/>
    <d v="2018-11-08T00:00:00"/>
  </r>
  <r>
    <x v="2"/>
    <s v="Ybarra"/>
    <s v="AN1801"/>
    <n v="11614994"/>
    <s v="COR-STRH"/>
    <x v="21"/>
    <s v="SF118509A"/>
    <d v="2024-02-28T00:00:00"/>
    <d v="2018-08-23T00:00:00"/>
    <d v="2018-08-23T00:00:00"/>
    <d v="2018-08-29T00:00:00"/>
    <s v="Approved"/>
    <x v="23"/>
    <d v="2018-09-25T00:00:00"/>
    <d v="2018-09-18T00:00:00"/>
    <s v="No action - no reason specified"/>
    <m/>
    <s v=""/>
    <s v=""/>
    <m/>
    <d v="2018-10-01T00:00:00"/>
  </r>
  <r>
    <x v="2"/>
    <s v="Arreola"/>
    <s v="BC8678"/>
    <n v="12127407"/>
    <s v="COR-Facility 03C"/>
    <x v="0"/>
    <s v="BA446149"/>
    <d v="2026-11-04T00:00:00"/>
    <d v="2018-08-21T00:00:00"/>
    <d v="2018-08-21T00:00:00"/>
    <d v="2018-08-22T00:00:00"/>
    <s v="Approved"/>
    <x v="29"/>
    <d v="2018-09-25T00:00:00"/>
    <d v="2018-09-19T00:00:00"/>
    <s v="No action - no reason specified"/>
    <m/>
    <s v=""/>
    <s v=""/>
    <m/>
    <d v="2018-10-01T00:00:00"/>
  </r>
  <r>
    <x v="2"/>
    <s v="Gonzales"/>
    <s v="AN0069"/>
    <n v="11306622"/>
    <s v="COCF-La Palma CC, Arizona (AZ2)"/>
    <x v="8"/>
    <s v="RIF1201498"/>
    <d v="2020-12-29T00:00:00"/>
    <d v="2018-09-04T00:00:00"/>
    <d v="2018-09-04T00:00:00"/>
    <d v="2018-09-12T00:00:00"/>
    <s v="Approved"/>
    <x v="3"/>
    <d v="2018-09-28T00:00:00"/>
    <d v="2018-09-21T00:00:00"/>
    <s v="No action - no reason specified"/>
    <m/>
    <s v=""/>
    <s v=""/>
    <m/>
    <d v="2018-10-01T00:00:00"/>
  </r>
  <r>
    <x v="1"/>
    <s v="Millard"/>
    <s v="AR2798"/>
    <n v="11125448"/>
    <s v="COCF-La Palma "/>
    <x v="10"/>
    <s v="SCD244053"/>
    <d v="2042-08-31T00:00:00"/>
    <d v="2018-08-23T00:00:00"/>
    <d v="2018-08-24T00:00:00"/>
    <d v="2018-08-27T00:00:00"/>
    <s v="Approved"/>
    <x v="2"/>
    <d v="2018-10-01T00:00:00"/>
    <d v="2018-09-24T00:00:00"/>
    <s v="No action - reason provided"/>
    <m/>
    <s v=""/>
    <s v=""/>
    <s v="Recall/Resent not warranted due to leniency of court"/>
    <d v="2018-10-03T00:00:00"/>
  </r>
  <r>
    <x v="2"/>
    <s v="Rodriguez"/>
    <s v="T96844"/>
    <n v="11956110"/>
    <s v="PBSP-Facility B"/>
    <x v="0"/>
    <s v="BA278185"/>
    <d v="2020-12-27T00:00:00"/>
    <d v="2018-08-27T00:00:00"/>
    <d v="2018-08-27T00:00:00"/>
    <d v="2018-09-12T00:00:00"/>
    <s v="Approved"/>
    <x v="43"/>
    <d v="2019-03-13T00:00:00"/>
    <d v="2018-09-25T00:00:00"/>
    <s v="No action - due to plea"/>
    <m/>
    <s v=""/>
    <s v=""/>
    <m/>
    <d v="2019-03-13T00:00:00"/>
  </r>
  <r>
    <x v="3"/>
    <s v="Melgoza"/>
    <s v="T28288"/>
    <n v="11917247"/>
    <s v="ASP-Facility A"/>
    <x v="13"/>
    <s v="BF103063A"/>
    <d v="2026-04-25T00:00:00"/>
    <d v="2018-02-05T00:00:00"/>
    <d v="2018-02-05T00:00:00"/>
    <d v="2018-02-12T00:00:00"/>
    <s v="Approved"/>
    <x v="5"/>
    <d v="2018-10-22T00:00:00"/>
    <d v="2018-09-26T00:00:00"/>
    <s v="No action - no reason specified"/>
    <m/>
    <s v=""/>
    <s v=""/>
    <m/>
    <d v="2018-10-23T00:00:00"/>
  </r>
  <r>
    <x v="2"/>
    <s v="Hernandez"/>
    <s v="AC5806"/>
    <n v="11337677"/>
    <s v="CCC-MSF"/>
    <x v="24"/>
    <n v="1244022"/>
    <d v="2021-05-03T00:00:00"/>
    <d v="2018-06-19T00:00:00"/>
    <d v="2018-06-19T00:00:00"/>
    <d v="2018-07-02T00:00:00"/>
    <s v="Approved"/>
    <x v="18"/>
    <d v="2019-03-28T00:00:00"/>
    <d v="2018-07-31T00:00:00"/>
    <s v="Reduced"/>
    <n v="730"/>
    <n v="2"/>
    <n v="16518"/>
    <s v="reduced by 2 years"/>
    <d v="2019-03-28T00:00:00"/>
  </r>
  <r>
    <x v="5"/>
    <s v="Vargas"/>
    <s v="AZ8780"/>
    <n v="11889765"/>
    <s v="PVSP-Facility C"/>
    <x v="13"/>
    <s v="DF012197"/>
    <d v="2038-03-02T00:00:00"/>
    <d v="2018-07-18T00:00:00"/>
    <d v="2018-07-20T00:00:00"/>
    <d v="2018-08-01T00:00:00"/>
    <s v="Approved"/>
    <x v="38"/>
    <d v="2018-10-22T00:00:00"/>
    <d v="2018-09-26T00:00:00"/>
    <s v="No action - no reason specified"/>
    <m/>
    <s v=""/>
    <s v=""/>
    <m/>
    <d v="2018-10-23T00:00:00"/>
  </r>
  <r>
    <x v="2"/>
    <s v="Edwards"/>
    <s v="AT2814"/>
    <n v="11375262"/>
    <s v="PUMCCF - Taft"/>
    <x v="8"/>
    <s v="RIF1303394"/>
    <d v="2021-06-18T00:00:00"/>
    <d v="2018-06-19T00:00:00"/>
    <d v="2018-06-19T00:00:00"/>
    <d v="2018-07-02T00:00:00"/>
    <s v="Approved"/>
    <x v="18"/>
    <d v="2020-10-27T00:00:00"/>
    <d v="2018-08-31T00:00:00"/>
    <s v="No action - no reason specified"/>
    <m/>
    <s v=""/>
    <s v=""/>
    <m/>
    <d v="2020-10-27T00:00:00"/>
  </r>
  <r>
    <x v="2"/>
    <s v="Navarro"/>
    <s v="AX7343"/>
    <n v="11044182"/>
    <s v="ISP-Facility C"/>
    <x v="0"/>
    <s v="VA132593-01"/>
    <d v="2020-11-02T00:00:00"/>
    <d v="2018-06-19T00:00:00"/>
    <d v="2018-06-19T00:00:00"/>
    <d v="2018-07-02T00:00:00"/>
    <s v="Approved"/>
    <x v="18"/>
    <m/>
    <m/>
    <m/>
    <m/>
    <s v=""/>
    <s v=""/>
    <s v="Active Parole"/>
    <d v="2020-06-11T00:00:00"/>
  </r>
  <r>
    <x v="8"/>
    <s v="Higgins"/>
    <s v="AP5143"/>
    <n v="11315856"/>
    <s v="CTF-Facility A"/>
    <x v="10"/>
    <s v="SCN277498"/>
    <d v="2034-11-16T00:00:00"/>
    <d v="2018-08-01T00:00:00"/>
    <d v="2018-08-14T00:00:00"/>
    <d v="2018-08-15T00:00:00"/>
    <s v="Approved"/>
    <x v="17"/>
    <d v="2018-10-01T00:00:00"/>
    <d v="2018-09-26T00:00:00"/>
    <s v="No action - due to plea"/>
    <m/>
    <s v=""/>
    <s v=""/>
    <m/>
    <d v="2018-10-03T00:00:00"/>
  </r>
  <r>
    <x v="2"/>
    <s v="Flores"/>
    <s v="BB5350"/>
    <n v="12161971"/>
    <s v="CAC-Facility B"/>
    <x v="0"/>
    <s v="BA391531-02"/>
    <d v="2021-03-19T00:00:00"/>
    <d v="2018-06-19T00:00:00"/>
    <d v="2018-06-19T00:00:00"/>
    <d v="2018-07-02T00:00:00"/>
    <s v="Approved"/>
    <x v="18"/>
    <m/>
    <m/>
    <m/>
    <m/>
    <s v=""/>
    <s v=""/>
    <s v="Active Parole"/>
    <d v="2020-01-04T00:00:00"/>
  </r>
  <r>
    <x v="2"/>
    <s v="Bolanos"/>
    <s v="AE6393"/>
    <n v="11350567"/>
    <s v="DVI-Facility A"/>
    <x v="0"/>
    <s v="GA070933-03"/>
    <d v="2020-11-17T00:00:00"/>
    <d v="2018-06-19T00:00:00"/>
    <d v="2018-06-19T00:00:00"/>
    <d v="2018-07-02T00:00:00"/>
    <s v="Approved"/>
    <x v="18"/>
    <d v="2019-01-25T00:00:00"/>
    <d v="2019-01-17T00:00:00"/>
    <s v="Reduced"/>
    <n v="365"/>
    <n v="1"/>
    <n v="8259"/>
    <s v="reduced by 1 year"/>
    <d v="2019-01-25T00:00:00"/>
  </r>
  <r>
    <x v="2"/>
    <s v="Negrete"/>
    <s v="F88763"/>
    <n v="11603086"/>
    <s v="CRC-Facility C"/>
    <x v="9"/>
    <s v="FVI902085"/>
    <d v="2021-08-17T00:00:00"/>
    <d v="2018-08-23T00:00:00"/>
    <d v="2018-08-23T00:00:00"/>
    <d v="2018-08-29T00:00:00"/>
    <s v="Approved"/>
    <x v="23"/>
    <d v="2018-10-01T00:00:00"/>
    <d v="2018-09-26T00:00:00"/>
    <s v="No action - no reason specified"/>
    <m/>
    <s v=""/>
    <s v=""/>
    <m/>
    <d v="2018-10-03T00:00:00"/>
  </r>
  <r>
    <x v="2"/>
    <s v="Chithavong"/>
    <s v="V37022"/>
    <n v="11979442"/>
    <s v="ASP-Facility C"/>
    <x v="10"/>
    <s v="SCD181219"/>
    <d v="2021-01-16T00:00:00"/>
    <d v="2018-06-19T00:00:00"/>
    <d v="2018-06-19T00:00:00"/>
    <d v="2018-07-02T00:00:00"/>
    <s v="Approved"/>
    <x v="18"/>
    <m/>
    <m/>
    <m/>
    <m/>
    <s v=""/>
    <s v=""/>
    <s v="Active Parole"/>
    <d v="2020-07-31T00:00:00"/>
  </r>
  <r>
    <x v="2"/>
    <s v="Acosta"/>
    <s v="AL6241"/>
    <n v="11297598"/>
    <s v="CMC-Facility A"/>
    <x v="0"/>
    <s v="NA090650-02"/>
    <d v="2022-10-12T00:00:00"/>
    <d v="2018-06-19T00:00:00"/>
    <d v="2018-06-19T00:00:00"/>
    <d v="2018-07-02T00:00:00"/>
    <s v="Approved"/>
    <x v="18"/>
    <m/>
    <m/>
    <m/>
    <m/>
    <s v=""/>
    <s v=""/>
    <m/>
    <m/>
  </r>
  <r>
    <x v="2"/>
    <s v="Granados"/>
    <s v="AT0462"/>
    <n v="12111515"/>
    <s v="PUMCCF-Shafter"/>
    <x v="0"/>
    <s v="BA406579"/>
    <d v="2022-09-18T00:00:00"/>
    <d v="2018-06-19T00:00:00"/>
    <d v="2018-06-19T00:00:00"/>
    <d v="2018-07-18T00:00:00"/>
    <s v="Approved"/>
    <x v="28"/>
    <m/>
    <m/>
    <m/>
    <m/>
    <s v=""/>
    <s v=""/>
    <m/>
    <m/>
  </r>
  <r>
    <x v="2"/>
    <s v="Garcia"/>
    <s v="AM7058"/>
    <n v="11304726"/>
    <s v="PUMCCF-Taft"/>
    <x v="24"/>
    <n v="1250685"/>
    <d v="2022-06-24T00:00:00"/>
    <d v="2018-06-19T00:00:00"/>
    <d v="2018-06-19T00:00:00"/>
    <d v="2018-07-18T00:00:00"/>
    <s v="Approved"/>
    <x v="28"/>
    <d v="2019-05-16T00:00:00"/>
    <d v="2019-05-13T00:00:00"/>
    <s v="Reduced"/>
    <n v="1095"/>
    <n v="3"/>
    <n v="24777"/>
    <s v="reduced by 3 years"/>
    <d v="2019-05-23T00:00:00"/>
  </r>
  <r>
    <x v="2"/>
    <s v="Garcia"/>
    <s v="F35246"/>
    <n v="11570109"/>
    <s v="SOL-Facility A"/>
    <x v="12"/>
    <s v="CC596372"/>
    <d v="2020-03-12T00:00:00"/>
    <d v="2018-06-19T00:00:00"/>
    <d v="2018-06-19T00:00:00"/>
    <d v="2018-06-27T00:00:00"/>
    <s v="Approved"/>
    <x v="16"/>
    <d v="2018-08-07T00:00:00"/>
    <d v="2018-08-06T00:00:00"/>
    <s v="Released"/>
    <n v="1095"/>
    <n v="3"/>
    <n v="24777"/>
    <s v="reduced 3 years, released 08/14/2018"/>
    <d v="2018-08-08T00:00:00"/>
  </r>
  <r>
    <x v="2"/>
    <s v="Rodarte"/>
    <s v="G46407"/>
    <n v="11639215"/>
    <s v="SATF-Facility D"/>
    <x v="0"/>
    <s v="VA106941-02"/>
    <d v="2022-07-12T00:00:00"/>
    <d v="2018-06-19T00:00:00"/>
    <d v="2018-06-19T00:00:00"/>
    <d v="2018-07-11T00:00:00"/>
    <s v="Approved"/>
    <x v="19"/>
    <m/>
    <m/>
    <m/>
    <m/>
    <s v=""/>
    <s v=""/>
    <m/>
    <m/>
  </r>
  <r>
    <x v="2"/>
    <s v="Avila"/>
    <s v="G67924"/>
    <n v="1162498"/>
    <s v="VSP-Facility A"/>
    <x v="8"/>
    <s v="RIF123808"/>
    <d v="2021-04-09T00:00:00"/>
    <d v="2018-06-19T00:00:00"/>
    <d v="2018-06-19T00:00:00"/>
    <d v="2018-07-02T00:00:00"/>
    <s v="Approved"/>
    <x v="18"/>
    <m/>
    <m/>
    <m/>
    <m/>
    <s v=""/>
    <s v=""/>
    <m/>
    <m/>
  </r>
  <r>
    <x v="2"/>
    <s v="Moreno"/>
    <s v="G26162"/>
    <n v="11626468"/>
    <s v="SATF-Facility G"/>
    <x v="20"/>
    <s v="H43946A"/>
    <d v="2020-07-24T00:00:00"/>
    <d v="2018-06-19T00:00:00"/>
    <d v="2018-06-19T00:00:00"/>
    <d v="2018-06-27T00:00:00"/>
    <s v="Approved"/>
    <x v="16"/>
    <d v="2018-09-12T00:00:00"/>
    <d v="2018-08-16T00:00:00"/>
    <s v="Released"/>
    <n v="1095"/>
    <n v="3"/>
    <n v="24777"/>
    <s v="reduced by 3 years, released 10/04/2018"/>
    <d v="2018-09-27T00:00:00"/>
  </r>
  <r>
    <x v="2"/>
    <s v="Bolanos"/>
    <s v="G60527"/>
    <n v="11648213"/>
    <s v="ISP-Facility C"/>
    <x v="0"/>
    <s v="GA070933-02"/>
    <d v="2020-04-02T00:00:00"/>
    <d v="2018-06-19T00:00:00"/>
    <d v="2018-06-19T00:00:00"/>
    <d v="2018-06-27T00:00:00"/>
    <s v="Approved"/>
    <x v="16"/>
    <d v="2018-12-12T00:00:00"/>
    <d v="2018-11-30T00:00:00"/>
    <s v="Reduced"/>
    <n v="1095"/>
    <n v="3"/>
    <n v="24777"/>
    <s v="reduced 3 years, Paroled 02/02/2019"/>
    <d v="2018-12-18T00:00:00"/>
  </r>
  <r>
    <x v="2"/>
    <s v="Alonzo"/>
    <s v="V26646"/>
    <n v="11973252"/>
    <s v="FOL-Facility A"/>
    <x v="12"/>
    <s v="CC596372"/>
    <d v="2021-07-14T00:00:00"/>
    <d v="2018-06-19T00:00:00"/>
    <d v="2018-06-19T00:00:00"/>
    <d v="2018-07-02T00:00:00"/>
    <s v="Approved"/>
    <x v="18"/>
    <d v="2019-03-28T00:00:00"/>
    <d v="2018-08-06T00:00:00"/>
    <s v="Reduced"/>
    <n v="1095"/>
    <n v="3"/>
    <n v="24777"/>
    <s v="reduced by 3 years"/>
    <d v="2019-03-28T00:00:00"/>
  </r>
  <r>
    <x v="2"/>
    <s v="Lobretto"/>
    <s v="V61301"/>
    <n v="11993927"/>
    <s v="CMC-Facility G"/>
    <x v="19"/>
    <s v="01CM2044"/>
    <d v="2023-12-15T00:00:00"/>
    <d v="2018-06-21T00:00:00"/>
    <d v="2018-06-21T00:00:00"/>
    <d v="2018-07-02T00:00:00"/>
    <s v="Approved"/>
    <x v="18"/>
    <m/>
    <m/>
    <m/>
    <m/>
    <s v=""/>
    <s v=""/>
    <s v="Active Parole"/>
    <d v="2019-09-23T00:00:00"/>
  </r>
  <r>
    <x v="2"/>
    <s v="Leon"/>
    <s v="F76404"/>
    <n v="11595249"/>
    <s v="NKSP-MSF"/>
    <x v="12"/>
    <s v="CC641562"/>
    <d v="2020-03-14T00:00:00"/>
    <d v="2018-06-19T00:00:00"/>
    <d v="2018-06-18T00:00:00"/>
    <d v="2018-06-27T00:00:00"/>
    <s v="Approved"/>
    <x v="16"/>
    <d v="2018-10-10T00:00:00"/>
    <d v="2018-09-28T00:00:00"/>
    <s v="Released"/>
    <n v="1095"/>
    <n v="3"/>
    <n v="24777"/>
    <s v="reduced by 3 years/Released 10/15/18"/>
    <d v="2018-10-10T00:00:00"/>
  </r>
  <r>
    <x v="2"/>
    <s v="Rivas"/>
    <s v="AG6385"/>
    <n v="11362791"/>
    <s v="ISP-Facility C"/>
    <x v="0"/>
    <s v="BA354035-02"/>
    <d v="2023-02-01T00:00:00"/>
    <d v="2018-06-21T00:00:00"/>
    <d v="2018-06-21T00:00:00"/>
    <d v="2018-07-02T00:00:00"/>
    <s v="Approved"/>
    <x v="18"/>
    <d v="2018-10-22T00:00:00"/>
    <d v="2018-10-09T00:00:00"/>
    <s v="Reduced"/>
    <n v="1095"/>
    <n v="3"/>
    <n v="24777"/>
    <m/>
    <d v="2018-10-22T00:00:00"/>
  </r>
  <r>
    <x v="2"/>
    <s v="Almeida"/>
    <s v="G30247"/>
    <n v="11628895"/>
    <s v="HDSP-Facility C"/>
    <x v="11"/>
    <s v="VCF199028"/>
    <d v="2023-01-25T00:00:00"/>
    <d v="2018-06-21T00:00:00"/>
    <d v="2018-06-21T00:00:00"/>
    <d v="2018-07-02T00:00:00"/>
    <s v="Approved"/>
    <x v="18"/>
    <d v="2018-08-16T00:00:00"/>
    <d v="2018-08-10T00:00:00"/>
    <s v="Reduced"/>
    <n v="730"/>
    <n v="2"/>
    <n v="16518"/>
    <m/>
    <d v="2018-09-05T00:00:00"/>
  </r>
  <r>
    <x v="6"/>
    <s v="Harris"/>
    <s v="K08294"/>
    <n v="11137200"/>
    <s v="SAC-Facility B"/>
    <x v="25"/>
    <s v="F324116"/>
    <d v="2023-07-30T00:00:00"/>
    <d v="2018-06-21T00:00:00"/>
    <d v="2018-06-21T00:00:00"/>
    <d v="2018-07-18T00:00:00"/>
    <s v="Approved"/>
    <x v="28"/>
    <d v="2018-09-17T00:00:00"/>
    <d v="2018-09-24T00:00:00"/>
    <s v="Reduced"/>
    <n v="1215"/>
    <n v="3.3287671232876712"/>
    <n v="27492.287671232876"/>
    <s v="3 years 4 months"/>
    <d v="2018-09-24T00:00:00"/>
  </r>
  <r>
    <x v="6"/>
    <s v="Huerta "/>
    <s v="G41188"/>
    <n v="11635906"/>
    <s v="CCI-Facility A"/>
    <x v="13"/>
    <s v=" MR012550C"/>
    <d v="2022-10-14T00:00:00"/>
    <d v="2018-06-21T00:00:00"/>
    <d v="2018-06-21T00:00:00"/>
    <d v="2018-07-18T00:00:00"/>
    <s v="Approved"/>
    <x v="28"/>
    <d v="2018-09-26T00:00:00"/>
    <d v="2018-09-19T00:00:00"/>
    <s v="Reduced"/>
    <n v="485"/>
    <n v="1.3287671232876712"/>
    <n v="10974.287671232876"/>
    <m/>
    <d v="2018-10-01T00:00:00"/>
  </r>
  <r>
    <x v="6"/>
    <s v="Herrera"/>
    <s v="P23973"/>
    <n v="11230734"/>
    <s v="CRC-Facility D"/>
    <x v="9"/>
    <s v="FCH1200347"/>
    <d v="2022-11-13T00:00:00"/>
    <d v="2018-06-21T00:00:00"/>
    <d v="2018-06-21T00:00:00"/>
    <d v="2018-07-18T00:00:00"/>
    <s v="Approved"/>
    <x v="28"/>
    <d v="2018-11-19T00:00:00"/>
    <d v="2018-11-13T00:00:00"/>
    <s v="Reduced"/>
    <n v="730"/>
    <n v="2"/>
    <n v="16518"/>
    <s v="reduced 2 years"/>
    <d v="2018-11-29T00:00:00"/>
  </r>
  <r>
    <x v="6"/>
    <s v="Sanders"/>
    <s v="X15891"/>
    <n v="10246927"/>
    <s v="CIW-Facility A"/>
    <x v="9"/>
    <s v="FWV17000119"/>
    <d v="2023-01-14T00:00:00"/>
    <d v="2018-06-21T00:00:00"/>
    <d v="2018-06-21T00:00:00"/>
    <d v="2018-07-18T00:00:00"/>
    <s v="Approved"/>
    <x v="28"/>
    <d v="2018-08-15T00:00:00"/>
    <d v="2018-08-09T00:00:00"/>
    <s v="Reduced"/>
    <n v="365"/>
    <n v="1"/>
    <n v="8259"/>
    <m/>
    <d v="2018-08-28T00:00:00"/>
  </r>
  <r>
    <x v="6"/>
    <s v="Hart"/>
    <s v="WE8925"/>
    <n v="11040265"/>
    <s v="CCWF-Facility C"/>
    <x v="9"/>
    <s v="FWV1303448"/>
    <d v="2023-04-01T00:00:00"/>
    <d v="2018-06-21T00:00:00"/>
    <d v="2018-06-21T00:00:00"/>
    <d v="2018-07-18T00:00:00"/>
    <s v="Approved"/>
    <x v="28"/>
    <d v="2018-08-23T00:00:00"/>
    <d v="2018-08-15T00:00:00"/>
    <s v="Reduced"/>
    <n v="365"/>
    <n v="1"/>
    <n v="8259"/>
    <m/>
    <d v="2018-08-28T00:00:00"/>
  </r>
  <r>
    <x v="6"/>
    <s v="Baltierra"/>
    <s v="V47379"/>
    <n v="11985607"/>
    <s v="KVSP-Facility Z02"/>
    <x v="22"/>
    <s v="JCF34814"/>
    <d v="2023-11-07T00:00:00"/>
    <d v="2018-06-21T00:00:00"/>
    <d v="2018-06-21T00:00:00"/>
    <d v="2018-07-18T00:00:00"/>
    <s v="Approved"/>
    <x v="28"/>
    <d v="2018-09-14T00:00:00"/>
    <d v="2018-09-12T00:00:00"/>
    <s v="Reduced"/>
    <n v="1461"/>
    <n v="4.0027397260273974"/>
    <n v="33058.627397260272"/>
    <s v="reduced 4 years"/>
    <d v="2018-09-17T00:00:00"/>
  </r>
  <r>
    <x v="6"/>
    <s v="Zuniga"/>
    <s v="AM3314"/>
    <n v="11984447"/>
    <s v="SAC-Facility B"/>
    <x v="0"/>
    <s v="MA068687-01"/>
    <d v="2025-02-28T00:00:00"/>
    <d v="2018-06-21T00:00:00"/>
    <d v="2018-06-21T00:00:00"/>
    <d v="2018-07-18T00:00:00"/>
    <s v="Approved"/>
    <x v="28"/>
    <d v="2018-10-18T00:00:00"/>
    <d v="2018-10-10T00:00:00"/>
    <s v="Reduced"/>
    <n v="730"/>
    <n v="2"/>
    <n v="16518"/>
    <s v="reduced 2 years"/>
    <d v="2018-10-22T00:00:00"/>
  </r>
  <r>
    <x v="6"/>
    <s v="Rivas"/>
    <s v="P70183"/>
    <n v="1131505"/>
    <s v="LAC-Facility C"/>
    <x v="0"/>
    <s v="MA067880-01"/>
    <d v="2025-03-03T00:00:00"/>
    <d v="2018-06-21T00:00:00"/>
    <d v="2018-06-21T00:00:00"/>
    <d v="2018-07-18T00:00:00"/>
    <s v="Approved"/>
    <x v="28"/>
    <d v="2018-10-29T00:00:00"/>
    <d v="2018-10-12T00:00:00"/>
    <s v="Reduced"/>
    <n v="730"/>
    <n v="2"/>
    <n v="16518"/>
    <s v="reduced 2 years"/>
    <d v="2018-11-01T00:00:00"/>
  </r>
  <r>
    <x v="8"/>
    <s v="Sample"/>
    <s v="AE9923"/>
    <n v="11352777"/>
    <s v="CTF-Facility B"/>
    <x v="10"/>
    <s v="SCD224512"/>
    <d v="2043-03-14T00:00:00"/>
    <d v="2018-08-01T00:00:00"/>
    <d v="2018-08-14T00:00:00"/>
    <d v="2018-08-15T00:00:00"/>
    <s v="Approved"/>
    <x v="17"/>
    <d v="2018-10-01T00:00:00"/>
    <d v="2018-09-27T00:00:00"/>
    <s v="No action - reason provided"/>
    <m/>
    <s v=""/>
    <s v=""/>
    <s v="Two diff occassions/sent correct"/>
    <d v="2018-10-03T00:00:00"/>
  </r>
  <r>
    <x v="2"/>
    <s v="Vasquez"/>
    <s v="BA7630"/>
    <n v="11651604"/>
    <s v="WSP-Facility D"/>
    <x v="0"/>
    <s v="GA096019-01"/>
    <d v="2026-06-29T00:00:00"/>
    <d v="2018-08-23T00:00:00"/>
    <d v="2018-08-23T00:00:00"/>
    <d v="2018-08-29T00:00:00"/>
    <s v="Approved"/>
    <x v="23"/>
    <d v="2018-10-04T00:00:00"/>
    <d v="2018-09-27T00:00:00"/>
    <s v="No action - reason provided"/>
    <m/>
    <s v=""/>
    <s v=""/>
    <s v="The case law cited is distinguishable and not controlling."/>
    <d v="2018-10-04T00:00:00"/>
  </r>
  <r>
    <x v="3"/>
    <s v="Deharo"/>
    <s v="T44423"/>
    <n v="11926343"/>
    <s v="COR-Facility 03C"/>
    <x v="8"/>
    <s v="RIF096847"/>
    <d v="2024-05-08T00:00:00"/>
    <d v="2018-06-11T00:00:00"/>
    <d v="2018-06-12T00:00:00"/>
    <d v="2018-06-27T00:00:00"/>
    <s v="Approved"/>
    <x v="16"/>
    <d v="2018-10-24T00:00:00"/>
    <d v="2018-09-28T00:00:00"/>
    <s v="No action - no reason specified"/>
    <m/>
    <s v=""/>
    <s v=""/>
    <m/>
    <d v="2018-10-24T00:00:00"/>
  </r>
  <r>
    <x v="3"/>
    <s v="Roa"/>
    <s v="T24491"/>
    <n v="11915116"/>
    <s v="CEN-Facility C"/>
    <x v="8"/>
    <s v="RIF091711"/>
    <d v="2024-10-30T00:00:00"/>
    <d v="2018-06-11T00:00:00"/>
    <d v="2018-06-12T00:00:00"/>
    <d v="2018-06-27T00:00:00"/>
    <s v="Approved"/>
    <x v="16"/>
    <d v="2019-03-28T00:00:00"/>
    <d v="2018-09-28T00:00:00"/>
    <s v="No action - due to plea"/>
    <m/>
    <s v=""/>
    <s v=""/>
    <m/>
    <d v="2019-03-28T00:00:00"/>
  </r>
  <r>
    <x v="2"/>
    <s v="Cline"/>
    <s v="AM0951"/>
    <n v="11300904"/>
    <s v="CCI-Facility C"/>
    <x v="8"/>
    <s v="RIF1102114"/>
    <d v="2020-05-28T00:00:00"/>
    <d v="2018-06-19T00:00:00"/>
    <d v="2018-06-19T00:00:00"/>
    <d v="2018-06-27T00:00:00"/>
    <s v="Approved"/>
    <x v="16"/>
    <d v="2018-08-14T00:00:00"/>
    <d v="2018-09-28T00:00:00"/>
    <s v="No action - no reason specified"/>
    <m/>
    <s v=""/>
    <s v=""/>
    <s v="Motion denied, no reason"/>
    <d v="2018-11-01T00:00:00"/>
  </r>
  <r>
    <x v="3"/>
    <s v="Espitia"/>
    <s v="AU8701"/>
    <n v="12121856"/>
    <s v="PVSP-Facility A"/>
    <x v="11"/>
    <s v="VCF280353B"/>
    <d v="2034-07-15T00:00:00"/>
    <d v="2018-07-25T00:00:00"/>
    <d v="2018-07-25T00:00:00"/>
    <d v="2018-08-07T00:00:00"/>
    <s v="Approved"/>
    <x v="42"/>
    <d v="2019-03-08T00:00:00"/>
    <d v="2018-09-28T00:00:00"/>
    <s v="No action - reason provided"/>
    <m/>
    <s v=""/>
    <s v=""/>
    <s v="Court declined "/>
    <d v="2019-03-08T00:00:00"/>
  </r>
  <r>
    <x v="8"/>
    <s v="Hodges"/>
    <s v="AW4223"/>
    <n v="12131160"/>
    <s v="VSP-Facility B"/>
    <x v="31"/>
    <s v="14F1380"/>
    <d v="2023-01-10T00:00:00"/>
    <d v="2018-08-01T00:00:00"/>
    <d v="2018-08-14T00:00:00"/>
    <d v="2018-08-22T00:00:00"/>
    <s v="Approved"/>
    <x v="29"/>
    <d v="2018-10-04T00:00:00"/>
    <d v="2018-09-28T00:00:00"/>
    <s v="No action - due to plea"/>
    <m/>
    <s v=""/>
    <s v=""/>
    <m/>
    <d v="2018-10-03T00:00:00"/>
  </r>
  <r>
    <x v="2"/>
    <s v="Saenz"/>
    <s v="V18152"/>
    <n v="11968461"/>
    <s v="HDSP-Facility B"/>
    <x v="3"/>
    <s v="F03902925-7"/>
    <d v="2023-02-25T00:00:00"/>
    <d v="2018-09-05T00:00:00"/>
    <d v="2018-09-05T00:00:00"/>
    <d v="2018-09-19T00:00:00"/>
    <s v="Approved"/>
    <x v="45"/>
    <d v="2018-10-10T00:00:00"/>
    <d v="2018-09-28T00:00:00"/>
    <s v="No action - due to plea"/>
    <m/>
    <s v=""/>
    <s v=""/>
    <d v="2018-09-28T00:00:00"/>
    <d v="2018-12-07T00:00:00"/>
  </r>
  <r>
    <x v="2"/>
    <s v="Facundo"/>
    <s v="AI6854"/>
    <n v="11375497"/>
    <s v="KVSP-Facility Z01-STRH"/>
    <x v="21"/>
    <s v="SF118024A"/>
    <d v="2021-09-15T00:00:00"/>
    <d v="2018-09-05T00:00:00"/>
    <d v="2018-09-05T00:00:00"/>
    <d v="2018-09-19T00:00:00"/>
    <s v="Approved"/>
    <x v="45"/>
    <d v="2018-10-04T00:00:00"/>
    <d v="2018-09-28T00:00:00"/>
    <s v="No action - no reason specified"/>
    <m/>
    <s v=""/>
    <s v=""/>
    <m/>
    <d v="2018-10-04T00:00:00"/>
  </r>
  <r>
    <x v="2"/>
    <s v="Perez"/>
    <s v="T97718"/>
    <n v="11956623"/>
    <s v="CEN-MSF"/>
    <x v="0"/>
    <s v="BA242198"/>
    <d v="2022-10-11T00:00:00"/>
    <d v="2018-06-21T00:00:00"/>
    <d v="2018-06-21T00:00:00"/>
    <d v="2018-07-02T00:00:00"/>
    <s v="Approved"/>
    <x v="18"/>
    <m/>
    <m/>
    <m/>
    <m/>
    <s v=""/>
    <s v=""/>
    <m/>
    <m/>
  </r>
  <r>
    <x v="2"/>
    <s v="Parra"/>
    <s v="F79644"/>
    <n v="11597295"/>
    <s v="KVSP-Facility C"/>
    <x v="19"/>
    <s v="06CM7602"/>
    <d v="2025-03-11T00:00:00"/>
    <d v="2018-06-21T00:00:00"/>
    <d v="2018-06-21T00:00:00"/>
    <d v="2018-07-02T00:00:00"/>
    <s v="Approved"/>
    <x v="18"/>
    <d v="2020-03-05T00:00:00"/>
    <d v="2020-02-27T00:00:00"/>
    <s v="Reduced"/>
    <n v="1095.75"/>
    <n v="3.0020547945205478"/>
    <n v="24793.970547945206"/>
    <m/>
    <d v="2020-03-09T00:00:00"/>
  </r>
  <r>
    <x v="2"/>
    <s v="Morales"/>
    <s v="F87852"/>
    <n v="11602513"/>
    <s v="PVSP-Facility A"/>
    <x v="12"/>
    <s v="FF513517"/>
    <d v="2025-02-12T00:00:00"/>
    <d v="2018-06-21T00:00:00"/>
    <d v="2018-06-21T00:00:00"/>
    <d v="2018-07-02T00:00:00"/>
    <s v="Approved"/>
    <x v="18"/>
    <d v="2020-02-06T00:00:00"/>
    <d v="2019-09-16T00:00:00"/>
    <s v="No action - no reason specified"/>
    <m/>
    <s v=""/>
    <s v=""/>
    <m/>
    <d v="2020-02-07T00:00:00"/>
  </r>
  <r>
    <x v="2"/>
    <s v="Chavez"/>
    <s v="AP4664"/>
    <n v="11315574"/>
    <s v="CAL-Facility D"/>
    <x v="8"/>
    <s v="RIF1204540"/>
    <d v="2024-12-15T00:00:00"/>
    <d v="2018-06-21T00:00:00"/>
    <d v="2018-06-21T00:00:00"/>
    <d v="2018-07-02T00:00:00"/>
    <s v="Approved"/>
    <x v="18"/>
    <d v="2020-10-20T00:00:00"/>
    <d v="2020-09-17T00:00:00"/>
    <s v="No action - due to plea"/>
    <m/>
    <s v=""/>
    <s v=""/>
    <m/>
    <d v="2020-10-20T00:00:00"/>
  </r>
  <r>
    <x v="2"/>
    <s v="Contreras"/>
    <s v="AI3995"/>
    <n v="11373782"/>
    <s v="HDSP-Facility C"/>
    <x v="8"/>
    <s v="SWF025883"/>
    <d v="2024-11-27T00:00:00"/>
    <d v="2018-06-21T00:00:00"/>
    <d v="2018-06-21T00:00:00"/>
    <d v="2018-07-02T00:00:00"/>
    <s v="Approved"/>
    <x v="18"/>
    <d v="2021-04-15T00:00:00"/>
    <d v="2021-04-01T00:00:00"/>
    <s v="No action - no reason specified"/>
    <m/>
    <s v=""/>
    <s v=""/>
    <m/>
    <d v="2021-04-15T00:00:00"/>
  </r>
  <r>
    <x v="2"/>
    <s v="Espinoza"/>
    <s v="BA4911"/>
    <n v="12155639"/>
    <s v="NKSP-Facility A"/>
    <x v="8"/>
    <s v="RIF1403273"/>
    <d v="2024-07-10T00:00:00"/>
    <d v="2018-06-21T00:00:00"/>
    <d v="2018-06-21T00:00:00"/>
    <d v="2018-07-02T00:00:00"/>
    <s v="Approved"/>
    <x v="18"/>
    <m/>
    <m/>
    <m/>
    <m/>
    <s v=""/>
    <s v=""/>
    <m/>
    <m/>
  </r>
  <r>
    <x v="2"/>
    <s v="Whelan"/>
    <s v="AI4020"/>
    <n v="11373798"/>
    <s v="PVSP-Facility C"/>
    <x v="8"/>
    <s v="SWF025883"/>
    <d v="2024-03-01T00:00:00"/>
    <d v="2018-06-21T00:00:00"/>
    <d v="2018-06-21T00:00:00"/>
    <d v="2018-07-02T00:00:00"/>
    <s v="Approved"/>
    <x v="18"/>
    <d v="2021-04-15T00:00:00"/>
    <d v="2021-04-01T00:00:00"/>
    <s v="No action - no reason specified"/>
    <m/>
    <s v=""/>
    <s v=""/>
    <m/>
    <d v="2021-04-15T00:00:00"/>
  </r>
  <r>
    <x v="6"/>
    <s v="Escobedo"/>
    <s v="AL6438"/>
    <n v="11297780"/>
    <s v="SAC-Facility C"/>
    <x v="30"/>
    <s v="CRF44139"/>
    <d v="2022-10-16T00:00:00"/>
    <d v="2018-06-21T00:00:00"/>
    <d v="2018-06-21T00:00:00"/>
    <d v="2018-07-18T00:00:00"/>
    <s v="Approved"/>
    <x v="28"/>
    <m/>
    <m/>
    <m/>
    <m/>
    <s v=""/>
    <s v=""/>
    <s v="Active Parole"/>
    <d v="2020-06-04T00:00:00"/>
  </r>
  <r>
    <x v="2"/>
    <s v="Ramirez"/>
    <s v="AT1523"/>
    <n v="12112074"/>
    <s v="CAC-Facility C"/>
    <x v="19"/>
    <s v="13CM8853A"/>
    <d v="2023-08-15T00:00:00"/>
    <d v="2018-06-21T00:00:00"/>
    <d v="2018-06-21T00:00:00"/>
    <d v="2018-07-02T00:00:00"/>
    <s v="Approved"/>
    <x v="18"/>
    <m/>
    <m/>
    <m/>
    <m/>
    <s v=""/>
    <s v=""/>
    <m/>
    <m/>
  </r>
  <r>
    <x v="2"/>
    <s v="Quinones"/>
    <s v="P94626"/>
    <n v="11897051"/>
    <s v="ISP-Facility B"/>
    <x v="2"/>
    <s v="98CF0845"/>
    <d v="2023-06-10T00:00:00"/>
    <d v="2018-06-21T00:00:00"/>
    <d v="2018-06-21T00:00:00"/>
    <d v="2018-07-02T00:00:00"/>
    <s v="Approved"/>
    <x v="18"/>
    <m/>
    <m/>
    <m/>
    <m/>
    <s v=""/>
    <s v=""/>
    <m/>
    <m/>
  </r>
  <r>
    <x v="2"/>
    <s v="Vasquez"/>
    <s v="F32025"/>
    <n v="11568189"/>
    <s v="CAL-Facility C"/>
    <x v="0"/>
    <s v="TA131816-01"/>
    <d v="2029-08-21T00:00:00"/>
    <d v="2018-08-23T00:00:00"/>
    <d v="2018-08-23T00:00:00"/>
    <d v="2018-08-29T00:00:00"/>
    <s v="Approved"/>
    <x v="23"/>
    <d v="2018-10-10T00:00:00"/>
    <d v="2018-10-01T00:00:00"/>
    <s v="No action - reason provided"/>
    <m/>
    <s v=""/>
    <s v=""/>
    <s v="The defendant was sentenced pursuant to PC 186.22(B)(1)(B), not PC 186.22(B)(1)(C"/>
    <d v="2018-10-10T00:00:00"/>
  </r>
  <r>
    <x v="2"/>
    <s v="Sanchez"/>
    <s v="G48567"/>
    <n v="11640611"/>
    <s v="CVSP-MSF"/>
    <x v="4"/>
    <s v="MF41867"/>
    <d v="2022-09-30T00:00:00"/>
    <d v="2018-06-21T00:00:00"/>
    <d v="2018-06-21T00:00:00"/>
    <d v="2018-07-02T00:00:00"/>
    <s v="Approved"/>
    <x v="18"/>
    <m/>
    <m/>
    <m/>
    <m/>
    <s v=""/>
    <s v=""/>
    <m/>
    <m/>
  </r>
  <r>
    <x v="6"/>
    <s v="Tillman"/>
    <s v="H49177"/>
    <n v="11094466"/>
    <s v="CMC-Facility C"/>
    <x v="25"/>
    <s v="F482987"/>
    <d v="2023-09-12T00:00:00"/>
    <d v="2018-06-21T00:00:00"/>
    <d v="2018-06-21T00:00:00"/>
    <d v="2018-07-18T00:00:00"/>
    <s v="Approved"/>
    <x v="28"/>
    <d v="2018-10-16T00:00:00"/>
    <d v="2018-10-16T00:00:00"/>
    <s v="Reduced"/>
    <n v="365"/>
    <n v="1"/>
    <n v="8259"/>
    <s v="reduced by 1 year"/>
    <d v="2019-04-04T00:00:00"/>
  </r>
  <r>
    <x v="6"/>
    <s v="Nolkemper"/>
    <s v="D01822"/>
    <n v="11450911"/>
    <s v="SAC-Facility A"/>
    <x v="26"/>
    <s v="04CR6071"/>
    <d v="2022-10-06T00:00:00"/>
    <d v="2018-06-21T00:00:00"/>
    <d v="2018-06-21T00:00:00"/>
    <d v="2018-07-18T00:00:00"/>
    <s v="Approved"/>
    <x v="28"/>
    <m/>
    <m/>
    <m/>
    <m/>
    <s v=""/>
    <s v=""/>
    <m/>
    <m/>
  </r>
  <r>
    <x v="6"/>
    <s v="Valencia"/>
    <s v="AP5150"/>
    <n v="11315847"/>
    <s v="SVSP-Facility I"/>
    <x v="25"/>
    <s v="17F03736"/>
    <d v="2025-11-03T00:00:00"/>
    <d v="2018-06-21T00:00:00"/>
    <d v="2018-06-21T00:00:00"/>
    <d v="2018-07-18T00:00:00"/>
    <s v="Approved"/>
    <x v="28"/>
    <m/>
    <m/>
    <m/>
    <m/>
    <s v=""/>
    <s v=""/>
    <m/>
    <m/>
  </r>
  <r>
    <x v="3"/>
    <s v="Gonzalez"/>
    <s v="T53517"/>
    <n v="11931466"/>
    <s v="PVSP-Facility B"/>
    <x v="0"/>
    <s v="KA051387-01"/>
    <d v="2022-05-25T00:00:00"/>
    <d v="2018-07-25T00:00:00"/>
    <d v="2018-07-25T00:00:00"/>
    <d v="2018-08-07T00:00:00"/>
    <s v="Approved"/>
    <x v="42"/>
    <m/>
    <m/>
    <m/>
    <m/>
    <s v=""/>
    <s v=""/>
    <s v="Active Parole"/>
    <d v="2019-09-22T00:00:00"/>
  </r>
  <r>
    <x v="6"/>
    <s v="Pacheco"/>
    <s v="WE6961"/>
    <n v="11713935"/>
    <s v="CIW-Facility A"/>
    <x v="9"/>
    <s v="16CR040186"/>
    <d v="2023-01-18T00:00:00"/>
    <d v="2018-06-21T00:00:00"/>
    <d v="2018-06-21T00:00:00"/>
    <d v="2018-07-18T00:00:00"/>
    <s v="Approved"/>
    <x v="28"/>
    <m/>
    <m/>
    <m/>
    <m/>
    <s v=""/>
    <s v=""/>
    <m/>
    <m/>
  </r>
  <r>
    <x v="6"/>
    <s v="Harkai"/>
    <s v="V97841"/>
    <n v="12014929"/>
    <s v="LAC-Facility C"/>
    <x v="22"/>
    <s v="JCF31781"/>
    <d v="2023-02-24T00:00:00"/>
    <d v="2018-06-21T00:00:00"/>
    <d v="2018-06-21T00:00:00"/>
    <d v="2018-07-18T00:00:00"/>
    <s v="Approved"/>
    <x v="28"/>
    <d v="2019-06-03T00:00:00"/>
    <d v="2019-05-27T00:00:00"/>
    <s v="Reduced"/>
    <n v="243"/>
    <n v="0.66575342465753429"/>
    <n v="5498.4575342465751"/>
    <s v="reduced by 8 months"/>
    <d v="2019-06-05T00:00:00"/>
  </r>
  <r>
    <x v="6"/>
    <s v="Milne"/>
    <s v="K07998"/>
    <n v="11778528"/>
    <s v="SAC-Facility A"/>
    <x v="26"/>
    <s v="13CR20410"/>
    <d v="2023-08-04T00:00:00"/>
    <d v="2018-06-21T00:00:00"/>
    <d v="2018-06-21T00:00:00"/>
    <d v="2018-07-18T00:00:00"/>
    <s v="Approved"/>
    <x v="28"/>
    <m/>
    <m/>
    <m/>
    <m/>
    <s v=""/>
    <s v=""/>
    <m/>
    <m/>
  </r>
  <r>
    <x v="2"/>
    <s v="Casillas"/>
    <s v="F74546"/>
    <n v="11594133"/>
    <s v="CEN-Facility A"/>
    <x v="0"/>
    <s v="MA053591-01"/>
    <d v="2028-02-13T00:00:00"/>
    <d v="2018-06-22T00:00:00"/>
    <d v="2018-06-22T00:00:00"/>
    <d v="2018-07-11T00:00:00"/>
    <s v="Approved"/>
    <x v="19"/>
    <d v="2018-09-25T00:00:00"/>
    <d v="2018-09-13T00:00:00"/>
    <s v="Reduced"/>
    <n v="1095"/>
    <n v="3"/>
    <n v="24777"/>
    <m/>
    <d v="2018-10-01T00:00:00"/>
  </r>
  <r>
    <x v="2"/>
    <s v="Clopton"/>
    <s v="G53098"/>
    <n v="11643513"/>
    <s v="SQ-Facility A"/>
    <x v="5"/>
    <s v="SCR-540509"/>
    <d v="2025-05-23T00:00:00"/>
    <d v="2018-06-22T00:00:00"/>
    <d v="2018-06-22T00:00:00"/>
    <d v="2018-07-11T00:00:00"/>
    <s v="Approved"/>
    <x v="19"/>
    <d v="2018-10-09T00:00:00"/>
    <d v="2018-10-03T00:00:00"/>
    <s v="Reduced"/>
    <n v="1095"/>
    <n v="3"/>
    <n v="24777"/>
    <m/>
    <d v="2018-10-23T00:00:00"/>
  </r>
  <r>
    <x v="2"/>
    <s v="Newton"/>
    <s v="AK3165"/>
    <n v="11043676"/>
    <s v="SVSP-Facility C"/>
    <x v="0"/>
    <s v="PA068301-02"/>
    <d v="2025-12-07T00:00:00"/>
    <d v="2018-06-22T00:00:00"/>
    <d v="2018-06-22T00:00:00"/>
    <d v="2018-07-11T00:00:00"/>
    <s v="Approved"/>
    <x v="19"/>
    <d v="2018-09-14T00:00:00"/>
    <d v="2018-08-31T00:00:00"/>
    <s v="Reduced"/>
    <n v="365"/>
    <n v="1"/>
    <n v="8259"/>
    <m/>
    <d v="2018-09-17T00:00:00"/>
  </r>
  <r>
    <x v="2"/>
    <s v="Cavesuela"/>
    <s v="AX4240"/>
    <n v="12137023"/>
    <s v="FOL-Facility A"/>
    <x v="16"/>
    <s v="CR-13-01031"/>
    <d v="2026-06-28T00:00:00"/>
    <d v="2018-06-22T00:00:00"/>
    <d v="2018-06-22T00:00:00"/>
    <d v="2018-07-11T00:00:00"/>
    <s v="Approved"/>
    <x v="19"/>
    <d v="2018-08-21T00:00:00"/>
    <d v="2018-08-15T00:00:00"/>
    <s v="Reduced"/>
    <n v="1095"/>
    <n v="3"/>
    <n v="24777"/>
    <m/>
    <d v="2018-08-28T00:00:00"/>
  </r>
  <r>
    <x v="2"/>
    <s v="Tuua"/>
    <s v="AH2175"/>
    <n v="11366364"/>
    <s v="CEN-Facility D"/>
    <x v="10"/>
    <s v="SCN257831"/>
    <d v="2026-11-19T00:00:00"/>
    <d v="2018-06-22T00:00:00"/>
    <d v="2018-06-22T00:00:00"/>
    <d v="2018-07-11T00:00:00"/>
    <s v="Approved"/>
    <x v="19"/>
    <d v="2018-08-29T00:00:00"/>
    <d v="2018-08-22T00:00:00"/>
    <s v="Reduced"/>
    <n v="730"/>
    <n v="2"/>
    <n v="16518"/>
    <m/>
    <d v="2018-08-10T00:00:00"/>
  </r>
  <r>
    <x v="2"/>
    <s v="Hanson"/>
    <s v="V59526"/>
    <n v="11992872"/>
    <s v="SVSP-Facility C"/>
    <x v="11"/>
    <s v="VCF209929A"/>
    <d v="2027-08-12T00:00:00"/>
    <d v="2018-06-22T00:00:00"/>
    <d v="2018-06-22T00:00:00"/>
    <d v="2018-07-11T00:00:00"/>
    <s v="Approved"/>
    <x v="19"/>
    <d v="2018-09-21T00:00:00"/>
    <d v="2018-09-17T00:00:00"/>
    <s v="Reduced"/>
    <n v="243"/>
    <n v="0.66575342465753429"/>
    <n v="5498.4575342465751"/>
    <m/>
    <d v="2018-09-24T00:00:00"/>
  </r>
  <r>
    <x v="2"/>
    <s v="Dubon"/>
    <s v="BA7303"/>
    <n v="12157059"/>
    <s v="ISP-Facility C"/>
    <x v="0"/>
    <s v="BA436574-02"/>
    <d v="2028-04-27T00:00:00"/>
    <d v="2018-06-22T00:00:00"/>
    <d v="2018-06-22T00:00:00"/>
    <d v="2018-07-11T00:00:00"/>
    <s v="Approved"/>
    <x v="19"/>
    <d v="2018-10-10T00:00:00"/>
    <d v="2018-10-02T00:00:00"/>
    <s v="Reduced"/>
    <n v="1095"/>
    <n v="3"/>
    <n v="24777"/>
    <m/>
    <d v="2018-10-11T00:00:00"/>
  </r>
  <r>
    <x v="2"/>
    <s v="Lopez"/>
    <s v="V77166"/>
    <n v="12003276"/>
    <s v="COCF-La Palma CC"/>
    <x v="11"/>
    <s v="VCF134350"/>
    <d v="2029-03-30T00:00:00"/>
    <d v="2018-06-22T00:00:00"/>
    <d v="2018-06-22T00:00:00"/>
    <d v="2018-07-11T00:00:00"/>
    <s v="Approved"/>
    <x v="19"/>
    <d v="2018-10-09T00:00:00"/>
    <d v="2018-09-25T00:00:00"/>
    <s v="No reduction - AOJ corrected"/>
    <m/>
    <s v=""/>
    <s v=""/>
    <s v="Sentenced restructured to remain 24 years."/>
    <d v="2018-09-25T00:00:00"/>
  </r>
  <r>
    <x v="2"/>
    <s v="Hernandez"/>
    <s v="WE9501"/>
    <n v="12114898"/>
    <s v="CCWF-Facility B"/>
    <x v="2"/>
    <s v="11NF2174"/>
    <d v="2026-12-20T00:00:00"/>
    <d v="2018-06-22T00:00:00"/>
    <d v="2018-06-22T00:00:00"/>
    <d v="2018-07-11T00:00:00"/>
    <s v="Approved"/>
    <x v="19"/>
    <d v="2018-08-27T00:00:00"/>
    <d v="2018-08-21T00:00:00"/>
    <s v="No reduction - AOJ corrected"/>
    <m/>
    <s v=""/>
    <s v=""/>
    <m/>
    <d v="2018-08-29T00:00:00"/>
  </r>
  <r>
    <x v="2"/>
    <s v="Nichelini"/>
    <s v="V74747"/>
    <n v="12001876"/>
    <s v="HDSP-Facility B"/>
    <x v="5"/>
    <s v="SCR-33197"/>
    <d v="2027-05-14T00:00:00"/>
    <d v="2018-06-22T00:00:00"/>
    <d v="2018-06-22T00:00:00"/>
    <d v="2018-07-11T00:00:00"/>
    <s v="Approved"/>
    <x v="19"/>
    <d v="2018-09-19T00:00:00"/>
    <d v="2018-09-13T00:00:00"/>
    <s v="No reduction - AOJ corrected"/>
    <m/>
    <s v=""/>
    <s v=""/>
    <m/>
    <d v="2018-09-21T00:00:00"/>
  </r>
  <r>
    <x v="2"/>
    <s v="Bermudez"/>
    <s v="AX3861"/>
    <n v="12136822"/>
    <s v="HDSP-Facility B"/>
    <x v="1"/>
    <s v="FCR309611"/>
    <d v="2027-11-27T00:00:00"/>
    <d v="2018-06-22T00:00:00"/>
    <d v="2018-06-22T00:00:00"/>
    <d v="2018-07-11T00:00:00"/>
    <s v="Approved"/>
    <x v="19"/>
    <d v="2018-09-28T00:00:00"/>
    <d v="2018-09-24T00:00:00"/>
    <s v="No reduction - AOJ corrected"/>
    <m/>
    <s v=""/>
    <s v=""/>
    <m/>
    <d v="2018-10-03T00:00:00"/>
  </r>
  <r>
    <x v="2"/>
    <s v="Sisneros"/>
    <s v="AL5068"/>
    <n v="11296804"/>
    <s v="SOL-Facility A"/>
    <x v="6"/>
    <s v="CRF10-2016"/>
    <d v="2028-05-10T00:00:00"/>
    <d v="2018-06-22T00:00:00"/>
    <d v="2018-06-22T00:00:00"/>
    <d v="2018-07-11T00:00:00"/>
    <s v="Approved"/>
    <x v="19"/>
    <d v="2018-08-28T00:00:00"/>
    <d v="2018-08-13T00:00:00"/>
    <s v="No reduction - AOJ corrected"/>
    <m/>
    <s v=""/>
    <s v=""/>
    <m/>
    <d v="2018-08-28T00:00:00"/>
  </r>
  <r>
    <x v="2"/>
    <s v="Thao"/>
    <s v="AP1869"/>
    <n v="11313843"/>
    <s v="PUMCCF-Delano"/>
    <x v="3"/>
    <s v="F12905682"/>
    <d v="2025-10-05T00:00:00"/>
    <d v="2018-09-05T00:00:00"/>
    <d v="2018-09-05T00:00:00"/>
    <d v="2018-09-19T00:00:00"/>
    <s v="Approved"/>
    <x v="45"/>
    <d v="2018-10-11T00:00:00"/>
    <d v="2018-10-01T00:00:00"/>
    <s v="No action - due to plea"/>
    <m/>
    <s v=""/>
    <s v=""/>
    <m/>
    <d v="2018-10-18T00:00:00"/>
  </r>
  <r>
    <x v="1"/>
    <s v="Gutierrez"/>
    <s v="G05445"/>
    <n v="11215364"/>
    <s v="CMC"/>
    <x v="8"/>
    <s v="BAF004494"/>
    <d v="2019-10-22T00:00:00"/>
    <d v="2018-09-10T00:00:00"/>
    <d v="2018-09-12T00:00:00"/>
    <d v="2018-09-13T00:00:00"/>
    <s v="Approved"/>
    <x v="43"/>
    <d v="2018-10-17T00:00:00"/>
    <d v="2018-10-02T00:00:00"/>
    <s v="No action - due to plea"/>
    <m/>
    <s v=""/>
    <s v=""/>
    <m/>
    <d v="2018-10-18T00:00:00"/>
  </r>
  <r>
    <x v="2"/>
    <s v="Rodriguez"/>
    <s v="AL8174"/>
    <n v="11299027"/>
    <s v="HDSP-Facility A"/>
    <x v="32"/>
    <s v="SCUKCRCR-11-18433"/>
    <d v="2022-01-21T00:00:00"/>
    <d v="2018-09-04T00:00:00"/>
    <d v="2018-09-04T00:00:00"/>
    <d v="2018-09-12T00:00:00"/>
    <s v="Approved"/>
    <x v="43"/>
    <d v="2018-10-04T00:00:00"/>
    <d v="2018-10-02T00:00:00"/>
    <s v="No action - reason provided"/>
    <m/>
    <s v=""/>
    <s v=""/>
    <s v="People v. Gonzalez is not applicable."/>
    <d v="2018-10-04T00:00:00"/>
  </r>
  <r>
    <x v="2"/>
    <s v="Velazquez"/>
    <s v="AN5531"/>
    <n v="11310108"/>
    <s v="PBSP-Facility A"/>
    <x v="0"/>
    <s v="NA090269"/>
    <d v="2041-04-19T00:00:00"/>
    <d v="2018-09-05T00:00:00"/>
    <d v="2018-09-05T00:00:00"/>
    <d v="2018-09-26T00:00:00"/>
    <s v="Approved"/>
    <x v="46"/>
    <d v="2018-10-11T00:00:00"/>
    <d v="2018-10-02T00:00:00"/>
    <s v="No action - due to plea"/>
    <m/>
    <s v=""/>
    <s v=""/>
    <m/>
    <d v="2018-11-05T00:00:00"/>
  </r>
  <r>
    <x v="8"/>
    <s v="Haraszewski"/>
    <s v="AC2622"/>
    <n v="11053300"/>
    <s v="MCSP-Facility C"/>
    <x v="10"/>
    <s v="SWF1601251"/>
    <d v="2517-11-14T00:00:00"/>
    <d v="2018-08-01T00:00:00"/>
    <d v="2018-08-14T00:00:00"/>
    <d v="2018-08-15T00:00:00"/>
    <s v="Approved"/>
    <x v="17"/>
    <d v="2018-10-16T00:00:00"/>
    <d v="2018-10-04T00:00:00"/>
    <s v="No action - reason provided"/>
    <m/>
    <s v=""/>
    <s v=""/>
    <s v="Offense occurred in more than one county"/>
    <d v="2018-10-22T00:00:00"/>
  </r>
  <r>
    <x v="2"/>
    <s v="Padilla"/>
    <s v="AA8654"/>
    <n v="11326845"/>
    <s v="SCC-Facility C"/>
    <x v="14"/>
    <s v="SS082592A"/>
    <d v="2024-04-23T00:00:00"/>
    <d v="2018-08-27T00:00:00"/>
    <d v="2018-08-27T00:00:00"/>
    <d v="2018-09-12T00:00:00"/>
    <s v="Approved"/>
    <x v="3"/>
    <d v="2018-10-30T00:00:00"/>
    <d v="2018-10-04T00:00:00"/>
    <s v="No action - due to plea"/>
    <m/>
    <s v=""/>
    <s v=""/>
    <m/>
    <d v="2018-11-07T00:00:00"/>
  </r>
  <r>
    <x v="2"/>
    <s v="Barraza"/>
    <s v="F49103"/>
    <n v="11202977"/>
    <s v="KVSP-Facility C"/>
    <x v="0"/>
    <s v="BA245638"/>
    <d v="2067-04-07T00:00:00"/>
    <d v="2018-09-04T00:00:00"/>
    <d v="2018-09-04T00:00:00"/>
    <d v="2018-09-19T00:00:00"/>
    <s v="Approved"/>
    <x v="45"/>
    <d v="2018-10-15T00:00:00"/>
    <d v="2018-10-04T00:00:00"/>
    <s v="No action - reason provided"/>
    <m/>
    <s v=""/>
    <s v=""/>
    <s v="Defendant was sentenced following jury verdict to multiple life terms."/>
    <d v="2018-10-22T00:00:00"/>
  </r>
  <r>
    <x v="2"/>
    <s v="Quintana"/>
    <s v="AP6459"/>
    <n v="11987329"/>
    <s v="SOL-Facility B"/>
    <x v="33"/>
    <s v="CRF12-1727"/>
    <d v="2021-01-29T00:00:00"/>
    <d v="2018-09-05T00:00:00"/>
    <d v="2018-09-05T00:00:00"/>
    <d v="2018-09-19T00:00:00"/>
    <s v="Approved"/>
    <x v="45"/>
    <d v="2018-10-26T00:00:00"/>
    <d v="2018-10-04T00:00:00"/>
    <s v="No action - due to plea"/>
    <m/>
    <s v=""/>
    <s v=""/>
    <m/>
    <d v="2018-10-26T00:00:00"/>
  </r>
  <r>
    <x v="2"/>
    <s v="Zambrano"/>
    <s v="AN8492"/>
    <n v="11311892"/>
    <s v="PVSP-Facility D"/>
    <x v="32"/>
    <s v="SCUKCRCR12-23611"/>
    <d v="2020-06-13T00:00:00"/>
    <d v="2018-09-05T00:00:00"/>
    <d v="2018-09-05T00:00:00"/>
    <d v="2018-09-19T00:00:00"/>
    <s v="Approved"/>
    <x v="45"/>
    <d v="2018-10-09T00:00:00"/>
    <d v="2018-10-04T00:00:00"/>
    <s v="No action - no reason specified"/>
    <m/>
    <s v=""/>
    <s v=""/>
    <m/>
    <d v="2018-10-18T00:00:00"/>
  </r>
  <r>
    <x v="2"/>
    <s v="Salcido"/>
    <s v="F48357"/>
    <n v="11578128"/>
    <s v="PVSP-Facility B"/>
    <x v="14"/>
    <s v="SS053088A"/>
    <d v="2021-12-23T00:00:00"/>
    <d v="2018-06-19T00:00:00"/>
    <d v="2018-06-19T00:00:00"/>
    <d v="2018-07-25T00:00:00"/>
    <s v="Approved"/>
    <x v="40"/>
    <d v="2018-10-16T00:00:00"/>
    <d v="2018-10-05T00:00:00"/>
    <s v="No action - due to plea"/>
    <m/>
    <s v=""/>
    <s v=""/>
    <m/>
    <d v="2018-10-18T00:00:00"/>
  </r>
  <r>
    <x v="2"/>
    <s v="Acosta"/>
    <s v="AL7316"/>
    <n v="11298347"/>
    <s v="COR-Facility 03C"/>
    <x v="0"/>
    <s v="NA090650-01"/>
    <d v="2022-07-12T00:00:00"/>
    <d v="2018-09-04T00:00:00"/>
    <d v="2018-09-04T00:00:00"/>
    <d v="2018-09-19T00:00:00"/>
    <s v="Approved"/>
    <x v="45"/>
    <d v="2018-10-09T00:00:00"/>
    <d v="2018-10-05T00:00:00"/>
    <s v="No action - due to plea"/>
    <m/>
    <s v=""/>
    <s v=""/>
    <m/>
    <d v="2018-10-31T00:00:00"/>
  </r>
  <r>
    <x v="2"/>
    <s v="Alcala"/>
    <s v="AN7423"/>
    <n v="11311282"/>
    <s v="PRMCCF-Desert View"/>
    <x v="2"/>
    <s v="09CF0002"/>
    <d v="2026-02-17T00:00:00"/>
    <d v="2018-06-22T00:00:00"/>
    <d v="2018-06-22T00:00:00"/>
    <m/>
    <m/>
    <x v="27"/>
    <m/>
    <m/>
    <m/>
    <m/>
    <s v=""/>
    <s v=""/>
    <m/>
    <m/>
  </r>
  <r>
    <x v="2"/>
    <s v="Gonzalez"/>
    <s v="AK8030"/>
    <n v="11278549"/>
    <s v="HDSP-Facility D"/>
    <x v="2"/>
    <s v="10CF2043"/>
    <d v="2028-11-25T00:00:00"/>
    <d v="2018-06-22T00:00:00"/>
    <d v="2018-06-22T00:00:00"/>
    <d v="2018-07-11T00:00:00"/>
    <s v="Approved"/>
    <x v="19"/>
    <m/>
    <m/>
    <m/>
    <m/>
    <s v=""/>
    <s v=""/>
    <m/>
    <m/>
  </r>
  <r>
    <x v="2"/>
    <s v="White"/>
    <s v="AK0149"/>
    <n v="11041613"/>
    <s v="LAC-Facility B"/>
    <x v="10"/>
    <s v="SCD222750"/>
    <d v="2025-07-02T00:00:00"/>
    <d v="2018-06-22T00:00:00"/>
    <d v="2018-06-22T00:00:00"/>
    <d v="2018-07-11T00:00:00"/>
    <s v="Approved"/>
    <x v="19"/>
    <d v="2019-02-11T00:00:00"/>
    <d v="2019-01-16T00:00:00"/>
    <s v="Reduced"/>
    <n v="730"/>
    <n v="2"/>
    <n v="16518"/>
    <s v="reduced by 2 years"/>
    <d v="2019-02-11T00:00:00"/>
  </r>
  <r>
    <x v="7"/>
    <s v="Hutchinson"/>
    <s v="P68859"/>
    <n v="11184461"/>
    <s v="SQ"/>
    <x v="0"/>
    <s v="NA040270"/>
    <d v="2023-12-10T00:00:00"/>
    <d v="2018-09-06T00:00:00"/>
    <d v="2018-09-13T00:00:00"/>
    <d v="2018-09-24T00:00:00"/>
    <s v="Approved"/>
    <x v="47"/>
    <d v="2018-10-22T00:00:00"/>
    <d v="2018-10-09T00:00:00"/>
    <s v="No action - no reason specified"/>
    <m/>
    <s v=""/>
    <s v=""/>
    <m/>
    <d v="2018-10-22T00:00:00"/>
  </r>
  <r>
    <x v="2"/>
    <s v="Luna"/>
    <s v="AU0264"/>
    <n v="12117158"/>
    <s v="CAC-Facility A"/>
    <x v="0"/>
    <s v="TA130273-01"/>
    <d v="2025-12-22T00:00:00"/>
    <d v="2018-06-22T00:00:00"/>
    <d v="2018-06-22T00:00:00"/>
    <d v="2018-07-11T00:00:00"/>
    <s v="Approved"/>
    <x v="19"/>
    <m/>
    <m/>
    <m/>
    <m/>
    <s v=""/>
    <s v=""/>
    <m/>
    <m/>
  </r>
  <r>
    <x v="2"/>
    <s v="Grissom"/>
    <s v="AY1831"/>
    <n v="12141551"/>
    <s v="CAC-Facility C"/>
    <x v="4"/>
    <s v="CRM027056A"/>
    <d v="2026-03-01T00:00:00"/>
    <d v="2018-06-22T00:00:00"/>
    <d v="2018-06-22T00:00:00"/>
    <d v="2018-07-11T00:00:00"/>
    <s v="Approved"/>
    <x v="19"/>
    <d v="2019-04-25T00:00:00"/>
    <d v="2019-04-19T00:00:00"/>
    <s v="Reduced"/>
    <n v="1095"/>
    <n v="3"/>
    <n v="24777"/>
    <s v="reduced by 3 years"/>
    <d v="2019-04-25T00:00:00"/>
  </r>
  <r>
    <x v="2"/>
    <s v="Martinez"/>
    <s v="AF8051"/>
    <n v="11357749"/>
    <s v="CEN-Facility C"/>
    <x v="8"/>
    <s v="RIF154562"/>
    <d v="2027-03-01T00:00:00"/>
    <d v="2018-06-22T00:00:00"/>
    <d v="2018-06-22T00:00:00"/>
    <d v="2018-07-11T00:00:00"/>
    <s v="Approved"/>
    <x v="19"/>
    <d v="2019-01-25T00:00:00"/>
    <d v="2019-01-08T00:00:00"/>
    <s v="Reduced"/>
    <n v="1095"/>
    <n v="3"/>
    <n v="24777"/>
    <s v="reduced by 3 years"/>
    <d v="2019-01-25T00:00:00"/>
  </r>
  <r>
    <x v="2"/>
    <s v="Calderon"/>
    <s v="BD0870"/>
    <n v="12171098"/>
    <s v="PBSP-Facility A"/>
    <x v="34"/>
    <s v="16CR07109"/>
    <d v="2027-04-01T00:00:00"/>
    <d v="2018-06-22T00:00:00"/>
    <d v="2018-06-22T00:00:00"/>
    <d v="2018-07-11T00:00:00"/>
    <s v="Approved"/>
    <x v="19"/>
    <m/>
    <m/>
    <m/>
    <m/>
    <s v=""/>
    <s v=""/>
    <m/>
    <m/>
  </r>
  <r>
    <x v="2"/>
    <s v="Tellez"/>
    <s v="AY4749"/>
    <n v="11595565"/>
    <s v="SVSP-Facility C"/>
    <x v="2"/>
    <s v="13CF2980"/>
    <d v="2096-08-18T00:00:00"/>
    <d v="2018-09-05T00:00:00"/>
    <d v="2018-09-05T00:00:00"/>
    <d v="2018-09-26T00:00:00"/>
    <s v="Approved"/>
    <x v="46"/>
    <d v="2018-10-11T00:00:00"/>
    <d v="2018-10-09T00:00:00"/>
    <s v="No action - reason provided"/>
    <m/>
    <s v=""/>
    <s v=""/>
    <s v="The error in caculating the 186.22(b) makes no practical difference."/>
    <d v="2018-10-18T00:00:00"/>
  </r>
  <r>
    <x v="2"/>
    <s v="Muniz"/>
    <s v="F27414"/>
    <n v="11565314"/>
    <s v="PVSP-Facility A"/>
    <x v="14"/>
    <s v="SS053337A"/>
    <d v="2028-07-11T00:00:00"/>
    <d v="2018-06-22T00:00:00"/>
    <d v="2018-06-22T00:00:00"/>
    <d v="2018-07-11T00:00:00"/>
    <s v="Approved"/>
    <x v="19"/>
    <m/>
    <m/>
    <m/>
    <m/>
    <s v=""/>
    <s v=""/>
    <m/>
    <m/>
  </r>
  <r>
    <x v="2"/>
    <s v="Martinez"/>
    <s v="V93482"/>
    <n v="12012299"/>
    <s v="ISP-Facility C"/>
    <x v="2"/>
    <s v="03NF0976"/>
    <d v="2030-05-27T00:00:00"/>
    <d v="2018-06-27T00:00:00"/>
    <d v="2018-06-27T00:00:00"/>
    <d v="2018-07-11T00:00:00"/>
    <s v="Approved"/>
    <x v="19"/>
    <d v="2018-10-02T00:00:00"/>
    <d v="2018-09-17T00:00:00"/>
    <s v="Reduced"/>
    <n v="1095"/>
    <n v="3"/>
    <n v="24777"/>
    <m/>
    <d v="2018-11-01T00:00:00"/>
  </r>
  <r>
    <x v="2"/>
    <s v="Woods"/>
    <s v="AF9988"/>
    <n v="11358927"/>
    <s v="CEN-Facility B"/>
    <x v="0"/>
    <s v="TA132249"/>
    <d v="2030-07-21T00:00:00"/>
    <d v="2018-06-27T00:00:00"/>
    <d v="2018-06-27T00:00:00"/>
    <d v="2018-07-11T00:00:00"/>
    <s v="Approved"/>
    <x v="19"/>
    <d v="2018-10-01T00:00:00"/>
    <d v="2018-11-20T00:00:00"/>
    <s v="No reduction - AOJ corrected"/>
    <m/>
    <s v=""/>
    <s v=""/>
    <s v="Term restructered"/>
    <d v="2019-01-17T00:00:00"/>
  </r>
  <r>
    <x v="3"/>
    <s v="Berumen"/>
    <s v="AM2996"/>
    <n v="11302183"/>
    <s v="CVSP-Facility A"/>
    <x v="14"/>
    <s v="SS111017"/>
    <d v="2023-07-09T00:00:00"/>
    <d v="2018-06-11T00:00:00"/>
    <d v="2018-06-12T00:00:00"/>
    <d v="2018-06-20T00:00:00"/>
    <s v="Approved"/>
    <x v="15"/>
    <d v="2019-03-28T00:00:00"/>
    <d v="2018-10-10T00:00:00"/>
    <s v="No action - due to plea"/>
    <m/>
    <s v=""/>
    <s v=""/>
    <m/>
    <d v="2019-03-28T00:00:00"/>
  </r>
  <r>
    <x v="2"/>
    <s v="Regalado"/>
    <s v="BA1546"/>
    <n v="12153619"/>
    <s v="SOL-Facility A"/>
    <x v="14"/>
    <s v="SS150087A"/>
    <d v="2032-04-11T00:00:00"/>
    <d v="2018-08-21T00:00:00"/>
    <d v="2018-08-21T00:00:00"/>
    <d v="2018-08-22T00:00:00"/>
    <s v="Approved"/>
    <x v="29"/>
    <d v="2018-10-30T00:00:00"/>
    <d v="2018-10-10T00:00:00"/>
    <s v="No action - due to plea"/>
    <m/>
    <s v=""/>
    <s v=""/>
    <m/>
    <d v="2018-11-07T00:00:00"/>
  </r>
  <r>
    <x v="2"/>
    <s v="Nyako"/>
    <s v="BD4555"/>
    <n v="11355957"/>
    <s v="PBSP-Facility B"/>
    <x v="0"/>
    <s v="BA436141-01"/>
    <d v="2043-04-19T00:00:00"/>
    <d v="2018-07-12T00:00:00"/>
    <d v="2018-07-18T00:00:00"/>
    <d v="2018-08-01T00:00:00"/>
    <s v="Approved"/>
    <x v="38"/>
    <d v="2018-10-11T00:00:00"/>
    <d v="2018-10-11T00:00:00"/>
    <s v="No action - reason provided"/>
    <m/>
    <s v=""/>
    <s v=""/>
    <s v="Sent. imp according to P v. Lang 2017 8 Cal App 5 137"/>
    <d v="2018-10-24T00:00:00"/>
  </r>
  <r>
    <x v="3"/>
    <s v="Salmeron"/>
    <s v="AM2664"/>
    <n v="11301969"/>
    <s v="CEN-Facility D"/>
    <x v="10"/>
    <s v="SCD236853"/>
    <d v="2045-05-10T00:00:00"/>
    <d v="2018-07-23T00:00:00"/>
    <d v="2018-07-23T00:00:00"/>
    <d v="2018-08-01T00:00:00"/>
    <s v="Approved"/>
    <x v="38"/>
    <d v="2018-10-15T00:00:00"/>
    <d v="2018-10-11T00:00:00"/>
    <s v="No action - no reason specified"/>
    <m/>
    <s v=""/>
    <s v=""/>
    <m/>
    <d v="2018-10-16T00:00:00"/>
  </r>
  <r>
    <x v="5"/>
    <s v="Howard"/>
    <s v="BE8168"/>
    <n v="12181794"/>
    <s v="CAC-Facility C"/>
    <x v="9"/>
    <s v="16CR061333"/>
    <d v="2023-06-07T00:00:00"/>
    <d v="2018-07-23T00:00:00"/>
    <d v="2018-07-23T00:00:00"/>
    <d v="2018-08-01T00:00:00"/>
    <s v="Approved"/>
    <x v="38"/>
    <d v="2018-10-19T00:00:00"/>
    <d v="2018-10-12T00:00:00"/>
    <s v="No action - reason provided"/>
    <m/>
    <s v=""/>
    <s v=""/>
    <s v="Deefendant admitted and was sentenced to the enhancement of PC186.22(B)(1)(A)"/>
    <d v="2018-10-22T00:00:00"/>
  </r>
  <r>
    <x v="1"/>
    <s v="Diaz"/>
    <s v="AN2057"/>
    <n v="11291140"/>
    <s v="CTF-Facility C"/>
    <x v="1"/>
    <s v="FCR290514"/>
    <d v="2027-08-08T00:00:00"/>
    <d v="2018-08-22T00:00:00"/>
    <d v="2018-09-04T00:00:00"/>
    <d v="2018-09-07T00:00:00"/>
    <s v="Approved"/>
    <x v="43"/>
    <d v="2018-10-22T00:00:00"/>
    <d v="2018-10-15T00:00:00"/>
    <s v="No action - reason provided"/>
    <m/>
    <s v=""/>
    <s v=""/>
    <s v="Defendant's criminal history and nature of offense."/>
    <d v="2018-10-23T00:00:00"/>
  </r>
  <r>
    <x v="2"/>
    <s v="Markarian"/>
    <s v="AT5472"/>
    <n v="12114561"/>
    <s v="CAL-AD-SEG"/>
    <x v="0"/>
    <s v="PA077035"/>
    <d v="2021-04-21T00:00:00"/>
    <d v="2018-09-05T00:00:00"/>
    <d v="2018-09-05T00:00:00"/>
    <d v="2018-09-26T00:00:00"/>
    <s v="Approved"/>
    <x v="46"/>
    <d v="2018-10-29T00:00:00"/>
    <d v="2018-10-15T00:00:00"/>
    <s v="No action - due to plea"/>
    <m/>
    <s v=""/>
    <s v=""/>
    <m/>
    <d v="2018-10-30T00:00:00"/>
  </r>
  <r>
    <x v="7"/>
    <s v="Jackson"/>
    <s v="X12009"/>
    <n v="11021550"/>
    <s v="CCWF-Facility D"/>
    <x v="17"/>
    <s v="03F09613"/>
    <d v="2020-04-05T00:00:00"/>
    <d v="2018-08-13T00:00:00"/>
    <d v="2018-08-14T00:00:00"/>
    <d v="2018-08-21T00:00:00"/>
    <s v="Approved"/>
    <x v="48"/>
    <d v="2019-03-08T00:00:00"/>
    <d v="2018-10-15T00:00:00"/>
    <s v="No action - reason provided"/>
    <m/>
    <s v=""/>
    <s v=""/>
    <s v="courts declined to take action "/>
    <d v="2019-03-08T00:00:00"/>
  </r>
  <r>
    <x v="2"/>
    <s v="Gutierrez"/>
    <s v="F68922"/>
    <n v="11590574"/>
    <s v="SVSP-Facility C"/>
    <x v="11"/>
    <s v="160215b"/>
    <d v="2034-09-10T00:00:00"/>
    <d v="2018-06-27T00:00:00"/>
    <d v="2018-06-27T00:00:00"/>
    <d v="2018-07-25T00:00:00"/>
    <s v="Approved"/>
    <x v="40"/>
    <m/>
    <m/>
    <m/>
    <m/>
    <s v=""/>
    <s v=""/>
    <m/>
    <m/>
  </r>
  <r>
    <x v="2"/>
    <s v="Martinez"/>
    <s v="AY8718"/>
    <n v="12145884"/>
    <s v="SOL-Facility B"/>
    <x v="12"/>
    <s v="B1688821"/>
    <d v="2034-06-24T00:00:00"/>
    <d v="2018-06-27T00:00:00"/>
    <d v="2018-06-27T00:00:00"/>
    <d v="2018-07-18T00:00:00"/>
    <s v="Approved"/>
    <x v="28"/>
    <m/>
    <m/>
    <m/>
    <m/>
    <s v=""/>
    <s v=""/>
    <m/>
    <m/>
  </r>
  <r>
    <x v="2"/>
    <s v="Cordova"/>
    <s v="AI6882"/>
    <n v="11375512"/>
    <s v="HDSP-Facility C"/>
    <x v="6"/>
    <s v="CRF 15-60"/>
    <d v="2034-05-18T00:00:00"/>
    <d v="2018-06-27T00:00:00"/>
    <d v="2018-06-27T00:00:00"/>
    <d v="2018-07-18T00:00:00"/>
    <s v="Approved"/>
    <x v="28"/>
    <m/>
    <m/>
    <m/>
    <m/>
    <s v=""/>
    <s v=""/>
    <m/>
    <m/>
  </r>
  <r>
    <x v="2"/>
    <s v="Duran"/>
    <s v="AL5065"/>
    <n v="11296800"/>
    <s v="PVSP-Facility B"/>
    <x v="6"/>
    <s v="CRF 10-2016"/>
    <d v="2033-08-14T00:00:00"/>
    <d v="2018-06-27T00:00:00"/>
    <d v="2018-06-27T00:00:00"/>
    <d v="2018-07-25T00:00:00"/>
    <s v="Approved"/>
    <x v="40"/>
    <d v="2019-01-03T00:00:00"/>
    <d v="2018-12-26T00:00:00"/>
    <s v="Reduced"/>
    <n v="365"/>
    <n v="1"/>
    <n v="8259"/>
    <s v="Reduced by 1 year"/>
    <d v="2019-01-03T00:00:00"/>
  </r>
  <r>
    <x v="2"/>
    <s v="Weaver"/>
    <s v="AX1369"/>
    <n v="11955037"/>
    <s v="SATF-Facility D"/>
    <x v="0"/>
    <s v="PA082901-01"/>
    <d v="2032-11-25T00:00:00"/>
    <d v="2018-06-27T00:00:00"/>
    <d v="2018-06-27T00:00:00"/>
    <d v="2018-07-18T00:00:00"/>
    <s v="Approved"/>
    <x v="28"/>
    <m/>
    <m/>
    <m/>
    <m/>
    <s v=""/>
    <s v=""/>
    <m/>
    <m/>
  </r>
  <r>
    <x v="2"/>
    <s v="Santiago"/>
    <s v="AD0557"/>
    <n v="11340669"/>
    <s v="SOL-Facility D"/>
    <x v="12"/>
    <s v="CC763334"/>
    <d v="2030-07-28T00:00:00"/>
    <d v="2018-06-27T00:00:00"/>
    <d v="2018-06-27T00:00:00"/>
    <d v="2018-07-18T00:00:00"/>
    <s v="Approved"/>
    <x v="28"/>
    <d v="2020-02-24T00:00:00"/>
    <d v="2020-02-11T00:00:00"/>
    <s v="No action - due to plea"/>
    <m/>
    <s v=""/>
    <s v=""/>
    <m/>
    <d v="2020-02-24T00:00:00"/>
  </r>
  <r>
    <x v="2"/>
    <s v="Ramirez"/>
    <s v="BE0735"/>
    <n v="12177336"/>
    <s v="PVSP-Facility C"/>
    <x v="13"/>
    <s v="LF011083B"/>
    <d v="2029-06-01T00:00:00"/>
    <d v="2018-06-27T00:00:00"/>
    <d v="2018-06-27T00:00:00"/>
    <d v="2018-07-11T00:00:00"/>
    <s v="Approved"/>
    <x v="19"/>
    <d v="2020-10-29T00:00:00"/>
    <d v="2018-08-21T00:00:00"/>
    <s v="No action - no reason specified"/>
    <m/>
    <s v=""/>
    <s v=""/>
    <s v="Denied per Judge Bush of Kern County "/>
    <d v="2020-10-30T00:00:00"/>
  </r>
  <r>
    <x v="2"/>
    <s v="Vochatzer"/>
    <s v="F24738"/>
    <n v="11197358"/>
    <s v="SVSP-Facility D"/>
    <x v="6"/>
    <s v="05-2373"/>
    <d v="2030-07-01T00:00:00"/>
    <d v="2018-06-27T00:00:00"/>
    <d v="2018-06-27T00:00:00"/>
    <d v="2018-07-25T00:00:00"/>
    <s v="Approved"/>
    <x v="40"/>
    <m/>
    <m/>
    <m/>
    <m/>
    <s v=""/>
    <s v=""/>
    <m/>
    <m/>
  </r>
  <r>
    <x v="2"/>
    <s v="Gray"/>
    <s v="AW4498"/>
    <n v="11363260"/>
    <s v="NKSP-Facility A"/>
    <x v="9"/>
    <s v="FVI1400084"/>
    <d v="2032-10-20T00:00:00"/>
    <d v="2018-06-27T00:00:00"/>
    <d v="2018-06-27T00:00:00"/>
    <d v="2018-07-11T00:00:00"/>
    <s v="Approved"/>
    <x v="19"/>
    <m/>
    <m/>
    <m/>
    <m/>
    <s v=""/>
    <s v=""/>
    <m/>
    <m/>
  </r>
  <r>
    <x v="3"/>
    <s v="Rodriguez"/>
    <s v="G04355"/>
    <n v="11612562"/>
    <s v="FOL-Facility A"/>
    <x v="3"/>
    <s v="F07903601"/>
    <d v="2023-01-02T00:00:00"/>
    <d v="2018-02-05T00:00:00"/>
    <d v="2018-04-12T00:00:00"/>
    <d v="2018-04-12T00:00:00"/>
    <s v="Approved"/>
    <x v="11"/>
    <d v="2018-10-16T00:00:00"/>
    <d v="2018-10-16T00:00:00"/>
    <s v="No action - no reason specified"/>
    <m/>
    <s v=""/>
    <s v=""/>
    <m/>
    <d v="2019-04-05T00:00:00"/>
  </r>
  <r>
    <x v="2"/>
    <s v="Jaime"/>
    <s v="F21616"/>
    <n v="11561844"/>
    <s v="COR-Facility 03B"/>
    <x v="19"/>
    <s v="06CM8896"/>
    <d v="2032-07-08T00:00:00"/>
    <d v="2018-06-27T00:00:00"/>
    <d v="2018-06-27T00:00:00"/>
    <m/>
    <m/>
    <x v="27"/>
    <m/>
    <m/>
    <m/>
    <m/>
    <s v=""/>
    <s v=""/>
    <m/>
    <m/>
  </r>
  <r>
    <x v="2"/>
    <s v="Lopez"/>
    <s v="BF1416"/>
    <n v="11355974"/>
    <s v="FOL-Facility A"/>
    <x v="21"/>
    <s v="STKCR201711931"/>
    <d v="2032-12-18T00:00:00"/>
    <d v="2018-06-27T00:00:00"/>
    <d v="2018-06-27T00:00:00"/>
    <d v="2018-08-01T00:00:00"/>
    <s v="Approved"/>
    <x v="38"/>
    <d v="2018-08-14T00:00:00"/>
    <d v="2019-01-14T00:00:00"/>
    <s v="Reduced"/>
    <n v="365"/>
    <n v="1"/>
    <n v="8259"/>
    <s v="term restructerd reduced by 1 year"/>
    <d v="2019-01-25T00:00:00"/>
  </r>
  <r>
    <x v="6"/>
    <s v="Escobar"/>
    <s v="X01785"/>
    <n v="11015134"/>
    <s v="CCWF-Facility A"/>
    <x v="35"/>
    <s v="MCR032867"/>
    <d v="2024-06-12T00:00:00"/>
    <d v="2018-06-28T00:00:00"/>
    <d v="2018-06-28T00:00:00"/>
    <d v="2018-07-02T00:00:00"/>
    <s v="Approved"/>
    <x v="18"/>
    <d v="2018-10-15T00:00:00"/>
    <d v="2018-09-21T00:00:00"/>
    <s v="Reduced"/>
    <n v="1704"/>
    <n v="4.6684931506849319"/>
    <n v="38557.084931506848"/>
    <m/>
    <d v="2018-10-18T00:00:00"/>
  </r>
  <r>
    <x v="7"/>
    <s v="Willis"/>
    <s v="G21157"/>
    <n v="11152452"/>
    <s v="CMC-Facility C "/>
    <x v="10"/>
    <s v="SCD208339"/>
    <d v="2027-03-31T00:00:00"/>
    <d v="2018-07-05T00:00:00"/>
    <d v="2018-07-05T00:00:00"/>
    <d v="2018-07-10T00:00:00"/>
    <s v="Approved"/>
    <x v="18"/>
    <m/>
    <m/>
    <m/>
    <m/>
    <s v=""/>
    <s v=""/>
    <s v="Released NVPP 1/31/2019"/>
    <d v="2019-05-15T00:00:00"/>
  </r>
  <r>
    <x v="1"/>
    <s v="Matthews"/>
    <s v="AK9020"/>
    <n v="11279290"/>
    <s v="MCSP-MSF"/>
    <x v="17"/>
    <s v="10F06839"/>
    <d v="2020-09-28T00:00:00"/>
    <d v="2018-03-19T00:00:00"/>
    <d v="2018-03-19T00:00:00"/>
    <d v="2018-03-19T00:00:00"/>
    <s v="Approved"/>
    <x v="9"/>
    <d v="2018-10-24T00:00:00"/>
    <d v="2018-10-12T00:00:00"/>
    <s v="Released"/>
    <n v="3650"/>
    <n v="10"/>
    <n v="82590"/>
    <m/>
    <d v="2018-10-24T00:00:00"/>
  </r>
  <r>
    <x v="10"/>
    <s v="Lyles"/>
    <s v="AF1826"/>
    <n v="11353976"/>
    <s v="DVI-Facility A"/>
    <x v="20"/>
    <n v="163398"/>
    <d v="2034-07-19T00:00:00"/>
    <d v="2018-07-09T00:00:00"/>
    <d v="2018-07-09T00:00:00"/>
    <d v="2018-07-11T00:00:00"/>
    <s v="Approved"/>
    <x v="49"/>
    <d v="2018-09-13T00:00:00"/>
    <d v="2018-09-13T00:00:00"/>
    <s v="Reduced"/>
    <n v="4139"/>
    <n v="11.33972602739726"/>
    <n v="93654.797260273976"/>
    <s v="Sentenced Reduced to 19 Years, 4 months"/>
    <d v="2019-01-24T00:00:00"/>
  </r>
  <r>
    <x v="2"/>
    <s v="Nelson"/>
    <s v="AB2213"/>
    <n v="11329143"/>
    <s v="MCSP-FACILITY A"/>
    <x v="17"/>
    <s v="06F04398"/>
    <d v="2036-07-14T00:00:00"/>
    <d v="2018-07-12T00:00:00"/>
    <d v="2018-07-18T00:00:00"/>
    <d v="2018-07-18T00:00:00"/>
    <s v="Approved"/>
    <x v="28"/>
    <d v="2018-10-09T00:00:00"/>
    <d v="2018-09-28T00:00:00"/>
    <s v="Reduced"/>
    <n v="1095"/>
    <n v="3"/>
    <n v="24777"/>
    <s v="PC 12022.7 stricken"/>
    <d v="2018-10-10T00:00:00"/>
  </r>
  <r>
    <x v="2"/>
    <s v="Copado"/>
    <s v="AK4985"/>
    <n v="11276324"/>
    <s v="SATF-Facility E"/>
    <x v="16"/>
    <s v="CR-11-00512"/>
    <d v="2042-05-21T00:00:00"/>
    <d v="2018-07-12T00:00:00"/>
    <d v="2018-07-18T00:00:00"/>
    <d v="2018-07-18T00:00:00"/>
    <s v="Approved"/>
    <x v="28"/>
    <d v="2018-08-21T00:00:00"/>
    <d v="2018-08-15T00:00:00"/>
    <s v="Reduced"/>
    <n v="365"/>
    <n v="1"/>
    <n v="8259"/>
    <m/>
    <d v="2018-08-28T00:00:00"/>
  </r>
  <r>
    <x v="2"/>
    <s v="Lawrence"/>
    <s v="AR7749"/>
    <n v="11769745"/>
    <s v="MCSP-FACILITY A"/>
    <x v="17"/>
    <s v="11F04221"/>
    <d v="2070-04-11T00:00:00"/>
    <d v="2018-07-12T00:00:00"/>
    <d v="2018-07-18T00:00:00"/>
    <d v="2018-07-18T00:00:00"/>
    <s v="Approved"/>
    <x v="28"/>
    <d v="2018-08-09T00:00:00"/>
    <d v="2018-08-06T00:00:00"/>
    <s v="Reduced"/>
    <n v="365"/>
    <n v="1"/>
    <n v="8259"/>
    <m/>
    <d v="2018-08-20T00:00:00"/>
  </r>
  <r>
    <x v="2"/>
    <s v="Cisneros"/>
    <s v="F16865"/>
    <n v="11558923"/>
    <s v="SOL-Facility B"/>
    <x v="0"/>
    <s v="VA069767-06"/>
    <d v="2131-03-30T00:00:00"/>
    <d v="2018-07-12T00:00:00"/>
    <d v="2018-07-20T00:00:00"/>
    <d v="2018-07-25T00:00:00"/>
    <s v="Approved"/>
    <x v="40"/>
    <d v="2018-11-14T00:00:00"/>
    <d v="2018-11-06T00:00:00"/>
    <s v="Reduced"/>
    <n v="1095"/>
    <n v="3"/>
    <n v="24777"/>
    <m/>
    <d v="2018-11-15T00:00:00"/>
  </r>
  <r>
    <x v="2"/>
    <s v="Carrera"/>
    <s v="AI2284"/>
    <n v="11074390"/>
    <s v="SOL-Facility A"/>
    <x v="17"/>
    <s v="06F00314"/>
    <d v="9999-01-25T00:00:00"/>
    <d v="2018-07-12T00:00:00"/>
    <d v="2018-07-18T00:00:00"/>
    <d v="2018-07-18T00:00:00"/>
    <s v="Approved"/>
    <x v="28"/>
    <d v="2018-11-29T00:00:00"/>
    <d v="2018-11-21T00:00:00"/>
    <s v="Reduced"/>
    <n v="3287"/>
    <n v="9.0054794520547947"/>
    <n v="74376.254794520544"/>
    <s v="Reduced to 1461 years"/>
    <d v="2018-12-03T00:00:00"/>
  </r>
  <r>
    <x v="2"/>
    <s v="Hernandez"/>
    <s v="BD8320"/>
    <n v="11200847"/>
    <s v="CEN-Facility B"/>
    <x v="10"/>
    <s v="SCN327213-A"/>
    <d v="2081-06-25T00:00:00"/>
    <d v="2018-07-12T00:00:00"/>
    <d v="2018-07-18T00:00:00"/>
    <d v="2018-08-01T00:00:00"/>
    <s v="Approved"/>
    <x v="38"/>
    <d v="2018-09-17T00:00:00"/>
    <d v="2018-09-11T00:00:00"/>
    <s v="Reduced"/>
    <n v="1095"/>
    <n v="3"/>
    <n v="24777"/>
    <m/>
    <d v="2018-09-17T00:00:00"/>
  </r>
  <r>
    <x v="2"/>
    <s v="Johnson"/>
    <s v="BF2758"/>
    <n v="12184707"/>
    <s v="CAL-Facility A"/>
    <x v="8"/>
    <s v="INF1403189"/>
    <d v="2035-06-24T00:00:00"/>
    <d v="2018-07-12T00:00:00"/>
    <d v="2018-07-12T00:00:00"/>
    <d v="2018-08-07T00:00:00"/>
    <s v="Approved"/>
    <x v="42"/>
    <d v="2018-09-12T00:00:00"/>
    <d v="2018-09-07T00:00:00"/>
    <s v="No reduction - AOJ corrected"/>
    <m/>
    <s v=""/>
    <s v=""/>
    <m/>
    <d v="2018-09-17T00:00:00"/>
  </r>
  <r>
    <x v="2"/>
    <s v="Hernandez"/>
    <s v="BE8898"/>
    <n v="12182258"/>
    <s v="NKSP-Facility D"/>
    <x v="0"/>
    <s v="BA455436-01"/>
    <d v="2030-08-01T00:00:00"/>
    <d v="2018-06-27T00:00:00"/>
    <d v="2018-06-27T00:00:00"/>
    <d v="2018-08-01T00:00:00"/>
    <s v="Approved"/>
    <x v="38"/>
    <d v="2018-10-22T00:00:00"/>
    <d v="2018-10-16T00:00:00"/>
    <s v="No action - due to plea"/>
    <m/>
    <s v=""/>
    <s v=""/>
    <m/>
    <d v="2018-10-23T00:00:00"/>
  </r>
  <r>
    <x v="3"/>
    <s v="Londono"/>
    <s v="AH1424"/>
    <n v="11365880"/>
    <s v="CCC-Sugar Pine Camp"/>
    <x v="0"/>
    <s v="BA366448-01"/>
    <d v="2020-08-08T00:00:00"/>
    <d v="2018-07-25T00:00:00"/>
    <d v="2018-07-25T00:00:00"/>
    <d v="2018-08-01T00:00:00"/>
    <s v="Approved"/>
    <x v="38"/>
    <d v="2018-10-22T00:00:00"/>
    <d v="2018-10-16T00:00:00"/>
    <s v="No action - due to plea"/>
    <m/>
    <s v=""/>
    <s v=""/>
    <m/>
    <d v="2018-10-23T00:00:00"/>
  </r>
  <r>
    <x v="2"/>
    <s v="Koger"/>
    <s v="F70647"/>
    <n v="11591667"/>
    <s v="PBSP-Facility C"/>
    <x v="9"/>
    <s v="FVI900985"/>
    <d v="2021-02-25T00:00:00"/>
    <d v="2018-09-05T00:00:00"/>
    <d v="2018-09-05T00:00:00"/>
    <d v="2018-09-19T00:00:00"/>
    <s v="Approved"/>
    <x v="45"/>
    <d v="2018-10-18T00:00:00"/>
    <d v="2018-10-16T00:00:00"/>
    <s v="No action - no reason specified"/>
    <m/>
    <s v=""/>
    <s v=""/>
    <m/>
    <d v="2018-10-18T00:00:00"/>
  </r>
  <r>
    <x v="2"/>
    <s v="Valdez"/>
    <s v="BA2063"/>
    <n v="12153929"/>
    <s v="CCC-Facility C"/>
    <x v="14"/>
    <s v="SS131939A"/>
    <d v="2024-11-27T00:00:00"/>
    <d v="2018-06-27T00:00:00"/>
    <d v="2018-06-27T00:00:00"/>
    <d v="2018-07-02T00:00:00"/>
    <s v="Approved"/>
    <x v="18"/>
    <d v="2018-10-22T00:00:00"/>
    <d v="2018-10-17T00:00:00"/>
    <s v="No action - due to plea"/>
    <m/>
    <s v=""/>
    <s v=""/>
    <m/>
    <d v="2018-10-23T00:00:00"/>
  </r>
  <r>
    <x v="2"/>
    <s v="Bryand"/>
    <s v="AW9697"/>
    <n v="12134390"/>
    <s v="PBSP-Facility B"/>
    <x v="16"/>
    <s v="CR-14-00581"/>
    <d v="2022-03-21T00:00:00"/>
    <d v="2018-08-21T00:00:00"/>
    <d v="2018-08-21T00:00:00"/>
    <d v="2018-08-22T00:00:00"/>
    <s v="Approved"/>
    <x v="29"/>
    <d v="2018-10-22T00:00:00"/>
    <d v="2018-10-17T00:00:00"/>
    <s v="No action - reason provided"/>
    <m/>
    <s v=""/>
    <s v=""/>
    <s v="PC 186.22(b)(1)© does not apply, deft pled to PC 186.22(b)(1)(A)"/>
    <d v="2018-10-23T00:00:00"/>
  </r>
  <r>
    <x v="2"/>
    <s v="Campos"/>
    <s v="AD5373"/>
    <n v="11343742"/>
    <s v="PVSP-Facility B"/>
    <x v="0"/>
    <s v="TA131816-04"/>
    <d v="2024-04-04T00:00:00"/>
    <d v="2018-09-04T00:00:00"/>
    <d v="2018-09-04T00:00:00"/>
    <d v="2018-09-04T00:00:00"/>
    <s v="Approved"/>
    <x v="45"/>
    <d v="2018-10-26T00:00:00"/>
    <d v="2018-10-18T00:00:00"/>
    <s v="No action - reason provided"/>
    <m/>
    <s v=""/>
    <s v=""/>
    <s v="Not sentenced for PC 186.22(B)(1)©"/>
    <d v="2018-10-30T00:00:00"/>
  </r>
  <r>
    <x v="2"/>
    <s v="Perez"/>
    <s v="BE4640"/>
    <n v="12179673"/>
    <s v="SATF-Facility E"/>
    <x v="4"/>
    <s v="17CR05066"/>
    <d v="2036-04-28T00:00:00"/>
    <d v="2018-07-12T00:00:00"/>
    <d v="2018-07-18T00:00:00"/>
    <d v="2018-08-01T00:00:00"/>
    <s v="Approved"/>
    <x v="38"/>
    <d v="2018-11-06T00:00:00"/>
    <d v="2018-10-22T00:00:00"/>
    <s v="No action - due to plea"/>
    <m/>
    <s v=""/>
    <s v=""/>
    <m/>
    <d v="2018-11-08T00:00:00"/>
  </r>
  <r>
    <x v="2"/>
    <s v="Larios"/>
    <s v="BA9121"/>
    <n v="11059800"/>
    <s v="COR-STRH"/>
    <x v="8"/>
    <s v="SWF1601095"/>
    <d v="2026-11-16T00:00:00"/>
    <d v="2018-09-04T00:00:00"/>
    <d v="2018-09-04T00:00:00"/>
    <d v="2018-09-12T00:00:00"/>
    <s v="Approved"/>
    <x v="3"/>
    <d v="2018-10-31T00:00:00"/>
    <d v="2018-10-23T00:00:00"/>
    <s v="No action - reason provided"/>
    <m/>
    <s v=""/>
    <s v=""/>
    <s v="Sentenced to PC 1186.22(B)(1)(a), not PC 186.22(b)(1)©"/>
    <d v="2018-11-01T00:00:00"/>
  </r>
  <r>
    <x v="2"/>
    <s v="Wheeler"/>
    <s v="G40697"/>
    <n v="11635587"/>
    <s v="RJD-Facility B"/>
    <x v="11"/>
    <s v="VCF290999A"/>
    <d v="2058-06-02T00:00:00"/>
    <d v="2018-07-12T00:00:00"/>
    <d v="2018-07-18T00:00:00"/>
    <d v="2018-07-18T00:00:00"/>
    <s v="Approved"/>
    <x v="28"/>
    <d v="2018-10-31T00:00:00"/>
    <d v="2018-10-24T00:00:00"/>
    <s v="No action - no reason specified"/>
    <m/>
    <s v=""/>
    <s v=""/>
    <m/>
    <d v="2018-11-01T00:00:00"/>
  </r>
  <r>
    <x v="5"/>
    <s v="Bojorquez"/>
    <s v="T83297"/>
    <n v="11948465"/>
    <s v="LAC-Central Service"/>
    <x v="0"/>
    <s v="BA240074"/>
    <d v="2021-09-09T00:00:00"/>
    <d v="2018-07-25T00:00:00"/>
    <d v="2018-07-25T00:00:00"/>
    <d v="2018-08-07T00:00:00"/>
    <s v="Approved"/>
    <x v="42"/>
    <d v="2018-10-31T00:00:00"/>
    <d v="2018-10-24T00:00:00"/>
    <s v="No action - reason provided"/>
    <m/>
    <s v=""/>
    <s v=""/>
    <s v="Change to  PC 186.22(B)(1)"/>
    <d v="2018-11-01T00:00:00"/>
  </r>
  <r>
    <x v="2"/>
    <s v="Lucas"/>
    <s v="AI6792"/>
    <n v="11375457"/>
    <s v="CEN-Facility B"/>
    <x v="0"/>
    <s v="NA086347"/>
    <d v="2039-08-29T00:00:00"/>
    <d v="2018-07-12T00:00:00"/>
    <d v="2018-07-18T00:00:00"/>
    <d v="2018-07-18T00:00:00"/>
    <s v="Approved"/>
    <x v="28"/>
    <m/>
    <m/>
    <m/>
    <m/>
    <s v=""/>
    <s v=""/>
    <m/>
    <m/>
  </r>
  <r>
    <x v="2"/>
    <s v="Whitman"/>
    <s v="V32119"/>
    <n v="11976503"/>
    <s v="LAC-Facility B"/>
    <x v="0"/>
    <s v="MA041538-03"/>
    <d v="2040-10-25T00:00:00"/>
    <d v="2018-07-12T00:00:00"/>
    <d v="2018-07-18T00:00:00"/>
    <d v="2018-07-25T00:00:00"/>
    <s v="Approved"/>
    <x v="50"/>
    <m/>
    <m/>
    <m/>
    <m/>
    <s v=""/>
    <s v=""/>
    <m/>
    <m/>
  </r>
  <r>
    <x v="2"/>
    <s v="Nguyen"/>
    <s v="V70693"/>
    <n v="11999447"/>
    <s v="LAC-Facility A"/>
    <x v="2"/>
    <s v="02WF2028"/>
    <d v="2042-07-06T00:00:00"/>
    <d v="2018-07-12T00:00:00"/>
    <d v="2018-07-18T00:00:00"/>
    <d v="2018-07-18T00:00:00"/>
    <s v="Approved"/>
    <x v="28"/>
    <d v="2019-01-02T00:00:00"/>
    <d v="2018-11-26T00:00:00"/>
    <s v="Reduced"/>
    <n v="1095"/>
    <n v="3"/>
    <n v="24777"/>
    <s v="Reduced by 3 years"/>
    <d v="2019-01-02T00:00:00"/>
  </r>
  <r>
    <x v="2"/>
    <s v="Duarte"/>
    <s v="AU4015"/>
    <n v="12119355"/>
    <s v="NKSP-Facility B"/>
    <x v="12"/>
    <n v="213460"/>
    <d v="2044-06-11T00:00:00"/>
    <d v="2018-07-12T00:00:00"/>
    <d v="2018-07-18T00:00:00"/>
    <d v="2018-07-18T00:00:00"/>
    <s v="Approved"/>
    <x v="28"/>
    <d v="2020-02-06T00:00:00"/>
    <d v="2019-10-25T00:00:00"/>
    <s v="No action - no reason specified"/>
    <m/>
    <s v=""/>
    <s v=""/>
    <m/>
    <d v="2020-02-07T00:00:00"/>
  </r>
  <r>
    <x v="2"/>
    <s v="Gonzalez"/>
    <s v="AL4701"/>
    <n v="11296522"/>
    <s v="CEN-Facility B"/>
    <x v="11"/>
    <s v="VCF247994A"/>
    <d v="2044-08-22T00:00:00"/>
    <d v="2018-07-12T00:00:00"/>
    <d v="2018-07-18T00:00:00"/>
    <d v="2018-07-18T00:00:00"/>
    <s v="Approved"/>
    <x v="28"/>
    <m/>
    <m/>
    <m/>
    <m/>
    <s v=""/>
    <s v=""/>
    <m/>
    <m/>
  </r>
  <r>
    <x v="6"/>
    <s v="Mendoza"/>
    <s v="J35952"/>
    <n v="11741217"/>
    <s v="KVSP-Facility D"/>
    <x v="13"/>
    <s v="DF009878A"/>
    <d v="2024-06-16T00:00:00"/>
    <d v="2018-08-31T00:00:00"/>
    <d v="2018-08-31T00:00:00"/>
    <d v="2018-09-05T00:00:00"/>
    <s v="Approved"/>
    <x v="22"/>
    <d v="2018-10-31T00:00:00"/>
    <d v="2018-10-24T00:00:00"/>
    <s v="No action - reason provided"/>
    <m/>
    <s v=""/>
    <s v=""/>
    <s v="McCart issue not address, court only added Del Norte Case in the Section 5 of the AOJ"/>
    <d v="2018-11-05T00:00:00"/>
  </r>
  <r>
    <x v="2"/>
    <s v="Magana"/>
    <s v="AS9606"/>
    <n v="12111090"/>
    <s v="CAL-Facility B"/>
    <x v="8"/>
    <s v="INF1501678"/>
    <d v="2085-03-10T00:00:00"/>
    <d v="2018-07-12T00:00:00"/>
    <d v="2018-07-18T00:00:00"/>
    <d v="2018-07-18T00:00:00"/>
    <s v="Approved"/>
    <x v="28"/>
    <m/>
    <m/>
    <m/>
    <m/>
    <s v=""/>
    <s v=""/>
    <m/>
    <m/>
  </r>
  <r>
    <x v="2"/>
    <s v="Walker"/>
    <s v="T60369"/>
    <n v="11935233"/>
    <s v="FOL-Facility A"/>
    <x v="24"/>
    <n v="1091957"/>
    <d v="2092-02-07T00:00:00"/>
    <d v="2018-07-12T00:00:00"/>
    <d v="2018-07-18T00:00:00"/>
    <d v="2018-07-18T00:00:00"/>
    <s v="Approved"/>
    <x v="28"/>
    <d v="2019-08-20T00:00:00"/>
    <d v="2019-08-14T00:00:00"/>
    <s v="Reduced"/>
    <n v="365"/>
    <n v="1"/>
    <n v="8259"/>
    <d v="2019-08-14T00:00:00"/>
    <d v="2019-09-21T00:00:00"/>
  </r>
  <r>
    <x v="2"/>
    <s v="Coleman"/>
    <s v="G57608"/>
    <n v="11646403"/>
    <s v="CAL-Facility B"/>
    <x v="0"/>
    <s v="TA138385-01"/>
    <d v="2098-06-23T00:00:00"/>
    <d v="2018-07-12T00:00:00"/>
    <d v="2018-07-12T00:00:00"/>
    <d v="2018-07-25T00:00:00"/>
    <s v="Approved"/>
    <x v="40"/>
    <d v="2018-12-10T00:00:00"/>
    <d v="2018-12-04T00:00:00"/>
    <s v="Reduced"/>
    <n v="365"/>
    <n v="1"/>
    <n v="8259"/>
    <s v="reducded by 1 years"/>
    <d v="2018-12-27T00:00:00"/>
  </r>
  <r>
    <x v="2"/>
    <s v="Ibarra"/>
    <s v="F18295"/>
    <n v="11559785"/>
    <s v="KVSP-Facility A"/>
    <x v="0"/>
    <s v="VA083280"/>
    <d v="2103-08-11T00:00:00"/>
    <d v="2018-07-12T00:00:00"/>
    <d v="2018-07-12T00:00:00"/>
    <d v="2018-07-25T00:00:00"/>
    <s v="Approved"/>
    <x v="40"/>
    <m/>
    <m/>
    <m/>
    <m/>
    <s v=""/>
    <s v=""/>
    <m/>
    <m/>
  </r>
  <r>
    <x v="2"/>
    <s v="Latscha"/>
    <s v="BF2698"/>
    <n v="11902040"/>
    <s v="COR-Facility 03C"/>
    <x v="0"/>
    <s v="KA111966-01"/>
    <d v="2069-10-27T00:00:00"/>
    <d v="2018-07-12T00:00:00"/>
    <d v="2018-07-20T00:00:00"/>
    <d v="2018-08-07T00:00:00"/>
    <s v="Approved"/>
    <x v="42"/>
    <m/>
    <m/>
    <m/>
    <m/>
    <s v=""/>
    <s v=""/>
    <m/>
    <m/>
  </r>
  <r>
    <x v="2"/>
    <s v="Padilla"/>
    <s v="AN2316"/>
    <n v="11308088"/>
    <s v="SATF-Facility C"/>
    <x v="12"/>
    <s v="C1199340"/>
    <d v="2028-03-01T00:00:00"/>
    <d v="2018-09-05T00:00:00"/>
    <d v="2018-09-05T00:00:00"/>
    <d v="2018-09-19T00:00:00"/>
    <s v="Approved"/>
    <x v="45"/>
    <d v="2020-03-04T00:00:00"/>
    <d v="2019-09-23T00:00:00"/>
    <s v="No action - no reason specified"/>
    <m/>
    <s v=""/>
    <s v=""/>
    <m/>
    <d v="2020-04-10T00:00:00"/>
  </r>
  <r>
    <x v="2"/>
    <s v="Mendoza"/>
    <s v="AC4698"/>
    <n v="11336983"/>
    <s v="CCI-Facility B"/>
    <x v="8"/>
    <s v="RIF150145"/>
    <d v="2025-08-28T00:00:00"/>
    <d v="2018-06-22T00:00:00"/>
    <d v="2018-06-22T00:00:00"/>
    <d v="2018-07-11T00:00:00"/>
    <s v="Approved"/>
    <x v="19"/>
    <d v="2018-11-08T00:00:00"/>
    <d v="2018-10-26T00:00:00"/>
    <s v="No action - no reason specified"/>
    <m/>
    <s v=""/>
    <s v=""/>
    <s v="Motion denied, no reason"/>
    <d v="2018-11-08T00:00:00"/>
  </r>
  <r>
    <x v="2"/>
    <s v="Ybarra"/>
    <s v="BB0115"/>
    <n v="12158742"/>
    <s v="SOL-Facility D"/>
    <x v="17"/>
    <s v="15F03571"/>
    <d v="2034-09-16T00:00:00"/>
    <d v="2018-07-12T00:00:00"/>
    <d v="2018-07-18T00:00:00"/>
    <d v="2018-08-01T00:00:00"/>
    <s v="Approved"/>
    <x v="38"/>
    <m/>
    <m/>
    <m/>
    <m/>
    <s v=""/>
    <s v=""/>
    <m/>
    <m/>
  </r>
  <r>
    <x v="7"/>
    <s v="Kessler"/>
    <s v="W99328"/>
    <n v="10199060"/>
    <s v="CCWF-Facility B"/>
    <x v="30"/>
    <s v="CRF7444"/>
    <d v="2025-01-13T00:00:00"/>
    <d v="2018-09-21T00:00:00"/>
    <d v="2018-09-24T00:00:00"/>
    <d v="2018-09-24T00:00:00"/>
    <s v="Approved"/>
    <x v="51"/>
    <d v="2019-02-26T00:00:00"/>
    <d v="2019-02-04T00:00:00"/>
    <s v="Released"/>
    <n v="2160"/>
    <n v="5.9178082191780819"/>
    <n v="48875.178082191786"/>
    <s v="released 2/7/2019"/>
    <d v="2019-02-07T00:00:00"/>
  </r>
  <r>
    <x v="3"/>
    <s v="Mendoza"/>
    <s v="V06649"/>
    <n v="11961701"/>
    <s v="SATF-Facility C"/>
    <x v="24"/>
    <n v="1044556"/>
    <d v="2041-08-04T00:00:00"/>
    <d v="2018-07-18T00:00:00"/>
    <d v="2018-07-20T00:00:00"/>
    <d v="2018-07-25T00:00:00"/>
    <s v="Approved"/>
    <x v="40"/>
    <d v="2018-10-22T00:00:00"/>
    <d v="2018-10-01T00:00:00"/>
    <s v="Reduced"/>
    <n v="730"/>
    <n v="2"/>
    <n v="16518"/>
    <s v="reduced 2 years"/>
    <d v="2018-10-22T00:00:00"/>
  </r>
  <r>
    <x v="2"/>
    <s v="Robledo"/>
    <s v="BF6760"/>
    <n v="11807687"/>
    <s v="CEN-Facility C"/>
    <x v="14"/>
    <s v="SS161957A"/>
    <d v="2030-08-17T00:00:00"/>
    <d v="2018-06-27T00:00:00"/>
    <d v="2018-06-27T00:00:00"/>
    <d v="2018-07-25T00:00:00"/>
    <s v="Approved"/>
    <x v="40"/>
    <d v="2018-11-06T00:00:00"/>
    <d v="2018-10-29T00:00:00"/>
    <s v="No action - due to plea"/>
    <m/>
    <s v=""/>
    <s v=""/>
    <m/>
    <d v="2018-11-07T00:00:00"/>
  </r>
  <r>
    <x v="3"/>
    <s v="Beatty"/>
    <s v="AP9505"/>
    <n v="11069003"/>
    <s v="CAL-Facility D"/>
    <x v="0"/>
    <s v="GA087135-01"/>
    <d v="2024-10-27T00:00:00"/>
    <d v="2018-09-18T00:00:00"/>
    <d v="2018-09-18T00:00:00"/>
    <d v="2018-10-03T00:00:00"/>
    <s v="Approved"/>
    <x v="52"/>
    <d v="2018-10-29T00:00:00"/>
    <d v="2018-10-29T00:00:00"/>
    <s v="No action - due to plea"/>
    <m/>
    <s v=""/>
    <s v=""/>
    <m/>
    <d v="2018-11-16T00:00:00"/>
  </r>
  <r>
    <x v="1"/>
    <s v="Saephanh"/>
    <s v="G08312"/>
    <n v="11615045"/>
    <s v="CMF-Facility A"/>
    <x v="4"/>
    <s v="LF44885"/>
    <d v="2024-04-24T00:00:00"/>
    <d v="2018-08-30T00:00:00"/>
    <d v="2018-09-07T00:00:00"/>
    <d v="2018-09-07T00:00:00"/>
    <s v="Approved"/>
    <x v="43"/>
    <d v="2018-11-07T00:00:00"/>
    <d v="2018-10-30T00:00:00"/>
    <s v="No action - due to plea"/>
    <m/>
    <s v=""/>
    <s v=""/>
    <m/>
    <d v="2018-11-07T00:00:00"/>
  </r>
  <r>
    <x v="7"/>
    <s v="Bell"/>
    <s v="P80445"/>
    <n v="11889343"/>
    <s v="FOL-Facility A"/>
    <x v="36"/>
    <n v="62007105"/>
    <d v="2027-08-11T00:00:00"/>
    <d v="2018-08-01T00:00:00"/>
    <d v="2018-08-01T00:00:00"/>
    <d v="2018-08-16T00:00:00"/>
    <s v="Approved"/>
    <x v="53"/>
    <d v="2019-03-15T00:00:00"/>
    <d v="2019-03-14T00:00:00"/>
    <s v="Released"/>
    <n v="4748"/>
    <n v="13.008219178082191"/>
    <n v="107434.88219178082"/>
    <s v="released 3/21/2019"/>
    <d v="2019-03-15T00:00:00"/>
  </r>
  <r>
    <x v="5"/>
    <s v="Starr"/>
    <s v="G10419"/>
    <n v="11616391"/>
    <s v="CAL-Facility D"/>
    <x v="0"/>
    <s v="LA065393"/>
    <d v="2025-01-16T00:00:00"/>
    <d v="2018-06-11T00:00:00"/>
    <d v="2018-06-12T00:00:00"/>
    <d v="2018-06-27T00:00:00"/>
    <s v="Approved"/>
    <x v="16"/>
    <d v="2019-03-28T00:00:00"/>
    <d v="2018-11-01T00:00:00"/>
    <s v="No action - due to plea"/>
    <m/>
    <s v=""/>
    <s v=""/>
    <m/>
    <d v="2019-03-28T00:00:00"/>
  </r>
  <r>
    <x v="2"/>
    <s v="Simmons"/>
    <s v="F46860"/>
    <n v="11577180"/>
    <s v="CAL-Facility A"/>
    <x v="0"/>
    <s v="NA069029"/>
    <d v="2033-04-28T00:00:00"/>
    <d v="2018-08-23T00:00:00"/>
    <d v="2018-08-23T00:00:00"/>
    <d v="2018-08-29T00:00:00"/>
    <s v="Approved"/>
    <x v="23"/>
    <d v="2019-03-13T00:00:00"/>
    <d v="2018-11-01T00:00:00"/>
    <s v="No action - reason provided"/>
    <m/>
    <s v=""/>
    <s v=""/>
    <s v="court declined to modify sentence"/>
    <d v="2019-03-13T00:00:00"/>
  </r>
  <r>
    <x v="2"/>
    <s v="Carrillo"/>
    <s v="AL4938"/>
    <n v="11296631"/>
    <s v="CAL-Facility D"/>
    <x v="0"/>
    <s v="VA116025-01"/>
    <d v="2074-03-14T00:00:00"/>
    <d v="2018-09-04T00:00:00"/>
    <d v="2018-09-04T00:00:00"/>
    <d v="2018-09-19T00:00:00"/>
    <s v="Approved"/>
    <x v="45"/>
    <d v="2018-10-01T00:00:00"/>
    <d v="2018-11-01T00:00:00"/>
    <s v="No action - no reason specified"/>
    <m/>
    <s v=""/>
    <s v=""/>
    <m/>
    <d v="2019-03-13T00:00:00"/>
  </r>
  <r>
    <x v="5"/>
    <s v="Belmontez"/>
    <s v="AM4245"/>
    <n v="11302846"/>
    <s v="LAC-facility A"/>
    <x v="9"/>
    <s v="FVA1101852"/>
    <d v="2052-09-25T00:00:00"/>
    <d v="2018-07-18T00:00:00"/>
    <d v="2018-07-20T00:00:00"/>
    <d v="2018-08-01T00:00:00"/>
    <s v="Approved"/>
    <x v="38"/>
    <d v="2019-02-12T00:00:00"/>
    <d v="2018-11-26T00:00:00"/>
    <s v="Reduced"/>
    <n v="2312"/>
    <n v="6.3342465753424655"/>
    <n v="52314.542465753424"/>
    <s v="reduced by 5 years 4 months"/>
    <d v="2019-02-12T00:00:00"/>
  </r>
  <r>
    <x v="5"/>
    <s v="Luu"/>
    <s v="V57668"/>
    <n v="11991763"/>
    <s v="FOL-Facility A"/>
    <x v="2"/>
    <s v="03WF0601"/>
    <d v="2044-01-06T00:00:00"/>
    <d v="2018-07-18T00:00:00"/>
    <d v="2018-07-20T00:00:00"/>
    <d v="2018-07-25T00:00:00"/>
    <s v="Approved"/>
    <x v="40"/>
    <d v="2019-06-12T00:00:00"/>
    <d v="2019-05-17T00:00:00"/>
    <s v="Reduced"/>
    <n v="365"/>
    <n v="1"/>
    <n v="8259"/>
    <s v="reduced by 1 year term restructured"/>
    <d v="2019-06-12T00:00:00"/>
  </r>
  <r>
    <x v="5"/>
    <s v="Belmontes"/>
    <s v="H11079"/>
    <n v="11658617"/>
    <s v="CTF-Facility C"/>
    <x v="9"/>
    <s v="SCR58658"/>
    <d v="2020-07-12T00:00:00"/>
    <d v="2018-07-18T00:00:00"/>
    <d v="2018-07-20T00:00:00"/>
    <d v="2018-07-25T00:00:00"/>
    <s v="Approved"/>
    <x v="40"/>
    <m/>
    <m/>
    <m/>
    <m/>
    <s v=""/>
    <s v=""/>
    <m/>
    <m/>
  </r>
  <r>
    <x v="2"/>
    <s v="Reyes"/>
    <s v="AI0580"/>
    <n v="11371599"/>
    <s v="COR-Facility 03C"/>
    <x v="11"/>
    <s v="VCF225420"/>
    <d v="2025-07-04T00:00:00"/>
    <d v="2018-09-05T00:00:00"/>
    <d v="2018-09-05T00:00:00"/>
    <d v="2018-09-26T00:00:00"/>
    <s v="Approved"/>
    <x v="46"/>
    <d v="2018-11-07T00:00:00"/>
    <d v="2018-11-01T00:00:00"/>
    <s v="No action - due to plea"/>
    <m/>
    <s v=""/>
    <s v=""/>
    <m/>
    <d v="2018-11-07T00:00:00"/>
  </r>
  <r>
    <x v="5"/>
    <s v="Salgado"/>
    <s v="P92839"/>
    <n v="11896065"/>
    <s v="FOL-Facility A"/>
    <x v="2"/>
    <s v="99NF0291A"/>
    <d v="2053-10-06T00:00:00"/>
    <d v="2018-07-18T00:00:00"/>
    <d v="2018-07-20T00:00:00"/>
    <d v="2018-07-25T00:00:00"/>
    <s v="Approved"/>
    <x v="40"/>
    <m/>
    <m/>
    <m/>
    <m/>
    <s v=""/>
    <s v=""/>
    <m/>
    <m/>
  </r>
  <r>
    <x v="1"/>
    <s v="Landry"/>
    <s v="AR9266"/>
    <n v="12105096"/>
    <s v="CCC-Salt Creek Camp"/>
    <x v="17"/>
    <s v="12F03126"/>
    <d v="2022-05-14T00:00:00"/>
    <d v="2018-08-16T00:00:00"/>
    <d v="2018-08-27T00:00:00"/>
    <d v="2018-08-27T00:00:00"/>
    <s v="Approved"/>
    <x v="2"/>
    <d v="2018-12-05T00:00:00"/>
    <d v="2018-11-15T00:00:00"/>
    <s v="Released"/>
    <n v="3652"/>
    <n v="10.005479452054795"/>
    <n v="82635.254794520544"/>
    <s v="reduced 10 years, released 12/11/2018"/>
    <d v="2018-12-05T00:00:00"/>
  </r>
  <r>
    <x v="5"/>
    <s v="Garcia"/>
    <s v="BC1212"/>
    <n v="12165500"/>
    <s v="SOL-Facility A"/>
    <x v="12"/>
    <s v="C1361295"/>
    <d v="2041-04-18T00:00:00"/>
    <d v="2018-07-18T00:00:00"/>
    <d v="2018-07-20T00:00:00"/>
    <d v="2018-08-01T00:00:00"/>
    <s v="Approved"/>
    <x v="38"/>
    <m/>
    <m/>
    <m/>
    <m/>
    <s v=""/>
    <s v=""/>
    <m/>
    <m/>
  </r>
  <r>
    <x v="11"/>
    <s v="Williams"/>
    <s v="AL7793"/>
    <n v="11232472"/>
    <s v="SOL-Facility D"/>
    <x v="18"/>
    <n v="51013614"/>
    <d v="2020-08-28T00:00:00"/>
    <d v="2019-05-09T00:00:00"/>
    <d v="2019-05-09T00:00:00"/>
    <d v="2019-06-25T00:00:00"/>
    <s v="Approved"/>
    <x v="54"/>
    <d v="2021-02-26T00:00:00"/>
    <d v="2019-09-06T00:00:00"/>
    <s v="Released"/>
    <m/>
    <s v=""/>
    <s v=""/>
    <s v="Released 8/18/2020 unsure if he was released based on 1170 (d) legal documents are not in ERMS"/>
    <m/>
  </r>
  <r>
    <x v="6"/>
    <s v="Clayton"/>
    <s v="AH4333"/>
    <n v="11071846"/>
    <s v="SATF-Facility D"/>
    <x v="30"/>
    <s v="CRF45231"/>
    <d v="2023-03-23T00:00:00"/>
    <d v="2018-05-16T00:00:00"/>
    <d v="2018-05-16T00:00:00"/>
    <d v="2018-05-16T00:00:00"/>
    <s v="Approved"/>
    <x v="7"/>
    <d v="2019-06-28T00:00:00"/>
    <d v="2019-06-12T00:00:00"/>
    <s v="Reduced"/>
    <n v="730"/>
    <n v="2"/>
    <n v="16518"/>
    <s v="reduced by 2 years"/>
    <d v="2019-06-28T00:00:00"/>
  </r>
  <r>
    <x v="3"/>
    <s v="Madero"/>
    <s v="BC3063"/>
    <n v="12166659"/>
    <s v="HDSP-Facility C"/>
    <x v="12"/>
    <s v="C1508685"/>
    <d v="2038-02-07T00:00:00"/>
    <d v="2018-07-18T00:00:00"/>
    <d v="2018-07-20T00:00:00"/>
    <d v="2018-08-01T00:00:00"/>
    <s v="Approved"/>
    <x v="38"/>
    <d v="2019-12-19T00:00:00"/>
    <d v="2019-12-04T00:00:00"/>
    <s v="No action - due to plea"/>
    <m/>
    <s v=""/>
    <s v=""/>
    <m/>
    <d v="2019-12-19T00:00:00"/>
  </r>
  <r>
    <x v="5"/>
    <s v="Marroquin"/>
    <s v="BE6192"/>
    <n v="12180728"/>
    <s v="SVSP-Facility B"/>
    <x v="11"/>
    <s v="PCF305430"/>
    <d v="2058-01-05T00:00:00"/>
    <d v="2018-07-18T00:00:00"/>
    <d v="2018-07-20T00:00:00"/>
    <d v="2018-08-01T00:00:00"/>
    <s v="Approved"/>
    <x v="38"/>
    <m/>
    <m/>
    <m/>
    <m/>
    <s v=""/>
    <s v=""/>
    <m/>
    <m/>
  </r>
  <r>
    <x v="3"/>
    <s v="Saechaeo"/>
    <s v="T48880"/>
    <n v="11928879"/>
    <s v="PBSP-Facility A"/>
    <x v="20"/>
    <n v="141654"/>
    <d v="2057-06-10T00:00:00"/>
    <d v="2018-07-18T00:00:00"/>
    <d v="2018-07-20T00:00:00"/>
    <d v="2018-07-25T00:00:00"/>
    <s v="Approved"/>
    <x v="40"/>
    <m/>
    <m/>
    <m/>
    <m/>
    <s v=""/>
    <s v=""/>
    <m/>
    <m/>
  </r>
  <r>
    <x v="3"/>
    <s v="Cabrera"/>
    <s v="G05432"/>
    <n v="11613242"/>
    <s v="COR-Facility 04A"/>
    <x v="14"/>
    <s v="SS070928A"/>
    <d v="2019-10-04T00:00:00"/>
    <d v="2018-07-18T00:00:00"/>
    <d v="2018-07-20T00:00:00"/>
    <d v="2018-07-25T00:00:00"/>
    <s v="Approved"/>
    <x v="40"/>
    <d v="2018-11-08T00:00:00"/>
    <d v="2018-11-02T00:00:00"/>
    <s v="No action - no reason specified"/>
    <m/>
    <s v=""/>
    <s v=""/>
    <s v="Motion denied, no document yet, requested"/>
    <d v="2018-11-08T00:00:00"/>
  </r>
  <r>
    <x v="3"/>
    <s v="Gonzales"/>
    <s v="G49941"/>
    <n v="11225027"/>
    <s v="CTF-Facility A"/>
    <x v="5"/>
    <s v="SCR482609"/>
    <d v="2038-11-14T00:00:00"/>
    <d v="2018-07-18T00:00:00"/>
    <d v="2018-07-20T00:00:00"/>
    <d v="2018-07-25T00:00:00"/>
    <s v="Approved"/>
    <x v="40"/>
    <d v="2019-02-08T00:00:00"/>
    <d v="2019-02-01T00:00:00"/>
    <s v="Reduced"/>
    <n v="1947"/>
    <n v="5.3342465753424655"/>
    <n v="44055.542465753424"/>
    <s v="reduced by 6 years 8 months"/>
    <d v="2019-02-08T00:00:00"/>
  </r>
  <r>
    <x v="3"/>
    <s v="Rojas"/>
    <s v="AI6804"/>
    <n v="11375465"/>
    <s v="PVSP-Facility A"/>
    <x v="12"/>
    <s v="C1066876"/>
    <d v="2039-06-05T00:00:00"/>
    <d v="2018-07-18T00:00:00"/>
    <d v="2018-07-20T00:00:00"/>
    <d v="2018-08-01T00:00:00"/>
    <s v="Approved"/>
    <x v="38"/>
    <d v="2019-05-22T00:00:00"/>
    <d v="2019-04-26T00:00:00"/>
    <s v="Reduced"/>
    <n v="4383"/>
    <n v="12.008219178082191"/>
    <n v="99175.882191780824"/>
    <m/>
    <d v="2019-05-22T00:00:00"/>
  </r>
  <r>
    <x v="11"/>
    <s v="Kenton"/>
    <s v="AL0196"/>
    <n v="11280149"/>
    <s v="SOL-Facility C"/>
    <x v="29"/>
    <s v="CR159898"/>
    <d v="2025-10-19T00:00:00"/>
    <d v="2019-05-30T00:00:00"/>
    <d v="2019-05-30T00:00:00"/>
    <d v="2019-07-02T00:00:00"/>
    <s v="Approved"/>
    <x v="55"/>
    <m/>
    <d v="2019-09-17T00:00:00"/>
    <s v="Pending Court (Date in Notes)"/>
    <m/>
    <s v=""/>
    <s v=""/>
    <s v="Hearing held on 09/17/2019. Request legal documents"/>
    <m/>
  </r>
  <r>
    <x v="1"/>
    <s v="Bernardo"/>
    <s v="BC1232"/>
    <n v="12165524"/>
    <s v="RJD-Facility E"/>
    <x v="10"/>
    <s v="SCS287470"/>
    <d v="2026-02-21T00:00:00"/>
    <d v="2018-07-18T00:00:00"/>
    <d v="2018-08-16T00:00:00"/>
    <d v="2018-08-16T00:00:00"/>
    <s v="Declined"/>
    <x v="27"/>
    <m/>
    <m/>
    <m/>
    <m/>
    <s v=""/>
    <s v=""/>
    <m/>
    <d v="2018-08-29T00:00:00"/>
  </r>
  <r>
    <x v="3"/>
    <s v="Mendoza"/>
    <s v="T53083"/>
    <n v="11931233"/>
    <s v="ASP-Facility B"/>
    <x v="11"/>
    <n v="177481"/>
    <d v="9999-01-25T00:00:00"/>
    <d v="2018-07-23T00:00:00"/>
    <d v="2018-07-23T00:00:00"/>
    <d v="2018-07-25T00:00:00"/>
    <s v="Approved"/>
    <x v="40"/>
    <d v="2018-09-17T00:00:00"/>
    <d v="2018-09-13T00:00:00"/>
    <s v="Reduced"/>
    <n v="1460"/>
    <n v="4"/>
    <n v="33036"/>
    <m/>
    <d v="2018-09-19T00:00:00"/>
  </r>
  <r>
    <x v="5"/>
    <s v="Huynh"/>
    <s v="T19203"/>
    <n v="11912222"/>
    <s v="ASP-Facility E"/>
    <x v="0"/>
    <s v="YA044096-01"/>
    <d v="2040-05-29T00:00:00"/>
    <d v="2018-07-23T00:00:00"/>
    <d v="2018-07-23T00:00:00"/>
    <d v="2018-07-25T00:00:00"/>
    <s v="Approved"/>
    <x v="40"/>
    <d v="2018-08-29T00:00:00"/>
    <d v="2018-08-20T00:00:00"/>
    <s v="Reduced"/>
    <n v="240"/>
    <n v="0.65753424657534243"/>
    <n v="5430.5753424657532"/>
    <m/>
    <d v="2018-09-11T00:00:00"/>
  </r>
  <r>
    <x v="5"/>
    <s v="Thomas"/>
    <s v="V75955"/>
    <n v="12002618"/>
    <s v="SVSP-Facility A"/>
    <x v="13"/>
    <s v="TA116449-01"/>
    <d v="2051-11-05T00:00:00"/>
    <d v="2018-07-23T00:00:00"/>
    <d v="2018-07-23T00:00:00"/>
    <d v="2018-07-25T00:00:00"/>
    <s v="Approved"/>
    <x v="40"/>
    <d v="2018-12-04T00:00:00"/>
    <d v="2018-11-20T00:00:00"/>
    <s v="Reduced"/>
    <n v="2921"/>
    <n v="8.0027397260273965"/>
    <n v="66094.627397260279"/>
    <m/>
    <d v="2018-12-05T00:00:00"/>
  </r>
  <r>
    <x v="3"/>
    <s v="Velasquez"/>
    <s v="V18440"/>
    <n v="11265666"/>
    <s v="CAL-Facility C"/>
    <x v="0"/>
    <s v="BA241537-01"/>
    <d v="2051-10-13T00:00:00"/>
    <d v="2018-07-23T00:00:00"/>
    <d v="2018-07-23T00:00:00"/>
    <d v="2018-07-25T00:00:00"/>
    <s v="Approved"/>
    <x v="40"/>
    <d v="2018-08-27T00:00:00"/>
    <d v="2018-08-23T00:00:00"/>
    <s v="Reduced"/>
    <n v="3652"/>
    <n v="10.005479452054795"/>
    <n v="82635.254794520544"/>
    <s v="10 years"/>
    <d v="2018-09-05T00:00:00"/>
  </r>
  <r>
    <x v="5"/>
    <s v="Ramos"/>
    <s v="AA0028"/>
    <n v="11321474"/>
    <s v="SATF-Facility E"/>
    <x v="0"/>
    <s v="LA056790-02"/>
    <d v="2044-03-01T00:00:00"/>
    <d v="2018-07-23T00:00:00"/>
    <d v="2018-07-23T00:00:00"/>
    <d v="2018-08-01T00:00:00"/>
    <s v="Approved"/>
    <x v="38"/>
    <d v="2018-11-02T00:00:00"/>
    <d v="2018-10-04T00:00:00"/>
    <s v="Reduced"/>
    <n v="1216"/>
    <n v="3.3315068493150686"/>
    <n v="27514.915068493152"/>
    <s v="reduced by 3 years 4 months"/>
    <d v="2018-11-09T00:00:00"/>
  </r>
  <r>
    <x v="2"/>
    <s v="Avalos"/>
    <s v="AZ0609"/>
    <n v="12146885"/>
    <s v="VSP-Facility A"/>
    <x v="29"/>
    <s v="CR167551"/>
    <d v="2025-11-24T00:00:00"/>
    <d v="2018-06-22T00:00:00"/>
    <d v="2018-06-22T00:00:00"/>
    <d v="2018-07-11T00:00:00"/>
    <s v="Approved"/>
    <x v="19"/>
    <d v="2018-11-08T00:00:00"/>
    <d v="2018-11-05T00:00:00"/>
    <s v="No action - due to plea"/>
    <m/>
    <s v=""/>
    <s v=""/>
    <m/>
    <d v="2018-11-08T00:00:00"/>
  </r>
  <r>
    <x v="2"/>
    <s v="Sanchez"/>
    <s v="AW6081"/>
    <n v="12132275"/>
    <s v="PBSP-Facility A"/>
    <x v="0"/>
    <s v="PA076398-01"/>
    <d v="2022-11-25T00:00:00"/>
    <d v="2018-08-21T00:00:00"/>
    <d v="2018-08-21T00:00:00"/>
    <d v="2018-08-22T00:00:00"/>
    <s v="Approved"/>
    <x v="29"/>
    <d v="2018-12-04T00:00:00"/>
    <d v="2018-11-05T00:00:00"/>
    <s v="No action - reason provided"/>
    <m/>
    <s v=""/>
    <s v=""/>
    <s v="PC186.22(B)(1)© was amended on 6/7/16 to reflect the allegation being PC186.22(B)(1)(B)."/>
    <d v="2018-12-04T00:00:00"/>
  </r>
  <r>
    <x v="2"/>
    <s v="Lueras"/>
    <s v="AZ0611"/>
    <n v="11342301"/>
    <s v="SOL-Facility B"/>
    <x v="29"/>
    <s v="CR167641"/>
    <d v="2026-11-28T00:00:00"/>
    <d v="2018-09-04T00:00:00"/>
    <d v="2018-09-04T00:00:00"/>
    <d v="2018-09-01T00:00:00"/>
    <s v="Approved"/>
    <x v="43"/>
    <d v="2018-11-08T00:00:00"/>
    <d v="2018-11-05T00:00:00"/>
    <s v="No action - due to plea"/>
    <m/>
    <s v=""/>
    <s v=""/>
    <m/>
    <d v="2018-11-08T00:00:00"/>
  </r>
  <r>
    <x v="3"/>
    <s v="Carbajal"/>
    <s v="F48300"/>
    <n v="11578093"/>
    <s v="VSP-Facility C"/>
    <x v="0"/>
    <s v="BA297663"/>
    <d v="2023-01-10T00:00:00"/>
    <d v="2018-06-11T00:00:00"/>
    <d v="2018-06-12T00:00:00"/>
    <d v="2018-06-27T00:00:00"/>
    <s v="Approved"/>
    <x v="16"/>
    <d v="2018-11-14T00:00:00"/>
    <d v="2018-11-06T00:00:00"/>
    <s v="No action - due to plea"/>
    <m/>
    <s v=""/>
    <s v=""/>
    <m/>
    <d v="2018-11-27T00:00:00"/>
  </r>
  <r>
    <x v="4"/>
    <s v="Avila"/>
    <s v="G29553"/>
    <n v="11628459"/>
    <s v="KVSP-Facility A"/>
    <x v="8"/>
    <s v="RIF137407"/>
    <d v="2023-09-26T00:00:00"/>
    <d v="2018-11-01T00:00:00"/>
    <d v="2018-11-01T00:00:00"/>
    <d v="2018-11-01T00:00:00"/>
    <s v="Approved"/>
    <x v="56"/>
    <m/>
    <m/>
    <m/>
    <m/>
    <s v=""/>
    <s v=""/>
    <m/>
    <m/>
  </r>
  <r>
    <x v="3"/>
    <s v="Ledesma"/>
    <s v="BF0751"/>
    <n v="12183406"/>
    <s v="COR-Facility 03C"/>
    <x v="14"/>
    <s v="SS150327"/>
    <d v="2030-02-09T00:00:00"/>
    <d v="2018-07-25T00:00:00"/>
    <d v="2018-07-25T00:00:00"/>
    <d v="2018-08-07T00:00:00"/>
    <s v="Approved"/>
    <x v="42"/>
    <d v="2018-11-27T00:00:00"/>
    <d v="2018-11-06T00:00:00"/>
    <s v="No action - due to plea"/>
    <m/>
    <s v=""/>
    <s v=""/>
    <m/>
    <d v="2018-11-27T00:00:00"/>
  </r>
  <r>
    <x v="0"/>
    <s v="Benites"/>
    <s v="AE1719"/>
    <n v="11347722"/>
    <s v="CVSP-Facility D"/>
    <x v="0"/>
    <s v="NA077735"/>
    <d v="2049-10-18T00:00:00"/>
    <d v="2018-07-23T00:00:00"/>
    <d v="2018-07-23T00:00:00"/>
    <d v="2018-08-01T00:00:00"/>
    <s v="Approved"/>
    <x v="38"/>
    <d v="2019-02-28T00:00:00"/>
    <d v="2019-02-25T00:00:00"/>
    <s v="Commuted"/>
    <n v="3652"/>
    <n v="10.005479452054795"/>
    <n v="82635.254794520544"/>
    <s v="reduced by 10 years/Commutation 11/28/2019"/>
    <d v="2019-02-28T00:00:00"/>
  </r>
  <r>
    <x v="3"/>
    <s v="Blackmon"/>
    <s v="AV9985"/>
    <n v="11218836"/>
    <s v="LAC-Facility A"/>
    <x v="6"/>
    <s v="F121779"/>
    <d v="2103-01-28T00:00:00"/>
    <d v="2018-07-23T00:00:00"/>
    <d v="2018-07-23T00:00:00"/>
    <d v="2018-08-01T00:00:00"/>
    <s v="Approved"/>
    <x v="38"/>
    <d v="2021-03-19T00:00:00"/>
    <d v="2021-06-16T00:00:00"/>
    <s v="No reduction - AOJ corrected"/>
    <m/>
    <s v=""/>
    <s v=""/>
    <s v="186.22 and 12022.5n stayed"/>
    <d v="2021-03-19T00:00:00"/>
  </r>
  <r>
    <x v="5"/>
    <s v="Ortega"/>
    <s v="T91581"/>
    <n v="11953116"/>
    <s v="SVSP-Facility D"/>
    <x v="0"/>
    <s v="LA040441-01"/>
    <d v="2054-03-25T00:00:00"/>
    <d v="2018-07-23T00:00:00"/>
    <d v="2018-07-23T00:00:00"/>
    <d v="2018-07-25T00:00:00"/>
    <s v="Approved"/>
    <x v="40"/>
    <m/>
    <m/>
    <m/>
    <m/>
    <s v=""/>
    <s v=""/>
    <m/>
    <m/>
  </r>
  <r>
    <x v="11"/>
    <s v="Anderson"/>
    <s v="AY6281"/>
    <n v="11046459"/>
    <s v="CTF-Facility A"/>
    <x v="34"/>
    <s v="F25697"/>
    <d v="2026-07-31T00:00:00"/>
    <d v="2019-05-15T00:00:00"/>
    <d v="2019-05-15T00:00:00"/>
    <d v="2019-06-04T00:00:00"/>
    <s v="Approved"/>
    <x v="57"/>
    <m/>
    <d v="2019-10-16T00:00:00"/>
    <s v="Pending Court (Date in Notes)"/>
    <m/>
    <s v=""/>
    <s v=""/>
    <s v="Hearing held on 10/16/2019. Request for legal documents."/>
    <m/>
  </r>
  <r>
    <x v="3"/>
    <s v="Mesa"/>
    <s v="P85323"/>
    <n v="11892029"/>
    <s v="CAL-Facility B"/>
    <x v="8"/>
    <s v="RIF137046"/>
    <d v="2036-07-03T00:00:00"/>
    <d v="2018-07-23T00:00:00"/>
    <d v="2018-07-23T00:00:00"/>
    <d v="2018-07-25T00:00:00"/>
    <s v="Approved"/>
    <x v="40"/>
    <m/>
    <m/>
    <m/>
    <m/>
    <s v=""/>
    <s v=""/>
    <m/>
    <m/>
  </r>
  <r>
    <x v="3"/>
    <s v="DeGuzman"/>
    <s v="T54286"/>
    <n v="11931907"/>
    <s v="CEN-Facility A"/>
    <x v="0"/>
    <s v="BA207288"/>
    <d v="2037-08-12T00:00:00"/>
    <d v="2018-07-23T00:00:00"/>
    <d v="2018-07-23T00:00:00"/>
    <d v="2018-07-25T00:00:00"/>
    <s v="Approved"/>
    <x v="40"/>
    <m/>
    <m/>
    <m/>
    <m/>
    <s v=""/>
    <s v=""/>
    <m/>
    <m/>
  </r>
  <r>
    <x v="3"/>
    <s v="Ramos"/>
    <s v="F79219"/>
    <n v="11597031"/>
    <s v="ASP-Facility C"/>
    <x v="14"/>
    <s v="SS060949A"/>
    <d v="2021-04-03T00:00:00"/>
    <d v="2018-07-23T00:00:00"/>
    <d v="2018-07-23T00:00:00"/>
    <d v="2018-07-25T00:00:00"/>
    <s v="Approved"/>
    <x v="40"/>
    <m/>
    <m/>
    <m/>
    <m/>
    <s v=""/>
    <s v=""/>
    <m/>
    <m/>
  </r>
  <r>
    <x v="3"/>
    <s v="Ruiz"/>
    <s v="F08621"/>
    <n v="11554051"/>
    <s v="HDSP-Facility C"/>
    <x v="4"/>
    <n v="2790327906"/>
    <d v="2089-04-28T00:00:00"/>
    <d v="2018-07-23T00:00:00"/>
    <d v="2018-07-23T00:00:00"/>
    <d v="2018-07-25T00:00:00"/>
    <s v="Approved"/>
    <x v="40"/>
    <d v="2019-05-07T00:00:00"/>
    <d v="2019-04-25T00:00:00"/>
    <s v="Reduced"/>
    <n v="1461"/>
    <n v="4.0027397260273974"/>
    <n v="33058.627397260272"/>
    <s v="reduced by 4 years"/>
    <d v="2019-05-09T00:00:00"/>
  </r>
  <r>
    <x v="5"/>
    <s v="Mithchell"/>
    <s v="BD5026"/>
    <n v="11640986"/>
    <s v="CAL-Facility A"/>
    <x v="13"/>
    <s v="BF159352"/>
    <d v="2192-09-04T00:00:00"/>
    <d v="2018-07-23T00:00:00"/>
    <d v="2018-07-23T00:00:00"/>
    <d v="2018-08-01T00:00:00"/>
    <s v="Approved"/>
    <x v="38"/>
    <d v="2018-10-19T00:00:00"/>
    <d v="2018-10-19T00:00:00"/>
    <s v="Reduced"/>
    <n v="3652"/>
    <n v="10.005479452054795"/>
    <n v="82635.254794520544"/>
    <s v="changed from 221m yr 8 m to 211 years"/>
    <d v="2019-07-17T00:00:00"/>
  </r>
  <r>
    <x v="5"/>
    <s v="Vang"/>
    <s v="AZ2001"/>
    <n v="12147789"/>
    <s v="NKSP-Facility A"/>
    <x v="7"/>
    <s v="CM042013"/>
    <d v="2084-01-28T00:00:00"/>
    <d v="2018-07-23T00:00:00"/>
    <d v="2018-07-23T00:00:00"/>
    <d v="2018-08-01T00:00:00"/>
    <s v="Approved"/>
    <x v="38"/>
    <d v="2019-04-24T00:00:00"/>
    <d v="2018-12-10T00:00:00"/>
    <s v="Reduced"/>
    <n v="1461"/>
    <n v="4.0027397260273974"/>
    <n v="33058.627397260272"/>
    <s v="changed from 86 years to 82 year"/>
    <d v="2019-04-24T00:00:00"/>
  </r>
  <r>
    <x v="5"/>
    <s v="Brown"/>
    <s v="V83411"/>
    <n v="12007004"/>
    <s v="CAL-Facility B"/>
    <x v="0"/>
    <s v="BA264768"/>
    <d v="2022-06-24T00:00:00"/>
    <d v="2018-07-25T00:00:00"/>
    <d v="2018-07-25T00:00:00"/>
    <d v="2018-08-07T00:00:00"/>
    <s v="Approved"/>
    <x v="42"/>
    <d v="2018-09-21T00:00:00"/>
    <d v="2018-09-21T00:00:00"/>
    <s v="Reduced"/>
    <n v="1460"/>
    <n v="4"/>
    <n v="33036"/>
    <m/>
    <d v="2018-09-24T00:00:00"/>
  </r>
  <r>
    <x v="5"/>
    <s v="Cardiff"/>
    <s v="F57731"/>
    <n v="11583816"/>
    <s v="SATF-Facility D"/>
    <x v="0"/>
    <s v="KA075569-01"/>
    <d v="2023-12-14T00:00:00"/>
    <d v="2018-07-25T00:00:00"/>
    <d v="2018-07-25T00:00:00"/>
    <d v="2018-08-07T00:00:00"/>
    <s v="Approved"/>
    <x v="42"/>
    <d v="2018-09-17T00:00:00"/>
    <d v="2018-09-12T00:00:00"/>
    <s v="Reduced"/>
    <n v="730"/>
    <n v="2"/>
    <n v="16518"/>
    <m/>
    <d v="2018-09-17T00:00:00"/>
  </r>
  <r>
    <x v="3"/>
    <s v="Manson"/>
    <s v="V68084"/>
    <n v="11997928"/>
    <s v="CAL-Facility B"/>
    <x v="0"/>
    <s v="BA264768"/>
    <d v="2022-04-23T00:00:00"/>
    <d v="2018-07-25T00:00:00"/>
    <d v="2018-07-25T00:00:00"/>
    <d v="2018-08-07T00:00:00"/>
    <s v="Approved"/>
    <x v="42"/>
    <d v="2018-09-21T00:00:00"/>
    <d v="2018-09-21T00:00:00"/>
    <s v="Reduced"/>
    <n v="1460"/>
    <n v="4"/>
    <n v="33036"/>
    <s v="4 years, Paroled 01/15/2019"/>
    <d v="2018-09-24T00:00:00"/>
  </r>
  <r>
    <x v="5"/>
    <s v="Millsap"/>
    <s v="P71830"/>
    <n v="11137457"/>
    <s v="SQ-Facility A"/>
    <x v="0"/>
    <s v="VA042199"/>
    <d v="9999-01-30T00:00:00"/>
    <d v="2018-07-25T00:00:00"/>
    <d v="2018-07-25T00:00:00"/>
    <d v="2018-08-07T00:00:00"/>
    <s v="Approved"/>
    <x v="42"/>
    <d v="2018-10-29T00:00:00"/>
    <d v="2018-10-15T00:00:00"/>
    <s v="Reduced"/>
    <n v="365"/>
    <n v="1"/>
    <n v="8259"/>
    <m/>
    <d v="2018-10-30T00:00:00"/>
  </r>
  <r>
    <x v="5"/>
    <s v="Oakley"/>
    <s v="AG7311"/>
    <n v="11363374"/>
    <s v="CTF-Facility C"/>
    <x v="0"/>
    <s v="VA113106"/>
    <d v="2025-09-09T00:00:00"/>
    <d v="2018-07-25T00:00:00"/>
    <d v="2018-07-25T00:00:00"/>
    <d v="2018-08-15T00:00:00"/>
    <s v="Approved"/>
    <x v="17"/>
    <d v="2018-10-01T00:00:00"/>
    <d v="2018-09-26T00:00:00"/>
    <s v="Reduced"/>
    <n v="1461"/>
    <n v="4.0027397260273974"/>
    <n v="33058.627397260272"/>
    <s v="P12022.5(A) stricken"/>
    <d v="2018-10-10T00:00:00"/>
  </r>
  <r>
    <x v="3"/>
    <s v="Reyes"/>
    <s v="BA3795"/>
    <n v="12154928"/>
    <s v="COCF-La Palma CC, Arizona (AZ2)"/>
    <x v="0"/>
    <s v="YA093018"/>
    <d v="2027-10-23T00:00:00"/>
    <d v="2018-07-25T00:00:00"/>
    <d v="2018-07-25T00:00:00"/>
    <d v="2018-08-07T00:00:00"/>
    <s v="Approved"/>
    <x v="42"/>
    <d v="2018-11-14T00:00:00"/>
    <d v="2018-11-02T00:00:00"/>
    <s v="Reduced"/>
    <n v="1095"/>
    <n v="3"/>
    <n v="24777"/>
    <s v="reduced 3 years"/>
    <d v="2018-11-15T00:00:00"/>
  </r>
  <r>
    <x v="3"/>
    <s v="Shaw"/>
    <s v="F21932"/>
    <n v="11562034"/>
    <s v="CAL-Facility A"/>
    <x v="0"/>
    <s v="YA059986"/>
    <d v="2019-10-23T00:00:00"/>
    <d v="2018-07-25T00:00:00"/>
    <d v="2018-07-25T00:00:00"/>
    <d v="2018-08-07T00:00:00"/>
    <s v="Approved"/>
    <x v="42"/>
    <d v="2018-09-13T00:00:00"/>
    <d v="2018-08-29T00:00:00"/>
    <s v="Released"/>
    <n v="1095"/>
    <n v="3"/>
    <n v="24777"/>
    <s v="reduced 3 years, released 09/14/2018"/>
    <d v="2018-09-14T00:00:00"/>
  </r>
  <r>
    <x v="3"/>
    <s v="Zuniga"/>
    <s v="T95915"/>
    <n v="11955587"/>
    <s v="CCC-Devils Garden Camp"/>
    <x v="0"/>
    <s v="VA069128-02"/>
    <d v="2021-11-27T00:00:00"/>
    <d v="2018-07-25T00:00:00"/>
    <d v="2018-07-25T00:00:00"/>
    <d v="2018-08-07T00:00:00"/>
    <s v="Approved"/>
    <x v="42"/>
    <d v="2018-09-21T00:00:00"/>
    <d v="2018-09-18T00:00:00"/>
    <s v="Released"/>
    <n v="3652"/>
    <n v="10.005479452054795"/>
    <n v="82635.254794520544"/>
    <s v="10 years, released 09/29/2018"/>
    <d v="2018-09-21T00:00:00"/>
  </r>
  <r>
    <x v="5"/>
    <s v="Gonzalez"/>
    <s v="AZ6945"/>
    <n v="12150055"/>
    <s v="CEN-Facility B"/>
    <x v="0"/>
    <s v="LA080066"/>
    <d v="2034-10-03T00:00:00"/>
    <d v="2018-07-25T00:00:00"/>
    <d v="2018-07-25T00:00:00"/>
    <d v="2018-08-07T00:00:00"/>
    <s v="Approved"/>
    <x v="42"/>
    <d v="2018-12-26T00:00:00"/>
    <d v="2018-12-03T00:00:00"/>
    <s v="Reduced"/>
    <n v="730"/>
    <n v="2"/>
    <n v="16518"/>
    <m/>
    <d v="2018-12-27T00:00:00"/>
  </r>
  <r>
    <x v="3"/>
    <s v="Lee"/>
    <s v="G57059"/>
    <n v="11646068"/>
    <s v="SCC-Facility B"/>
    <x v="0"/>
    <s v="VA105795-01"/>
    <d v="2021-02-13T00:00:00"/>
    <d v="2018-07-25T00:00:00"/>
    <d v="2018-07-25T00:00:00"/>
    <d v="2018-08-07T00:00:00"/>
    <s v="Approved"/>
    <x v="42"/>
    <d v="2018-10-17T00:00:00"/>
    <d v="2018-10-26T00:00:00"/>
    <s v="Reduced"/>
    <n v="365"/>
    <n v="1"/>
    <n v="8259"/>
    <d v="2018-10-26T00:00:00"/>
    <d v="2018-12-07T00:00:00"/>
  </r>
  <r>
    <x v="5"/>
    <s v="Martinez"/>
    <s v="BE2219"/>
    <n v="12178186"/>
    <s v="SOL-Facility C"/>
    <x v="14"/>
    <s v="SS152114A"/>
    <d v="2032-02-05T00:00:00"/>
    <d v="2018-07-25T00:00:00"/>
    <d v="2018-07-25T00:00:00"/>
    <d v="2018-08-07T00:00:00"/>
    <s v="Approved"/>
    <x v="42"/>
    <d v="2019-04-02T00:00:00"/>
    <d v="2019-03-08T00:00:00"/>
    <s v="Reduced"/>
    <n v="121"/>
    <n v="0.33150684931506852"/>
    <n v="2737.9150684931506"/>
    <s v="case dismissed  2/21/19   -3/8/19 term restructured for reduction of 4 months"/>
    <d v="2019-04-05T00:00:00"/>
  </r>
  <r>
    <x v="3"/>
    <s v="Padilla"/>
    <s v="F55326"/>
    <n v="11582334"/>
    <s v="SATF-Facility B"/>
    <x v="0"/>
    <s v="BA289523"/>
    <d v="9999-01-25T00:00:00"/>
    <d v="2018-07-25T00:00:00"/>
    <d v="2018-07-25T00:00:00"/>
    <d v="2018-08-07T00:00:00"/>
    <s v="Approved"/>
    <x v="42"/>
    <d v="2018-11-08T00:00:00"/>
    <d v="2018-11-13T00:00:00"/>
    <s v="Reduced"/>
    <n v="1947"/>
    <n v="5.3342465753424655"/>
    <n v="44055.542465753424"/>
    <d v="2018-11-13T00:00:00"/>
    <d v="2018-12-14T00:00:00"/>
  </r>
  <r>
    <x v="3"/>
    <s v="Tinajero"/>
    <s v="G49558"/>
    <n v="11199099"/>
    <s v="ISP-Facility D"/>
    <x v="0"/>
    <s v="YA076970-01"/>
    <d v="2024-07-04T00:00:00"/>
    <d v="2018-07-25T00:00:00"/>
    <d v="2018-07-25T00:00:00"/>
    <d v="2018-08-07T00:00:00"/>
    <s v="Approved"/>
    <x v="42"/>
    <d v="2018-10-01T00:00:00"/>
    <d v="2018-12-18T00:00:00"/>
    <s v="No reduction - AOJ corrected"/>
    <m/>
    <s v=""/>
    <s v=""/>
    <s v="Term restructered"/>
    <d v="2019-01-11T00:00:00"/>
  </r>
  <r>
    <x v="5"/>
    <s v="Diaz"/>
    <s v="P34156"/>
    <n v="11864036"/>
    <s v="VSP-Facility C"/>
    <x v="0"/>
    <s v="KA055146"/>
    <d v="2031-08-20T00:00:00"/>
    <d v="2018-07-25T00:00:00"/>
    <d v="2018-07-25T00:00:00"/>
    <d v="2018-08-07T00:00:00"/>
    <s v="Approved"/>
    <x v="42"/>
    <d v="2018-11-14T00:00:00"/>
    <d v="2018-11-02T00:00:00"/>
    <s v="No reduction - AOJ corrected"/>
    <m/>
    <s v=""/>
    <s v=""/>
    <s v="Sentence restructured, term remains."/>
    <d v="2018-11-15T00:00:00"/>
  </r>
  <r>
    <x v="5"/>
    <s v="Pitts"/>
    <s v="AT6448"/>
    <n v="12115067"/>
    <s v="CEN-Facility A"/>
    <x v="0"/>
    <s v="GA086382"/>
    <d v="2023-12-11T00:00:00"/>
    <d v="2018-07-25T00:00:00"/>
    <d v="2018-07-25T00:00:00"/>
    <d v="2018-08-07T00:00:00"/>
    <s v="Approved"/>
    <x v="42"/>
    <d v="2018-09-25T00:00:00"/>
    <d v="2018-09-18T00:00:00"/>
    <s v="No reduction - AOJ corrected"/>
    <m/>
    <s v=""/>
    <s v=""/>
    <s v="Previously stayed gang in March"/>
    <d v="2018-10-01T00:00:00"/>
  </r>
  <r>
    <x v="5"/>
    <s v="Yang"/>
    <s v="K14679"/>
    <n v="11782118"/>
    <s v="SOL-Facility C"/>
    <x v="0"/>
    <s v="KA020348"/>
    <d v="2020-01-14T00:00:00"/>
    <d v="2018-07-25T00:00:00"/>
    <d v="2018-07-25T00:00:00"/>
    <d v="2018-08-07T00:00:00"/>
    <s v="Approved"/>
    <x v="42"/>
    <d v="2018-11-14T00:00:00"/>
    <d v="2018-11-07T00:00:00"/>
    <s v="No action - reason provided"/>
    <m/>
    <s v=""/>
    <s v=""/>
    <s v="Defendant's action  warranted the imposition of the full sentence."/>
    <d v="2018-11-20T00:00:00"/>
  </r>
  <r>
    <x v="2"/>
    <s v="Cardenas"/>
    <s v="G35731"/>
    <n v="11632329"/>
    <s v="KVSP-Facility D"/>
    <x v="0"/>
    <s v="NA078125"/>
    <d v="2033-06-05T00:00:00"/>
    <d v="2018-08-23T00:00:00"/>
    <d v="2018-08-23T00:00:00"/>
    <d v="2018-08-29T00:00:00"/>
    <s v="Approved"/>
    <x v="23"/>
    <d v="2018-11-28T00:00:00"/>
    <d v="2018-11-07T00:00:00"/>
    <s v="No action - due to plea"/>
    <m/>
    <s v=""/>
    <s v=""/>
    <m/>
    <d v="2018-11-20T00:00:00"/>
  </r>
  <r>
    <x v="4"/>
    <s v="Velasquez"/>
    <s v="AD2067"/>
    <n v="11056686"/>
    <s v="CIM-Facility C"/>
    <x v="0"/>
    <s v="NA081703"/>
    <d v="9999-12-31T00:00:00"/>
    <d v="2018-10-26T00:00:00"/>
    <d v="2018-10-26T00:00:00"/>
    <d v="2018-10-31T00:00:00"/>
    <s v="Approved"/>
    <x v="56"/>
    <d v="2019-03-25T00:00:00"/>
    <d v="2018-11-09T00:00:00"/>
    <s v="No action - no reason specified"/>
    <m/>
    <s v=""/>
    <s v=""/>
    <m/>
    <d v="2019-03-25T00:00:00"/>
  </r>
  <r>
    <x v="8"/>
    <s v="Boyd"/>
    <s v="AS0785"/>
    <n v="12105988"/>
    <s v="ASP-Facility B"/>
    <x v="0"/>
    <s v="MA060055-01"/>
    <d v="2026-05-08T00:00:00"/>
    <d v="2018-08-01T00:00:00"/>
    <d v="2018-08-14T00:00:00"/>
    <d v="2018-08-15T00:00:00"/>
    <s v="Approved"/>
    <x v="17"/>
    <d v="2018-11-21T00:00:00"/>
    <d v="2018-11-13T00:00:00"/>
    <s v="No action - no reason specified"/>
    <m/>
    <s v=""/>
    <s v=""/>
    <m/>
    <d v="2018-11-29T00:00:00"/>
  </r>
  <r>
    <x v="2"/>
    <s v="Valdez"/>
    <s v="G53055"/>
    <n v="11643484"/>
    <s v="SVSP-Facility C"/>
    <x v="29"/>
    <s v="CR150352"/>
    <d v="2025-03-04T00:00:00"/>
    <d v="2018-08-27T00:00:00"/>
    <d v="2018-08-27T00:00:00"/>
    <d v="2018-09-12T00:00:00"/>
    <s v="Approved"/>
    <x v="3"/>
    <d v="2018-11-19T00:00:00"/>
    <d v="2018-11-14T00:00:00"/>
    <s v="No action - due to plea"/>
    <m/>
    <s v=""/>
    <s v=""/>
    <m/>
    <d v="2018-11-27T00:00:00"/>
  </r>
  <r>
    <x v="5"/>
    <s v="Inojosa"/>
    <s v="AH3506"/>
    <n v="11367206"/>
    <s v="ISP-Facility C"/>
    <x v="0"/>
    <s v="PA066250"/>
    <d v="2025-02-26T00:00:00"/>
    <d v="2018-07-25T00:00:00"/>
    <d v="2018-07-25T00:00:00"/>
    <d v="2018-08-07T00:00:00"/>
    <s v="Approved"/>
    <x v="42"/>
    <d v="2018-09-24T00:00:00"/>
    <d v="2018-09-10T00:00:00"/>
    <s v="No action - reason provided"/>
    <m/>
    <s v=""/>
    <s v=""/>
    <s v="Appeal exhausted. Apellate court did not use Le"/>
    <d v="2018-10-01T00:00:00"/>
  </r>
  <r>
    <x v="3"/>
    <s v="Jimenez"/>
    <s v="AK9882"/>
    <n v="11279847"/>
    <s v="PBSP-Facility B"/>
    <x v="3"/>
    <s v="F11900854"/>
    <d v="2034-02-24T00:00:00"/>
    <d v="2018-09-18T00:00:00"/>
    <d v="2018-09-18T00:00:00"/>
    <d v="2018-10-03T00:00:00"/>
    <s v="Approved"/>
    <x v="52"/>
    <d v="2018-11-27T00:00:00"/>
    <d v="2018-11-14T00:00:00"/>
    <s v="No action - reason provided"/>
    <m/>
    <s v=""/>
    <s v=""/>
    <s v="The court already stayed PC 12022.7 (People v.Gonzalez)"/>
    <d v="2018-11-27T00:00:00"/>
  </r>
  <r>
    <x v="2"/>
    <s v="Leon"/>
    <s v="AX8874"/>
    <n v="11586801"/>
    <s v="CEN-Facility B"/>
    <x v="0"/>
    <s v="BA408283-01"/>
    <d v="2029-11-02T00:00:00"/>
    <d v="2018-09-05T00:00:00"/>
    <d v="2018-09-05T00:00:00"/>
    <d v="2018-09-26T00:00:00"/>
    <s v="Approved"/>
    <x v="46"/>
    <d v="2018-11-27T00:00:00"/>
    <d v="2018-11-15T00:00:00"/>
    <s v="No action - due to plea"/>
    <m/>
    <s v=""/>
    <s v=""/>
    <m/>
    <d v="2018-11-27T00:00:00"/>
  </r>
  <r>
    <x v="2"/>
    <s v="Rodriguez"/>
    <s v="BE1300"/>
    <n v="12177629"/>
    <s v="CTF-Facility C"/>
    <x v="25"/>
    <s v="17F-05573-B"/>
    <d v="2022-12-06T00:00:00"/>
    <d v="2018-06-21T00:00:00"/>
    <d v="2018-06-21T00:00:00"/>
    <d v="2018-07-02T00:00:00"/>
    <s v="Approved"/>
    <x v="18"/>
    <d v="2018-11-27T00:00:00"/>
    <d v="2018-11-16T00:00:00"/>
    <s v="No action - reason provided"/>
    <m/>
    <s v=""/>
    <s v=""/>
    <s v="Sentence restructured.  Total term remains the same.  "/>
    <d v="2018-11-27T00:00:00"/>
  </r>
  <r>
    <x v="2"/>
    <s v="Figueroa"/>
    <s v="F48624"/>
    <n v="11578287"/>
    <s v="SATF-Facility E"/>
    <x v="0"/>
    <s v="MA053591"/>
    <d v="2028-02-13T00:00:00"/>
    <d v="2018-06-22T00:00:00"/>
    <d v="2018-06-22T00:00:00"/>
    <d v="2018-07-11T00:00:00"/>
    <s v="Approved"/>
    <x v="19"/>
    <d v="2018-11-19T00:00:00"/>
    <d v="2018-11-16T00:00:00"/>
    <s v="No action - due to plea"/>
    <m/>
    <s v=""/>
    <s v=""/>
    <m/>
    <d v="2018-11-27T00:00:00"/>
  </r>
  <r>
    <x v="5"/>
    <s v="Arzate"/>
    <s v="AU9779"/>
    <n v="12122444"/>
    <s v="CAL-Facility C"/>
    <x v="0"/>
    <s v="BA396381-01"/>
    <d v="9999-01-25T00:00:00"/>
    <d v="2018-07-25T00:00:00"/>
    <d v="2018-07-25T00:00:00"/>
    <d v="2018-08-01T00:00:00"/>
    <s v="Approved"/>
    <x v="38"/>
    <d v="2019-01-14T00:00:00"/>
    <d v="2019-01-07T00:00:00"/>
    <s v="Reduced"/>
    <n v="487"/>
    <n v="1.3342465753424657"/>
    <n v="11019.542465753426"/>
    <s v="reduced by 1 year 4 months"/>
    <d v="2019-01-15T00:00:00"/>
  </r>
  <r>
    <x v="1"/>
    <s v="Bailey"/>
    <s v="G22528"/>
    <n v="11219036"/>
    <s v="SCC La Cima Camp"/>
    <x v="8"/>
    <s v="SWF013195"/>
    <d v="2021-08-02T00:00:00"/>
    <d v="2019-04-18T00:00:00"/>
    <d v="2019-04-22T00:00:00"/>
    <d v="2019-04-22T00:00:00"/>
    <s v="Declined"/>
    <x v="27"/>
    <m/>
    <m/>
    <m/>
    <m/>
    <s v=""/>
    <s v=""/>
    <s v="Paroled on 4/23/2021"/>
    <d v="2021-04-16T00:00:00"/>
  </r>
  <r>
    <x v="3"/>
    <s v="Cuevas "/>
    <s v="BC3058"/>
    <n v="12166684"/>
    <s v="SATF-Facility E"/>
    <x v="12"/>
    <s v="C1508685"/>
    <d v="2034-08-06T00:00:00"/>
    <d v="2018-07-25T00:00:00"/>
    <d v="2018-07-25T00:00:00"/>
    <d v="2018-08-07T00:00:00"/>
    <s v="Approved"/>
    <x v="42"/>
    <d v="2019-12-19T00:00:00"/>
    <d v="2019-12-05T00:00:00"/>
    <s v="No action - due to plea"/>
    <m/>
    <s v=""/>
    <s v=""/>
    <m/>
    <d v="2019-12-19T00:00:00"/>
  </r>
  <r>
    <x v="5"/>
    <s v="Davis"/>
    <s v="AD6944"/>
    <n v="11344709"/>
    <s v="CEN-Facility B"/>
    <x v="0"/>
    <s v="TA103093-03"/>
    <d v="9999-01-25T00:00:00"/>
    <d v="2018-07-25T00:00:00"/>
    <d v="2018-07-25T00:00:00"/>
    <d v="2018-08-01T00:00:00"/>
    <s v="Approved"/>
    <x v="38"/>
    <d v="2018-12-26T00:00:00"/>
    <d v="2018-09-25T00:00:00"/>
    <s v="Reduced"/>
    <n v="1826"/>
    <n v="5.0027397260273974"/>
    <n v="41317.627397260272"/>
    <m/>
    <d v="2018-12-27T00:00:00"/>
  </r>
  <r>
    <x v="2"/>
    <s v="Zamora"/>
    <s v="AB5778"/>
    <n v="11331395"/>
    <s v="SAC-Facility C"/>
    <x v="37"/>
    <s v="SC067485A"/>
    <d v="2022-07-23T00:00:00"/>
    <d v="2018-08-27T00:00:00"/>
    <d v="2018-08-27T00:00:00"/>
    <d v="2018-08-29T00:00:00"/>
    <s v="Approved"/>
    <x v="23"/>
    <d v="2018-11-27T00:00:00"/>
    <d v="2018-11-16T00:00:00"/>
    <s v="No action - reason provided"/>
    <m/>
    <s v=""/>
    <s v=""/>
    <s v="Sentence imposed strictly abides by the rules of PC1170.1.  "/>
    <d v="2018-11-27T00:00:00"/>
  </r>
  <r>
    <x v="2"/>
    <s v="Marquez"/>
    <s v="G02612"/>
    <n v="11611639"/>
    <s v="CCC-Facility C"/>
    <x v="14"/>
    <s v="SS052960C"/>
    <d v="2020-05-06T00:00:00"/>
    <d v="2018-08-23T00:00:00"/>
    <d v="2018-08-23T00:00:00"/>
    <d v="2018-08-29T00:00:00"/>
    <s v="Approved"/>
    <x v="23"/>
    <m/>
    <m/>
    <m/>
    <m/>
    <s v=""/>
    <s v=""/>
    <s v="Active Parole"/>
    <d v="2020-03-25T00:00:00"/>
  </r>
  <r>
    <x v="3"/>
    <s v="Goodwin"/>
    <s v="G20890"/>
    <n v="11623083"/>
    <s v="CVSP-MSF"/>
    <x v="0"/>
    <s v="TA092304-01"/>
    <d v="2021-10-22T00:00:00"/>
    <d v="2018-07-25T00:00:00"/>
    <d v="2018-07-25T00:00:00"/>
    <d v="2018-08-07T00:00:00"/>
    <s v="Approved"/>
    <x v="42"/>
    <m/>
    <m/>
    <m/>
    <m/>
    <s v=""/>
    <s v=""/>
    <s v="Paroled 01/02/2021 (not 1170 (d)(1))"/>
    <d v="2021-03-19T00:00:00"/>
  </r>
  <r>
    <x v="3"/>
    <s v="Hendrix"/>
    <s v="G26567"/>
    <n v="11626689"/>
    <s v="RJD-Facility D"/>
    <x v="8"/>
    <s v="RIF118998"/>
    <d v="2020-02-10T00:00:00"/>
    <d v="2018-07-25T00:00:00"/>
    <d v="2018-07-25T00:00:00"/>
    <d v="2018-08-07T00:00:00"/>
    <s v="Approved"/>
    <x v="42"/>
    <d v="2019-04-29T00:00:00"/>
    <d v="2019-04-23T00:00:00"/>
    <s v="Reduced"/>
    <n v="1461"/>
    <n v="4.0027397260273974"/>
    <n v="33058.627397260272"/>
    <s v="reduced by 4 years"/>
    <d v="2019-05-01T00:00:00"/>
  </r>
  <r>
    <x v="5"/>
    <s v="Hernandez"/>
    <s v="AB7969"/>
    <n v="11332793"/>
    <s v="ASP-Facility E"/>
    <x v="0"/>
    <s v="BA348244-01"/>
    <d v="2023-11-27T00:00:00"/>
    <d v="2018-07-25T00:00:00"/>
    <d v="2018-07-25T00:00:00"/>
    <d v="2018-08-01T00:00:00"/>
    <s v="Approved"/>
    <x v="38"/>
    <d v="2019-03-08T00:00:00"/>
    <d v="2018-10-25T00:00:00"/>
    <s v="No reduction - AOJ corrected"/>
    <m/>
    <s v=""/>
    <s v=""/>
    <s v="Term restructered"/>
    <d v="2019-03-08T00:00:00"/>
  </r>
  <r>
    <x v="5"/>
    <s v="Holcomb"/>
    <s v="AC5882"/>
    <n v="11337720"/>
    <s v="DVI-Facility A"/>
    <x v="33"/>
    <s v="CRF121950"/>
    <d v="2026-11-12T00:00:00"/>
    <d v="2018-07-25T00:00:00"/>
    <d v="2018-07-25T00:00:00"/>
    <d v="2018-08-07T00:00:00"/>
    <s v="Approved"/>
    <x v="42"/>
    <d v="2019-03-08T00:00:00"/>
    <d v="2018-11-16T00:00:00"/>
    <s v="Reduced"/>
    <n v="1461"/>
    <n v="4.0027397260273974"/>
    <n v="33058.627397260272"/>
    <s v="reduced 4 years"/>
    <d v="2019-03-08T00:00:00"/>
  </r>
  <r>
    <x v="3"/>
    <s v="Kim"/>
    <s v="AG4208"/>
    <n v="11361468"/>
    <s v="CEN-Facility A"/>
    <x v="0"/>
    <s v="NA073193-01"/>
    <d v="9999-01-25T00:00:00"/>
    <d v="2018-07-25T00:00:00"/>
    <d v="2018-07-25T00:00:00"/>
    <d v="2018-08-01T00:00:00"/>
    <s v="Approved"/>
    <x v="38"/>
    <d v="2019-04-24T00:00:00"/>
    <d v="2019-02-28T00:00:00"/>
    <s v="Reduced"/>
    <n v="3652"/>
    <n v="10.005479452054795"/>
    <n v="82635.254794520544"/>
    <s v="changed from 44year to 34 year"/>
    <d v="2019-04-24T00:00:00"/>
  </r>
  <r>
    <x v="5"/>
    <s v="Leblanc"/>
    <s v="AP0369"/>
    <n v="11312993"/>
    <s v="ISP-Facility C"/>
    <x v="8"/>
    <s v="RIF1100769"/>
    <d v="2022-05-12T00:00:00"/>
    <d v="2018-07-25T00:00:00"/>
    <d v="2018-07-25T00:00:00"/>
    <d v="2018-08-01T00:00:00"/>
    <s v="Approved"/>
    <x v="38"/>
    <d v="2021-03-19T00:00:00"/>
    <d v="2020-10-27T00:00:00"/>
    <s v="Released"/>
    <n v="553"/>
    <n v="1.515068493150685"/>
    <n v="12512.950684931508"/>
    <s v="Paroled on 11/05/2020"/>
    <d v="2021-03-19T00:00:00"/>
  </r>
  <r>
    <x v="3"/>
    <s v="Mercado"/>
    <s v="WA2487"/>
    <n v="11009455"/>
    <s v="CCWF-Facility B"/>
    <x v="18"/>
    <n v="50711747"/>
    <d v="2030-05-21T00:00:00"/>
    <d v="2018-07-25T00:00:00"/>
    <d v="2018-07-25T00:00:00"/>
    <d v="2018-08-15T00:00:00"/>
    <s v="Approved"/>
    <x v="17"/>
    <d v="2021-03-19T00:00:00"/>
    <d v="2018-09-10T00:00:00"/>
    <s v="Reduced"/>
    <n v="1406"/>
    <n v="3.8520547945205479"/>
    <n v="31814.120547945207"/>
    <s v="186.22 stayed"/>
    <d v="2021-03-19T00:00:00"/>
  </r>
  <r>
    <x v="3"/>
    <s v="Bowers"/>
    <s v="BG0974"/>
    <n v="12189734"/>
    <s v="HDSP-Facility D"/>
    <x v="0"/>
    <s v="TA142434-01"/>
    <d v="2038-07-06T00:00:00"/>
    <d v="2018-10-11T00:00:00"/>
    <d v="2018-10-11T00:00:00"/>
    <d v="2018-10-03T00:00:00"/>
    <s v="Approved"/>
    <x v="52"/>
    <d v="2018-12-04T00:00:00"/>
    <d v="2018-11-16T00:00:00"/>
    <s v="No action - no reason specified"/>
    <m/>
    <s v=""/>
    <s v=""/>
    <m/>
    <d v="2018-12-04T00:00:00"/>
  </r>
  <r>
    <x v="3"/>
    <s v="Pimental"/>
    <s v="BF0189"/>
    <n v="12182076"/>
    <s v="PVSP-Facility A"/>
    <x v="14"/>
    <s v="SS161477B"/>
    <d v="2028-05-06T00:00:00"/>
    <d v="2018-07-25T00:00:00"/>
    <d v="2018-07-25T00:00:00"/>
    <d v="2018-08-07T00:00:00"/>
    <s v="Approved"/>
    <x v="42"/>
    <m/>
    <m/>
    <m/>
    <m/>
    <s v=""/>
    <s v=""/>
    <m/>
    <m/>
  </r>
  <r>
    <x v="5"/>
    <s v="Trujillo"/>
    <s v="K85572"/>
    <n v="11820199"/>
    <s v="COR-Facility 03C"/>
    <x v="25"/>
    <s v="F259163"/>
    <d v="2031-12-25T00:00:00"/>
    <d v="2018-07-25T00:00:00"/>
    <d v="2018-07-25T00:00:00"/>
    <d v="2018-08-15T00:00:00"/>
    <s v="Approved"/>
    <x v="17"/>
    <d v="2019-01-15T00:00:00"/>
    <d v="2019-01-03T00:00:00"/>
    <s v="Reduced"/>
    <n v="1461"/>
    <n v="4.0027397260273974"/>
    <n v="33058.627397260272"/>
    <s v="Reduced by 4 years"/>
    <d v="2019-01-16T00:00:00"/>
  </r>
  <r>
    <x v="5"/>
    <s v="Vang"/>
    <s v="AH0663"/>
    <n v="11365430"/>
    <s v="PUMCCF-Shafter"/>
    <x v="17"/>
    <s v="10F05712"/>
    <d v="2020-05-03T00:00:00"/>
    <d v="2018-07-25T00:00:00"/>
    <d v="2018-07-25T00:00:00"/>
    <d v="2018-08-01T00:00:00"/>
    <s v="Approved"/>
    <x v="38"/>
    <d v="2019-12-16T00:00:00"/>
    <d v="2019-12-05T00:00:00"/>
    <s v="No action - due to plea"/>
    <m/>
    <s v=""/>
    <s v=""/>
    <m/>
    <d v="2019-12-17T00:00:00"/>
  </r>
  <r>
    <x v="2"/>
    <s v="Mendoza"/>
    <s v="F36912"/>
    <n v="11571131"/>
    <s v="CCI-Facility A"/>
    <x v="0"/>
    <s v="BA310289-02"/>
    <d v="2023-02-02T00:00:00"/>
    <d v="2018-08-23T00:00:00"/>
    <d v="2018-08-23T00:00:00"/>
    <d v="2018-08-29T00:00:00"/>
    <s v="Approved"/>
    <x v="23"/>
    <d v="2018-11-19T00:00:00"/>
    <d v="2018-11-19T00:00:00"/>
    <s v="No action - reason provided"/>
    <m/>
    <s v=""/>
    <s v=""/>
    <s v="Court says People v Gonzalez isnt applicable "/>
    <d v="2018-12-05T00:00:00"/>
  </r>
  <r>
    <x v="3"/>
    <s v="Reveles"/>
    <s v="G20897"/>
    <n v="11623090"/>
    <s v="CEN-Facility B"/>
    <x v="0"/>
    <s v="LA055116-02"/>
    <d v="2056-12-23T00:00:00"/>
    <d v="2018-07-26T00:00:00"/>
    <d v="2018-07-26T00:00:00"/>
    <d v="2018-08-15T00:00:00"/>
    <s v="Approved"/>
    <x v="17"/>
    <d v="2018-10-18T00:00:00"/>
    <d v="2018-10-04T00:00:00"/>
    <s v="Reduced"/>
    <n v="1461"/>
    <n v="4.0027397260273974"/>
    <n v="33058.627397260272"/>
    <s v="reduced 4 years"/>
    <d v="2018-10-22T00:00:00"/>
  </r>
  <r>
    <x v="3"/>
    <s v="Cano"/>
    <s v="T81195"/>
    <n v="11267992"/>
    <s v="RJD-Facility B"/>
    <x v="8"/>
    <s v="RIF097483"/>
    <d v="9999-01-25T00:00:00"/>
    <d v="2018-07-26T00:00:00"/>
    <d v="2018-07-26T00:00:00"/>
    <d v="2018-08-15T00:00:00"/>
    <s v="Approved"/>
    <x v="17"/>
    <d v="2019-04-05T00:00:00"/>
    <d v="2019-04-05T00:00:00"/>
    <s v="Reduced"/>
    <n v="3652"/>
    <n v="10.005479452054795"/>
    <n v="82635.254794520544"/>
    <s v="reduced by 10 years 186.22 s"/>
    <d v="2019-04-09T00:00:00"/>
  </r>
  <r>
    <x v="3"/>
    <s v="Ammons"/>
    <s v="T68607"/>
    <n v="11939920"/>
    <s v="SQ-Facility A"/>
    <x v="0"/>
    <s v="BA215765"/>
    <d v="2086-12-02T00:00:00"/>
    <d v="2018-07-26T00:00:00"/>
    <d v="2018-07-26T00:00:00"/>
    <d v="2018-08-15T00:00:00"/>
    <s v="Approved"/>
    <x v="17"/>
    <m/>
    <m/>
    <m/>
    <m/>
    <s v=""/>
    <s v=""/>
    <m/>
    <m/>
  </r>
  <r>
    <x v="5"/>
    <s v="Avila"/>
    <s v="T00843"/>
    <n v="11901923"/>
    <s v="KVSP-Facility A"/>
    <x v="0"/>
    <s v="VA056754"/>
    <d v="2076-10-28T00:00:00"/>
    <d v="2018-07-26T00:00:00"/>
    <d v="2018-07-26T00:00:00"/>
    <d v="2018-08-15T00:00:00"/>
    <s v="Approved"/>
    <x v="17"/>
    <m/>
    <m/>
    <m/>
    <m/>
    <s v=""/>
    <s v=""/>
    <m/>
    <m/>
  </r>
  <r>
    <x v="5"/>
    <s v="Bell III"/>
    <s v="AK6725"/>
    <n v="11955890"/>
    <s v="CAL-Facility D"/>
    <x v="17"/>
    <s v="11F02687"/>
    <d v="2068-04-23T00:00:00"/>
    <d v="2018-07-26T00:00:00"/>
    <d v="2018-07-26T00:00:00"/>
    <d v="2018-08-15T00:00:00"/>
    <s v="Approved"/>
    <x v="17"/>
    <d v="2019-08-27T00:00:00"/>
    <d v="2019-07-12T00:00:00"/>
    <s v="Reduced"/>
    <n v="1826"/>
    <n v="5.0027397260273974"/>
    <n v="41317.627397260272"/>
    <s v="Term reduced by 5 years"/>
    <d v="2019-08-28T00:00:00"/>
  </r>
  <r>
    <x v="5"/>
    <s v="Chinchilla"/>
    <s v="BE6271"/>
    <n v="12180715"/>
    <s v="COR-Facility 03C"/>
    <x v="0"/>
    <s v="BA432553-01"/>
    <d v="2066-10-19T00:00:00"/>
    <d v="2018-07-26T00:00:00"/>
    <d v="2018-07-26T00:00:00"/>
    <d v="2018-08-07T00:00:00"/>
    <s v="Approved"/>
    <x v="42"/>
    <d v="2020-01-30T00:00:00"/>
    <d v="2020-01-15T00:00:00"/>
    <s v="Reduced"/>
    <n v="1826"/>
    <n v="5.0027397260273974"/>
    <n v="41317.627397260272"/>
    <s v="reduced by 5 years"/>
    <d v="2020-01-31T00:00:00"/>
  </r>
  <r>
    <x v="2"/>
    <s v="Gonzales"/>
    <s v="AP7673"/>
    <n v="11717557"/>
    <s v="HDSP-Facility D"/>
    <x v="3"/>
    <s v="F13901075"/>
    <d v="2035-04-22T00:00:00"/>
    <d v="2018-08-27T00:00:00"/>
    <d v="2018-08-27T00:00:00"/>
    <d v="2018-09-12T00:00:00"/>
    <s v="Approved"/>
    <x v="43"/>
    <d v="2018-11-29T00:00:00"/>
    <d v="2018-11-20T00:00:00"/>
    <s v="No action - reason provided"/>
    <m/>
    <s v=""/>
    <s v=""/>
    <s v="There was no impermissible dual imposition of the two enhancements"/>
    <d v="2018-11-29T00:00:00"/>
  </r>
  <r>
    <x v="5"/>
    <s v="Curry"/>
    <s v="T29338"/>
    <n v="11917862"/>
    <s v="LAC-Facility A"/>
    <x v="0"/>
    <s v="BA214317-02"/>
    <d v="2078-12-16T00:00:00"/>
    <d v="2018-07-26T00:00:00"/>
    <d v="2018-07-26T00:00:00"/>
    <d v="2018-08-15T00:00:00"/>
    <s v="Approved"/>
    <x v="17"/>
    <d v="2019-01-07T00:00:00"/>
    <d v="2018-12-26T00:00:00"/>
    <s v="Reduced"/>
    <n v="3287.25"/>
    <n v="9.0061643835616429"/>
    <n v="74381.911643835614"/>
    <s v="Reduced by 9 years"/>
    <d v="2019-01-07T00:00:00"/>
  </r>
  <r>
    <x v="3"/>
    <s v="Garcia"/>
    <s v="V97436"/>
    <n v="12014683"/>
    <s v="FOL-Facility A"/>
    <x v="8"/>
    <s v="RIF099598"/>
    <d v="2054-08-15T00:00:00"/>
    <d v="2018-07-26T00:00:00"/>
    <d v="2018-07-26T00:00:00"/>
    <d v="2018-08-15T00:00:00"/>
    <s v="Approved"/>
    <x v="17"/>
    <m/>
    <m/>
    <m/>
    <m/>
    <s v=""/>
    <s v=""/>
    <m/>
    <m/>
  </r>
  <r>
    <x v="3"/>
    <s v="Gomez"/>
    <s v="T61599"/>
    <n v="11935938"/>
    <s v="SATF-Facility E"/>
    <x v="0"/>
    <s v="BA335199-01"/>
    <d v="2074-02-15T00:00:00"/>
    <d v="2018-07-26T00:00:00"/>
    <d v="2018-07-26T00:00:00"/>
    <d v="2018-08-15T00:00:00"/>
    <s v="Approved"/>
    <x v="17"/>
    <d v="2018-12-14T00:00:00"/>
    <d v="2018-12-04T00:00:00"/>
    <s v="Reduced"/>
    <n v="3652"/>
    <n v="10.005479452054795"/>
    <n v="82635.254794520544"/>
    <m/>
    <d v="2018-12-21T00:00:00"/>
  </r>
  <r>
    <x v="3"/>
    <s v="Guimary"/>
    <s v="AV6308"/>
    <n v="11206724"/>
    <s v="CAL-Facility D"/>
    <x v="0"/>
    <s v="NA088042"/>
    <d v="2062-01-31T00:00:00"/>
    <d v="2018-07-26T00:00:00"/>
    <d v="2018-07-26T00:00:00"/>
    <d v="2018-08-15T00:00:00"/>
    <s v="Approved"/>
    <x v="17"/>
    <m/>
    <m/>
    <m/>
    <m/>
    <s v=""/>
    <s v=""/>
    <m/>
    <m/>
  </r>
  <r>
    <x v="2"/>
    <s v="Ortega"/>
    <s v="BG1311"/>
    <n v="12190042"/>
    <s v="CAL-Facility C"/>
    <x v="15"/>
    <n v="2015010912"/>
    <d v="2038-01-08T00:00:00"/>
    <d v="2018-10-08T00:00:00"/>
    <d v="2018-10-11T00:00:00"/>
    <d v="2018-10-11T00:00:00"/>
    <s v="Approved"/>
    <x v="52"/>
    <d v="2019-01-02T00:00:00"/>
    <d v="2018-11-20T00:00:00"/>
    <s v="No action - no reason specified"/>
    <m/>
    <s v=""/>
    <s v=""/>
    <m/>
    <d v="2019-01-02T00:00:00"/>
  </r>
  <r>
    <x v="3"/>
    <s v="Hwang"/>
    <s v="T18946"/>
    <n v="11912071"/>
    <s v="SCC-Facility C"/>
    <x v="0"/>
    <s v="KA048652"/>
    <d v="2062-03-10T00:00:00"/>
    <d v="2018-07-26T00:00:00"/>
    <d v="2018-07-26T00:00:00"/>
    <d v="2018-08-15T00:00:00"/>
    <s v="Approved"/>
    <x v="17"/>
    <d v="2019-10-07T00:00:00"/>
    <d v="2019-09-25T00:00:00"/>
    <s v="Reduced"/>
    <n v="3652"/>
    <n v="10.005479452054795"/>
    <n v="82635.254794520544"/>
    <s v="reduced by 10 years"/>
    <d v="2019-10-07T00:00:00"/>
  </r>
  <r>
    <x v="5"/>
    <s v="Montes"/>
    <s v="AT0165"/>
    <n v="11987812"/>
    <s v="LAC-Facility B"/>
    <x v="0"/>
    <s v="BA358831-01"/>
    <d v="2071-01-29T00:00:00"/>
    <d v="2018-07-26T00:00:00"/>
    <d v="2018-07-26T00:00:00"/>
    <d v="2018-08-07T00:00:00"/>
    <s v="Approved"/>
    <x v="42"/>
    <m/>
    <m/>
    <m/>
    <m/>
    <s v=""/>
    <s v=""/>
    <m/>
    <m/>
  </r>
  <r>
    <x v="2"/>
    <s v="Guerra"/>
    <s v="AV6392"/>
    <n v="12126480"/>
    <s v="COR-Facility 03C"/>
    <x v="11"/>
    <s v="VCF295874"/>
    <d v="2027-02-26T00:00:00"/>
    <d v="2018-08-21T00:00:00"/>
    <d v="2018-08-21T00:00:00"/>
    <d v="2018-08-22T00:00:00"/>
    <s v="Approved"/>
    <x v="29"/>
    <d v="2018-11-29T00:00:00"/>
    <d v="2018-11-21T00:00:00"/>
    <s v="No action - due to plea"/>
    <m/>
    <s v=""/>
    <s v=""/>
    <m/>
    <d v="2018-11-29T00:00:00"/>
  </r>
  <r>
    <x v="3"/>
    <s v="Soto"/>
    <s v="F94424"/>
    <n v="11606452"/>
    <s v="CEN-Facility C"/>
    <x v="0"/>
    <s v="YA064697-01"/>
    <d v="2067-08-04T00:00:00"/>
    <d v="2018-07-26T00:00:00"/>
    <d v="2018-07-26T00:00:00"/>
    <d v="2018-08-15T00:00:00"/>
    <s v="Approved"/>
    <x v="17"/>
    <d v="2019-05-23T00:00:00"/>
    <d v="2019-04-29T00:00:00"/>
    <s v="Reduced"/>
    <n v="1947"/>
    <n v="5.3342465753424655"/>
    <n v="44055.542465753424"/>
    <s v="reduced by 4 years 4 months"/>
    <d v="2019-05-23T00:00:00"/>
  </r>
  <r>
    <x v="3"/>
    <s v="Vasquez"/>
    <s v="F56545"/>
    <n v="11583100"/>
    <s v="CTF-Facility C"/>
    <x v="0"/>
    <s v="GA057279-01"/>
    <d v="2070-05-27T00:00:00"/>
    <d v="2018-07-26T00:00:00"/>
    <d v="2018-07-26T00:00:00"/>
    <d v="2018-08-07T00:00:00"/>
    <s v="Approved"/>
    <x v="42"/>
    <d v="2018-12-24T00:00:00"/>
    <d v="2018-12-14T00:00:00"/>
    <s v="Reduced"/>
    <n v="1461"/>
    <n v="4.0027397260273974"/>
    <n v="33058.627397260272"/>
    <s v="Reduced by 4 years"/>
    <d v="2018-12-27T00:00:00"/>
  </r>
  <r>
    <x v="3"/>
    <s v="Delgado"/>
    <s v="F56751"/>
    <n v="11583229"/>
    <s v="LAC-Facility A"/>
    <x v="0"/>
    <s v="LA049196-01"/>
    <d v="2073-02-09T00:00:00"/>
    <d v="2018-07-26T00:00:00"/>
    <d v="2018-07-26T00:00:00"/>
    <d v="2018-09-19T00:00:00"/>
    <s v="Approved"/>
    <x v="45"/>
    <d v="2018-10-22T00:00:00"/>
    <d v="2019-01-07T00:00:00"/>
    <s v="Reduced"/>
    <n v="1461"/>
    <n v="4.0027397260273974"/>
    <n v="33058.627397260272"/>
    <s v="Reduced by 4 years"/>
    <d v="2019-01-16T00:00:00"/>
  </r>
  <r>
    <x v="8"/>
    <s v="Barnhill"/>
    <s v="BC5464"/>
    <n v="12168036"/>
    <s v="SATF-Facility A"/>
    <x v="7"/>
    <s v="16CF05594"/>
    <d v="2020-05-19T00:00:00"/>
    <d v="2018-08-01T00:00:00"/>
    <d v="2018-08-14T00:00:00"/>
    <d v="2018-08-15T00:00:00"/>
    <s v="Approved"/>
    <x v="17"/>
    <d v="2018-10-26T00:00:00"/>
    <d v="2018-10-22T00:00:00"/>
    <s v="Reduced"/>
    <n v="608"/>
    <n v="1.6657534246575343"/>
    <n v="13757.457534246576"/>
    <s v="reduced to 1 year 8 months, discharged 06/09/2019"/>
    <d v="2018-11-01T00:00:00"/>
  </r>
  <r>
    <x v="9"/>
    <s v="Hitchcock"/>
    <s v="AV6022"/>
    <n v="12126263"/>
    <s v="CMF-Facility A"/>
    <x v="10"/>
    <s v="SCE342257"/>
    <d v="2021-12-01T00:00:00"/>
    <d v="2018-08-01T00:00:00"/>
    <d v="2018-08-14T00:00:00"/>
    <d v="2018-08-22T00:00:00"/>
    <s v="Approved"/>
    <x v="29"/>
    <d v="2018-10-01T00:00:00"/>
    <d v="2018-09-28T00:00:00"/>
    <s v="Reduced"/>
    <n v="1095"/>
    <n v="3"/>
    <n v="24777"/>
    <s v="Paroled 06/24/2019"/>
    <d v="2018-10-10T00:00:00"/>
  </r>
  <r>
    <x v="9"/>
    <s v="Shimp"/>
    <s v="AB8578"/>
    <n v="11333172"/>
    <s v="SCC-La Cima Camp"/>
    <x v="10"/>
    <s v="SCE282395"/>
    <d v="2020-01-09T00:00:00"/>
    <d v="2018-08-01T00:00:00"/>
    <d v="2018-08-14T00:00:00"/>
    <d v="2018-08-22T00:00:00"/>
    <s v="Approved"/>
    <x v="29"/>
    <d v="2018-10-17T00:00:00"/>
    <d v="2018-11-16T00:00:00"/>
    <s v="Reduced"/>
    <n v="486"/>
    <n v="1.3315068493150686"/>
    <n v="10996.91506849315"/>
    <s v="Paroled 01/19/2019"/>
    <d v="2018-11-29T00:00:00"/>
  </r>
  <r>
    <x v="8"/>
    <s v="Stringer"/>
    <s v="BF5107"/>
    <n v="11323476"/>
    <s v="CEN-Facility C"/>
    <x v="14"/>
    <s v="SS151402A"/>
    <d v="2035-07-27T00:00:00"/>
    <d v="2018-08-01T00:00:00"/>
    <d v="2018-08-14T00:00:00"/>
    <d v="2018-08-15T00:00:00"/>
    <s v="Approved"/>
    <x v="17"/>
    <d v="2019-04-12T00:00:00"/>
    <d v="2019-04-08T00:00:00"/>
    <s v="Reduced"/>
    <n v="243"/>
    <n v="0.66575342465753429"/>
    <n v="5498.4575342465751"/>
    <s v="original amendment for 2 years 8 months on 10/11/18"/>
    <d v="2019-04-17T00:00:00"/>
  </r>
  <r>
    <x v="8"/>
    <s v="Creed"/>
    <s v="AZ8116"/>
    <n v="12151551"/>
    <s v="VSP-Facility B"/>
    <x v="32"/>
    <s v="SCUK-CRCR-14-76399"/>
    <d v="2021-07-15T00:00:00"/>
    <d v="2018-08-01T00:00:00"/>
    <d v="2018-08-14T00:00:00"/>
    <d v="2018-08-22T00:00:00"/>
    <s v="Approved"/>
    <x v="29"/>
    <d v="2018-10-22T00:00:00"/>
    <d v="2018-12-18T00:00:00"/>
    <s v="Reduced"/>
    <n v="243"/>
    <n v="0.66575342465753429"/>
    <n v="5498.4575342465751"/>
    <m/>
    <d v="2019-01-24T00:00:00"/>
  </r>
  <r>
    <x v="8"/>
    <s v="Ortega"/>
    <s v="AA1627"/>
    <n v="11322387"/>
    <s v="CVSP-Facility C"/>
    <x v="0"/>
    <s v="MA039687-01"/>
    <d v="2026-05-08T00:00:00"/>
    <d v="2018-08-01T00:00:00"/>
    <d v="2018-08-14T00:00:00"/>
    <d v="2018-08-15T00:00:00"/>
    <s v="Approved"/>
    <x v="17"/>
    <d v="2018-12-12T00:00:00"/>
    <d v="2018-12-06T00:00:00"/>
    <s v="Reduced"/>
    <n v="243"/>
    <n v="0.66575342465753429"/>
    <n v="5498.4575342465751"/>
    <s v="reduced"/>
    <d v="2018-12-18T00:00:00"/>
  </r>
  <r>
    <x v="8"/>
    <s v="Rios"/>
    <s v="AR1749"/>
    <n v="12100562"/>
    <s v="VSP-Facility D"/>
    <x v="21"/>
    <s v="MF035540A"/>
    <d v="2033-06-05T00:00:00"/>
    <d v="2018-08-01T00:00:00"/>
    <d v="2018-08-14T00:00:00"/>
    <d v="2018-08-15T00:00:00"/>
    <s v="Approved"/>
    <x v="17"/>
    <d v="2018-10-30T00:00:00"/>
    <d v="2018-09-24T00:00:00"/>
    <s v="No reduction - AOJ corrected"/>
    <m/>
    <s v=""/>
    <s v=""/>
    <s v="sentence restructured"/>
    <d v="2018-10-30T00:00:00"/>
  </r>
  <r>
    <x v="2"/>
    <s v="Garcia"/>
    <s v="AK9919"/>
    <n v="11279986"/>
    <s v="HDSP-Facility D"/>
    <x v="14"/>
    <s v="SS110751A"/>
    <d v="2036-07-06T00:00:00"/>
    <d v="2018-09-04T00:00:00"/>
    <d v="2018-09-04T00:00:00"/>
    <d v="2018-09-12T00:00:00"/>
    <s v="Approved"/>
    <x v="43"/>
    <d v="2018-12-03T00:00:00"/>
    <d v="2018-11-21T00:00:00"/>
    <s v="No action - due to plea"/>
    <m/>
    <s v=""/>
    <s v=""/>
    <m/>
    <d v="2018-12-03T00:00:00"/>
  </r>
  <r>
    <x v="3"/>
    <s v="Casas"/>
    <s v="BF6757"/>
    <n v="12187164"/>
    <s v="CEN-Facility B"/>
    <x v="14"/>
    <s v="SS161489A"/>
    <d v="2029-07-31T00:00:00"/>
    <d v="2018-10-08T00:00:00"/>
    <d v="2018-10-11T00:00:00"/>
    <d v="2018-10-11T00:00:00"/>
    <s v="Approved"/>
    <x v="52"/>
    <d v="2018-11-29T00:00:00"/>
    <d v="2018-11-21T00:00:00"/>
    <s v="No action - due to plea"/>
    <m/>
    <s v=""/>
    <s v=""/>
    <m/>
    <d v="2018-11-29T00:00:00"/>
  </r>
  <r>
    <x v="3"/>
    <s v="Carreon"/>
    <s v="AK1890"/>
    <n v="11042860"/>
    <s v="PUMCCF-Shafter"/>
    <x v="14"/>
    <s v="SS11296a"/>
    <d v="2024-11-14T00:00:00"/>
    <d v="2018-06-11T00:00:00"/>
    <d v="2018-06-12T00:00:00"/>
    <d v="2018-06-13T00:00:00"/>
    <s v="Approved"/>
    <x v="14"/>
    <d v="2018-12-04T00:00:00"/>
    <d v="2018-11-26T00:00:00"/>
    <s v="No action - due to plea"/>
    <m/>
    <s v=""/>
    <s v=""/>
    <m/>
    <d v="2018-12-04T00:00:00"/>
  </r>
  <r>
    <x v="5"/>
    <s v="Rodriguez"/>
    <s v="AP6098"/>
    <n v="11735989"/>
    <s v="CAC-Facility B"/>
    <x v="0"/>
    <s v="LA068862"/>
    <d v="2028-01-23T00:00:00"/>
    <d v="2018-06-11T00:00:00"/>
    <d v="2018-06-12T00:00:00"/>
    <d v="2018-06-13T00:00:00"/>
    <s v="Approved"/>
    <x v="14"/>
    <d v="2018-12-20T00:00:00"/>
    <d v="2018-11-28T00:00:00"/>
    <s v="No action - due to plea"/>
    <m/>
    <s v=""/>
    <s v=""/>
    <m/>
    <d v="2018-12-24T00:00:00"/>
  </r>
  <r>
    <x v="5"/>
    <s v="Fatu"/>
    <s v="AL5281"/>
    <n v="11296866"/>
    <s v="CAL-Facility B"/>
    <x v="0"/>
    <s v="NA090775"/>
    <d v="2032-09-17T00:00:00"/>
    <d v="2018-07-25T00:00:00"/>
    <d v="2018-07-25T00:00:00"/>
    <d v="2018-08-15T00:00:00"/>
    <s v="Approved"/>
    <x v="17"/>
    <d v="2018-12-04T00:00:00"/>
    <d v="2018-11-28T00:00:00"/>
    <s v="No action - reason provided"/>
    <m/>
    <s v=""/>
    <s v=""/>
    <s v="Original sentence imposed is legal"/>
    <d v="2018-12-04T00:00:00"/>
  </r>
  <r>
    <x v="1"/>
    <s v="Tanori"/>
    <s v="F55238"/>
    <n v="11582284"/>
    <s v="CVSP-Facility C"/>
    <x v="0"/>
    <s v="NA070869"/>
    <d v="2023-11-23T00:00:00"/>
    <d v="2018-08-30T00:00:00"/>
    <d v="2018-09-07T00:00:00"/>
    <d v="2018-09-07T00:00:00"/>
    <s v="Approved"/>
    <x v="43"/>
    <d v="2018-12-10T00:00:00"/>
    <d v="2018-11-30T00:00:00"/>
    <s v="No action - due to plea"/>
    <m/>
    <s v=""/>
    <s v=""/>
    <m/>
    <d v="2018-12-10T00:00:00"/>
  </r>
  <r>
    <x v="2"/>
    <s v="Navarro"/>
    <s v="G49528"/>
    <n v="11641233"/>
    <s v="PVSP-Facility C"/>
    <x v="0"/>
    <s v="LA058292-01"/>
    <d v="2023-10-07T00:00:00"/>
    <d v="2018-06-21T00:00:00"/>
    <d v="2018-06-21T00:00:00"/>
    <d v="2018-07-02T00:00:00"/>
    <s v="Approved"/>
    <x v="18"/>
    <d v="2018-12-10T00:00:00"/>
    <d v="2018-12-03T00:00:00"/>
    <s v="No action - no reason specified"/>
    <m/>
    <s v=""/>
    <s v=""/>
    <m/>
    <d v="2018-12-10T00:00:00"/>
  </r>
  <r>
    <x v="2"/>
    <s v="Gonzalez"/>
    <s v="BD7959"/>
    <n v="12175554"/>
    <s v="CAL-Facility A"/>
    <x v="0"/>
    <s v="XNWLA083649-01"/>
    <d v="2030-02-11T00:00:00"/>
    <d v="2018-06-27T00:00:00"/>
    <d v="2018-06-27T00:00:00"/>
    <d v="2018-08-01T00:00:00"/>
    <s v="Approved"/>
    <x v="38"/>
    <d v="2018-12-21T00:00:00"/>
    <d v="2018-12-03T00:00:00"/>
    <s v="Released"/>
    <n v="1457"/>
    <n v="3.9917808219178084"/>
    <n v="32968.117808219176"/>
    <s v="Released on 11/27/2019"/>
    <d v="2018-12-21T00:00:00"/>
  </r>
  <r>
    <x v="1"/>
    <s v="Jones "/>
    <s v="AS4138"/>
    <n v="11067588"/>
    <s v="MCSP-Facility A "/>
    <x v="0"/>
    <s v="YA085420"/>
    <d v="2029-03-30T00:00:00"/>
    <d v="2018-10-17T00:00:00"/>
    <d v="2018-10-22T00:00:00"/>
    <d v="2018-10-22T00:00:00"/>
    <s v="Approved"/>
    <x v="58"/>
    <d v="2019-01-02T00:00:00"/>
    <d v="2018-12-03T00:00:00"/>
    <s v="No action - due to plea"/>
    <m/>
    <s v=""/>
    <s v=""/>
    <m/>
    <d v="2019-01-02T00:00:00"/>
  </r>
  <r>
    <x v="2"/>
    <s v="Ayala"/>
    <s v="AT8972"/>
    <n v="12116463"/>
    <s v="CEN-Facility B"/>
    <x v="0"/>
    <s v="BA392650-04"/>
    <d v="2021-08-26T00:00:00"/>
    <d v="2018-09-05T00:00:00"/>
    <d v="2018-09-06T00:00:00"/>
    <d v="2018-09-26T00:00:00"/>
    <s v="Approved"/>
    <x v="46"/>
    <d v="2018-12-10T00:00:00"/>
    <d v="2018-12-04T00:00:00"/>
    <s v="No action - due to plea"/>
    <m/>
    <s v=""/>
    <s v=""/>
    <m/>
    <d v="2018-12-10T00:00:00"/>
  </r>
  <r>
    <x v="3"/>
    <s v="Macias"/>
    <s v="G20803"/>
    <n v="11623003"/>
    <s v="MCSP-Facility E"/>
    <x v="11"/>
    <s v="VCF174152"/>
    <d v="2030-08-21T00:00:00"/>
    <d v="2018-05-22T00:00:00"/>
    <d v="2018-05-23T00:00:00"/>
    <d v="2018-05-23T00:00:00"/>
    <s v="Approved"/>
    <x v="13"/>
    <d v="2019-03-05T00:00:00"/>
    <d v="2018-12-05T00:00:00"/>
    <s v="No action - due to plea"/>
    <m/>
    <s v=""/>
    <s v=""/>
    <m/>
    <d v="2019-03-05T00:00:00"/>
  </r>
  <r>
    <x v="2"/>
    <s v="Espinoza"/>
    <s v="F94827"/>
    <n v="11606716"/>
    <s v="PUMCCF-Delano"/>
    <x v="35"/>
    <s v="MCR026873C"/>
    <d v="2019-11-18T00:00:00"/>
    <d v="2018-08-02T00:00:00"/>
    <d v="2018-08-02T00:00:00"/>
    <d v="2018-08-07T00:00:00"/>
    <s v="Approved"/>
    <x v="42"/>
    <d v="2018-12-26T00:00:00"/>
    <d v="2018-12-05T00:00:00"/>
    <s v="No action - due to plea"/>
    <m/>
    <s v=""/>
    <s v=""/>
    <m/>
    <d v="2018-12-26T00:00:00"/>
  </r>
  <r>
    <x v="8"/>
    <s v="Voit"/>
    <s v="AD5684"/>
    <n v="11343932"/>
    <s v="CIM-Facility C"/>
    <x v="12"/>
    <s v="CC800816"/>
    <d v="2047-12-12T00:00:00"/>
    <d v="2018-08-01T00:00:00"/>
    <d v="2018-08-14T00:00:00"/>
    <d v="2018-08-15T00:00:00"/>
    <s v="Approved"/>
    <x v="17"/>
    <d v="2019-08-13T00:00:00"/>
    <d v="2019-08-06T00:00:00"/>
    <s v="Reduced"/>
    <n v="243.5"/>
    <n v="0.66712328767123286"/>
    <n v="5509.7712328767129"/>
    <s v="M.O. dated 09/21/2018-No Action by the Courts "/>
    <d v="2019-08-13T00:00:00"/>
  </r>
  <r>
    <x v="2"/>
    <s v="Picazo"/>
    <s v="AF5108"/>
    <n v="11355956"/>
    <s v="CAL-Facility B"/>
    <x v="0"/>
    <s v="MA050320-01"/>
    <d v="2021-12-20T00:00:00"/>
    <d v="2018-09-04T00:00:00"/>
    <d v="2018-09-04T00:00:00"/>
    <d v="2018-09-19T00:00:00"/>
    <s v="Approved"/>
    <x v="45"/>
    <d v="2018-12-10T00:00:00"/>
    <d v="2018-12-05T00:00:00"/>
    <s v="No action - due to plea"/>
    <m/>
    <s v=""/>
    <s v=""/>
    <m/>
    <d v="2018-12-10T00:00:00"/>
  </r>
  <r>
    <x v="2"/>
    <s v="Soto"/>
    <s v="AE7626"/>
    <n v="11351331"/>
    <s v="CEN-Facility C"/>
    <x v="2"/>
    <s v="07CF2465"/>
    <d v="2041-06-12T00:00:00"/>
    <d v="2018-09-04T00:00:00"/>
    <d v="2018-09-04T00:00:00"/>
    <d v="2018-09-12T00:00:00"/>
    <s v="Approved"/>
    <x v="3"/>
    <d v="2018-12-11T00:00:00"/>
    <d v="2018-12-06T00:00:00"/>
    <s v="No action - reason provided"/>
    <m/>
    <s v=""/>
    <s v=""/>
    <s v="Defendant's sentence does not materially affect defendant's total aggregate sentence; therefore, the court will not take action."/>
    <d v="2018-12-19T00:00:00"/>
  </r>
  <r>
    <x v="9"/>
    <s v="Ackerman"/>
    <s v="BF3218"/>
    <n v="11943051"/>
    <s v="CEN-Facility B"/>
    <x v="10"/>
    <s v="SCD271741"/>
    <d v="2033-05-14T00:00:00"/>
    <d v="2018-08-01T00:00:00"/>
    <d v="2018-08-14T00:00:00"/>
    <d v="2018-08-22T00:00:00"/>
    <s v="Approved"/>
    <x v="29"/>
    <m/>
    <m/>
    <m/>
    <m/>
    <s v=""/>
    <s v=""/>
    <m/>
    <m/>
  </r>
  <r>
    <x v="8"/>
    <s v="Baker"/>
    <s v="BD9582"/>
    <n v="11691739"/>
    <s v="CMF-Facility A"/>
    <x v="8"/>
    <s v="SWF160251"/>
    <d v="2064-09-11T00:00:00"/>
    <d v="2018-08-01T00:00:00"/>
    <d v="2018-08-14T00:00:00"/>
    <d v="2018-08-15T00:00:00"/>
    <s v="Approved"/>
    <x v="17"/>
    <d v="2019-04-24T00:00:00"/>
    <d v="2019-03-08T00:00:00"/>
    <s v="No reduction - AOJ corrected"/>
    <m/>
    <s v=""/>
    <s v=""/>
    <s v="Term restructered"/>
    <d v="2019-04-24T00:00:00"/>
  </r>
  <r>
    <x v="8"/>
    <s v="Bigelow"/>
    <s v="BC0192"/>
    <n v="11882896"/>
    <s v="PVSP-Facility A"/>
    <x v="25"/>
    <s v="14C-38648"/>
    <d v="2032-09-14T00:00:00"/>
    <d v="2018-08-01T00:00:00"/>
    <d v="2018-08-14T00:00:00"/>
    <d v="2018-08-15T00:00:00"/>
    <s v="Approved"/>
    <x v="17"/>
    <d v="2019-03-08T00:00:00"/>
    <d v="2018-10-18T00:00:00"/>
    <s v="Reduced"/>
    <n v="730"/>
    <n v="2"/>
    <n v="16518"/>
    <s v="reduced by 2 years"/>
    <d v="2019-03-08T00:00:00"/>
  </r>
  <r>
    <x v="9"/>
    <s v="Bucci"/>
    <s v="G49048"/>
    <n v="11640928"/>
    <s v="SQ-Facility A"/>
    <x v="1"/>
    <s v="FCR238111"/>
    <d v="2027-02-26T00:00:00"/>
    <d v="2018-08-01T00:00:00"/>
    <d v="2018-08-14T00:00:00"/>
    <d v="2019-06-25T00:00:00"/>
    <s v="Approved"/>
    <x v="59"/>
    <d v="2021-03-19T00:00:00"/>
    <d v="2020-02-24T00:00:00"/>
    <s v="Reduced"/>
    <n v="2247"/>
    <n v="6.1561643835616442"/>
    <n v="50843.76164383562"/>
    <s v="Reduced by 5 years/released on 1/1/21"/>
    <d v="2021-03-19T00:00:00"/>
  </r>
  <r>
    <x v="8"/>
    <s v="Eggleston"/>
    <s v="AV6961"/>
    <n v="11956553"/>
    <s v="COR-Facility 03B"/>
    <x v="0"/>
    <s v="KA106649-01"/>
    <d v="2023-05-07T00:00:00"/>
    <d v="2018-08-01T00:00:00"/>
    <d v="2018-08-14T00:00:00"/>
    <d v="2018-08-15T00:00:00"/>
    <s v="Approved"/>
    <x v="17"/>
    <m/>
    <m/>
    <m/>
    <m/>
    <s v=""/>
    <s v=""/>
    <m/>
    <m/>
  </r>
  <r>
    <x v="1"/>
    <s v="Gomez"/>
    <s v="F56418"/>
    <n v="11204613"/>
    <s v="ASP-Facility C"/>
    <x v="0"/>
    <s v="YA065023"/>
    <d v="2022-05-05T00:00:00"/>
    <d v="2018-11-15T00:00:00"/>
    <d v="2018-11-27T00:00:00"/>
    <d v="2018-11-27T00:00:00"/>
    <s v="Approved"/>
    <x v="60"/>
    <d v="2018-12-17T00:00:00"/>
    <d v="2018-12-07T00:00:00"/>
    <s v="No action - reason provided"/>
    <m/>
    <s v=""/>
    <s v=""/>
    <s v="extensive criminal history and disciplinary record"/>
    <d v="2018-12-18T00:00:00"/>
  </r>
  <r>
    <x v="2"/>
    <s v="Baxter"/>
    <s v="F03111"/>
    <n v="11550727"/>
    <s v="CHCF-Facility B"/>
    <x v="4"/>
    <s v="MF41249A"/>
    <d v="2020-07-15T00:00:00"/>
    <d v="2018-09-05T00:00:00"/>
    <d v="2018-09-05T00:00:00"/>
    <d v="2018-09-19T00:00:00"/>
    <s v="Approved"/>
    <x v="45"/>
    <m/>
    <m/>
    <m/>
    <m/>
    <s v=""/>
    <s v=""/>
    <m/>
    <m/>
  </r>
  <r>
    <x v="6"/>
    <s v="McLeod"/>
    <s v="AM7117"/>
    <n v="11304703"/>
    <s v="LAC-MSF"/>
    <x v="30"/>
    <s v="CRF53967"/>
    <d v="2021-08-24T00:00:00"/>
    <d v="2018-05-16T00:00:00"/>
    <d v="2018-05-22T00:00:00"/>
    <d v="2018-05-30T00:00:00"/>
    <s v="Approved"/>
    <x v="31"/>
    <d v="2019-06-28T00:00:00"/>
    <d v="2019-06-12T00:00:00"/>
    <s v="Reduced"/>
    <n v="730"/>
    <n v="2"/>
    <n v="16518"/>
    <s v="reduced by 2 years"/>
    <d v="2019-06-28T00:00:00"/>
  </r>
  <r>
    <x v="8"/>
    <s v="Buchnofactor"/>
    <s v="G62980"/>
    <n v="11649697"/>
    <s v="ASP-Facility B"/>
    <x v="17"/>
    <s v="13F07887"/>
    <d v="2023-01-30T00:00:00"/>
    <d v="2018-08-01T00:00:00"/>
    <d v="2018-08-14T00:00:00"/>
    <d v="2018-08-15T00:00:00"/>
    <s v="Approved"/>
    <x v="17"/>
    <d v="2018-09-21T00:00:00"/>
    <d v="2018-09-17T00:00:00"/>
    <s v="No reduction - AOJ corrected"/>
    <m/>
    <s v=""/>
    <s v=""/>
    <s v="AOJ corrected count 4 to reflect 2011"/>
    <d v="2019-01-24T00:00:00"/>
  </r>
  <r>
    <x v="8"/>
    <s v="Webb"/>
    <s v="AB9876"/>
    <n v="11334020"/>
    <s v="HDSP-Facility A"/>
    <x v="38"/>
    <s v="P08CRF0371"/>
    <d v="2027-11-09T00:00:00"/>
    <d v="2018-08-01T00:00:00"/>
    <d v="2018-08-14T00:00:00"/>
    <d v="2018-08-22T00:00:00"/>
    <s v="Approved"/>
    <x v="29"/>
    <m/>
    <m/>
    <m/>
    <m/>
    <s v=""/>
    <s v=""/>
    <m/>
    <m/>
  </r>
  <r>
    <x v="3"/>
    <s v="Perez"/>
    <s v="AZ7510"/>
    <n v="12110130"/>
    <s v="NKSP-Facility A"/>
    <x v="13"/>
    <s v="BF159623A"/>
    <d v="2035-05-14T00:00:00"/>
    <d v="2018-08-02T00:00:00"/>
    <d v="2018-08-02T00:00:00"/>
    <d v="2018-08-07T00:00:00"/>
    <s v="Approved"/>
    <x v="42"/>
    <d v="2018-09-04T00:00:00"/>
    <d v="2018-08-27T00:00:00"/>
    <s v="No action - handle thru appeal"/>
    <m/>
    <s v=""/>
    <s v=""/>
    <m/>
    <d v="2018-09-10T00:00:00"/>
  </r>
  <r>
    <x v="2"/>
    <s v="Ricketts"/>
    <s v="T30309"/>
    <n v="11918428"/>
    <s v="SVSP-Facility C"/>
    <x v="8"/>
    <s v="RIF103852"/>
    <d v="2068-05-13T00:00:00"/>
    <d v="2018-08-27T00:00:00"/>
    <d v="2018-08-27T00:00:00"/>
    <d v="2018-09-12T00:00:00"/>
    <s v="Approved"/>
    <x v="43"/>
    <d v="2019-09-16T00:00:00"/>
    <d v="2019-08-28T00:00:00"/>
    <s v="Reduced"/>
    <n v="4748.25"/>
    <n v="13.008904109589041"/>
    <n v="107440.53904109589"/>
    <s v="reduced by 13 years"/>
    <d v="2019-09-16T00:00:00"/>
  </r>
  <r>
    <x v="3"/>
    <s v="Duran"/>
    <s v="F05349"/>
    <n v="11552019"/>
    <s v="CMF-Facility A"/>
    <x v="12"/>
    <s v="CC444051"/>
    <d v="2025-08-07T00:00:00"/>
    <d v="2018-08-02T00:00:00"/>
    <d v="2018-08-02T00:00:00"/>
    <d v="2018-08-07T00:00:00"/>
    <s v="Approved"/>
    <x v="42"/>
    <d v="2019-12-23T00:00:00"/>
    <d v="2019-12-17T00:00:00"/>
    <s v="Reduced"/>
    <n v="974"/>
    <n v="2.6684931506849314"/>
    <n v="22039.084931506852"/>
    <s v="reduced by 2 years 8 months"/>
    <d v="2019-12-23T00:00:00"/>
  </r>
  <r>
    <x v="2"/>
    <s v="Reyes"/>
    <s v="AB5804"/>
    <n v="11331416"/>
    <s v="COCF-La Palma CC, Arizona (AZ2)"/>
    <x v="0"/>
    <s v="SA068707-04"/>
    <d v="2021-09-27T00:00:00"/>
    <d v="2018-08-27T00:00:00"/>
    <d v="2018-08-27T00:00:00"/>
    <d v="2018-08-29T00:00:00"/>
    <s v="Approved"/>
    <x v="23"/>
    <d v="2019-03-13T00:00:00"/>
    <d v="2018-12-07T00:00:00"/>
    <s v="No action - reason provided"/>
    <m/>
    <s v=""/>
    <s v=""/>
    <s v="courts declined to take action "/>
    <d v="2019-03-13T00:00:00"/>
  </r>
  <r>
    <x v="1"/>
    <s v="Justus"/>
    <s v="AZ2751"/>
    <n v="11141173"/>
    <s v="CIM"/>
    <x v="11"/>
    <s v="VCF329047/VCF330533"/>
    <d v="2025-09-04T00:00:00"/>
    <d v="2018-10-29T00:00:00"/>
    <d v="2018-10-30T00:00:00"/>
    <d v="2018-11-06T00:00:00"/>
    <s v="Approved"/>
    <x v="1"/>
    <d v="2019-01-02T00:00:00"/>
    <d v="2018-12-10T00:00:00"/>
    <s v="No action - reason provided"/>
    <m/>
    <s v=""/>
    <s v=""/>
    <s v="Court did not find reason for resentencing"/>
    <d v="2019-01-02T00:00:00"/>
  </r>
  <r>
    <x v="3"/>
    <s v="Velasquez"/>
    <s v="AN7924"/>
    <n v="11647768"/>
    <s v="PBSP-Facility B"/>
    <x v="10"/>
    <s v="SCN297958"/>
    <d v="2030-05-16T00:00:00"/>
    <d v="2018-06-12T00:00:00"/>
    <d v="2018-06-12T00:00:00"/>
    <d v="2018-06-13T00:00:00"/>
    <s v="Approved"/>
    <x v="14"/>
    <d v="2019-03-01T00:00:00"/>
    <d v="2018-12-11T00:00:00"/>
    <s v="No action - reason provided"/>
    <m/>
    <s v=""/>
    <s v=""/>
    <s v="Court affirmed original sentence "/>
    <d v="2019-03-01T00:00:00"/>
  </r>
  <r>
    <x v="2"/>
    <s v="Tillard"/>
    <s v="AL3653"/>
    <n v="11295800"/>
    <s v="PUMCCF-Shafter"/>
    <x v="8"/>
    <s v="RIF1105567"/>
    <d v="2025-11-28T00:00:00"/>
    <d v="2018-06-22T00:00:00"/>
    <d v="2018-06-22T00:00:00"/>
    <d v="2018-07-11T00:00:00"/>
    <s v="Approved"/>
    <x v="19"/>
    <d v="2019-04-18T00:00:00"/>
    <d v="2018-12-13T00:00:00"/>
    <s v="No action - no reason specified"/>
    <m/>
    <s v=""/>
    <s v=""/>
    <m/>
    <d v="2019-04-18T00:00:00"/>
  </r>
  <r>
    <x v="2"/>
    <s v="Xiong"/>
    <s v="AF1983"/>
    <n v="11354071"/>
    <s v="CEN-Facility A"/>
    <x v="21"/>
    <s v="SF112025A"/>
    <d v="2020-11-02T00:00:00"/>
    <d v="2018-08-29T00:00:00"/>
    <d v="2018-08-29T00:00:00"/>
    <d v="2018-09-12T00:00:00"/>
    <s v="Approved"/>
    <x v="43"/>
    <d v="2018-12-20T00:00:00"/>
    <d v="2018-12-14T00:00:00"/>
    <s v="No action - no reason specified"/>
    <m/>
    <s v=""/>
    <s v=""/>
    <m/>
    <d v="2018-12-24T00:00:00"/>
  </r>
  <r>
    <x v="2"/>
    <s v="Ramirez"/>
    <s v="AY9919"/>
    <n v="12146506"/>
    <s v="CHCF-Facility C"/>
    <x v="15"/>
    <n v="2010044001"/>
    <d v="2028-03-02T00:00:00"/>
    <d v="2018-08-21T00:00:00"/>
    <d v="2018-08-21T00:00:00"/>
    <d v="2018-08-22T00:00:00"/>
    <s v="Approved"/>
    <x v="29"/>
    <d v="2018-09-17T00:00:00"/>
    <d v="2018-09-11T00:00:00"/>
    <s v="Reduced"/>
    <n v="1095"/>
    <n v="3"/>
    <n v="24777"/>
    <s v="3 years reduced"/>
    <d v="2018-09-17T00:00:00"/>
  </r>
  <r>
    <x v="2"/>
    <s v="Acuff"/>
    <s v="T08415"/>
    <n v="11906155"/>
    <s v="CMC-Facility B"/>
    <x v="11"/>
    <s v="VCF224747"/>
    <d v="2023-09-30T00:00:00"/>
    <d v="2018-08-21T00:00:00"/>
    <d v="2018-08-21T00:00:00"/>
    <d v="2018-08-22T00:00:00"/>
    <s v="Approved"/>
    <x v="29"/>
    <d v="2018-11-28T00:00:00"/>
    <d v="2018-11-14T00:00:00"/>
    <s v="Reduced"/>
    <n v="121"/>
    <n v="0.33150684931506852"/>
    <n v="2737.9150684931506"/>
    <s v="reduced 4 months"/>
    <d v="2018-12-04T00:00:00"/>
  </r>
  <r>
    <x v="2"/>
    <s v="Gutierrez"/>
    <s v="AW5615"/>
    <n v="12132018"/>
    <s v="CEN-Facility D"/>
    <x v="10"/>
    <s v="SCN340553"/>
    <d v="2027-07-06T00:00:00"/>
    <d v="2018-08-21T00:00:00"/>
    <d v="2018-08-21T00:00:00"/>
    <d v="2018-08-22T00:00:00"/>
    <s v="Approved"/>
    <x v="29"/>
    <d v="2018-10-15T00:00:00"/>
    <d v="2018-09-25T00:00:00"/>
    <s v="No reduction - AOJ corrected"/>
    <m/>
    <s v=""/>
    <s v=""/>
    <s v="Sentenced was restructured total term remains"/>
    <d v="2018-10-18T00:00:00"/>
  </r>
  <r>
    <x v="2"/>
    <s v="Oseguera"/>
    <s v="BC8851"/>
    <n v="12169960"/>
    <s v="SOL-Facility D"/>
    <x v="1"/>
    <s v="FCR322078"/>
    <d v="2024-08-07T00:00:00"/>
    <d v="2018-08-21T00:00:00"/>
    <d v="2018-08-21T00:00:00"/>
    <d v="2018-08-22T00:00:00"/>
    <s v="Approved"/>
    <x v="29"/>
    <d v="2018-11-06T00:00:00"/>
    <d v="2018-10-25T00:00:00"/>
    <s v="No reduction - AOJ corrected"/>
    <m/>
    <s v=""/>
    <s v=""/>
    <s v="Court orders abstract to be amended to reflect enhancement as PC 186.22 (b)(1)(B)"/>
    <d v="2018-11-08T00:00:00"/>
  </r>
  <r>
    <x v="2"/>
    <s v="Frazier"/>
    <s v="BG8364"/>
    <n v="12194432"/>
    <s v="FOL-Central Service"/>
    <x v="18"/>
    <n v="51614627"/>
    <d v="2030-06-10T00:00:00"/>
    <d v="2018-10-08T00:00:00"/>
    <d v="2018-10-11T00:00:00"/>
    <d v="2018-10-11T00:00:00"/>
    <s v="Approved"/>
    <x v="52"/>
    <d v="2018-12-20T00:00:00"/>
    <d v="2018-12-14T00:00:00"/>
    <s v="No action - reason provided"/>
    <m/>
    <s v=""/>
    <s v=""/>
    <s v="sentence is legal and appropriate one based on the specific Penal Code sections the defendant pled to and find no error in the sentence"/>
    <d v="2018-12-24T00:00:00"/>
  </r>
  <r>
    <x v="1"/>
    <s v="Jones"/>
    <s v="F00519"/>
    <n v="11161568"/>
    <s v="CAC-Facility B"/>
    <x v="0"/>
    <s v="BA272734"/>
    <d v="2024-01-08T00:00:00"/>
    <d v="2018-10-31T00:00:00"/>
    <d v="2018-11-13T00:00:00"/>
    <d v="2018-11-13T00:00:00"/>
    <s v="Approved"/>
    <x v="60"/>
    <d v="2018-12-26T00:00:00"/>
    <d v="2018-12-19T00:00:00"/>
    <s v="No action - reason provided"/>
    <m/>
    <s v=""/>
    <s v=""/>
    <s v="Sentence was affirmed on appeal.  Nothing about the facts or defendant's history would warrant recall."/>
    <d v="2018-12-26T00:00:00"/>
  </r>
  <r>
    <x v="5"/>
    <s v="Ventura"/>
    <s v="P93437"/>
    <n v="11896410"/>
    <s v="ASP-Facility F"/>
    <x v="0"/>
    <s v="KA047524"/>
    <d v="2019-11-06T00:00:00"/>
    <d v="2018-07-25T00:00:00"/>
    <d v="2018-07-25T00:00:00"/>
    <d v="2018-08-07T00:00:00"/>
    <s v="Approved"/>
    <x v="42"/>
    <d v="2019-01-02T00:00:00"/>
    <d v="2018-12-21T00:00:00"/>
    <s v="No action - no reason specified"/>
    <m/>
    <s v=""/>
    <s v=""/>
    <m/>
    <d v="2019-01-02T00:00:00"/>
  </r>
  <r>
    <x v="1"/>
    <s v="Reyes"/>
    <s v="AA8362"/>
    <n v="11048285"/>
    <s v="CMF"/>
    <x v="9"/>
    <s v="FVI901923"/>
    <d v="2020-09-21T00:00:00"/>
    <d v="2018-11-13T00:00:00"/>
    <d v="2018-11-17T00:00:00"/>
    <d v="2018-11-17T00:00:00"/>
    <s v="Approved"/>
    <x v="61"/>
    <d v="2019-01-03T00:00:00"/>
    <d v="2018-12-24T00:00:00"/>
    <s v="No action - no reason specified"/>
    <m/>
    <s v=""/>
    <s v=""/>
    <s v="Court declines to take action"/>
    <d v="2019-01-03T00:00:00"/>
  </r>
  <r>
    <x v="2"/>
    <s v="Palomino"/>
    <s v="G24900"/>
    <n v="11625665"/>
    <s v="COR-Facility 03B"/>
    <x v="0"/>
    <s v="PA056138-02"/>
    <d v="2055-01-29T00:00:00"/>
    <d v="2018-08-23T00:00:00"/>
    <d v="2018-08-23T00:00:00"/>
    <d v="2018-08-29T00:00:00"/>
    <s v="Approved"/>
    <x v="23"/>
    <d v="2019-03-13T00:00:00"/>
    <d v="2018-12-31T00:00:00"/>
    <s v="No action - reason provided"/>
    <m/>
    <s v=""/>
    <s v=""/>
    <s v="court declined to modify sentence"/>
    <d v="2019-03-13T00:00:00"/>
  </r>
  <r>
    <x v="2"/>
    <s v="Gomez"/>
    <s v="AR5280"/>
    <n v="12102640"/>
    <s v="SVSP-Facility B"/>
    <x v="0"/>
    <s v="PA074947-01"/>
    <d v="2027-06-26T00:00:00"/>
    <d v="2018-09-05T00:00:00"/>
    <d v="2018-09-05T00:00:00"/>
    <d v="2018-09-26T00:00:00"/>
    <s v="Approved"/>
    <x v="46"/>
    <d v="2019-01-24T00:00:00"/>
    <d v="2018-12-31T00:00:00"/>
    <s v="No action - no reason specified"/>
    <m/>
    <s v=""/>
    <s v=""/>
    <s v="court concluded sentence would not be modified"/>
    <d v="2019-01-24T00:00:00"/>
  </r>
  <r>
    <x v="2"/>
    <s v="Alonzo"/>
    <s v="AX8395"/>
    <n v="12139362"/>
    <s v="CEN-Facility B"/>
    <x v="5"/>
    <s v="SCR646260"/>
    <d v="2032-04-27T00:00:00"/>
    <d v="2018-08-21T00:00:00"/>
    <d v="2018-08-21T00:00:00"/>
    <d v="2018-08-22T00:00:00"/>
    <s v="Approved"/>
    <x v="29"/>
    <d v="2019-02-28T00:00:00"/>
    <d v="2019-01-09T00:00:00"/>
    <s v="Reduced"/>
    <n v="1095"/>
    <n v="3"/>
    <n v="24777"/>
    <s v="reduced by 3 years"/>
    <d v="2019-02-28T00:00:00"/>
  </r>
  <r>
    <x v="2"/>
    <s v="Colon"/>
    <s v="AV0025"/>
    <n v="12122573"/>
    <s v="CEN-AD SEG"/>
    <x v="8"/>
    <s v="INF1302894"/>
    <d v="2022-02-26T00:00:00"/>
    <d v="2018-08-21T00:00:00"/>
    <d v="2018-08-21T00:00:00"/>
    <d v="2018-08-22T00:00:00"/>
    <s v="Approved"/>
    <x v="29"/>
    <m/>
    <m/>
    <m/>
    <m/>
    <s v=""/>
    <s v=""/>
    <m/>
    <m/>
  </r>
  <r>
    <x v="2"/>
    <s v="Green"/>
    <s v="AW7672"/>
    <n v="12133103"/>
    <s v="CEN-Facility C"/>
    <x v="9"/>
    <s v="FVI1303443"/>
    <d v="2028-08-04T00:00:00"/>
    <d v="2018-08-21T00:00:00"/>
    <d v="2018-08-21T00:00:00"/>
    <d v="2018-08-22T00:00:00"/>
    <s v="Approved"/>
    <x v="29"/>
    <m/>
    <m/>
    <m/>
    <m/>
    <s v=""/>
    <s v=""/>
    <m/>
    <m/>
  </r>
  <r>
    <x v="2"/>
    <s v="Hernandez"/>
    <s v="AV3417"/>
    <n v="12124645"/>
    <s v="PVSP-Facility B"/>
    <x v="12"/>
    <s v="C1484487"/>
    <d v="2025-12-23T00:00:00"/>
    <d v="2018-08-21T00:00:00"/>
    <d v="2018-08-21T00:00:00"/>
    <d v="2018-08-22T00:00:00"/>
    <s v="Approved"/>
    <x v="29"/>
    <d v="2019-04-16T00:00:00"/>
    <d v="2019-03-18T00:00:00"/>
    <s v="Reduced"/>
    <n v="1095"/>
    <n v="3"/>
    <n v="24777"/>
    <s v="reduced by 3 years"/>
    <d v="2019-04-16T00:00:00"/>
  </r>
  <r>
    <x v="6"/>
    <s v="Clasby"/>
    <s v="K46356"/>
    <n v="11799220"/>
    <s v="COR-Facility 04A"/>
    <x v="17"/>
    <s v="03F06893"/>
    <d v="2075-04-07T00:00:00"/>
    <d v="2018-09-18T00:00:00"/>
    <d v="2018-09-18T00:00:00"/>
    <d v="2018-09-26T00:00:00"/>
    <s v="Approved"/>
    <x v="46"/>
    <d v="2019-05-02T00:00:00"/>
    <d v="2019-04-26T00:00:00"/>
    <s v="Reduced"/>
    <n v="1461"/>
    <n v="4.0027397260273974"/>
    <n v="33058.627397260272"/>
    <s v="reduced by 4 years"/>
    <d v="2019-05-15T00:00:00"/>
  </r>
  <r>
    <x v="1"/>
    <s v="Lottie"/>
    <s v="AP1426"/>
    <n v="11313641"/>
    <s v="SCC-Facility A"/>
    <x v="0"/>
    <s v="TA126786"/>
    <d v="2022-09-13T00:00:00"/>
    <d v="2018-12-14T00:00:00"/>
    <d v="2018-12-18T00:00:00"/>
    <d v="2018-12-18T00:00:00"/>
    <s v="Approved"/>
    <x v="62"/>
    <d v="2019-03-25T00:00:00"/>
    <d v="2019-01-07T00:00:00"/>
    <s v="No action - no reason specified"/>
    <m/>
    <s v=""/>
    <s v=""/>
    <m/>
    <d v="2019-03-25T00:00:00"/>
  </r>
  <r>
    <x v="3"/>
    <s v="Evans"/>
    <s v="F51346"/>
    <n v="11579953"/>
    <s v="CRC-Facility B"/>
    <x v="9"/>
    <s v="FWV037244"/>
    <d v="2019-07-11T00:00:00"/>
    <d v="2018-11-06T00:00:00"/>
    <d v="2018-11-09T00:00:00"/>
    <d v="2018-11-21T00:00:00"/>
    <s v="Approved"/>
    <x v="63"/>
    <d v="2019-01-14T00:00:00"/>
    <d v="2019-01-08T00:00:00"/>
    <s v="No action - reason provided"/>
    <m/>
    <s v=""/>
    <s v=""/>
    <s v="In the interest of justice"/>
    <d v="2019-01-15T00:00:00"/>
  </r>
  <r>
    <x v="2"/>
    <s v="Perez"/>
    <s v="AW0067"/>
    <n v="12128573"/>
    <s v="CMC-Facility D"/>
    <x v="9"/>
    <s v="FVI1300398"/>
    <d v="2023-04-21T00:00:00"/>
    <d v="2018-08-21T00:00:00"/>
    <d v="2018-08-21T00:00:00"/>
    <d v="2018-08-22T00:00:00"/>
    <s v="Approved"/>
    <x v="29"/>
    <d v="2019-03-12T00:00:00"/>
    <d v="2018-10-17T00:00:00"/>
    <s v="No reduction - AOJ corrected"/>
    <m/>
    <s v=""/>
    <s v=""/>
    <s v="Term restructered"/>
    <d v="2019-03-12T00:00:00"/>
  </r>
  <r>
    <x v="2"/>
    <s v="Rodriguez"/>
    <s v="AY2875"/>
    <n v="12142213"/>
    <s v="SVSP-Facility C"/>
    <x v="6"/>
    <s v="CRF15-3412"/>
    <d v="2031-09-17T00:00:00"/>
    <d v="2018-08-21T00:00:00"/>
    <d v="2018-08-21T00:00:00"/>
    <d v="2018-08-22T00:00:00"/>
    <s v="Approved"/>
    <x v="29"/>
    <d v="2019-01-23T00:00:00"/>
    <d v="2019-01-15T00:00:00"/>
    <s v="Reduced"/>
    <n v="730"/>
    <n v="2"/>
    <n v="16518"/>
    <s v="reduced by 2 years"/>
    <d v="2019-01-23T00:00:00"/>
  </r>
  <r>
    <x v="2"/>
    <s v="Soletti"/>
    <s v="J55701"/>
    <n v="11751409"/>
    <s v="PBSP-Facility B"/>
    <x v="29"/>
    <s v="CR166658"/>
    <d v="2068-11-15T00:00:00"/>
    <d v="2018-08-23T00:00:00"/>
    <d v="2018-08-23T00:00:00"/>
    <d v="2018-08-29T00:00:00"/>
    <s v="Approved"/>
    <x v="23"/>
    <d v="2019-03-13T00:00:00"/>
    <d v="2019-01-09T00:00:00"/>
    <s v="No action - no reason specified"/>
    <m/>
    <s v=""/>
    <s v=""/>
    <m/>
    <d v="2019-03-13T00:00:00"/>
  </r>
  <r>
    <x v="2"/>
    <s v="Velasquez"/>
    <s v="AU5401"/>
    <n v="12120088"/>
    <s v="KVSP-Facility B"/>
    <x v="12"/>
    <s v="C1232961"/>
    <d v="2033-11-23T00:00:00"/>
    <d v="2018-08-21T00:00:00"/>
    <d v="2018-08-21T00:00:00"/>
    <d v="2018-08-22T00:00:00"/>
    <s v="Approved"/>
    <x v="29"/>
    <d v="2019-03-12T00:00:00"/>
    <d v="2018-10-15T00:00:00"/>
    <s v="Reduced"/>
    <n v="365"/>
    <n v="1"/>
    <n v="8259"/>
    <s v="reduced by 1 year"/>
    <d v="2019-03-12T00:00:00"/>
  </r>
  <r>
    <x v="2"/>
    <s v="Martinez"/>
    <s v="AZ7463"/>
    <n v="12151122"/>
    <s v="HDSP-Facility D"/>
    <x v="39"/>
    <s v="CRF15-143"/>
    <d v="2030-12-03T00:00:00"/>
    <d v="2018-08-21T00:00:00"/>
    <d v="2018-08-21T00:00:00"/>
    <d v="2018-08-22T00:00:00"/>
    <s v="Approved"/>
    <x v="29"/>
    <d v="2019-01-11T00:00:00"/>
    <d v="2018-11-29T00:00:00"/>
    <s v="Reduced"/>
    <n v="365"/>
    <n v="1"/>
    <n v="8259"/>
    <s v="Reduced by 1 year"/>
    <d v="2019-01-11T00:00:00"/>
  </r>
  <r>
    <x v="2"/>
    <s v="Ruiz"/>
    <s v="BA4596"/>
    <n v="12155387"/>
    <s v="SAC-Facility C"/>
    <x v="24"/>
    <n v="1474371"/>
    <d v="2026-04-04T00:00:00"/>
    <d v="2018-08-21T00:00:00"/>
    <d v="2018-08-21T00:00:00"/>
    <m/>
    <m/>
    <x v="27"/>
    <m/>
    <m/>
    <m/>
    <m/>
    <s v=""/>
    <s v=""/>
    <m/>
    <m/>
  </r>
  <r>
    <x v="2"/>
    <s v="Sabido"/>
    <s v="BA9977"/>
    <n v="12158696"/>
    <s v="SATF-Facility D"/>
    <x v="17"/>
    <s v="15F03571"/>
    <d v="2029-08-05T00:00:00"/>
    <d v="2018-08-21T00:00:00"/>
    <d v="2018-08-21T00:00:00"/>
    <d v="2018-08-22T00:00:00"/>
    <s v="Approved"/>
    <x v="29"/>
    <d v="2019-05-17T00:00:00"/>
    <d v="2018-11-28T00:00:00"/>
    <s v="Reduced"/>
    <n v="1095"/>
    <n v="3"/>
    <n v="24777"/>
    <s v="reduced by 3 years"/>
    <d v="2019-05-17T00:00:00"/>
  </r>
  <r>
    <x v="2"/>
    <s v="Joseph"/>
    <s v="BB5062"/>
    <n v="12161867"/>
    <s v="HDSP-Facility A"/>
    <x v="39"/>
    <s v="CRF15319"/>
    <d v="2024-07-26T00:00:00"/>
    <d v="2018-08-21T00:00:00"/>
    <d v="2018-08-21T00:00:00"/>
    <d v="2018-08-22T00:00:00"/>
    <s v="Approved"/>
    <x v="29"/>
    <d v="2019-03-08T00:00:00"/>
    <d v="2018-12-20T00:00:00"/>
    <s v="Reduced"/>
    <n v="1095"/>
    <n v="3"/>
    <n v="24777"/>
    <s v="reduced by 3 years"/>
    <d v="2019-03-08T00:00:00"/>
  </r>
  <r>
    <x v="2"/>
    <s v="Casarez"/>
    <s v="BB6100"/>
    <n v="12162451"/>
    <s v="HDSP-Facility D"/>
    <x v="12"/>
    <n v="213073"/>
    <d v="2042-02-11T00:00:00"/>
    <d v="2018-08-21T00:00:00"/>
    <d v="2018-08-21T00:00:00"/>
    <d v="2018-08-22T00:00:00"/>
    <s v="Approved"/>
    <x v="29"/>
    <d v="2018-11-01T00:00:00"/>
    <d v="2018-10-26T00:00:00"/>
    <s v="Reduced"/>
    <n v="365"/>
    <n v="1"/>
    <n v="8259"/>
    <s v="Sentence restructured and reduced by 1 years"/>
    <d v="2020-05-05T00:00:00"/>
  </r>
  <r>
    <x v="2"/>
    <s v="Hanson"/>
    <s v="T25482"/>
    <n v="11915682"/>
    <s v="SAC-Facility C"/>
    <x v="17"/>
    <s v="00F01901"/>
    <d v="2035-05-21T00:00:00"/>
    <d v="2018-08-21T00:00:00"/>
    <d v="2018-08-21T00:00:00"/>
    <d v="2018-08-22T00:00:00"/>
    <s v="Approved"/>
    <x v="29"/>
    <m/>
    <m/>
    <m/>
    <m/>
    <s v=""/>
    <s v=""/>
    <m/>
    <m/>
  </r>
  <r>
    <x v="11"/>
    <s v="Nunez"/>
    <s v="AN2285"/>
    <n v="11308045"/>
    <s v="PRMCCF-Golden State "/>
    <x v="2"/>
    <s v="11CF3422"/>
    <d v="2026-05-07T00:00:00"/>
    <d v="2019-06-07T00:00:00"/>
    <d v="2019-06-07T00:00:00"/>
    <d v="2019-07-17T00:00:00"/>
    <s v="Approved"/>
    <x v="64"/>
    <m/>
    <d v="2020-01-06T00:00:00"/>
    <s v="Pending Court (Date in Notes)"/>
    <m/>
    <s v=""/>
    <s v=""/>
    <s v="Hearing held on 01/06/2020. Request Court documents"/>
    <m/>
  </r>
  <r>
    <x v="2"/>
    <s v="Federico"/>
    <s v="G20850"/>
    <n v="11623049"/>
    <s v="SVSP-Facility C"/>
    <x v="8"/>
    <s v="SWF017423"/>
    <d v="2028-09-17T00:00:00"/>
    <d v="2018-08-22T00:00:00"/>
    <d v="2018-08-22T00:00:00"/>
    <d v="2018-09-12T00:00:00"/>
    <s v="Approved"/>
    <x v="3"/>
    <d v="2018-11-13T00:00:00"/>
    <d v="2019-02-28T00:00:00"/>
    <s v="Reduced"/>
    <n v="1095"/>
    <n v="3"/>
    <n v="24777"/>
    <s v="reduced by 3 years"/>
    <d v="2019-03-12T00:00:00"/>
  </r>
  <r>
    <x v="2"/>
    <s v="Lopez"/>
    <s v="AD2721"/>
    <n v="11342035"/>
    <s v="CEN-Facility C"/>
    <x v="2"/>
    <s v="08NF1017"/>
    <d v="2021-06-08T00:00:00"/>
    <d v="2018-09-04T00:00:00"/>
    <d v="2018-09-04T00:00:00"/>
    <d v="2018-09-12T00:00:00"/>
    <s v="Approved"/>
    <x v="3"/>
    <d v="2019-03-13T00:00:00"/>
    <d v="2019-01-10T00:00:00"/>
    <s v="No action - no reason specified"/>
    <m/>
    <s v=""/>
    <s v=""/>
    <m/>
    <d v="2019-03-13T00:00:00"/>
  </r>
  <r>
    <x v="2"/>
    <s v="Quiles"/>
    <s v="K28106"/>
    <n v="11789229"/>
    <s v="KVSP-Facility D"/>
    <x v="5"/>
    <s v="VA069128-01"/>
    <d v="2032-10-25T00:00:00"/>
    <d v="2018-08-23T00:00:00"/>
    <d v="2018-08-23T00:00:00"/>
    <d v="2018-08-29T00:00:00"/>
    <s v="Approved"/>
    <x v="23"/>
    <d v="2018-10-10T00:00:00"/>
    <d v="2018-10-01T00:00:00"/>
    <s v="Reduced"/>
    <n v="3652"/>
    <n v="10.005479452054795"/>
    <n v="82635.254794520544"/>
    <m/>
    <d v="2018-10-10T00:00:00"/>
  </r>
  <r>
    <x v="2"/>
    <s v="Lucatero"/>
    <s v="F91607"/>
    <n v="11604612"/>
    <s v="SVSP-Facility B"/>
    <x v="11"/>
    <s v="VCF175691"/>
    <d v="2027-10-31T00:00:00"/>
    <d v="2018-08-23T00:00:00"/>
    <d v="2018-08-23T00:00:00"/>
    <d v="2018-08-29T00:00:00"/>
    <s v="Approved"/>
    <x v="23"/>
    <d v="2018-10-30T00:00:00"/>
    <d v="2018-10-24T00:00:00"/>
    <s v="Reduced"/>
    <n v="1095"/>
    <n v="3"/>
    <n v="24777"/>
    <s v="reduced 3 years"/>
    <d v="2018-11-01T00:00:00"/>
  </r>
  <r>
    <x v="2"/>
    <s v="Sinsun"/>
    <s v="F26468"/>
    <n v="11564741"/>
    <s v="PVSP-Facility D"/>
    <x v="15"/>
    <n v="2011003023"/>
    <d v="2033-08-21T00:00:00"/>
    <d v="2018-08-23T00:00:00"/>
    <d v="2018-08-23T00:00:00"/>
    <d v="2018-08-29T00:00:00"/>
    <s v="Approved"/>
    <x v="23"/>
    <d v="2018-10-17T00:00:00"/>
    <d v="2018-10-09T00:00:00"/>
    <s v="Reduced"/>
    <n v="1095"/>
    <n v="3"/>
    <n v="24777"/>
    <s v="reduced 3 years"/>
    <d v="2018-10-22T00:00:00"/>
  </r>
  <r>
    <x v="2"/>
    <s v="Lopez"/>
    <s v="F58918"/>
    <n v="11584345"/>
    <s v="SAC-Facility B"/>
    <x v="16"/>
    <s v="CR0600610"/>
    <d v="2025-10-26T00:00:00"/>
    <d v="2018-08-23T00:00:00"/>
    <d v="2018-08-23T00:00:00"/>
    <d v="2018-09-12T00:00:00"/>
    <s v="Approved"/>
    <x v="43"/>
    <d v="2018-11-07T00:00:00"/>
    <d v="2018-10-24T00:00:00"/>
    <s v="Reduced"/>
    <n v="1095"/>
    <n v="3"/>
    <n v="24777"/>
    <s v="reduced 3 years"/>
    <d v="2018-11-13T00:00:00"/>
  </r>
  <r>
    <x v="2"/>
    <s v="Howard"/>
    <s v="AP8721"/>
    <n v="11721728"/>
    <s v="KVSP-Facility A"/>
    <x v="0"/>
    <s v="SA077735-01"/>
    <d v="2025-08-05T00:00:00"/>
    <d v="2018-08-23T00:00:00"/>
    <d v="2018-08-23T00:00:00"/>
    <d v="2018-08-29T00:00:00"/>
    <s v="Approved"/>
    <x v="23"/>
    <d v="2019-03-13T00:00:00"/>
    <d v="2019-01-16T00:00:00"/>
    <s v="No action - no reason specified"/>
    <m/>
    <s v=""/>
    <s v=""/>
    <m/>
    <d v="2019-03-13T00:00:00"/>
  </r>
  <r>
    <x v="2"/>
    <s v="Townsend"/>
    <s v="AB8337"/>
    <n v="11333031"/>
    <s v="RJD-Facility C"/>
    <x v="10"/>
    <s v="SCD219147"/>
    <d v="2033-08-29T00:00:00"/>
    <d v="2018-08-27T00:00:00"/>
    <d v="2018-08-27T00:00:00"/>
    <d v="2018-08-29T00:00:00"/>
    <s v="Approved"/>
    <x v="23"/>
    <d v="2019-03-13T00:00:00"/>
    <d v="2019-01-25T00:00:00"/>
    <s v="No action - reason provided"/>
    <m/>
    <s v=""/>
    <s v=""/>
    <s v="courts declined to take action "/>
    <d v="2019-03-13T00:00:00"/>
  </r>
  <r>
    <x v="1"/>
    <s v="Wolfe"/>
    <s v="AN4269"/>
    <n v="11309273"/>
    <s v="SCC-Oak Glen Camp"/>
    <x v="2"/>
    <s v="12CF1495"/>
    <d v="2020-08-25T00:00:00"/>
    <d v="2018-12-14T00:00:00"/>
    <d v="2018-12-18T00:00:00"/>
    <d v="2018-12-18T00:00:00"/>
    <s v="Approved"/>
    <x v="62"/>
    <d v="2019-02-08T00:00:00"/>
    <d v="2019-01-25T00:00:00"/>
    <s v="No action - reason provided"/>
    <m/>
    <s v=""/>
    <s v=""/>
    <s v="Court declines to take action"/>
    <d v="2019-02-08T00:00:00"/>
  </r>
  <r>
    <x v="1"/>
    <s v="Zaueta"/>
    <s v="AH0000"/>
    <n v="11070369"/>
    <s v="PUMCCF-Taft"/>
    <x v="0"/>
    <s v="YA076980"/>
    <d v="2024-04-24T00:00:00"/>
    <d v="2018-10-30T00:00:00"/>
    <d v="2018-10-30T00:00:00"/>
    <d v="2018-11-06T00:00:00"/>
    <s v="Approved"/>
    <x v="1"/>
    <d v="2019-02-08T00:00:00"/>
    <d v="2019-01-25T00:00:00"/>
    <s v="No action - reason provided"/>
    <m/>
    <s v=""/>
    <s v=""/>
    <s v="Court declines to take action"/>
    <d v="2019-02-08T00:00:00"/>
  </r>
  <r>
    <x v="7"/>
    <s v="Hopper"/>
    <s v="P93616"/>
    <n v="11896516"/>
    <s v="RJD-Facility E"/>
    <x v="10"/>
    <s v="SCD145054"/>
    <d v="2043-02-11T00:00:00"/>
    <d v="2018-05-03T00:00:00"/>
    <d v="2018-05-03T00:00:00"/>
    <d v="2018-05-03T00:00:00"/>
    <s v="Approved"/>
    <x v="65"/>
    <d v="2019-02-07T00:00:00"/>
    <d v="2019-01-31T00:00:00"/>
    <s v="No action - reason provided"/>
    <m/>
    <s v=""/>
    <s v=""/>
    <s v="Withdrew due to upcoming BPH Hearing. "/>
    <d v="2019-02-07T00:00:00"/>
  </r>
  <r>
    <x v="2"/>
    <s v="Munguia"/>
    <s v="AV0035"/>
    <n v="12122589"/>
    <s v="KVSP-Facility B"/>
    <x v="8"/>
    <s v="INF1302894"/>
    <d v="2023-01-21T00:00:00"/>
    <d v="2018-08-21T00:00:00"/>
    <d v="2018-08-21T00:00:00"/>
    <d v="2018-08-22T00:00:00"/>
    <s v="Approved"/>
    <x v="29"/>
    <d v="2019-02-12T00:00:00"/>
    <d v="2019-02-01T00:00:00"/>
    <s v="No action - no reason specified"/>
    <m/>
    <s v=""/>
    <s v=""/>
    <m/>
    <d v="2019-02-12T00:00:00"/>
  </r>
  <r>
    <x v="2"/>
    <s v="Ramirez"/>
    <s v="G61478"/>
    <n v="11648701"/>
    <s v="SAC-Facility A"/>
    <x v="8"/>
    <s v="RIF116615"/>
    <d v="2048-04-29T00:00:00"/>
    <d v="2018-08-23T00:00:00"/>
    <d v="2018-08-23T00:00:00"/>
    <d v="2018-08-29T00:00:00"/>
    <s v="Approved"/>
    <x v="23"/>
    <d v="2019-02-15T00:00:00"/>
    <d v="2019-02-08T00:00:00"/>
    <s v="No action - due to plea"/>
    <m/>
    <s v=""/>
    <s v=""/>
    <m/>
    <d v="2019-02-15T00:00:00"/>
  </r>
  <r>
    <x v="2"/>
    <s v="Marquez"/>
    <s v="G41699"/>
    <n v="11636238"/>
    <s v="SVSP-Facility D"/>
    <x v="8"/>
    <s v="INF062938"/>
    <d v="2021-07-15T00:00:00"/>
    <d v="2018-08-23T00:00:00"/>
    <d v="2018-08-23T00:00:00"/>
    <d v="2018-08-29T00:00:00"/>
    <s v="Approved"/>
    <x v="23"/>
    <m/>
    <m/>
    <m/>
    <m/>
    <s v=""/>
    <s v=""/>
    <m/>
    <m/>
  </r>
  <r>
    <x v="2"/>
    <s v="Odell"/>
    <s v="G56707"/>
    <n v="11645840"/>
    <s v="CAL-Facility D"/>
    <x v="0"/>
    <s v="NA078198"/>
    <d v="2031-12-19T00:00:00"/>
    <d v="2018-08-23T00:00:00"/>
    <d v="2018-08-23T00:00:00"/>
    <d v="2018-08-29T00:00:00"/>
    <s v="Approved"/>
    <x v="23"/>
    <m/>
    <m/>
    <m/>
    <m/>
    <s v=""/>
    <s v=""/>
    <m/>
    <m/>
  </r>
  <r>
    <x v="1"/>
    <s v="Starling"/>
    <s v="AE0647"/>
    <n v="11347077"/>
    <s v="CIM-Facility A"/>
    <x v="5"/>
    <s v="SCR568139"/>
    <d v="2033-09-17T00:00:00"/>
    <d v="2018-12-19T00:00:00"/>
    <d v="2018-12-29T00:00:00"/>
    <d v="2018-12-29T00:00:00"/>
    <s v="Approved"/>
    <x v="66"/>
    <d v="2019-03-12T00:00:00"/>
    <d v="2019-02-08T00:00:00"/>
    <s v="No action - no reason specified"/>
    <m/>
    <s v=""/>
    <s v=""/>
    <s v="Court declines to take action"/>
    <d v="2019-03-12T00:00:00"/>
  </r>
  <r>
    <x v="2"/>
    <s v="Alvarez"/>
    <s v="G61886"/>
    <n v="11648966"/>
    <s v="HDSP-Facility C"/>
    <x v="11"/>
    <s v="VCF211481"/>
    <d v="2022-06-12T00:00:00"/>
    <d v="2018-08-23T00:00:00"/>
    <d v="2018-08-23T00:00:00"/>
    <d v="2018-08-29T00:00:00"/>
    <s v="Approved"/>
    <x v="23"/>
    <d v="2019-03-13T00:00:00"/>
    <d v="2018-10-11T00:00:00"/>
    <s v="No reduction - AOJ corrected"/>
    <m/>
    <s v=""/>
    <s v=""/>
    <s v="Term restructered"/>
    <d v="2019-03-13T00:00:00"/>
  </r>
  <r>
    <x v="1"/>
    <s v="Cole"/>
    <s v="WA7462"/>
    <n v="11012477"/>
    <s v="CCWF-Facility C"/>
    <x v="20"/>
    <s v="H49239"/>
    <d v="2027-03-13T00:00:00"/>
    <d v="2018-10-01T00:00:00"/>
    <d v="2018-10-02T00:00:00"/>
    <d v="2018-10-03T00:00:00"/>
    <s v="Approved"/>
    <x v="67"/>
    <d v="2019-02-25T00:00:00"/>
    <d v="2019-02-21T00:00:00"/>
    <s v="No action - reason provided"/>
    <m/>
    <s v=""/>
    <s v=""/>
    <s v="Court declines request"/>
    <d v="2019-02-25T00:00:00"/>
  </r>
  <r>
    <x v="1"/>
    <s v="Abelar"/>
    <s v="AK1830"/>
    <n v="11042580"/>
    <s v="WSP-MSF"/>
    <x v="0"/>
    <s v="VA115570"/>
    <d v="2022-12-27T00:00:00"/>
    <d v="2019-11-27T00:00:00"/>
    <d v="2019-12-11T00:00:00"/>
    <d v="2019-12-11T00:00:00"/>
    <s v="Approved"/>
    <x v="68"/>
    <d v="2020-11-30T00:00:00"/>
    <d v="2020-11-09T00:00:00"/>
    <s v="No action - no reason specified"/>
    <m/>
    <s v=""/>
    <s v=""/>
    <m/>
    <d v="2020-11-30T00:00:00"/>
  </r>
  <r>
    <x v="2"/>
    <s v="Arias"/>
    <s v="F86430"/>
    <n v="11601620"/>
    <s v="COR-Facility 03C"/>
    <x v="5"/>
    <s v="SCR494159"/>
    <d v="2026-11-16T00:00:00"/>
    <d v="2018-08-23T00:00:00"/>
    <d v="2018-08-23T00:00:00"/>
    <d v="2018-08-29T00:00:00"/>
    <s v="Approved"/>
    <x v="23"/>
    <d v="2019-03-13T00:00:00"/>
    <d v="2018-12-17T00:00:00"/>
    <s v="Reduced"/>
    <n v="121"/>
    <n v="0.33150684931506852"/>
    <n v="2737.9150684931506"/>
    <s v="reduced by 4 months"/>
    <d v="2019-03-13T00:00:00"/>
  </r>
  <r>
    <x v="2"/>
    <s v="Esquivel"/>
    <s v="F99787"/>
    <n v="11609905"/>
    <s v="HDSP-Facility D"/>
    <x v="17"/>
    <s v="13F03568"/>
    <d v="2030-01-23T00:00:00"/>
    <d v="2018-08-23T00:00:00"/>
    <d v="2018-08-23T00:00:00"/>
    <d v="2018-08-29T00:00:00"/>
    <s v="Approved"/>
    <x v="23"/>
    <d v="2019-02-05T00:00:00"/>
    <d v="2019-01-29T00:00:00"/>
    <s v="Reduced"/>
    <n v="1095"/>
    <n v="3"/>
    <n v="24777"/>
    <s v="reduced by 3 years"/>
    <d v="2019-02-05T00:00:00"/>
  </r>
  <r>
    <x v="2"/>
    <s v="Santos"/>
    <s v="T70070"/>
    <n v="11940788"/>
    <s v="ASP-Facility A"/>
    <x v="11"/>
    <s v="CR-F-02-89554-2"/>
    <d v="2020-04-23T00:00:00"/>
    <d v="2018-08-27T00:00:00"/>
    <d v="2018-08-27T00:00:00"/>
    <d v="2018-09-12T00:00:00"/>
    <s v="Approved"/>
    <x v="3"/>
    <m/>
    <m/>
    <m/>
    <m/>
    <s v=""/>
    <s v=""/>
    <s v="Active Parole"/>
    <d v="2019-10-02T00:00:00"/>
  </r>
  <r>
    <x v="2"/>
    <s v="Entler"/>
    <s v="G09036"/>
    <n v="11615518"/>
    <s v="CAL-Facility A"/>
    <x v="8"/>
    <s v="RIF120260"/>
    <d v="2021-09-12T00:00:00"/>
    <d v="2018-08-23T00:00:00"/>
    <d v="2018-08-23T00:00:00"/>
    <d v="2018-08-29T00:00:00"/>
    <s v="Approved"/>
    <x v="23"/>
    <d v="2019-08-08T00:00:00"/>
    <d v="2019-06-27T00:00:00"/>
    <s v="Reduced"/>
    <n v="1826"/>
    <n v="5.0027397260273974"/>
    <n v="41317.627397260272"/>
    <s v="reduced by 5 years"/>
    <d v="2019-08-08T00:00:00"/>
  </r>
  <r>
    <x v="1"/>
    <s v="Abolos"/>
    <s v="AY4652"/>
    <n v="12143230"/>
    <s v="SCC - Facility A"/>
    <x v="9"/>
    <s v="FWV1500267"/>
    <d v="2024-08-26T00:00:00"/>
    <d v="2020-08-04T00:00:00"/>
    <d v="2020-09-10T00:00:00"/>
    <d v="2020-09-14T00:00:00"/>
    <s v="Approved"/>
    <x v="69"/>
    <d v="2021-02-25T00:00:00"/>
    <d v="2021-02-03T00:00:00"/>
    <s v="No action - no reason specified"/>
    <m/>
    <s v=""/>
    <s v=""/>
    <m/>
    <d v="2021-02-26T00:00:00"/>
  </r>
  <r>
    <x v="1"/>
    <s v="Kube"/>
    <s v="F68970"/>
    <n v="11207419"/>
    <s v="CTF-Facility B"/>
    <x v="0"/>
    <s v="NA071216"/>
    <d v="2028-10-19T00:00:00"/>
    <d v="2018-11-02T00:00:00"/>
    <d v="2018-11-13T00:00:00"/>
    <d v="2018-11-13T00:00:00"/>
    <s v="Approved"/>
    <x v="60"/>
    <d v="2019-03-25T00:00:00"/>
    <d v="2019-02-28T00:00:00"/>
    <s v="No action - no reason specified"/>
    <m/>
    <s v=""/>
    <s v=""/>
    <m/>
    <d v="2019-03-25T00:00:00"/>
  </r>
  <r>
    <x v="5"/>
    <s v="Camacho"/>
    <s v="T83380"/>
    <n v="11948506"/>
    <s v="SCC-Facility B"/>
    <x v="0"/>
    <s v="BA240074"/>
    <d v="2029-10-29T00:00:00"/>
    <d v="2018-07-25T00:00:00"/>
    <d v="2018-07-25T00:00:00"/>
    <d v="2018-08-15T00:00:00"/>
    <s v="Approved"/>
    <x v="17"/>
    <m/>
    <m/>
    <m/>
    <m/>
    <s v=""/>
    <s v=""/>
    <m/>
    <m/>
  </r>
  <r>
    <x v="2"/>
    <s v="Rodriguez"/>
    <s v="G32912"/>
    <n v="11630522"/>
    <s v="CRC-Facility A"/>
    <x v="0"/>
    <s v="BA324229"/>
    <d v="2022-05-06T00:00:00"/>
    <d v="2018-08-23T00:00:00"/>
    <d v="2018-08-23T00:00:00"/>
    <d v="2018-08-29T00:00:00"/>
    <s v="Approved"/>
    <x v="23"/>
    <d v="2019-02-22T00:00:00"/>
    <d v="2019-02-06T00:00:00"/>
    <s v="Reduced"/>
    <n v="1095"/>
    <n v="3"/>
    <n v="24777"/>
    <s v="reduced by 3 years"/>
    <d v="2019-02-22T00:00:00"/>
  </r>
  <r>
    <x v="7"/>
    <s v="Watson"/>
    <s v="W47337"/>
    <n v="10248644"/>
    <s v="CCWF FAC D"/>
    <x v="13"/>
    <s v="SC072676"/>
    <d v="2027-03-05T00:00:00"/>
    <d v="2019-05-09T00:00:00"/>
    <d v="2019-05-17T00:00:00"/>
    <d v="2019-05-17T00:00:00"/>
    <s v="Approved"/>
    <x v="70"/>
    <d v="2020-10-29T00:00:00"/>
    <d v="2020-08-26T00:00:00"/>
    <s v="Released"/>
    <n v="2320"/>
    <n v="6.3561643835616435"/>
    <n v="52495.561643835616"/>
    <s v="Released on 10/27/2020"/>
    <d v="2020-10-30T00:00:00"/>
  </r>
  <r>
    <x v="2"/>
    <s v="Botello"/>
    <s v="G39950"/>
    <n v="11635097"/>
    <s v="SAC-Facility C"/>
    <x v="13"/>
    <s v="DF011520B"/>
    <d v="2022-10-26T00:00:00"/>
    <d v="2018-08-23T00:00:00"/>
    <d v="2018-08-23T00:00:00"/>
    <d v="2018-08-29T00:00:00"/>
    <s v="Approved"/>
    <x v="23"/>
    <d v="2020-10-29T00:00:00"/>
    <d v="2018-11-26T00:00:00"/>
    <s v="No reduction - AOJ corrected"/>
    <m/>
    <s v=""/>
    <s v=""/>
    <m/>
    <d v="2020-10-30T00:00:00"/>
  </r>
  <r>
    <x v="2"/>
    <s v="Perez"/>
    <s v="F35590"/>
    <n v="11570338"/>
    <s v="SATF-Facility C"/>
    <x v="0"/>
    <s v="XNWLA054217"/>
    <d v="2024-04-11T00:00:00"/>
    <d v="2018-08-23T00:00:00"/>
    <d v="2018-08-23T00:00:00"/>
    <d v="2018-08-29T00:00:00"/>
    <s v="Approved"/>
    <x v="23"/>
    <d v="2019-01-30T00:00:00"/>
    <d v="2019-01-18T00:00:00"/>
    <s v="No reduction - AOJ corrected"/>
    <m/>
    <s v=""/>
    <s v=""/>
    <m/>
    <d v="2019-01-30T00:00:00"/>
  </r>
  <r>
    <x v="1"/>
    <s v="Aguilar"/>
    <s v="AD6334"/>
    <n v="11344319"/>
    <s v="CIM - Facility D"/>
    <x v="0"/>
    <s v="BA358480"/>
    <d v="2030-07-08T00:00:00"/>
    <d v="2020-08-07T00:00:00"/>
    <d v="2020-09-04T00:00:00"/>
    <d v="2020-09-08T00:00:00"/>
    <s v="Approved"/>
    <x v="71"/>
    <m/>
    <d v="2020-12-09T00:00:00"/>
    <s v="Pending Court (Date in Notes)"/>
    <m/>
    <s v=""/>
    <s v=""/>
    <s v="NCD-12/09/2020"/>
    <m/>
  </r>
  <r>
    <x v="2"/>
    <s v="Padilla"/>
    <s v="F37790"/>
    <n v="11571706"/>
    <s v="CAL-Facility B"/>
    <x v="13"/>
    <s v="DF011520A"/>
    <d v="2042-01-11T00:00:00"/>
    <d v="2018-08-23T00:00:00"/>
    <d v="2018-08-23T00:00:00"/>
    <d v="2018-08-29T00:00:00"/>
    <s v="Approved"/>
    <x v="23"/>
    <d v="2020-10-29T00:00:00"/>
    <d v="2019-02-01T00:00:00"/>
    <s v="No reduction - AOJ corrected"/>
    <m/>
    <s v=""/>
    <s v=""/>
    <m/>
    <d v="2020-10-30T00:00:00"/>
  </r>
  <r>
    <x v="2"/>
    <s v="Pina"/>
    <s v="AN0034"/>
    <n v="11572396"/>
    <s v="PBSP-Facility C"/>
    <x v="0"/>
    <s v="BA385031-01"/>
    <d v="2047-08-04T00:00:00"/>
    <d v="2018-08-23T00:00:00"/>
    <d v="2018-08-23T00:00:00"/>
    <d v="2018-08-29T00:00:00"/>
    <s v="Approved"/>
    <x v="23"/>
    <m/>
    <m/>
    <m/>
    <m/>
    <s v=""/>
    <s v=""/>
    <m/>
    <m/>
  </r>
  <r>
    <x v="5"/>
    <s v="Cordero"/>
    <s v="BC2963"/>
    <n v="12165711"/>
    <s v="SATF-Facility D"/>
    <x v="0"/>
    <s v="VA129304-02"/>
    <d v="2077-04-04T00:00:00"/>
    <d v="2018-07-26T00:00:00"/>
    <d v="2018-07-26T00:00:00"/>
    <d v="2018-08-15T00:00:00"/>
    <s v="Approved"/>
    <x v="17"/>
    <d v="2019-03-22T00:00:00"/>
    <d v="2019-03-05T00:00:00"/>
    <s v="No action - no reason specified"/>
    <m/>
    <s v=""/>
    <s v=""/>
    <m/>
    <d v="2019-03-22T00:00:00"/>
  </r>
  <r>
    <x v="2"/>
    <s v="Mora"/>
    <s v="F56080"/>
    <n v="11582807"/>
    <s v="SVSP-Facility I"/>
    <x v="19"/>
    <s v="06CM4475"/>
    <d v="2022-09-28T00:00:00"/>
    <d v="2018-08-23T00:00:00"/>
    <d v="2018-08-23T00:00:00"/>
    <d v="2018-08-29T00:00:00"/>
    <s v="Approved"/>
    <x v="23"/>
    <m/>
    <m/>
    <m/>
    <m/>
    <s v=""/>
    <s v=""/>
    <m/>
    <m/>
  </r>
  <r>
    <x v="1"/>
    <s v="Thornburg"/>
    <s v="AZ2253"/>
    <n v="12147940"/>
    <s v="CAC-Facility B"/>
    <x v="2"/>
    <s v="13HF2342"/>
    <d v="2025-04-06T00:00:00"/>
    <d v="2018-08-23T00:00:00"/>
    <d v="2018-09-03T00:00:00"/>
    <d v="2018-09-07T00:00:00"/>
    <s v="Approved"/>
    <x v="22"/>
    <d v="2019-10-25T00:00:00"/>
    <m/>
    <s v="No action - due to plea"/>
    <m/>
    <s v=""/>
    <s v=""/>
    <m/>
    <d v="2019-10-25T00:00:00"/>
  </r>
  <r>
    <x v="2"/>
    <s v="Frias"/>
    <s v="AD1319"/>
    <n v="11341144"/>
    <s v="SAC-Facility A"/>
    <x v="13"/>
    <s v="DF011694A"/>
    <d v="2079-10-31T00:00:00"/>
    <d v="2018-08-27T00:00:00"/>
    <d v="2018-08-27T00:00:00"/>
    <d v="2018-08-29T00:00:00"/>
    <s v="Approved"/>
    <x v="23"/>
    <d v="2018-10-29T00:00:00"/>
    <d v="2018-10-22T00:00:00"/>
    <s v="Reduced"/>
    <n v="365"/>
    <n v="1"/>
    <n v="8259"/>
    <s v="reduced by 1 year"/>
    <d v="2018-11-01T00:00:00"/>
  </r>
  <r>
    <x v="2"/>
    <s v="Fuentes"/>
    <s v="AA6355"/>
    <n v="11325384"/>
    <s v="CAL-Facility A"/>
    <x v="0"/>
    <s v="LA053831-01"/>
    <d v="2117-02-07T00:00:00"/>
    <d v="2018-08-27T00:00:00"/>
    <d v="2018-08-27T00:00:00"/>
    <d v="2018-09-12T00:00:00"/>
    <s v="Approved"/>
    <x v="43"/>
    <d v="2018-10-26T00:00:00"/>
    <d v="2018-10-17T00:00:00"/>
    <s v="Reduced"/>
    <n v="1095"/>
    <n v="3"/>
    <n v="24777"/>
    <s v="reduced 3 years"/>
    <d v="2018-11-03T00:00:00"/>
  </r>
  <r>
    <x v="2"/>
    <s v="Rodriguez"/>
    <s v="AA6139"/>
    <n v="11325233"/>
    <s v="KVSP-Facility A"/>
    <x v="0"/>
    <s v="BA346793-01"/>
    <d v="2023-10-02T00:00:00"/>
    <d v="2018-08-27T00:00:00"/>
    <d v="2018-08-27T00:00:00"/>
    <d v="2018-09-12T00:00:00"/>
    <s v="Approved"/>
    <x v="3"/>
    <d v="2018-10-17T00:00:00"/>
    <d v="2018-10-05T00:00:00"/>
    <s v="Reduced"/>
    <n v="1095"/>
    <n v="3"/>
    <n v="24777"/>
    <s v="reduced 3 years"/>
    <d v="2018-10-23T00:00:00"/>
  </r>
  <r>
    <x v="5"/>
    <s v="Delgado"/>
    <s v="AX2226"/>
    <n v="12135860"/>
    <s v="HDSP-Facility C"/>
    <x v="11"/>
    <s v="VCF296900A"/>
    <d v="2058-06-12T00:00:00"/>
    <d v="2018-08-27T00:00:00"/>
    <d v="2018-08-27T00:00:00"/>
    <d v="2018-09-12T00:00:00"/>
    <s v="Approved"/>
    <x v="3"/>
    <d v="2018-09-24T00:00:00"/>
    <d v="2018-09-20T00:00:00"/>
    <s v="Reduced"/>
    <n v="487"/>
    <n v="1.3342465753424657"/>
    <n v="11019.542465753426"/>
    <m/>
    <d v="2018-10-01T00:00:00"/>
  </r>
  <r>
    <x v="3"/>
    <s v="Horn"/>
    <s v="AF5688"/>
    <n v="11356320"/>
    <s v="SOL-Facility A"/>
    <x v="0"/>
    <s v="NA066405"/>
    <d v="2095-03-06T00:00:00"/>
    <d v="2018-07-26T00:00:00"/>
    <d v="2018-07-26T00:00:00"/>
    <d v="2018-08-15T00:00:00"/>
    <s v="Approved"/>
    <x v="17"/>
    <d v="2019-03-08T00:00:00"/>
    <d v="2019-03-05T00:00:00"/>
    <s v="No action - reason provided"/>
    <m/>
    <s v=""/>
    <s v=""/>
    <s v="courts declined to take action "/>
    <d v="2019-03-08T00:00:00"/>
  </r>
  <r>
    <x v="2"/>
    <s v="Penaloza"/>
    <s v="AY3965"/>
    <n v="12142903"/>
    <s v="CRC-Facility A"/>
    <x v="8"/>
    <s v="INF1403312"/>
    <d v="2024-01-09T00:00:00"/>
    <d v="2018-08-21T00:00:00"/>
    <d v="2018-08-21T00:00:00"/>
    <d v="2018-08-22T00:00:00"/>
    <s v="Approved"/>
    <x v="29"/>
    <d v="2019-03-13T00:00:00"/>
    <d v="2019-03-06T00:00:00"/>
    <s v="No action - no reason specified"/>
    <m/>
    <s v=""/>
    <s v=""/>
    <d v="2019-03-06T00:00:00"/>
    <d v="2019-03-13T00:00:00"/>
  </r>
  <r>
    <x v="1"/>
    <s v="Aguilar"/>
    <s v="AX6068"/>
    <n v="12138172"/>
    <s v="DVI-Facility A"/>
    <x v="12"/>
    <s v="C1484838  B1472728"/>
    <d v="2024-10-28T00:00:00"/>
    <d v="2021-03-22T00:00:00"/>
    <d v="2021-03-24T00:00:00"/>
    <d v="2021-03-24T00:00:00"/>
    <s v="Approved"/>
    <x v="72"/>
    <m/>
    <m/>
    <m/>
    <m/>
    <s v=""/>
    <s v=""/>
    <m/>
    <m/>
  </r>
  <r>
    <x v="7"/>
    <s v="DeLongis "/>
    <s v="V12863"/>
    <n v="11965360"/>
    <s v="CMF-Facility B"/>
    <x v="5"/>
    <s v="SCR32538"/>
    <d v="2023-02-15T00:00:00"/>
    <d v="2019-01-29T00:00:00"/>
    <d v="2019-02-06T00:00:00"/>
    <d v="2019-02-11T00:00:00"/>
    <s v="Approved"/>
    <x v="73"/>
    <d v="2019-03-21T00:00:00"/>
    <d v="2019-03-12T00:00:00"/>
    <s v="No action - reason provided"/>
    <m/>
    <s v=""/>
    <s v=""/>
    <s v="declined in the interest of justice"/>
    <d v="2019-03-21T00:00:00"/>
  </r>
  <r>
    <x v="2"/>
    <s v="Jackson"/>
    <s v="AB8468"/>
    <n v="11333113"/>
    <s v="PBSP-facility B"/>
    <x v="10"/>
    <s v="SCD218179"/>
    <d v="2028-11-20T00:00:00"/>
    <d v="2018-08-27T00:00:00"/>
    <d v="2018-08-27T00:00:00"/>
    <d v="2018-08-29T00:00:00"/>
    <s v="Approved"/>
    <x v="23"/>
    <d v="2021-03-19T00:00:00"/>
    <d v="2019-09-05T00:00:00"/>
    <s v="Reduced"/>
    <n v="730"/>
    <n v="2"/>
    <n v="16518"/>
    <s v="Toatal term changed 20y&lt;18y"/>
    <d v="2021-03-19T00:00:00"/>
  </r>
  <r>
    <x v="2"/>
    <s v="Rocha"/>
    <s v="AC6353"/>
    <n v="11338009"/>
    <s v="CAL-Facility A"/>
    <x v="8"/>
    <s v="RIF1303076"/>
    <d v="2043-10-21T00:00:00"/>
    <d v="2018-08-27T00:00:00"/>
    <d v="2018-08-27T00:00:00"/>
    <d v="2018-08-29T00:00:00"/>
    <s v="Approved"/>
    <x v="23"/>
    <d v="2021-06-03T00:00:00"/>
    <d v="2021-05-06T00:00:00"/>
    <s v="Reduced"/>
    <n v="1095"/>
    <n v="3"/>
    <n v="24777"/>
    <s v="reduced by 3 years"/>
    <d v="2021-06-07T00:00:00"/>
  </r>
  <r>
    <x v="2"/>
    <s v="Solis"/>
    <s v="AC6536"/>
    <n v="11338135"/>
    <s v="SATF-Facility A"/>
    <x v="11"/>
    <s v="VCF188760A"/>
    <d v="2028-03-21T00:00:00"/>
    <d v="2018-08-27T00:00:00"/>
    <d v="2018-08-27T00:00:00"/>
    <d v="2018-08-29T00:00:00"/>
    <s v="Approved"/>
    <x v="23"/>
    <d v="2019-03-13T00:00:00"/>
    <d v="2018-10-10T00:00:00"/>
    <s v="No reduction - AOJ corrected"/>
    <m/>
    <s v=""/>
    <s v=""/>
    <s v="Term restructered"/>
    <d v="2019-03-13T00:00:00"/>
  </r>
  <r>
    <x v="2"/>
    <s v="Vasquez"/>
    <s v="AC1991"/>
    <n v="11335266"/>
    <s v="CEN-Facility C"/>
    <x v="0"/>
    <s v="VA105616-01"/>
    <d v="2026-09-02T00:00:00"/>
    <d v="2018-08-27T00:00:00"/>
    <d v="2018-08-27T00:00:00"/>
    <d v="2018-08-29T00:00:00"/>
    <s v="Approved"/>
    <x v="23"/>
    <d v="2019-03-12T00:00:00"/>
    <d v="2019-03-04T00:00:00"/>
    <s v="Reduced"/>
    <n v="1095"/>
    <n v="3"/>
    <n v="24777"/>
    <s v="reduced by 3 years"/>
    <d v="2019-03-12T00:00:00"/>
  </r>
  <r>
    <x v="7"/>
    <s v="Chamberlin"/>
    <s v="T43078"/>
    <n v="11925569"/>
    <s v="VSP-Facility D"/>
    <x v="13"/>
    <s v="SC083227"/>
    <d v="2024-10-19T00:00:00"/>
    <d v="2018-06-04T00:00:00"/>
    <d v="2018-06-04T00:00:00"/>
    <d v="2018-06-04T00:00:00"/>
    <s v="Approved"/>
    <x v="74"/>
    <d v="2018-09-17T00:00:00"/>
    <d v="2019-03-13T00:00:00"/>
    <s v="No action - no reason specified"/>
    <m/>
    <s v=""/>
    <s v=""/>
    <m/>
    <d v="2019-03-27T00:00:00"/>
  </r>
  <r>
    <x v="5"/>
    <s v="Her"/>
    <s v="G36729"/>
    <n v="11632994"/>
    <s v="FOL-Facility A"/>
    <x v="4"/>
    <s v="AF46887"/>
    <d v="2020-12-03T00:00:00"/>
    <d v="2018-05-16T00:00:00"/>
    <d v="2018-05-16T00:00:00"/>
    <d v="2018-05-16T00:00:00"/>
    <s v="Approved"/>
    <x v="12"/>
    <d v="2019-04-03T00:00:00"/>
    <d v="2019-03-13T00:00:00"/>
    <s v="No action - reason provided"/>
    <m/>
    <s v=""/>
    <s v=""/>
    <s v="courts declined to take action "/>
    <d v="2019-04-03T00:00:00"/>
  </r>
  <r>
    <x v="2"/>
    <s v="Barriga"/>
    <s v="AA9449"/>
    <n v="11327359"/>
    <s v="KVSP-Facility C"/>
    <x v="24"/>
    <n v="1221624"/>
    <d v="2027-06-22T00:00:00"/>
    <d v="2018-08-27T00:00:00"/>
    <d v="2018-08-27T00:00:00"/>
    <d v="2018-08-29T00:00:00"/>
    <s v="Approved"/>
    <x v="23"/>
    <d v="2019-05-22T00:00:00"/>
    <d v="2019-05-17T00:00:00"/>
    <s v="Reduced"/>
    <n v="121"/>
    <n v="0.33150684931506852"/>
    <n v="2737.9150684931506"/>
    <s v="reduced by 4 months"/>
    <d v="2019-05-22T00:00:00"/>
  </r>
  <r>
    <x v="7"/>
    <s v="Bolden"/>
    <s v="W72963"/>
    <n v="10246554"/>
    <s v="CIW A"/>
    <x v="0"/>
    <s v="BA134574"/>
    <d v="2044-06-26T00:00:00"/>
    <d v="2019-02-25T00:00:00"/>
    <d v="2019-03-06T00:00:00"/>
    <d v="2019-03-06T00:00:00"/>
    <s v="Approved"/>
    <x v="75"/>
    <d v="2019-12-24T00:00:00"/>
    <d v="2019-12-10T00:00:00"/>
    <s v="Reduced"/>
    <n v="14975.25"/>
    <n v="41.028082191780825"/>
    <n v="338850.93082191783"/>
    <s v="reduced by 41 years"/>
    <d v="2019-12-24T00:00:00"/>
  </r>
  <r>
    <x v="5"/>
    <s v="Frutos"/>
    <s v="AW2707"/>
    <n v="12130188"/>
    <s v="ASP-Facility E"/>
    <x v="4"/>
    <s v="CRL008941"/>
    <d v="2023-01-07T00:00:00"/>
    <d v="2018-05-16T00:00:00"/>
    <d v="2018-05-16T00:00:00"/>
    <d v="2018-05-16T00:00:00"/>
    <s v="Approved"/>
    <x v="12"/>
    <d v="2019-04-03T00:00:00"/>
    <d v="2019-03-13T00:00:00"/>
    <s v="No action - reason provided"/>
    <m/>
    <s v=""/>
    <s v=""/>
    <s v=" court declined to take action "/>
    <d v="2019-04-03T00:00:00"/>
  </r>
  <r>
    <x v="2"/>
    <s v="Duarte"/>
    <s v="AA8730"/>
    <n v="11326898"/>
    <s v="KVSP-Facility D"/>
    <x v="17"/>
    <s v="07F05646"/>
    <d v="2031-10-08T00:00:00"/>
    <d v="2018-08-27T00:00:00"/>
    <d v="2018-08-27T00:00:00"/>
    <d v="2018-09-12T00:00:00"/>
    <s v="Approved"/>
    <x v="3"/>
    <m/>
    <m/>
    <m/>
    <m/>
    <s v=""/>
    <s v=""/>
    <m/>
    <m/>
  </r>
  <r>
    <x v="2"/>
    <s v="Gurrola"/>
    <s v="AA4203"/>
    <n v="11323960"/>
    <s v="KVSP-Facility A"/>
    <x v="0"/>
    <s v="GA066930-01"/>
    <d v="2140-05-08T00:00:00"/>
    <d v="2018-08-27T00:00:00"/>
    <d v="2018-08-27T00:00:00"/>
    <d v="2018-09-12T00:00:00"/>
    <s v="Approved"/>
    <x v="3"/>
    <d v="2019-02-05T00:00:00"/>
    <d v="2019-01-16T00:00:00"/>
    <s v="Reduced"/>
    <n v="1095"/>
    <n v="3"/>
    <n v="24777"/>
    <s v="reduced by 3 years"/>
    <d v="2019-02-05T00:00:00"/>
  </r>
  <r>
    <x v="11"/>
    <s v="Smith"/>
    <s v="AP2224"/>
    <n v="11488345"/>
    <s v="SOL-Facility C"/>
    <x v="29"/>
    <s v="CR163544"/>
    <d v="2035-09-20T00:00:00"/>
    <d v="2019-01-15T00:00:00"/>
    <d v="2019-12-05T00:00:00"/>
    <d v="2020-01-09T00:00:00"/>
    <s v="Approved"/>
    <x v="76"/>
    <m/>
    <d v="2020-02-06T00:00:00"/>
    <s v="Pending Court (Date in Notes)"/>
    <m/>
    <s v=""/>
    <s v=""/>
    <s v="NCD - 02/06/2020"/>
    <m/>
  </r>
  <r>
    <x v="3"/>
    <s v="Manzo"/>
    <s v="BD7448"/>
    <n v="12175207"/>
    <s v="PBSP-Facility B"/>
    <x v="4"/>
    <s v="CRM036161"/>
    <d v="2033-02-24T00:00:00"/>
    <d v="2018-06-11T00:00:00"/>
    <d v="2018-06-12T00:00:00"/>
    <d v="2018-06-27T00:00:00"/>
    <s v="Approved"/>
    <x v="16"/>
    <d v="2019-04-03T00:00:00"/>
    <d v="2019-03-13T00:00:00"/>
    <s v="No action - reason provided"/>
    <m/>
    <s v=""/>
    <s v=""/>
    <s v="courts declined to take action "/>
    <d v="2019-04-03T00:00:00"/>
  </r>
  <r>
    <x v="2"/>
    <s v="Smith"/>
    <s v="AN2086"/>
    <n v="11307954"/>
    <s v="PUMCCF-Shafter"/>
    <x v="0"/>
    <s v="BA383348-01"/>
    <d v="2020-01-20T00:00:00"/>
    <d v="2018-09-05T00:00:00"/>
    <d v="2018-09-05T00:00:00"/>
    <d v="2018-09-26T00:00:00"/>
    <s v="Approved"/>
    <x v="46"/>
    <m/>
    <m/>
    <m/>
    <m/>
    <s v=""/>
    <s v=""/>
    <s v="Active Parole"/>
    <d v="2020-01-18T00:00:00"/>
  </r>
  <r>
    <x v="2"/>
    <s v="Sahibi"/>
    <s v="T66695"/>
    <n v="11938761"/>
    <s v="SVSP-Facility C"/>
    <x v="13"/>
    <s v="DF011676A"/>
    <d v="2071-12-30T00:00:00"/>
    <d v="2018-08-27T00:00:00"/>
    <d v="2018-08-27T00:00:00"/>
    <m/>
    <m/>
    <x v="27"/>
    <m/>
    <m/>
    <m/>
    <m/>
    <s v=""/>
    <s v=""/>
    <m/>
    <m/>
  </r>
  <r>
    <x v="2"/>
    <s v="Pulido"/>
    <s v="T55812"/>
    <n v="11932760"/>
    <s v="CCI-Facility C"/>
    <x v="0"/>
    <s v="LA037430-01"/>
    <d v="2029-11-28T00:00:00"/>
    <d v="2018-08-27T00:00:00"/>
    <d v="2018-08-27T00:00:00"/>
    <d v="2018-09-12T00:00:00"/>
    <s v="Approved"/>
    <x v="43"/>
    <d v="2021-03-19T00:00:00"/>
    <d v="2020-08-27T00:00:00"/>
    <s v="No reduction - AOJ corrected"/>
    <m/>
    <s v=""/>
    <s v=""/>
    <s v="Term Restructured "/>
    <d v="2021-03-19T00:00:00"/>
  </r>
  <r>
    <x v="7"/>
    <s v="Czajar"/>
    <s v="V86621"/>
    <n v="11270510"/>
    <s v="CCI-Facility E"/>
    <x v="8"/>
    <s v="RIF139319"/>
    <d v="2020-07-25T00:00:00"/>
    <d v="2018-10-23T00:00:00"/>
    <d v="2018-10-26T00:00:00"/>
    <d v="2018-10-26T00:00:00"/>
    <s v="Approved"/>
    <x v="77"/>
    <d v="2019-01-29T00:00:00"/>
    <d v="2019-01-11T00:00:00"/>
    <s v="Released"/>
    <n v="1095"/>
    <n v="3"/>
    <n v="24777"/>
    <s v="reduced by 3 years"/>
    <d v="2019-01-29T00:00:00"/>
  </r>
  <r>
    <x v="2"/>
    <s v="Zuniga"/>
    <s v="T39293"/>
    <n v="11923483"/>
    <s v="SAC-Facility C"/>
    <x v="34"/>
    <s v="WF00550"/>
    <d v="2027-05-28T00:00:00"/>
    <d v="2018-08-27T00:00:00"/>
    <d v="2018-08-27T00:00:00"/>
    <d v="2018-09-12T00:00:00"/>
    <s v="Approved"/>
    <x v="3"/>
    <m/>
    <m/>
    <m/>
    <m/>
    <s v=""/>
    <s v=""/>
    <m/>
    <m/>
  </r>
  <r>
    <x v="2"/>
    <s v="Torres"/>
    <s v="AW1870"/>
    <n v="12129770"/>
    <s v="ASP-Facility F"/>
    <x v="4"/>
    <s v="CRM023652C"/>
    <d v="2021-09-29T00:00:00"/>
    <d v="2018-06-19T00:00:00"/>
    <d v="2018-06-19T00:00:00"/>
    <d v="2018-07-18T00:00:00"/>
    <s v="Approved"/>
    <x v="28"/>
    <d v="2019-04-03T00:00:00"/>
    <d v="2019-03-13T00:00:00"/>
    <s v="No action - reason provided"/>
    <m/>
    <s v=""/>
    <s v=""/>
    <s v="courts declined to take action "/>
    <d v="2019-04-03T00:00:00"/>
  </r>
  <r>
    <x v="2"/>
    <s v="Speck"/>
    <s v="AS2281"/>
    <n v="11918037"/>
    <s v="HDSP-Facility B"/>
    <x v="37"/>
    <s v="SC076554A"/>
    <d v="2031-04-25T00:00:00"/>
    <d v="2018-08-27T00:00:00"/>
    <d v="2018-08-27T00:00:00"/>
    <d v="2018-09-12T00:00:00"/>
    <s v="Approved"/>
    <x v="3"/>
    <d v="2018-12-10T00:00:00"/>
    <d v="2018-11-16T00:00:00"/>
    <s v="Reduced"/>
    <n v="1095"/>
    <n v="3"/>
    <n v="24777"/>
    <m/>
    <d v="2018-12-27T00:00:00"/>
  </r>
  <r>
    <x v="5"/>
    <s v="Santa Anna"/>
    <s v="V00104"/>
    <n v="11957951"/>
    <s v="PBSP-Facility A"/>
    <x v="0"/>
    <s v="VA095753-01"/>
    <d v="2207-02-10T00:00:00"/>
    <d v="2018-08-27T00:00:00"/>
    <d v="2018-08-27T00:00:00"/>
    <d v="2018-09-12T00:00:00"/>
    <s v="Approved"/>
    <x v="3"/>
    <m/>
    <m/>
    <m/>
    <m/>
    <s v=""/>
    <s v=""/>
    <m/>
    <m/>
  </r>
  <r>
    <x v="2"/>
    <s v="Lopez"/>
    <s v="AE9746"/>
    <n v="11352651"/>
    <s v="PBSP-Facility C"/>
    <x v="0"/>
    <s v="BA368554"/>
    <d v="2038-10-03T00:00:00"/>
    <d v="2018-08-29T00:00:00"/>
    <d v="2018-08-29T00:00:00"/>
    <d v="2018-09-19T00:00:00"/>
    <s v="Approved"/>
    <x v="45"/>
    <d v="2018-10-17T00:00:00"/>
    <d v="2019-02-01T00:00:00"/>
    <s v="Reduced"/>
    <n v="1095"/>
    <n v="3"/>
    <n v="24777"/>
    <s v="reduced by 3 years"/>
    <d v="2019-02-12T00:00:00"/>
  </r>
  <r>
    <x v="2"/>
    <s v="Thomas"/>
    <s v="AY7203"/>
    <n v="12144903"/>
    <s v="COR-Facility 03A"/>
    <x v="4"/>
    <s v="CRM016537"/>
    <d v="2021-05-08T00:00:00"/>
    <d v="2018-06-19T00:00:00"/>
    <d v="2018-06-19T00:00:00"/>
    <d v="2018-07-02T00:00:00"/>
    <s v="Approved"/>
    <x v="18"/>
    <d v="2019-04-03T00:00:00"/>
    <d v="2019-03-13T00:00:00"/>
    <s v="No action - reason provided"/>
    <m/>
    <s v=""/>
    <s v=""/>
    <s v="courts declined to take action "/>
    <d v="2019-04-03T00:00:00"/>
  </r>
  <r>
    <x v="7"/>
    <s v="Brown"/>
    <s v="E89868"/>
    <n v="11102013"/>
    <s v="FOL-Facility A"/>
    <x v="12"/>
    <n v="178826"/>
    <d v="2027-07-31T00:00:00"/>
    <d v="2018-05-09T00:00:00"/>
    <d v="2018-05-09T00:00:00"/>
    <d v="2018-05-09T00:00:00"/>
    <s v="Approved"/>
    <x v="26"/>
    <d v="2018-10-31T00:00:00"/>
    <d v="2018-10-22T00:00:00"/>
    <s v="Released"/>
    <n v="6209"/>
    <n v="17.010958904109589"/>
    <n v="140493.50958904109"/>
    <s v="reduced by 17 years and released on Own Recognizance on 10/02/2018"/>
    <d v="2018-10-31T00:00:00"/>
  </r>
  <r>
    <x v="2"/>
    <s v="Cardoza"/>
    <s v="T74260"/>
    <n v="11943293"/>
    <s v="ISP-Facility B"/>
    <x v="4"/>
    <n v="28481"/>
    <d v="2022-11-01T00:00:00"/>
    <d v="2018-06-21T00:00:00"/>
    <d v="2018-06-21T00:00:00"/>
    <d v="2018-07-02T00:00:00"/>
    <s v="Approved"/>
    <x v="18"/>
    <d v="2019-04-03T00:00:00"/>
    <d v="2019-03-13T00:00:00"/>
    <s v="No action - reason provided"/>
    <m/>
    <s v=""/>
    <s v=""/>
    <s v="courts declined to take action /released on 4/8/19"/>
    <d v="2019-04-03T00:00:00"/>
  </r>
  <r>
    <x v="1"/>
    <s v="Guerra"/>
    <s v="F55468"/>
    <n v="11204407"/>
    <s v="CCI-Facility E"/>
    <x v="0"/>
    <s v="BA308619"/>
    <d v="2026-06-07T00:00:00"/>
    <d v="2018-08-30T00:00:00"/>
    <d v="2018-09-07T00:00:00"/>
    <d v="2018-09-07T00:00:00"/>
    <s v="Approved"/>
    <x v="43"/>
    <m/>
    <m/>
    <m/>
    <m/>
    <s v=""/>
    <s v=""/>
    <m/>
    <m/>
  </r>
  <r>
    <x v="6"/>
    <s v="Bellows"/>
    <s v="F37020"/>
    <n v="11571215"/>
    <s v="LAC-facility B"/>
    <x v="21"/>
    <s v="SF112707A"/>
    <d v="2023-12-06T00:00:00"/>
    <d v="2018-08-31T00:00:00"/>
    <d v="2018-08-31T00:00:00"/>
    <d v="2018-09-05T00:00:00"/>
    <s v="Approved"/>
    <x v="22"/>
    <d v="2018-11-01T00:00:00"/>
    <d v="2018-10-24T00:00:00"/>
    <s v="Reduced"/>
    <n v="730"/>
    <n v="2"/>
    <n v="16518"/>
    <m/>
    <d v="2018-11-09T00:00:00"/>
  </r>
  <r>
    <x v="6"/>
    <s v="Le"/>
    <s v="T97619"/>
    <n v="11956559"/>
    <s v="LAC-Facility B"/>
    <x v="25"/>
    <s v="JCF22139"/>
    <d v="2024-01-06T00:00:00"/>
    <d v="2018-08-31T00:00:00"/>
    <d v="2018-08-31T00:00:00"/>
    <d v="2018-09-05T00:00:00"/>
    <s v="Approved"/>
    <x v="22"/>
    <d v="2018-10-29T00:00:00"/>
    <d v="2018-10-23T00:00:00"/>
    <s v="Reduced"/>
    <n v="730"/>
    <n v="2"/>
    <n v="16518"/>
    <s v="reduced  2 years"/>
    <d v="2018-11-01T00:00:00"/>
  </r>
  <r>
    <x v="6"/>
    <s v="Bryant"/>
    <s v="T48794"/>
    <n v="11928829"/>
    <s v="LAC-Facility D"/>
    <x v="0"/>
    <s v="MA059608-01"/>
    <d v="2022-04-21T00:00:00"/>
    <d v="2018-08-31T00:00:00"/>
    <d v="2018-08-31T00:00:00"/>
    <d v="2018-09-04T00:00:00"/>
    <s v="Approved"/>
    <x v="22"/>
    <d v="2018-11-26T00:00:00"/>
    <d v="2018-11-20T00:00:00"/>
    <s v="Reduced"/>
    <n v="730"/>
    <n v="2"/>
    <n v="16518"/>
    <s v="reduced 2 years"/>
    <d v="2018-11-29T00:00:00"/>
  </r>
  <r>
    <x v="6"/>
    <s v="Lopez"/>
    <s v="K24235"/>
    <n v="11263836"/>
    <s v="SAC-Facility C"/>
    <x v="27"/>
    <s v="CH026971"/>
    <d v="2077-12-12T00:00:00"/>
    <d v="2018-08-31T00:00:00"/>
    <d v="2018-08-31T00:00:00"/>
    <d v="2018-09-04T00:00:00"/>
    <s v="Approved"/>
    <x v="22"/>
    <d v="2018-11-29T00:00:00"/>
    <d v="2018-11-21T00:00:00"/>
    <s v="Reduced"/>
    <n v="730"/>
    <n v="2"/>
    <n v="16518"/>
    <s v="Reduced to 8 years"/>
    <d v="2018-12-03T00:00:00"/>
  </r>
  <r>
    <x v="6"/>
    <s v="Beteta"/>
    <s v="F07006"/>
    <n v="11553061"/>
    <s v="HDSP-Facility D"/>
    <x v="27"/>
    <s v="CH033415"/>
    <d v="9999-12-31T00:00:00"/>
    <d v="2018-08-31T00:00:00"/>
    <d v="2018-08-31T00:00:00"/>
    <d v="2018-09-04T00:00:00"/>
    <s v="Approved"/>
    <x v="22"/>
    <d v="2018-11-29T00:00:00"/>
    <d v="2018-11-14T00:00:00"/>
    <s v="Reduced"/>
    <n v="365"/>
    <n v="1"/>
    <n v="8259"/>
    <s v="Reduced to 5 years"/>
    <d v="2018-12-03T00:00:00"/>
  </r>
  <r>
    <x v="6"/>
    <s v="Mallory"/>
    <s v="G29397"/>
    <n v="11628366"/>
    <s v="CAF-Facility B"/>
    <x v="25"/>
    <s v="JCF26358"/>
    <d v="2023-12-19T00:00:00"/>
    <d v="2018-08-31T00:00:00"/>
    <d v="2018-08-31T00:00:00"/>
    <d v="2018-09-05T00:00:00"/>
    <s v="Approved"/>
    <x v="78"/>
    <d v="2018-12-19T00:00:00"/>
    <d v="2018-01-13T00:00:00"/>
    <s v="Reduced"/>
    <n v="730"/>
    <n v="2"/>
    <n v="16518"/>
    <m/>
    <d v="2018-12-21T00:00:00"/>
  </r>
  <r>
    <x v="6"/>
    <s v="Diaz"/>
    <s v="T01738"/>
    <n v="11902441"/>
    <s v="RJD-Facility C"/>
    <x v="14"/>
    <s v="SS170285A"/>
    <d v="2096-10-18T00:00:00"/>
    <d v="2018-08-31T00:00:00"/>
    <d v="2018-08-31T00:00:00"/>
    <d v="2018-09-04T00:00:00"/>
    <s v="Approved"/>
    <x v="22"/>
    <d v="2018-09-21T00:00:00"/>
    <d v="2018-11-14T00:00:00"/>
    <s v="Reduced"/>
    <n v="2434"/>
    <n v="6.6684931506849319"/>
    <n v="55075.084931506848"/>
    <s v="reduced by 6 years 8 months"/>
    <d v="2019-01-31T00:00:00"/>
  </r>
  <r>
    <x v="6"/>
    <s v="Solorio"/>
    <s v="G18663"/>
    <n v="11621656"/>
    <s v="SVSP-Facility C"/>
    <x v="14"/>
    <s v="SS151723A"/>
    <d v="2123-10-15T00:00:00"/>
    <d v="2018-08-31T00:00:00"/>
    <d v="2018-08-31T00:00:00"/>
    <d v="2018-09-04T00:00:00"/>
    <s v="Approved"/>
    <x v="22"/>
    <d v="2018-09-21T00:00:00"/>
    <d v="2018-11-14T00:00:00"/>
    <s v="Reduced"/>
    <n v="365"/>
    <n v="1"/>
    <n v="8259"/>
    <s v="reduced by 1 year"/>
    <d v="2019-01-16T00:00:00"/>
  </r>
  <r>
    <x v="9"/>
    <s v="Trevino"/>
    <s v="AK5122"/>
    <n v="11276371"/>
    <s v="SATF-Facility G"/>
    <x v="13"/>
    <s v="BF132419A"/>
    <d v="2025-12-10T00:00:00"/>
    <d v="2018-08-01T00:00:00"/>
    <d v="2018-08-14T00:00:00"/>
    <d v="2018-08-22T00:00:00"/>
    <s v="Approved"/>
    <x v="29"/>
    <d v="2019-07-23T00:00:00"/>
    <d v="2019-07-11T00:00:00"/>
    <s v="Reduced"/>
    <n v="1655"/>
    <n v="4.5342465753424657"/>
    <n v="37448.342465753427"/>
    <d v="2019-07-11T00:00:00"/>
    <d v="2019-07-29T00:00:00"/>
  </r>
  <r>
    <x v="6"/>
    <s v="Johnson"/>
    <s v="P64997"/>
    <n v="11880866"/>
    <s v="KVSP-Facility B"/>
    <x v="14"/>
    <s v="SS062133A"/>
    <d v="9999-12-31T00:00:00"/>
    <d v="2018-08-31T00:00:00"/>
    <d v="2018-08-31T00:00:00"/>
    <d v="2018-09-04T00:00:00"/>
    <s v="Approved"/>
    <x v="22"/>
    <d v="2018-09-21T00:00:00"/>
    <d v="2018-11-14T00:00:00"/>
    <s v="Reduced"/>
    <n v="1095"/>
    <n v="3"/>
    <n v="24777"/>
    <d v="2018-11-14T00:00:00"/>
    <d v="2018-12-10T00:00:00"/>
  </r>
  <r>
    <x v="2"/>
    <s v="Fuentes"/>
    <s v="AM3146"/>
    <n v="11302169"/>
    <s v="ASP-Facility A"/>
    <x v="4"/>
    <s v="MF50509"/>
    <d v="2029-06-28T00:00:00"/>
    <d v="2018-06-27T00:00:00"/>
    <d v="2018-06-28T00:00:00"/>
    <d v="2018-07-18T00:00:00"/>
    <s v="Approved"/>
    <x v="28"/>
    <d v="2019-04-03T00:00:00"/>
    <d v="2019-03-13T00:00:00"/>
    <s v="No action - reason provided"/>
    <m/>
    <s v=""/>
    <s v=""/>
    <s v="courts declined to take action "/>
    <d v="2019-04-03T00:00:00"/>
  </r>
  <r>
    <x v="3"/>
    <s v="Moua"/>
    <s v="V08170"/>
    <n v="11962629"/>
    <s v="SCC-Growlersburg Camp"/>
    <x v="4"/>
    <s v="MF36687"/>
    <d v="2021-02-18T00:00:00"/>
    <d v="2018-07-18T00:00:00"/>
    <d v="2018-07-20T00:00:00"/>
    <d v="2018-07-25T00:00:00"/>
    <s v="Approved"/>
    <x v="40"/>
    <d v="2019-04-03T00:00:00"/>
    <d v="2019-03-13T00:00:00"/>
    <s v="No action - reason provided"/>
    <m/>
    <s v=""/>
    <s v=""/>
    <s v="courts declined to take action "/>
    <d v="2019-04-03T00:00:00"/>
  </r>
  <r>
    <x v="6"/>
    <s v="Estrada"/>
    <s v="F98909"/>
    <n v="11609343"/>
    <s v="PBSP-Facility A"/>
    <x v="22"/>
    <s v="JCF29001"/>
    <d v="2025-02-20T00:00:00"/>
    <d v="2018-08-31T00:00:00"/>
    <d v="2018-08-31T00:00:00"/>
    <d v="2018-09-04T00:00:00"/>
    <s v="Approved"/>
    <x v="22"/>
    <d v="2019-01-08T00:00:00"/>
    <d v="2018-10-30T00:00:00"/>
    <s v="Reduced"/>
    <n v="365"/>
    <n v="1"/>
    <n v="8259"/>
    <s v="reduced 1 year"/>
    <d v="2019-01-11T00:00:00"/>
  </r>
  <r>
    <x v="6"/>
    <s v="Flores"/>
    <s v="T07889"/>
    <n v="11905862"/>
    <s v="COR-Facility 03B"/>
    <x v="22"/>
    <s v="JCF18574"/>
    <d v="2024-05-02T00:00:00"/>
    <d v="2018-08-31T00:00:00"/>
    <d v="2018-08-31T00:00:00"/>
    <d v="2018-09-05T00:00:00"/>
    <s v="Approved"/>
    <x v="22"/>
    <m/>
    <m/>
    <m/>
    <m/>
    <s v=""/>
    <s v=""/>
    <m/>
    <m/>
  </r>
  <r>
    <x v="11"/>
    <s v="Camacho"/>
    <s v="T83380"/>
    <n v="11948506"/>
    <s v="SCC-Facility B"/>
    <x v="0"/>
    <s v="BA240074"/>
    <d v="2029-10-29T00:00:00"/>
    <d v="2019-06-26T00:00:00"/>
    <d v="2019-07-02T00:00:00"/>
    <d v="2019-09-04T00:00:00"/>
    <s v="Declined"/>
    <x v="27"/>
    <m/>
    <m/>
    <m/>
    <m/>
    <s v=""/>
    <s v=""/>
    <m/>
    <m/>
  </r>
  <r>
    <x v="6"/>
    <s v="Moreno"/>
    <s v="V65831"/>
    <n v="11996571"/>
    <s v="CAL-Facility B"/>
    <x v="8"/>
    <s v="13CM7429"/>
    <d v="2023-10-13T00:00:00"/>
    <d v="2018-08-31T00:00:00"/>
    <d v="2018-08-31T00:00:00"/>
    <d v="2018-09-05T00:00:00"/>
    <s v="Approved"/>
    <x v="22"/>
    <d v="2018-12-19T00:00:00"/>
    <d v="2018-11-16T00:00:00"/>
    <s v="Reduced"/>
    <n v="121"/>
    <n v="0.33150684931506852"/>
    <n v="2737.9150684931506"/>
    <m/>
    <d v="2018-12-21T00:00:00"/>
  </r>
  <r>
    <x v="6"/>
    <s v="Richard"/>
    <s v="F98513"/>
    <n v="11609073"/>
    <s v="COR-Facility 03C"/>
    <x v="0"/>
    <s v="MA057503"/>
    <d v="2025-01-11T00:00:00"/>
    <d v="2018-08-31T00:00:00"/>
    <d v="2018-08-31T00:00:00"/>
    <d v="2018-09-04T00:00:00"/>
    <s v="Approved"/>
    <x v="22"/>
    <m/>
    <m/>
    <m/>
    <m/>
    <s v=""/>
    <s v=""/>
    <m/>
    <m/>
  </r>
  <r>
    <x v="6"/>
    <s v="Rodriguez"/>
    <s v="T19416"/>
    <n v="11912333"/>
    <s v="CEN-Facility D"/>
    <x v="22"/>
    <s v="JCF25160"/>
    <d v="2024-12-16T00:00:00"/>
    <d v="2018-08-31T00:00:00"/>
    <d v="2018-08-31T00:00:00"/>
    <d v="2018-09-04T00:00:00"/>
    <s v="Approved"/>
    <x v="22"/>
    <d v="2019-01-08T00:00:00"/>
    <d v="2018-10-30T00:00:00"/>
    <s v="Reduced"/>
    <n v="974"/>
    <n v="2.6684931506849314"/>
    <n v="22039.084931506852"/>
    <s v="Reduced 2 years 8 Months"/>
    <d v="2019-01-10T00:00:00"/>
  </r>
  <r>
    <x v="6"/>
    <s v="White"/>
    <s v="P88941"/>
    <n v="11893913"/>
    <s v="CAL-Facility C"/>
    <x v="22"/>
    <s v="CF10177"/>
    <d v="2023-12-27T00:00:00"/>
    <d v="2018-08-31T00:00:00"/>
    <d v="2018-08-31T00:00:00"/>
    <d v="2018-09-05T00:00:00"/>
    <s v="Approved"/>
    <x v="22"/>
    <d v="2019-01-08T00:00:00"/>
    <d v="2018-10-30T00:00:00"/>
    <s v="Reduced"/>
    <n v="487"/>
    <n v="1.3342465753424657"/>
    <n v="11019.542465753426"/>
    <s v="Reduced 1 year 4 months"/>
    <d v="2019-01-10T00:00:00"/>
  </r>
  <r>
    <x v="6"/>
    <s v="Williams"/>
    <s v="H47466"/>
    <n v="11677106"/>
    <s v="FOL-Facility A"/>
    <x v="22"/>
    <s v="CH018005"/>
    <d v="2023-11-25T00:00:00"/>
    <d v="2018-08-31T00:00:00"/>
    <d v="2018-08-31T00:00:00"/>
    <d v="2018-09-05T00:00:00"/>
    <s v="Approved"/>
    <x v="22"/>
    <d v="2019-01-08T00:00:00"/>
    <d v="2018-10-30T00:00:00"/>
    <s v="Reduced"/>
    <n v="243"/>
    <n v="0.66575342465753429"/>
    <n v="5498.4575342465751"/>
    <s v="redcuced 8 months"/>
    <d v="2019-01-11T00:00:00"/>
  </r>
  <r>
    <x v="3"/>
    <s v="Vigil"/>
    <s v="T43082"/>
    <n v="11925573"/>
    <s v="SVSP-Facility B"/>
    <x v="21"/>
    <s v="SF084153A"/>
    <d v="2022-08-22T00:00:00"/>
    <d v="2018-02-05T00:00:00"/>
    <d v="2018-04-12T00:00:00"/>
    <d v="2018-04-12T00:00:00"/>
    <s v="Approved"/>
    <x v="11"/>
    <d v="2019-05-16T00:00:00"/>
    <d v="2019-05-13T00:00:00"/>
    <s v="Reduced"/>
    <n v="1095"/>
    <n v="3"/>
    <n v="24777"/>
    <s v="reduced by 3 years"/>
    <d v="2019-05-16T00:00:00"/>
  </r>
  <r>
    <x v="6"/>
    <s v="Vanderhorst"/>
    <s v="V39436"/>
    <n v="11264359"/>
    <s v="HDSP-Facility C"/>
    <x v="25"/>
    <s v="F453966"/>
    <d v="2022-09-12T00:00:00"/>
    <d v="2018-08-31T00:00:00"/>
    <d v="2018-08-31T00:00:00"/>
    <d v="2018-09-04T00:00:00"/>
    <s v="Approved"/>
    <x v="22"/>
    <d v="2018-12-17T00:00:00"/>
    <d v="2018-12-03T00:00:00"/>
    <s v="Reduced"/>
    <n v="365"/>
    <n v="1"/>
    <n v="8259"/>
    <m/>
    <d v="2018-12-21T00:00:00"/>
  </r>
  <r>
    <x v="6"/>
    <s v="Joy"/>
    <s v="P00918"/>
    <n v="11845794"/>
    <s v="CCI-Facility B"/>
    <x v="10"/>
    <s v="SCS206751"/>
    <d v="2022-08-12T00:00:00"/>
    <d v="2018-08-31T00:00:00"/>
    <d v="2018-08-31T00:00:00"/>
    <d v="2018-09-04T00:00:00"/>
    <s v="Approved"/>
    <x v="22"/>
    <d v="2019-10-30T00:00:00"/>
    <d v="2019-10-16T00:00:00"/>
    <s v="Reduced"/>
    <n v="1461"/>
    <n v="4.0027397260273974"/>
    <n v="33058.627397260272"/>
    <s v="reduced by 4 years"/>
    <d v="2019-10-30T00:00:00"/>
  </r>
  <r>
    <x v="6"/>
    <s v="Williams"/>
    <s v="D87616"/>
    <n v="11492570"/>
    <s v="RJD-Facility C"/>
    <x v="0"/>
    <s v="MA035194-01"/>
    <d v="2022-07-20T00:00:00"/>
    <d v="2018-08-31T00:00:00"/>
    <d v="2018-08-31T00:00:00"/>
    <d v="2018-09-04T00:00:00"/>
    <s v="Approved"/>
    <x v="22"/>
    <d v="2019-05-15T00:00:00"/>
    <d v="2019-05-09T00:00:00"/>
    <s v="Reduced"/>
    <n v="1461"/>
    <n v="4.0027397260273974"/>
    <n v="33058.627397260272"/>
    <s v="reduced by 4 yeas"/>
    <d v="2019-05-16T00:00:00"/>
  </r>
  <r>
    <x v="6"/>
    <s v="Duff"/>
    <s v="G17101"/>
    <n v="11217831"/>
    <s v="COR-Facility 03A"/>
    <x v="26"/>
    <s v="12CR19197-02"/>
    <d v="2022-08-21T00:00:00"/>
    <d v="2018-08-31T00:00:00"/>
    <d v="2018-08-31T00:00:00"/>
    <d v="2018-09-04T00:00:00"/>
    <s v="Approved"/>
    <x v="22"/>
    <d v="2019-04-19T00:00:00"/>
    <d v="2019-04-12T00:00:00"/>
    <s v="Reduced"/>
    <n v="730"/>
    <n v="2"/>
    <n v="16518"/>
    <s v="reduced by 2 years"/>
    <d v="2019-04-19T00:00:00"/>
  </r>
  <r>
    <x v="6"/>
    <s v="Maxwell"/>
    <s v="J75143"/>
    <n v="11761371"/>
    <s v="HDSP-Facility C"/>
    <x v="13"/>
    <s v="MF008926A"/>
    <d v="2022-09-18T00:00:00"/>
    <d v="2018-08-31T00:00:00"/>
    <d v="2018-08-31T00:00:00"/>
    <d v="2018-09-04T00:00:00"/>
    <s v="Approved"/>
    <x v="22"/>
    <d v="2019-04-10T00:00:00"/>
    <d v="2019-02-13T00:00:00"/>
    <s v="Reduced"/>
    <n v="1461"/>
    <n v="4.0027397260273974"/>
    <n v="33058.627397260272"/>
    <s v="reduced by 4 years"/>
    <d v="2019-04-10T00:00:00"/>
  </r>
  <r>
    <x v="6"/>
    <s v="Comaduran"/>
    <s v="K32226"/>
    <n v="11791490"/>
    <s v="SAC-Facility B"/>
    <x v="19"/>
    <s v="09CM7467A"/>
    <d v="2084-12-01T00:00:00"/>
    <d v="2018-08-31T00:00:00"/>
    <d v="2018-08-31T00:00:00"/>
    <d v="2018-09-04T00:00:00"/>
    <s v="Approved"/>
    <x v="22"/>
    <d v="2020-04-08T00:00:00"/>
    <d v="2020-04-02T00:00:00"/>
    <s v="No action - no reason specified"/>
    <m/>
    <s v=""/>
    <s v=""/>
    <m/>
    <d v="2020-04-15T00:00:00"/>
  </r>
  <r>
    <x v="6"/>
    <s v="Vasquez"/>
    <s v="D18168"/>
    <n v="11458751"/>
    <s v="KVSP-Facility D"/>
    <x v="22"/>
    <s v="JCF25555"/>
    <d v="2086-07-08T00:00:00"/>
    <d v="2018-08-31T00:00:00"/>
    <d v="2018-08-31T00:00:00"/>
    <d v="2018-09-04T00:00:00"/>
    <s v="Approved"/>
    <x v="22"/>
    <d v="2019-01-08T00:00:00"/>
    <d v="2018-10-30T00:00:00"/>
    <s v="Reduced"/>
    <n v="365"/>
    <n v="1"/>
    <n v="8259"/>
    <s v="Reduced 1 year"/>
    <d v="2019-01-10T00:00:00"/>
  </r>
  <r>
    <x v="3"/>
    <s v="Palomares"/>
    <s v="BE1896"/>
    <n v="12178058"/>
    <s v="CCC-Facility C"/>
    <x v="4"/>
    <s v="CRM03616C"/>
    <d v="2031-01-15T00:00:00"/>
    <d v="2018-07-25T00:00:00"/>
    <d v="2018-07-25T00:00:00"/>
    <d v="2018-08-07T00:00:00"/>
    <s v="Approved"/>
    <x v="42"/>
    <d v="2019-04-03T00:00:00"/>
    <d v="2019-03-13T00:00:00"/>
    <s v="No action - reason provided"/>
    <m/>
    <s v=""/>
    <s v=""/>
    <s v="courts declined to take action "/>
    <d v="2019-04-03T00:00:00"/>
  </r>
  <r>
    <x v="6"/>
    <s v="Baxter"/>
    <s v="T69456"/>
    <n v="11271029"/>
    <s v="PBSP-Facility B"/>
    <x v="13"/>
    <s v="DF011983B"/>
    <d v="2118-01-02T00:00:00"/>
    <d v="2018-08-31T00:00:00"/>
    <d v="2018-08-31T00:00:00"/>
    <d v="2018-09-04T00:00:00"/>
    <s v="Approved"/>
    <x v="22"/>
    <m/>
    <m/>
    <m/>
    <m/>
    <s v=""/>
    <s v=""/>
    <s v="Denied per Judge Bush of Kern County/Requested Legal Documents"/>
    <m/>
  </r>
  <r>
    <x v="6"/>
    <s v="Iniguez"/>
    <s v="F01535"/>
    <n v="11192033"/>
    <s v="KVSP-Facility B"/>
    <x v="22"/>
    <s v="JCF36615"/>
    <d v="2134-03-01T00:00:00"/>
    <d v="2018-08-31T00:00:00"/>
    <d v="2018-08-31T00:00:00"/>
    <d v="2018-09-04T00:00:00"/>
    <s v="Approved"/>
    <x v="22"/>
    <d v="2019-01-08T00:00:00"/>
    <d v="2018-10-30T00:00:00"/>
    <s v="Reduced"/>
    <n v="365"/>
    <n v="1"/>
    <n v="8259"/>
    <s v="Reduced 1 year"/>
    <d v="2019-01-10T00:00:00"/>
  </r>
  <r>
    <x v="6"/>
    <s v="Talavera"/>
    <s v="AS2327"/>
    <n v="12106954"/>
    <s v="COR-Facility 03C"/>
    <x v="19"/>
    <s v=" 16CM3756"/>
    <d v="2020-04-07T00:00:00"/>
    <d v="2018-05-23T00:00:00"/>
    <d v="2018-05-30T00:00:00"/>
    <d v="2018-05-30T00:00:00"/>
    <s v="Approved"/>
    <x v="30"/>
    <d v="2018-06-28T00:00:00"/>
    <d v="2019-06-17T00:00:00"/>
    <s v="Reduced"/>
    <n v="730"/>
    <n v="2"/>
    <n v="16518"/>
    <s v="reduced by 2 years"/>
    <d v="2019-06-28T00:00:00"/>
  </r>
  <r>
    <x v="6"/>
    <s v="Rodriguez"/>
    <s v="J73568"/>
    <n v="11760519"/>
    <s v="KVSP-Facility A"/>
    <x v="19"/>
    <s v="09CM7562B"/>
    <d v="9999-12-31T00:00:00"/>
    <d v="2018-08-31T00:00:00"/>
    <d v="2018-08-31T00:00:00"/>
    <d v="2018-09-04T00:00:00"/>
    <s v="Approved"/>
    <x v="22"/>
    <d v="2020-05-04T00:00:00"/>
    <d v="2020-04-20T00:00:00"/>
    <s v="No action - no reason specified"/>
    <m/>
    <s v=""/>
    <s v=""/>
    <m/>
    <d v="2020-05-04T00:00:00"/>
  </r>
  <r>
    <x v="6"/>
    <s v="Morales"/>
    <s v="K87662"/>
    <n v="11821349"/>
    <s v="SAC-Facility B"/>
    <x v="1"/>
    <s v="FCR180027"/>
    <d v="9999-12-31T00:00:00"/>
    <d v="2018-08-31T00:00:00"/>
    <d v="2018-08-31T00:00:00"/>
    <d v="2018-09-04T00:00:00"/>
    <s v="Approved"/>
    <x v="22"/>
    <d v="2019-03-12T00:00:00"/>
    <d v="2018-10-17T00:00:00"/>
    <s v="Reduced"/>
    <n v="1095"/>
    <n v="3"/>
    <n v="24777"/>
    <s v="reduced by 3 years "/>
    <d v="2019-03-12T00:00:00"/>
  </r>
  <r>
    <x v="6"/>
    <s v="McCoy"/>
    <s v="P42455"/>
    <n v="11868594"/>
    <s v="SVSP-Facility D"/>
    <x v="25"/>
    <s v="15F-01735"/>
    <d v="9999-12-31T00:00:00"/>
    <d v="2018-08-31T00:00:00"/>
    <d v="2018-08-31T00:00:00"/>
    <d v="2018-09-04T00:00:00"/>
    <s v="Approved"/>
    <x v="22"/>
    <d v="2018-12-17T00:00:00"/>
    <d v="2018-12-05T00:00:00"/>
    <s v="Reduced"/>
    <n v="730"/>
    <n v="2"/>
    <n v="16518"/>
    <m/>
    <d v="2018-12-21T00:00:00"/>
  </r>
  <r>
    <x v="6"/>
    <s v="Gutirrez"/>
    <s v="T64056"/>
    <n v="11937272"/>
    <s v="CEN-Facility B"/>
    <x v="22"/>
    <s v="JCF33850"/>
    <d v="9999-12-31T00:00:00"/>
    <d v="2018-08-31T00:00:00"/>
    <d v="2018-08-31T00:00:00"/>
    <d v="2018-09-04T00:00:00"/>
    <s v="Approved"/>
    <x v="22"/>
    <d v="2019-01-08T00:00:00"/>
    <d v="2018-10-30T00:00:00"/>
    <s v="Reduced"/>
    <n v="365"/>
    <n v="1"/>
    <n v="8259"/>
    <s v="reduced 1 yeaar"/>
    <d v="2019-01-10T00:00:00"/>
  </r>
  <r>
    <x v="7"/>
    <s v="Gaffeney"/>
    <s v="P41264"/>
    <n v="11083572"/>
    <s v="CTF- Facility C"/>
    <x v="13"/>
    <s v="SCO76281"/>
    <d v="2045-06-25T00:00:00"/>
    <d v="2019-06-18T00:00:00"/>
    <d v="2019-07-05T00:00:00"/>
    <d v="2019-07-05T00:00:00"/>
    <s v="Approved"/>
    <x v="79"/>
    <d v="2020-10-29T00:00:00"/>
    <d v="2020-01-15T00:00:00"/>
    <s v="Released"/>
    <n v="1191"/>
    <n v="3.2630136986301368"/>
    <n v="26949.230136986302"/>
    <s v="Released 10/9/2020"/>
    <d v="2020-10-30T00:00:00"/>
  </r>
  <r>
    <x v="6"/>
    <s v="Patterson"/>
    <s v="T06267"/>
    <n v="11188629"/>
    <s v="SVSP-Facility C"/>
    <x v="13"/>
    <s v="DF012374A"/>
    <d v="9999-12-31T00:00:00"/>
    <d v="2018-08-31T00:00:00"/>
    <d v="2018-08-31T00:00:00"/>
    <d v="2018-09-04T00:00:00"/>
    <s v="Approved"/>
    <x v="22"/>
    <d v="2019-06-27T00:00:00"/>
    <d v="2019-06-17T00:00:00"/>
    <s v="Reduced"/>
    <n v="365"/>
    <n v="1"/>
    <n v="8259"/>
    <s v="reduced by 1 year"/>
    <d v="2019-06-27T00:00:00"/>
  </r>
  <r>
    <x v="5"/>
    <s v="Lopez"/>
    <s v="AA3108"/>
    <n v="11323277"/>
    <s v="COR-Facility 03C"/>
    <x v="18"/>
    <n v="50506287"/>
    <d v="2047-05-18T00:00:00"/>
    <d v="2018-07-18T00:00:00"/>
    <d v="2018-07-20T00:00:00"/>
    <d v="2018-08-01T00:00:00"/>
    <s v="Approved"/>
    <x v="38"/>
    <d v="2019-09-10T00:00:00"/>
    <d v="2019-08-23T00:00:00"/>
    <s v="Reduced"/>
    <n v="5478"/>
    <n v="15.008219178082191"/>
    <n v="123952.88219178082"/>
    <s v="reduced by 15 years"/>
    <d v="2019-09-10T00:00:00"/>
  </r>
  <r>
    <x v="2"/>
    <s v="Franklin"/>
    <s v="AM8766"/>
    <n v="11305789"/>
    <s v="PBSP-Facility A"/>
    <x v="0"/>
    <s v="BA455291"/>
    <d v="2041-03-22T00:00:00"/>
    <d v="2018-09-04T00:00:00"/>
    <d v="2018-08-04T00:00:00"/>
    <d v="2018-09-19T00:00:00"/>
    <s v="Approved"/>
    <x v="45"/>
    <d v="2018-11-26T00:00:00"/>
    <d v="2018-11-16T00:00:00"/>
    <s v="Reduced"/>
    <n v="1095"/>
    <n v="3"/>
    <n v="24777"/>
    <s v="reduced  3 years"/>
    <d v="2018-11-29T00:00:00"/>
  </r>
  <r>
    <x v="2"/>
    <s v="Gonzalez"/>
    <s v="AG5964"/>
    <n v="11362547"/>
    <s v="CEN-Facility C"/>
    <x v="0"/>
    <s v="BA354035-04"/>
    <d v="2026-10-03T00:00:00"/>
    <d v="2018-09-04T00:00:00"/>
    <d v="2018-09-04T00:00:00"/>
    <d v="2018-09-19T00:00:00"/>
    <s v="Approved"/>
    <x v="45"/>
    <d v="2018-10-26T00:00:00"/>
    <d v="2018-10-22T00:00:00"/>
    <s v="Reduced"/>
    <n v="1095"/>
    <n v="3"/>
    <n v="24777"/>
    <s v="reduced  3 years"/>
    <d v="2018-11-01T00:00:00"/>
  </r>
  <r>
    <x v="2"/>
    <s v="Calderon"/>
    <s v="AE5115"/>
    <n v="11349762"/>
    <s v="SAC-Facility C"/>
    <x v="24"/>
    <n v="1414957"/>
    <d v="2024-09-01T00:00:00"/>
    <d v="2018-09-04T00:00:00"/>
    <d v="2018-09-04T00:00:00"/>
    <d v="2018-09-12T00:00:00"/>
    <s v="Approved"/>
    <x v="43"/>
    <d v="2018-11-02T00:00:00"/>
    <d v="2018-10-24T00:00:00"/>
    <s v="Reduced"/>
    <n v="1095"/>
    <n v="3"/>
    <n v="24777"/>
    <s v="reduced 3 years"/>
    <d v="2018-11-09T00:00:00"/>
  </r>
  <r>
    <x v="2"/>
    <s v="Jacobs"/>
    <s v="AL2435"/>
    <n v="11281621"/>
    <s v="SATF-Facility C"/>
    <x v="13"/>
    <s v="BF161419A"/>
    <d v="2054-06-02T00:00:00"/>
    <d v="2018-09-04T00:00:00"/>
    <d v="2018-09-04T00:00:00"/>
    <d v="2018-09-12T00:00:00"/>
    <s v="Approved"/>
    <x v="43"/>
    <d v="2018-10-18T00:00:00"/>
    <d v="2018-10-02T00:00:00"/>
    <s v="Reduced"/>
    <n v="1095"/>
    <n v="3"/>
    <n v="24777"/>
    <s v="reduced 3 years"/>
    <d v="2018-10-22T00:00:00"/>
  </r>
  <r>
    <x v="2"/>
    <s v="Viera"/>
    <s v="AG5980"/>
    <n v="11362558"/>
    <s v="SVSP-Facility C"/>
    <x v="0"/>
    <s v="BA354035-03"/>
    <d v="2027-11-26T00:00:00"/>
    <d v="2018-09-04T00:00:00"/>
    <d v="2018-09-04T00:00:00"/>
    <d v="2018-09-19T00:00:00"/>
    <s v="Approved"/>
    <x v="45"/>
    <d v="2018-10-26T00:00:00"/>
    <d v="2018-10-09T00:00:00"/>
    <s v="Reduced"/>
    <n v="1095"/>
    <n v="3"/>
    <n v="24777"/>
    <s v="reduced 3 years"/>
    <d v="2018-11-05T00:00:00"/>
  </r>
  <r>
    <x v="2"/>
    <s v="Ponce-Velasco"/>
    <s v="AW4477"/>
    <n v="12131331"/>
    <s v="CCI-Facility B"/>
    <x v="4"/>
    <s v="CRM023652A"/>
    <d v="2023-11-14T00:00:00"/>
    <d v="2018-08-20T00:00:00"/>
    <d v="2018-08-21T00:00:00"/>
    <d v="2018-08-22T00:00:00"/>
    <s v="Approved"/>
    <x v="29"/>
    <d v="2019-04-03T00:00:00"/>
    <d v="2019-03-13T00:00:00"/>
    <s v="No action - reason provided"/>
    <m/>
    <s v=""/>
    <s v=""/>
    <s v="courts declined to take action "/>
    <d v="2019-04-03T00:00:00"/>
  </r>
  <r>
    <x v="2"/>
    <s v="Tuggle"/>
    <s v="AU4738"/>
    <n v="12119804"/>
    <s v="COR-Facility 03C"/>
    <x v="4"/>
    <s v="CRM025784"/>
    <d v="2028-10-02T00:00:00"/>
    <d v="2018-08-21T00:00:00"/>
    <d v="2018-08-21T00:00:00"/>
    <d v="2018-08-22T00:00:00"/>
    <s v="Approved"/>
    <x v="29"/>
    <d v="2019-04-03T00:00:00"/>
    <d v="2019-03-13T00:00:00"/>
    <s v="No action - reason provided"/>
    <m/>
    <s v=""/>
    <s v=""/>
    <s v="courts declined to take action "/>
    <d v="2019-04-03T00:00:00"/>
  </r>
  <r>
    <x v="8"/>
    <s v="Cathalifaud"/>
    <s v="AZ0470"/>
    <n v="12146809"/>
    <s v="SATF-Facility F"/>
    <x v="17"/>
    <s v="15F02607"/>
    <d v="2023-06-07T00:00:00"/>
    <d v="2018-08-01T00:00:00"/>
    <d v="2018-08-14T00:00:00"/>
    <d v="2018-08-15T00:00:00"/>
    <s v="Approved"/>
    <x v="17"/>
    <d v="2018-09-14T00:00:00"/>
    <d v="2019-03-15T00:00:00"/>
    <s v="No action - reason provided"/>
    <m/>
    <s v=""/>
    <s v=""/>
    <s v="no 311.11"/>
    <d v="2018-09-17T00:00:00"/>
  </r>
  <r>
    <x v="1"/>
    <s v="Garcia"/>
    <s v="WA8097"/>
    <n v="10262488"/>
    <s v="CCWF"/>
    <x v="9"/>
    <s v="FVA900652"/>
    <d v="2022-02-05T00:00:00"/>
    <d v="2018-11-13T00:00:00"/>
    <d v="2018-10-30T00:00:00"/>
    <d v="2018-11-06T00:00:00"/>
    <s v="Approved"/>
    <x v="1"/>
    <d v="2019-03-27T00:00:00"/>
    <d v="2019-03-15T00:00:00"/>
    <s v="No action - no reason specified"/>
    <m/>
    <s v=""/>
    <s v=""/>
    <m/>
    <d v="2019-03-27T00:00:00"/>
  </r>
  <r>
    <x v="2"/>
    <s v="Diaz"/>
    <s v="G30375"/>
    <n v="11628978"/>
    <s v="CTF-Facility A"/>
    <x v="14"/>
    <s v="SS072156A"/>
    <d v="2023-10-12T00:00:00"/>
    <d v="2018-06-21T00:00:00"/>
    <d v="2018-06-21T00:00:00"/>
    <d v="2018-07-02T00:00:00"/>
    <s v="Approved"/>
    <x v="18"/>
    <d v="2019-03-28T00:00:00"/>
    <d v="2019-03-20T00:00:00"/>
    <s v="No action - due to plea"/>
    <m/>
    <s v=""/>
    <s v=""/>
    <m/>
    <d v="2019-03-28T00:00:00"/>
  </r>
  <r>
    <x v="6"/>
    <s v="Diaz"/>
    <s v="P76834"/>
    <n v="11887346"/>
    <s v="COCF-La Palma CC"/>
    <x v="22"/>
    <s v="JCF16608"/>
    <d v="2024-05-02T00:00:00"/>
    <d v="2018-08-31T00:00:00"/>
    <d v="2018-08-31T00:00:00"/>
    <d v="2018-09-05T00:00:00"/>
    <s v="Approved"/>
    <x v="22"/>
    <d v="2019-03-22T00:00:00"/>
    <d v="2019-03-21T00:00:00"/>
    <s v="No action - no reason specified"/>
    <m/>
    <s v=""/>
    <s v=""/>
    <m/>
    <d v="2019-03-22T00:00:00"/>
  </r>
  <r>
    <x v="1"/>
    <s v="Agustin"/>
    <s v="F02872"/>
    <n v="11550582"/>
    <s v="CEN - Facility D"/>
    <x v="0"/>
    <s v="PA060354"/>
    <d v="2036-09-30T00:00:00"/>
    <d v="2020-08-18T00:00:00"/>
    <d v="2020-09-04T00:00:00"/>
    <d v="2020-09-08T00:00:00"/>
    <s v="Approved"/>
    <x v="71"/>
    <m/>
    <m/>
    <m/>
    <m/>
    <s v=""/>
    <s v=""/>
    <m/>
    <m/>
  </r>
  <r>
    <x v="1"/>
    <s v="Alderette"/>
    <s v="AS3929"/>
    <n v="12107915"/>
    <s v="SCC - Facility A"/>
    <x v="21"/>
    <s v="SF118089"/>
    <d v="2022-10-26T00:00:00"/>
    <d v="2021-02-17T00:00:00"/>
    <d v="2021-02-17T00:00:00"/>
    <d v="2021-02-17T00:00:00"/>
    <s v="Approved"/>
    <x v="80"/>
    <m/>
    <m/>
    <m/>
    <m/>
    <s v=""/>
    <s v=""/>
    <m/>
    <m/>
  </r>
  <r>
    <x v="2"/>
    <s v="Blyleven"/>
    <s v="X04795"/>
    <n v="11017012"/>
    <s v="CCWF-Facility D"/>
    <x v="0"/>
    <s v="PA058162-01"/>
    <d v="2026-09-05T00:00:00"/>
    <d v="2018-09-04T00:00:00"/>
    <d v="2018-09-04T00:00:00"/>
    <d v="2018-09-19T00:00:00"/>
    <s v="Approved"/>
    <x v="45"/>
    <m/>
    <m/>
    <m/>
    <m/>
    <s v=""/>
    <s v=""/>
    <m/>
    <m/>
  </r>
  <r>
    <x v="2"/>
    <s v="Ramos"/>
    <s v="AD7192"/>
    <n v="11344866"/>
    <s v="SATF-Facility B"/>
    <x v="8"/>
    <s v="RIF135607"/>
    <d v="2022-02-12T00:00:00"/>
    <d v="2018-09-04T00:00:00"/>
    <d v="2018-09-04T00:00:00"/>
    <d v="2018-09-12T00:00:00"/>
    <s v="Approved"/>
    <x v="43"/>
    <d v="2019-03-29T00:00:00"/>
    <d v="2019-03-29T00:00:00"/>
    <s v="No action - reason provided"/>
    <m/>
    <s v=""/>
    <s v=""/>
    <s v="was not sentenced under 186.22 (b)(1)( c ) but  186.22 (b)(1)(b) "/>
    <d v="2019-04-09T00:00:00"/>
  </r>
  <r>
    <x v="2"/>
    <s v="Garcia"/>
    <s v="AF3648"/>
    <n v="11064361"/>
    <s v="CVSP-Facility C"/>
    <x v="0"/>
    <s v="BA354566-01"/>
    <d v="2029-11-21T00:00:00"/>
    <d v="2018-09-04T00:00:00"/>
    <d v="2018-09-04T00:00:00"/>
    <d v="2018-09-19T00:00:00"/>
    <s v="Approved"/>
    <x v="45"/>
    <d v="2018-12-26T00:00:00"/>
    <d v="2018-12-11T00:00:00"/>
    <s v="Reduced"/>
    <n v="1095"/>
    <n v="3"/>
    <n v="24777"/>
    <m/>
    <d v="2018-12-26T00:00:00"/>
  </r>
  <r>
    <x v="2"/>
    <s v="Wu"/>
    <s v="AM6310"/>
    <n v="11304336"/>
    <s v="PUMCCF-Delano"/>
    <x v="0"/>
    <s v="GA081789-03"/>
    <d v="2024-02-14T00:00:00"/>
    <d v="2018-09-04T00:00:00"/>
    <d v="2018-09-04T00:00:00"/>
    <d v="2018-10-03T00:00:00"/>
    <s v="Approved"/>
    <x v="52"/>
    <d v="2019-07-01T00:00:00"/>
    <d v="2019-06-21T00:00:00"/>
    <s v="Reduced"/>
    <n v="548"/>
    <n v="1.5013698630136987"/>
    <n v="12399.813698630138"/>
    <m/>
    <d v="2019-07-25T00:00:00"/>
  </r>
  <r>
    <x v="2"/>
    <s v="Godino"/>
    <s v="T53287"/>
    <n v="11230671"/>
    <s v="SATF-Facility C"/>
    <x v="0"/>
    <s v="GA045979-01"/>
    <d v="2074-08-10T00:00:00"/>
    <d v="2018-09-04T00:00:00"/>
    <d v="2018-09-04T00:00:00"/>
    <d v="2018-09-19T00:00:00"/>
    <s v="Approved"/>
    <x v="45"/>
    <d v="2018-12-12T00:00:00"/>
    <d v="2018-11-26T00:00:00"/>
    <s v="Reduced"/>
    <n v="1095"/>
    <n v="3"/>
    <n v="24777"/>
    <m/>
    <d v="2018-12-18T00:00:00"/>
  </r>
  <r>
    <x v="2"/>
    <s v="Escalona"/>
    <s v="AL9087"/>
    <n v="11299576"/>
    <s v="CAL-Facility C"/>
    <x v="0"/>
    <s v="10SF0012"/>
    <d v="2024-11-02T00:00:00"/>
    <d v="2018-09-04T00:00:00"/>
    <d v="2018-09-04T00:00:00"/>
    <d v="2018-09-12T00:00:00"/>
    <s v="Approved"/>
    <x v="43"/>
    <m/>
    <m/>
    <m/>
    <m/>
    <s v=""/>
    <s v=""/>
    <m/>
    <m/>
  </r>
  <r>
    <x v="2"/>
    <s v="Azevedo"/>
    <s v="AV3960"/>
    <n v="11354703"/>
    <s v="LAC-Facility C"/>
    <x v="2"/>
    <s v="14NF3728"/>
    <d v="2030-12-01T00:00:00"/>
    <d v="2018-09-04T00:00:00"/>
    <d v="2018-09-04T00:00:00"/>
    <d v="2018-09-12T00:00:00"/>
    <s v="Approved"/>
    <x v="43"/>
    <m/>
    <m/>
    <m/>
    <m/>
    <s v=""/>
    <s v=""/>
    <m/>
    <m/>
  </r>
  <r>
    <x v="1"/>
    <s v="Melendez"/>
    <s v="AK2360"/>
    <n v="11043110"/>
    <s v="SOL"/>
    <x v="12"/>
    <s v="EE907212"/>
    <d v="2022-08-20T00:00:00"/>
    <d v="2018-10-30T00:00:00"/>
    <d v="2018-10-30T00:00:00"/>
    <d v="2018-11-06T00:00:00"/>
    <s v="Approved"/>
    <x v="1"/>
    <d v="2019-04-18T00:00:00"/>
    <d v="2019-03-29T00:00:00"/>
    <s v="No action - no reason specified"/>
    <m/>
    <s v=""/>
    <s v=""/>
    <m/>
    <d v="2019-04-18T00:00:00"/>
  </r>
  <r>
    <x v="2"/>
    <s v="Roa"/>
    <s v="AF4889"/>
    <n v="11064801"/>
    <s v="KVSP-Facility A"/>
    <x v="2"/>
    <s v="08WF3542"/>
    <d v="2048-02-29T00:00:00"/>
    <d v="2018-09-04T00:00:00"/>
    <d v="2018-09-04T00:00:00"/>
    <d v="2018-09-12T00:00:00"/>
    <s v="Approved"/>
    <x v="3"/>
    <m/>
    <m/>
    <m/>
    <m/>
    <s v=""/>
    <s v=""/>
    <m/>
    <m/>
  </r>
  <r>
    <x v="6"/>
    <s v="Flores"/>
    <s v="P57034"/>
    <n v="11876559"/>
    <s v="CCI-Facility A"/>
    <x v="13"/>
    <s v="DF012037A"/>
    <d v="2105-12-01T00:00:00"/>
    <d v="2018-08-31T00:00:00"/>
    <d v="2018-08-31T00:00:00"/>
    <d v="2018-09-04T00:00:00"/>
    <s v="Approved"/>
    <x v="22"/>
    <d v="2019-04-19T00:00:00"/>
    <d v="2019-04-15T00:00:00"/>
    <s v="No action - reason provided"/>
    <m/>
    <s v=""/>
    <s v=""/>
    <s v="Judge declines to resentence"/>
    <d v="2019-04-24T00:00:00"/>
  </r>
  <r>
    <x v="7"/>
    <s v="Alexander"/>
    <s v="E50534"/>
    <s v="00E50534"/>
    <s v="CMC-Facility G"/>
    <x v="0"/>
    <s v="VA052958"/>
    <d v="2021-08-22T00:00:00"/>
    <d v="2019-02-07T00:00:00"/>
    <d v="2019-02-20T00:00:00"/>
    <d v="2019-02-20T00:00:00"/>
    <s v="Approved"/>
    <x v="81"/>
    <d v="2019-04-30T00:00:00"/>
    <d v="2019-04-15T00:00:00"/>
    <s v="No action - no reason specified"/>
    <m/>
    <s v=""/>
    <s v=""/>
    <m/>
    <d v="2019-05-16T00:00:00"/>
  </r>
  <r>
    <x v="7"/>
    <s v="Cotton"/>
    <s v="W60911"/>
    <n v="10252919"/>
    <s v="CIW-Facility A"/>
    <x v="3"/>
    <s v="623083-3"/>
    <d v="2026-01-13T00:00:00"/>
    <d v="2019-03-14T00:00:00"/>
    <d v="2019-03-21T00:00:00"/>
    <d v="2019-03-21T00:00:00"/>
    <s v="Approved"/>
    <x v="82"/>
    <d v="2019-06-03T00:00:00"/>
    <d v="2019-04-16T00:00:00"/>
    <s v="No action - no reason specified"/>
    <m/>
    <s v=""/>
    <s v=""/>
    <m/>
    <d v="2019-06-05T00:00:00"/>
  </r>
  <r>
    <x v="2"/>
    <s v="Adams"/>
    <s v="AE9384"/>
    <n v="11352422"/>
    <s v="MCSP-Facility A"/>
    <x v="8"/>
    <s v="RIF153181"/>
    <d v="2039-06-24T00:00:00"/>
    <d v="2018-09-04T00:00:00"/>
    <d v="2018-09-04T00:00:00"/>
    <d v="2018-09-12T00:00:00"/>
    <s v="Approved"/>
    <x v="43"/>
    <m/>
    <m/>
    <m/>
    <m/>
    <s v=""/>
    <s v=""/>
    <m/>
    <m/>
  </r>
  <r>
    <x v="2"/>
    <s v="Nissen"/>
    <s v="T58362"/>
    <n v="11266968"/>
    <s v="SATF-Facility C"/>
    <x v="10"/>
    <s v="SCS165116"/>
    <d v="2028-07-29T00:00:00"/>
    <d v="2018-09-04T00:00:00"/>
    <d v="2018-09-04T00:00:00"/>
    <d v="2018-09-12T00:00:00"/>
    <s v="Approved"/>
    <x v="3"/>
    <d v="2019-05-01T00:00:00"/>
    <d v="2019-04-11T00:00:00"/>
    <s v="Reduced"/>
    <n v="1095"/>
    <n v="3"/>
    <n v="24777"/>
    <s v="reduced by 3 years"/>
    <d v="2019-05-01T00:00:00"/>
  </r>
  <r>
    <x v="2"/>
    <s v="Martinez"/>
    <s v="AD9683"/>
    <n v="11346461"/>
    <s v="HDSP-Facility D"/>
    <x v="10"/>
    <s v="SCD223098"/>
    <d v="2025-10-28T00:00:00"/>
    <d v="2018-09-04T00:00:00"/>
    <d v="2018-09-04T00:00:00"/>
    <d v="2018-09-12T00:00:00"/>
    <s v="Approved"/>
    <x v="43"/>
    <d v="2019-03-12T00:00:00"/>
    <d v="2019-03-06T00:00:00"/>
    <s v="Reduced"/>
    <n v="1095"/>
    <n v="3"/>
    <n v="24777"/>
    <s v="reduced by 3 years"/>
    <d v="2019-03-12T00:00:00"/>
  </r>
  <r>
    <x v="2"/>
    <s v="Brown"/>
    <s v="AL4192"/>
    <n v="11296122"/>
    <s v="CAL- AD SEG"/>
    <x v="17"/>
    <s v="06F00314"/>
    <d v="9999-12-31T00:00:00"/>
    <d v="2018-09-04T00:00:00"/>
    <d v="2018-09-04T00:00:00"/>
    <d v="2018-09-12T00:00:00"/>
    <s v="Approved"/>
    <x v="3"/>
    <m/>
    <m/>
    <m/>
    <m/>
    <s v=""/>
    <s v=""/>
    <m/>
    <m/>
  </r>
  <r>
    <x v="2"/>
    <s v="Corona"/>
    <s v="F34366"/>
    <n v="11199639"/>
    <s v="MCSP-Facility B"/>
    <x v="6"/>
    <s v="CR F 03-489"/>
    <d v="2120-06-05T00:00:00"/>
    <d v="2018-09-04T00:00:00"/>
    <d v="2018-09-04T00:00:00"/>
    <d v="2018-09-12T00:00:00"/>
    <s v="Approved"/>
    <x v="43"/>
    <d v="2019-04-09T00:00:00"/>
    <d v="2019-03-28T00:00:00"/>
    <s v="Reduced"/>
    <n v="2191"/>
    <n v="6.0027397260273974"/>
    <n v="49576.627397260272"/>
    <s v="reduced by 6 years "/>
    <d v="2019-04-10T00:00:00"/>
  </r>
  <r>
    <x v="2"/>
    <s v="Nava"/>
    <s v="AL5765"/>
    <n v="11297279"/>
    <s v="FOL-Facility A"/>
    <x v="0"/>
    <s v="BA407175-03"/>
    <d v="2020-10-03T00:00:00"/>
    <d v="2018-09-04T00:00:00"/>
    <d v="2018-09-04T00:00:00"/>
    <d v="2018-09-19T00:00:00"/>
    <s v="Approved"/>
    <x v="45"/>
    <m/>
    <m/>
    <m/>
    <m/>
    <s v=""/>
    <s v=""/>
    <m/>
    <m/>
  </r>
  <r>
    <x v="2"/>
    <s v="Perez"/>
    <s v="AG0813"/>
    <n v="11359404"/>
    <s v="KVSP-Facility D"/>
    <x v="8"/>
    <s v="INF065586"/>
    <d v="2023-07-21T00:00:00"/>
    <d v="2018-09-04T00:00:00"/>
    <d v="2018-09-04T00:00:00"/>
    <d v="2018-09-19T00:00:00"/>
    <s v="Approved"/>
    <x v="45"/>
    <d v="2019-01-02T00:00:00"/>
    <d v="2018-12-18T00:00:00"/>
    <s v="Reduced"/>
    <n v="365"/>
    <n v="1"/>
    <n v="8259"/>
    <s v="PC  12022.5 was stayed, not the 12022.7 per in Re Gonzalez"/>
    <d v="2019-01-02T00:00:00"/>
  </r>
  <r>
    <x v="2"/>
    <s v="Nguyen"/>
    <s v="AH4265"/>
    <n v="11367644"/>
    <s v="RJD-Facility D"/>
    <x v="2"/>
    <s v="97WF1452"/>
    <d v="9999-12-31T00:00:00"/>
    <d v="2018-09-05T00:00:00"/>
    <d v="2018-09-05T00:00:00"/>
    <d v="2018-09-26T00:00:00"/>
    <s v="Approved"/>
    <x v="46"/>
    <d v="2019-05-23T00:00:00"/>
    <d v="2019-04-18T00:00:00"/>
    <s v="No action - due to plea"/>
    <m/>
    <s v=""/>
    <s v=""/>
    <m/>
    <d v="2019-05-23T00:00:00"/>
  </r>
  <r>
    <x v="2"/>
    <s v="Rivas"/>
    <s v="AK9268"/>
    <n v="11279530"/>
    <s v="KVSP-Facility C"/>
    <x v="0"/>
    <s v="BA388327-01"/>
    <d v="2029-02-26T00:00:00"/>
    <d v="2018-09-04T00:00:00"/>
    <d v="2018-09-04T00:00:00"/>
    <d v="2018-09-19T00:00:00"/>
    <s v="Approved"/>
    <x v="45"/>
    <m/>
    <m/>
    <m/>
    <m/>
    <s v=""/>
    <s v=""/>
    <m/>
    <m/>
  </r>
  <r>
    <x v="2"/>
    <s v="Sanchez"/>
    <s v="AL3837"/>
    <n v="11295841"/>
    <s v="COR-Facility 04A"/>
    <x v="0"/>
    <s v="GA079277-05"/>
    <d v="2060-09-10T00:00:00"/>
    <d v="2018-09-04T00:00:00"/>
    <d v="2018-09-04T00:00:00"/>
    <d v="2018-09-26T00:00:00"/>
    <s v="Approved"/>
    <x v="46"/>
    <m/>
    <m/>
    <m/>
    <m/>
    <s v=""/>
    <s v=""/>
    <m/>
    <m/>
  </r>
  <r>
    <x v="2"/>
    <s v="Sheeley"/>
    <s v="X23712"/>
    <n v="11029337"/>
    <s v="CCWF-Facility D"/>
    <x v="0"/>
    <s v="PA052227-04"/>
    <d v="2029-02-28T00:00:00"/>
    <d v="2018-09-04T00:00:00"/>
    <d v="2018-09-04T00:00:00"/>
    <d v="2018-09-19T00:00:00"/>
    <s v="Approved"/>
    <x v="45"/>
    <m/>
    <m/>
    <m/>
    <m/>
    <s v=""/>
    <s v=""/>
    <m/>
    <m/>
  </r>
  <r>
    <x v="2"/>
    <s v="Yun"/>
    <s v="AI3812"/>
    <n v="11074880"/>
    <s v="PBSP-Facility B"/>
    <x v="0"/>
    <s v="GA078803-01"/>
    <d v="2034-08-13T00:00:00"/>
    <d v="2018-09-04T00:00:00"/>
    <d v="2018-09-04T00:00:00"/>
    <d v="2018-09-19T00:00:00"/>
    <s v="Approved"/>
    <x v="45"/>
    <m/>
    <m/>
    <m/>
    <m/>
    <s v=""/>
    <s v=""/>
    <m/>
    <m/>
  </r>
  <r>
    <x v="2"/>
    <s v="Delgado"/>
    <s v="F14206"/>
    <n v="11557387"/>
    <s v="CEN-Facility C"/>
    <x v="2"/>
    <s v="04WF1875"/>
    <d v="2022-07-22T00:00:00"/>
    <d v="2018-09-05T00:00:00"/>
    <d v="2018-09-05T00:00:00"/>
    <d v="2018-09-26T00:00:00"/>
    <s v="Approved"/>
    <x v="46"/>
    <d v="2018-10-30T00:00:00"/>
    <d v="2018-11-06T00:00:00"/>
    <s v="Reduced"/>
    <n v="1095"/>
    <n v="3"/>
    <n v="24777"/>
    <m/>
    <d v="2018-11-16T00:00:00"/>
  </r>
  <r>
    <x v="2"/>
    <s v="Young"/>
    <s v="AN7634"/>
    <n v="11311187"/>
    <s v="CAL-Facility C"/>
    <x v="0"/>
    <s v="TA126547-01"/>
    <d v="2031-03-25T00:00:00"/>
    <d v="2018-09-05T00:00:00"/>
    <d v="2018-09-05T00:00:00"/>
    <d v="2018-09-26T00:00:00"/>
    <s v="Approved"/>
    <x v="46"/>
    <d v="2018-10-30T00:00:00"/>
    <d v="2018-10-24T00:00:00"/>
    <s v="Reduced"/>
    <n v="1095"/>
    <n v="3"/>
    <n v="24777"/>
    <s v="reduced 3 years"/>
    <d v="2018-11-07T00:00:00"/>
  </r>
  <r>
    <x v="2"/>
    <s v="Williams"/>
    <s v="AR6911"/>
    <n v="12103589"/>
    <s v="COR-Facility 03C"/>
    <x v="0"/>
    <s v="TA136685"/>
    <d v="2035-06-11T00:00:00"/>
    <d v="2018-09-05T00:00:00"/>
    <d v="2018-09-05T00:00:00"/>
    <d v="2018-09-26T00:00:00"/>
    <s v="Approved"/>
    <x v="46"/>
    <d v="2018-10-10T00:00:00"/>
    <d v="2018-10-10T00:00:00"/>
    <s v="Reduced"/>
    <n v="1095"/>
    <n v="3"/>
    <n v="24777"/>
    <s v="reduced 3 years"/>
    <d v="2018-10-22T00:00:00"/>
  </r>
  <r>
    <x v="2"/>
    <s v="Jenkins"/>
    <s v="V77336"/>
    <n v="12003377"/>
    <s v="COR-Facility 04A"/>
    <x v="17"/>
    <s v="04F07641"/>
    <d v="2025-08-26T00:00:00"/>
    <d v="2018-09-05T00:00:00"/>
    <d v="2018-09-05T00:00:00"/>
    <d v="2018-09-26T00:00:00"/>
    <s v="Approved"/>
    <x v="46"/>
    <d v="2018-11-08T00:00:00"/>
    <d v="2018-10-31T00:00:00"/>
    <s v="Reduced"/>
    <n v="1460"/>
    <n v="4"/>
    <n v="33036"/>
    <s v="reduced 3 years"/>
    <d v="2018-11-09T00:00:00"/>
  </r>
  <r>
    <x v="2"/>
    <s v="Whitfield"/>
    <s v="AP2554"/>
    <n v="11314156"/>
    <s v="CAL-Facility A"/>
    <x v="17"/>
    <s v="08F09791"/>
    <d v="2024-02-05T00:00:00"/>
    <d v="2018-09-05T00:00:00"/>
    <d v="2018-09-05T00:00:00"/>
    <d v="2018-09-19T00:00:00"/>
    <s v="Approved"/>
    <x v="45"/>
    <d v="2018-10-18T00:00:00"/>
    <d v="2018-11-13T00:00:00"/>
    <s v="Reduced"/>
    <n v="1095"/>
    <n v="3"/>
    <n v="24777"/>
    <d v="2018-11-13T00:00:00"/>
    <d v="2018-11-16T00:00:00"/>
  </r>
  <r>
    <x v="2"/>
    <s v="Sandoval"/>
    <s v="AZ7789"/>
    <n v="11376279"/>
    <s v="HDSP-Facility B"/>
    <x v="8"/>
    <s v="RIF1400926"/>
    <d v="2048-08-23T00:00:00"/>
    <d v="2018-09-05T00:00:00"/>
    <d v="2018-09-05T00:00:00"/>
    <d v="2018-09-26T00:00:00"/>
    <s v="Approved"/>
    <x v="46"/>
    <d v="2018-11-27T00:00:00"/>
    <d v="2019-01-18T00:00:00"/>
    <s v="Reduced"/>
    <n v="608"/>
    <n v="1.6657534246575343"/>
    <n v="13757.457534246576"/>
    <s v="reduced by 1 year 8 months"/>
    <d v="2019-02-15T00:00:00"/>
  </r>
  <r>
    <x v="2"/>
    <s v="Gonzalez"/>
    <s v="AY8312"/>
    <n v="12145596"/>
    <s v="ISP-Facility C"/>
    <x v="2"/>
    <s v="12CF2110"/>
    <d v="2028-01-08T00:00:00"/>
    <d v="2018-06-22T00:00:00"/>
    <d v="2018-06-22T00:00:00"/>
    <d v="2018-07-11T00:00:00"/>
    <s v="Approved"/>
    <x v="19"/>
    <d v="2019-05-17T00:00:00"/>
    <d v="2019-04-19T00:00:00"/>
    <s v="No action - no reason specified"/>
    <m/>
    <s v=""/>
    <s v=""/>
    <m/>
    <d v="2019-05-17T00:00:00"/>
  </r>
  <r>
    <x v="1"/>
    <s v="Bocanegra "/>
    <s v="AK7487"/>
    <n v="11278192"/>
    <s v="CCI-Facility E"/>
    <x v="9"/>
    <s v="FVA1101476"/>
    <d v="2026-10-09T00:00:00"/>
    <d v="2018-12-20T00:00:00"/>
    <d v="2018-12-21T00:00:00"/>
    <d v="2018-12-21T00:00:00"/>
    <s v="Approved"/>
    <x v="62"/>
    <d v="2019-10-09T00:00:00"/>
    <d v="2019-04-19T00:00:00"/>
    <s v="No action - no reason specified"/>
    <m/>
    <s v=""/>
    <s v=""/>
    <m/>
    <d v="2019-10-09T00:00:00"/>
  </r>
  <r>
    <x v="3"/>
    <s v="Espana"/>
    <s v="BG1255"/>
    <n v="11351641"/>
    <s v="HDSP-Facility C"/>
    <x v="12"/>
    <s v="C1361295"/>
    <d v="2041-08-23T00:00:00"/>
    <d v="2018-10-11T00:00:00"/>
    <d v="2018-10-11T00:00:00"/>
    <d v="2018-10-11T00:00:00"/>
    <s v="Approved"/>
    <x v="52"/>
    <d v="2019-04-26T00:00:00"/>
    <d v="2019-04-22T00:00:00"/>
    <s v="No action - no reason specified"/>
    <m/>
    <s v=""/>
    <s v=""/>
    <m/>
    <d v="2019-04-29T00:00:00"/>
  </r>
  <r>
    <x v="1"/>
    <s v="Garcia-Salbalsa"/>
    <s v="AN5105"/>
    <n v="1109621"/>
    <s v="CVSP-Facility B"/>
    <x v="5"/>
    <s v="SCR605426"/>
    <d v="2024-06-24T00:00:00"/>
    <d v="2018-12-14T00:00:00"/>
    <d v="2018-12-18T00:00:00"/>
    <d v="2018-12-18T00:00:00"/>
    <s v="Approved"/>
    <x v="62"/>
    <d v="2019-07-10T00:00:00"/>
    <d v="2019-04-23T00:00:00"/>
    <s v="No action - no reason specified"/>
    <m/>
    <s v=""/>
    <s v=""/>
    <m/>
    <d v="2019-07-10T00:00:00"/>
  </r>
  <r>
    <x v="7"/>
    <s v="Wilburn"/>
    <s v="K73292"/>
    <n v="11241892"/>
    <s v="SATF"/>
    <x v="0"/>
    <s v="BA137387"/>
    <d v="2022-12-18T00:00:00"/>
    <d v="2019-03-26T00:00:00"/>
    <d v="2019-04-02T00:00:00"/>
    <d v="2019-04-02T00:00:00"/>
    <s v="Approved"/>
    <x v="83"/>
    <d v="2019-05-23T00:00:00"/>
    <d v="2019-05-13T00:00:00"/>
    <s v="No action - no reason specified"/>
    <m/>
    <s v=""/>
    <s v=""/>
    <m/>
    <d v="2019-05-31T00:00:00"/>
  </r>
  <r>
    <x v="1"/>
    <s v="Alexander"/>
    <s v="AF2381"/>
    <n v="11354312"/>
    <s v="PBSP - Facility D"/>
    <x v="0"/>
    <s v="PA062451"/>
    <d v="2022-10-25T00:00:00"/>
    <d v="2021-01-26T00:00:00"/>
    <d v="2021-02-09T00:00:00"/>
    <d v="2021-02-11T00:00:00"/>
    <s v="Approved"/>
    <x v="84"/>
    <m/>
    <m/>
    <m/>
    <m/>
    <s v=""/>
    <s v=""/>
    <m/>
    <m/>
  </r>
  <r>
    <x v="2"/>
    <s v="Ruiz"/>
    <s v="AN0084"/>
    <n v="11306625"/>
    <s v="KVSP-Facility B"/>
    <x v="8"/>
    <s v="RIF1201498"/>
    <d v="2021-04-06T00:00:00"/>
    <d v="2018-09-04T00:00:00"/>
    <d v="2018-09-04T00:00:00"/>
    <d v="2018-09-12T00:00:00"/>
    <s v="Approved"/>
    <x v="43"/>
    <d v="2019-06-12T00:00:00"/>
    <d v="2019-05-20T00:00:00"/>
    <s v="No action - reason provided"/>
    <m/>
    <s v=""/>
    <s v=""/>
    <s v="was not sentenced under 186.22 (b)(1)( c ) but  186.22 (b)(1)(b) "/>
    <d v="2019-06-12T00:00:00"/>
  </r>
  <r>
    <x v="7"/>
    <s v="Butler"/>
    <s v="J59632"/>
    <n v="11753392"/>
    <s v="CMC B NDPF 3-260L"/>
    <x v="21"/>
    <s v="SC057659"/>
    <d v="2043-04-10T00:00:00"/>
    <d v="2019-03-13T00:00:00"/>
    <d v="2019-04-19T00:00:00"/>
    <d v="2019-04-19T00:00:00"/>
    <s v="Approved"/>
    <x v="85"/>
    <d v="2019-06-12T00:00:00"/>
    <d v="2019-05-20T00:00:00"/>
    <s v="No action - reason provided"/>
    <m/>
    <s v=""/>
    <s v=""/>
    <s v="denied based on extreme violence"/>
    <d v="2019-06-12T00:00:00"/>
  </r>
  <r>
    <x v="11"/>
    <s v="Xiong"/>
    <s v="AY9215"/>
    <n v="11601435"/>
    <s v="FOL-Facility A"/>
    <x v="17"/>
    <s v="12F02578"/>
    <d v="2041-09-14T00:00:00"/>
    <d v="2019-01-04T00:00:00"/>
    <d v="2019-04-24T00:00:00"/>
    <d v="2019-04-26T00:00:00"/>
    <s v="Approved"/>
    <x v="86"/>
    <d v="2019-06-12T00:00:00"/>
    <d v="2019-05-22T00:00:00"/>
    <s v="No action - reason provided"/>
    <m/>
    <s v=""/>
    <s v=""/>
    <m/>
    <d v="2019-06-12T00:00:00"/>
  </r>
  <r>
    <x v="7"/>
    <s v="Estrada"/>
    <s v="F46035"/>
    <s v="00F46035"/>
    <s v="ASP-Facility A SNY"/>
    <x v="0"/>
    <s v="VA085149-01"/>
    <d v="2031-10-14T00:00:00"/>
    <d v="2019-02-19T00:00:00"/>
    <d v="2019-03-20T00:00:00"/>
    <d v="2019-03-22T00:00:00"/>
    <s v="Approved"/>
    <x v="83"/>
    <d v="2019-06-12T00:00:00"/>
    <d v="2019-05-24T00:00:00"/>
    <s v="No action - no reason specified"/>
    <m/>
    <s v=""/>
    <s v=""/>
    <m/>
    <d v="2019-06-12T00:00:00"/>
  </r>
  <r>
    <x v="7"/>
    <s v="Dominguez"/>
    <s v="F21554"/>
    <n v="11196641"/>
    <s v="CCI FAC E"/>
    <x v="3"/>
    <s v="F04905379"/>
    <d v="2024-04-30T00:00:00"/>
    <d v="2019-05-14T00:00:00"/>
    <d v="2019-05-17T00:00:00"/>
    <d v="2019-05-17T00:00:00"/>
    <s v="Approved"/>
    <x v="87"/>
    <d v="2019-06-10T00:00:00"/>
    <d v="2019-06-05T00:00:00"/>
    <s v="No action - no reason specified"/>
    <m/>
    <s v=""/>
    <s v=""/>
    <m/>
    <d v="2019-07-17T00:00:00"/>
  </r>
  <r>
    <x v="2"/>
    <s v="Alexander"/>
    <s v="AI2282"/>
    <n v="11372658"/>
    <s v="SAC-Facility C"/>
    <x v="17"/>
    <s v="06F00314"/>
    <d v="9999-12-31T00:00:00"/>
    <d v="2018-09-05T00:00:00"/>
    <d v="2018-09-05T00:00:00"/>
    <d v="2018-09-19T00:00:00"/>
    <s v="Approved"/>
    <x v="45"/>
    <m/>
    <m/>
    <m/>
    <m/>
    <s v=""/>
    <s v=""/>
    <m/>
    <m/>
  </r>
  <r>
    <x v="7"/>
    <s v="Morales"/>
    <s v="F21806"/>
    <n v="11561949"/>
    <s v="CHCF-Facility E"/>
    <x v="14"/>
    <s v="SS050693"/>
    <d v="2021-12-30T00:00:00"/>
    <d v="2019-03-19T00:00:00"/>
    <d v="2019-03-20T00:00:00"/>
    <d v="2019-03-25T00:00:00"/>
    <s v="Approved"/>
    <x v="83"/>
    <d v="2019-06-11T00:00:00"/>
    <d v="2019-06-06T00:00:00"/>
    <s v="No action - no reason specified"/>
    <m/>
    <s v=""/>
    <s v=""/>
    <m/>
    <d v="2019-06-27T00:00:00"/>
  </r>
  <r>
    <x v="2"/>
    <s v="Ruiz"/>
    <s v="G36763"/>
    <n v="11633027"/>
    <s v="SATF-Facility C"/>
    <x v="10"/>
    <s v="SCD208734"/>
    <d v="2029-03-25T00:00:00"/>
    <d v="2018-08-23T00:00:00"/>
    <d v="2018-08-23T00:00:00"/>
    <d v="2018-08-29T00:00:00"/>
    <s v="Approved"/>
    <x v="23"/>
    <d v="2019-08-27T00:00:00"/>
    <d v="2019-07-18T00:00:00"/>
    <s v="Reduced"/>
    <n v="1095"/>
    <n v="3"/>
    <n v="24777"/>
    <s v="reduced by 3 years"/>
    <d v="2019-08-27T00:00:00"/>
  </r>
  <r>
    <x v="2"/>
    <s v="Cortez"/>
    <s v="AT7244"/>
    <n v="12115495"/>
    <s v="HDSP-Facility A"/>
    <x v="40"/>
    <n v="1434614"/>
    <d v="2034-12-06T00:00:00"/>
    <d v="2018-09-05T00:00:00"/>
    <d v="2018-09-05T00:00:00"/>
    <d v="2018-09-19T00:00:00"/>
    <s v="Approved"/>
    <x v="45"/>
    <d v="2018-12-28T00:00:00"/>
    <d v="2018-11-08T00:00:00"/>
    <s v="Reduced"/>
    <n v="1095"/>
    <n v="3"/>
    <n v="24777"/>
    <s v="Reduced by 3 years "/>
    <d v="2018-12-28T00:00:00"/>
  </r>
  <r>
    <x v="2"/>
    <s v="Dominguez"/>
    <s v="V50475"/>
    <n v="11987447"/>
    <s v="CEN-Facility C"/>
    <x v="3"/>
    <s v="CC323663"/>
    <d v="2021-01-11T00:00:00"/>
    <d v="2018-09-05T00:00:00"/>
    <d v="2018-09-05T00:00:00"/>
    <d v="2018-09-19T00:00:00"/>
    <s v="Approved"/>
    <x v="45"/>
    <d v="2019-08-13T00:00:00"/>
    <d v="2019-08-02T00:00:00"/>
    <s v="Released"/>
    <n v="1095.75"/>
    <n v="3.0020547945205478"/>
    <n v="24793.970547945206"/>
    <s v="released on 08/23/2019"/>
    <d v="2019-08-19T00:00:00"/>
  </r>
  <r>
    <x v="2"/>
    <s v="Garcia"/>
    <s v="AT1522"/>
    <n v="12112076"/>
    <s v="SATF-Facility C"/>
    <x v="19"/>
    <s v="13CM8853B"/>
    <d v="2024-02-17T00:00:00"/>
    <d v="2018-09-05T00:00:00"/>
    <d v="2018-09-05T00:00:00"/>
    <d v="2018-09-19T00:00:00"/>
    <s v="Approved"/>
    <x v="45"/>
    <m/>
    <m/>
    <m/>
    <m/>
    <s v=""/>
    <s v=""/>
    <m/>
    <m/>
  </r>
  <r>
    <x v="2"/>
    <s v="Earl"/>
    <s v="F13870"/>
    <n v="11557177"/>
    <s v="SAC-Facility A"/>
    <x v="0"/>
    <s v="GA075690-01"/>
    <d v="2075-04-11T00:00:00"/>
    <d v="2018-09-05T00:00:00"/>
    <d v="2018-09-05T00:00:00"/>
    <d v="2018-09-26T00:00:00"/>
    <s v="Approved"/>
    <x v="46"/>
    <m/>
    <m/>
    <m/>
    <m/>
    <s v=""/>
    <s v=""/>
    <m/>
    <m/>
  </r>
  <r>
    <x v="2"/>
    <s v="Natividad"/>
    <s v="AR5695"/>
    <n v="12102862"/>
    <s v="SOL-Facility B"/>
    <x v="19"/>
    <s v="12CM3581"/>
    <d v="2025-03-09T00:00:00"/>
    <d v="2018-09-05T00:00:00"/>
    <d v="2018-09-05T00:00:00"/>
    <d v="2018-09-19T00:00:00"/>
    <s v="Approved"/>
    <x v="45"/>
    <d v="2020-04-08T00:00:00"/>
    <d v="2020-04-02T00:00:00"/>
    <s v="No action - no reason specified"/>
    <m/>
    <s v=""/>
    <s v=""/>
    <m/>
    <d v="2020-04-15T00:00:00"/>
  </r>
  <r>
    <x v="2"/>
    <s v="Jackson"/>
    <s v="E61401"/>
    <n v="11529296"/>
    <s v="CCI-Facility B"/>
    <x v="0"/>
    <s v="MA051433-01"/>
    <d v="2109-11-11T00:00:00"/>
    <d v="2018-09-05T00:00:00"/>
    <d v="2018-09-05T00:00:00"/>
    <d v="2018-09-26T00:00:00"/>
    <s v="Approved"/>
    <x v="46"/>
    <m/>
    <m/>
    <m/>
    <m/>
    <s v=""/>
    <s v=""/>
    <m/>
    <m/>
  </r>
  <r>
    <x v="11"/>
    <s v="Flores"/>
    <s v="AS8239"/>
    <n v="11251116"/>
    <s v="CRC-Facility B"/>
    <x v="8"/>
    <s v="SWF1207306"/>
    <d v="2028-08-17T00:00:00"/>
    <d v="2019-05-09T00:00:00"/>
    <d v="2019-05-09T00:00:00"/>
    <d v="2019-06-11T00:00:00"/>
    <s v="Approved"/>
    <x v="88"/>
    <m/>
    <d v="2020-02-21T00:00:00"/>
    <s v="Pending Court (Date in Notes)"/>
    <m/>
    <s v=""/>
    <s v=""/>
    <s v="Opposition to recall on 02/21/2020 - No future court dates. Request for Legal documents"/>
    <m/>
  </r>
  <r>
    <x v="2"/>
    <s v="Arellano"/>
    <s v="AI4089"/>
    <n v="11373838"/>
    <s v="KVSP-Facility B"/>
    <x v="8"/>
    <s v="SWF025883"/>
    <d v="2025-06-20T00:00:00"/>
    <d v="2018-09-05T00:00:00"/>
    <d v="2018-09-05T00:00:00"/>
    <d v="2018-09-26T00:00:00"/>
    <s v="Approved"/>
    <x v="46"/>
    <d v="2021-04-15T00:00:00"/>
    <d v="2021-04-01T00:00:00"/>
    <m/>
    <m/>
    <s v=""/>
    <s v=""/>
    <m/>
    <d v="2021-04-15T00:00:00"/>
  </r>
  <r>
    <x v="11"/>
    <s v="Hodge"/>
    <s v="K98364"/>
    <n v="11827158"/>
    <s v="HDSP-Facility C"/>
    <x v="0"/>
    <s v="NA090420"/>
    <d v="2029-05-30T00:00:00"/>
    <d v="2019-06-24T00:00:00"/>
    <d v="2019-06-25T00:00:00"/>
    <d v="2019-07-29T00:00:00"/>
    <s v="Declined"/>
    <x v="27"/>
    <m/>
    <m/>
    <m/>
    <m/>
    <s v=""/>
    <s v=""/>
    <m/>
    <m/>
  </r>
  <r>
    <x v="1"/>
    <s v="Allen"/>
    <s v="AF2500"/>
    <n v="1135439"/>
    <s v="CRC-Facility C"/>
    <x v="0"/>
    <s v="LA060460"/>
    <d v="2023-07-06T00:00:00"/>
    <d v="2018-12-31T00:00:00"/>
    <d v="2019-01-04T00:00:00"/>
    <d v="2019-01-04T00:00:00"/>
    <s v="Approved"/>
    <x v="89"/>
    <m/>
    <m/>
    <m/>
    <m/>
    <s v=""/>
    <s v=""/>
    <m/>
    <m/>
  </r>
  <r>
    <x v="2"/>
    <s v="Jimenez"/>
    <s v="AH3570"/>
    <n v="11367249"/>
    <s v="KVSP-Facility A"/>
    <x v="11"/>
    <s v="VCF247729"/>
    <d v="2023-04-02T00:00:00"/>
    <d v="2018-09-05T00:00:00"/>
    <d v="2018-09-05T00:00:00"/>
    <d v="2018-09-26T00:00:00"/>
    <s v="Approved"/>
    <x v="46"/>
    <m/>
    <m/>
    <m/>
    <m/>
    <s v=""/>
    <s v=""/>
    <m/>
    <m/>
  </r>
  <r>
    <x v="2"/>
    <s v="Lopez"/>
    <s v="AP1471"/>
    <n v="11313634"/>
    <s v="SATF-Facility C"/>
    <x v="0"/>
    <s v="BA392615-01"/>
    <d v="2025-12-23T00:00:00"/>
    <d v="2018-09-05T00:00:00"/>
    <d v="2018-09-05T00:00:00"/>
    <d v="2018-10-03T00:00:00"/>
    <s v="Approved"/>
    <x v="52"/>
    <d v="2021-03-19T00:00:00"/>
    <d v="2018-11-16T00:00:00"/>
    <s v="Reduced"/>
    <n v="1095"/>
    <n v="3"/>
    <n v="24777"/>
    <s v="12022.7 stricken "/>
    <d v="2021-03-19T00:00:00"/>
  </r>
  <r>
    <x v="2"/>
    <s v="Owens"/>
    <s v="AN9784"/>
    <n v="11312555"/>
    <s v="LAC-Facility D"/>
    <x v="0"/>
    <s v="MA054730-01"/>
    <d v="2025-06-14T00:00:00"/>
    <d v="2018-09-05T00:00:00"/>
    <d v="2018-09-05T00:00:00"/>
    <d v="2018-09-26T00:00:00"/>
    <s v="Approved"/>
    <x v="46"/>
    <m/>
    <m/>
    <m/>
    <m/>
    <s v=""/>
    <s v=""/>
    <m/>
    <m/>
  </r>
  <r>
    <x v="2"/>
    <s v="Rivera"/>
    <s v="AY1834"/>
    <n v="11992336"/>
    <s v="PBSP-Facility A"/>
    <x v="4"/>
    <s v="CRM025095A"/>
    <s v="LWOP"/>
    <d v="2018-09-05T00:00:00"/>
    <d v="2018-09-05T00:00:00"/>
    <d v="2018-09-19T00:00:00"/>
    <s v="Approved"/>
    <x v="45"/>
    <d v="2019-04-05T00:00:00"/>
    <d v="2019-04-05T00:00:00"/>
    <s v="Reduced"/>
    <n v="3652"/>
    <n v="10.005479452054795"/>
    <n v="82635.254794520544"/>
    <s v="186.22 stricken"/>
    <d v="2019-04-10T00:00:00"/>
  </r>
  <r>
    <x v="3"/>
    <s v="Robinson"/>
    <s v="G08825"/>
    <n v="11615369"/>
    <s v="ISP-Facility A"/>
    <x v="8"/>
    <s v="INF051666"/>
    <d v="2020-08-27T00:00:00"/>
    <d v="2018-09-18T00:00:00"/>
    <d v="2018-09-18T00:00:00"/>
    <d v="2018-10-03T00:00:00"/>
    <s v="Approved"/>
    <x v="52"/>
    <m/>
    <m/>
    <m/>
    <m/>
    <s v=""/>
    <s v=""/>
    <s v="Active Parole"/>
    <d v="2019-10-27T00:00:00"/>
  </r>
  <r>
    <x v="1"/>
    <s v="Alvarez"/>
    <s v="BA3511"/>
    <n v="11649013"/>
    <s v="CCC FAC B"/>
    <x v="0"/>
    <s v="NA103449"/>
    <d v="2027-06-15T00:00:00"/>
    <d v="2019-08-06T00:00:00"/>
    <d v="2019-08-12T00:00:00"/>
    <d v="2019-08-12T00:00:00"/>
    <s v="Approved"/>
    <x v="21"/>
    <d v="2019-12-24T00:00:00"/>
    <d v="2019-12-10T00:00:00"/>
    <s v="No action - reason provided"/>
    <m/>
    <s v=""/>
    <s v=""/>
    <m/>
    <d v="2019-12-24T00:00:00"/>
  </r>
  <r>
    <x v="2"/>
    <s v="Hidalgo"/>
    <s v="AR9536"/>
    <n v="12105282"/>
    <s v="PVSP-Facility B"/>
    <x v="17"/>
    <s v="11F08026"/>
    <d v="2025-11-23T00:00:00"/>
    <d v="2018-09-05T00:00:00"/>
    <d v="2018-09-05T00:00:00"/>
    <d v="2018-09-26T00:00:00"/>
    <s v="Approved"/>
    <x v="46"/>
    <m/>
    <m/>
    <m/>
    <m/>
    <s v=""/>
    <s v=""/>
    <m/>
    <m/>
  </r>
  <r>
    <x v="2"/>
    <s v="Chavez"/>
    <s v="AR6516"/>
    <n v="12103373"/>
    <s v="PBSP-Facility A"/>
    <x v="12"/>
    <s v="C1230608"/>
    <d v="2029-08-04T00:00:00"/>
    <d v="2018-09-05T00:00:00"/>
    <d v="2018-09-05T00:00:00"/>
    <d v="2018-10-03T00:00:00"/>
    <s v="Approved"/>
    <x v="52"/>
    <d v="2019-02-22T00:00:00"/>
    <d v="2019-02-13T00:00:00"/>
    <s v="Reduced"/>
    <n v="243"/>
    <n v="0.66575342465753429"/>
    <n v="5498.4575342465751"/>
    <s v="reducded by 8 months"/>
    <d v="2019-02-22T00:00:00"/>
  </r>
  <r>
    <x v="5"/>
    <s v="Pollack"/>
    <s v="AA1886"/>
    <n v="11322565"/>
    <s v="KVSP-Facility A"/>
    <x v="0"/>
    <s v="NA079977"/>
    <d v="2019-09-04T00:00:00"/>
    <d v="2018-11-06T00:00:00"/>
    <d v="2018-11-09T00:00:00"/>
    <d v="2018-11-21T00:00:00"/>
    <s v="Approved"/>
    <x v="63"/>
    <m/>
    <m/>
    <m/>
    <m/>
    <s v=""/>
    <s v=""/>
    <s v="Active Parole"/>
    <d v="2019-06-06T00:00:00"/>
  </r>
  <r>
    <x v="2"/>
    <s v="Sanchez"/>
    <s v="AR5696"/>
    <n v="12102861"/>
    <s v="SATF-Facility C"/>
    <x v="19"/>
    <s v="12CM3560"/>
    <d v="2024-10-03T00:00:00"/>
    <d v="2018-09-05T00:00:00"/>
    <d v="2018-09-05T00:00:00"/>
    <d v="2018-09-19T00:00:00"/>
    <s v="Approved"/>
    <x v="45"/>
    <d v="2020-04-08T00:00:00"/>
    <d v="2020-04-02T00:00:00"/>
    <s v="No action - no reason specified"/>
    <m/>
    <s v=""/>
    <s v=""/>
    <m/>
    <d v="2020-04-15T00:00:00"/>
  </r>
  <r>
    <x v="11"/>
    <s v="Wright"/>
    <s v="G21778"/>
    <n v="11218861"/>
    <s v="CMF-Facility A"/>
    <x v="17"/>
    <s v="13F04000"/>
    <d v="2024-07-15T00:00:00"/>
    <d v="2019-10-18T00:00:00"/>
    <d v="2019-10-21T00:00:00"/>
    <d v="2019-12-02T00:00:00"/>
    <s v="Approved"/>
    <x v="90"/>
    <d v="2021-04-16T00:00:00"/>
    <d v="2020-03-13T00:00:00"/>
    <s v="No action - no reason specified"/>
    <m/>
    <s v=""/>
    <s v=""/>
    <s v="Legal documents requested by CMF staff on 5/4/2020"/>
    <d v="2021-04-16T00:00:00"/>
  </r>
  <r>
    <x v="2"/>
    <s v="Soto"/>
    <s v="V37673"/>
    <n v="11979854"/>
    <s v="SVSP-Facility A"/>
    <x v="19"/>
    <s v="07CM3449"/>
    <d v="2032-11-04T00:00:00"/>
    <d v="2018-09-05T00:00:00"/>
    <d v="2018-09-05T00:00:00"/>
    <d v="2018-09-19T00:00:00"/>
    <s v="Approved"/>
    <x v="45"/>
    <d v="2020-04-03T00:00:00"/>
    <d v="2020-03-19T00:00:00"/>
    <s v="No action - reason provided"/>
    <m/>
    <s v=""/>
    <s v=""/>
    <m/>
    <d v="2020-04-15T00:00:00"/>
  </r>
  <r>
    <x v="2"/>
    <s v="Stephens"/>
    <s v="BC7656"/>
    <n v="11974779"/>
    <s v="CCI-Facility C"/>
    <x v="41"/>
    <s v="2011-1731"/>
    <d v="2030-10-29T00:00:00"/>
    <d v="2018-09-05T00:00:00"/>
    <d v="2018-09-05T00:00:00"/>
    <d v="2018-09-19T00:00:00"/>
    <s v="Approved"/>
    <x v="45"/>
    <d v="2019-02-22T00:00:00"/>
    <d v="2019-02-06T00:00:00"/>
    <s v="Reduced"/>
    <n v="121"/>
    <n v="0.33150684931506852"/>
    <n v="2737.9150684931506"/>
    <s v="reduced by 4 months"/>
    <d v="2019-02-22T00:00:00"/>
  </r>
  <r>
    <x v="2"/>
    <s v="Alonzo"/>
    <s v="F84843"/>
    <n v="11600575"/>
    <s v="CCI-Facility B"/>
    <x v="5"/>
    <s v="SCR494159"/>
    <d v="2027-03-06T00:00:00"/>
    <d v="2018-09-05T00:00:00"/>
    <d v="2018-09-05T00:00:00"/>
    <d v="2018-09-19T00:00:00"/>
    <s v="Approved"/>
    <x v="45"/>
    <d v="2019-03-21T00:00:00"/>
    <d v="2019-01-15T00:00:00"/>
    <s v="Reduced"/>
    <n v="1095"/>
    <n v="3"/>
    <n v="24777"/>
    <s v="reduced by 3 years"/>
    <d v="2019-03-21T00:00:00"/>
  </r>
  <r>
    <x v="2"/>
    <s v="Ruiz"/>
    <s v="AR5577"/>
    <n v="12102859"/>
    <s v="LAC-Facility A"/>
    <x v="8"/>
    <s v="SWF1300770"/>
    <d v="2044-06-06T00:00:00"/>
    <d v="2018-09-05T00:00:00"/>
    <d v="2018-09-05T00:00:00"/>
    <d v="2018-09-26T00:00:00"/>
    <s v="Approved"/>
    <x v="46"/>
    <d v="2021-03-19T00:00:00"/>
    <d v="2019-01-28T00:00:00"/>
    <s v="No action - no reason specified"/>
    <m/>
    <s v=""/>
    <s v=""/>
    <m/>
    <d v="2021-03-19T00:00:00"/>
  </r>
  <r>
    <x v="2"/>
    <s v="Torres"/>
    <s v="AZ5422"/>
    <n v="12149887"/>
    <s v="ISP-Facility C"/>
    <x v="0"/>
    <s v="BA446149-03"/>
    <d v="2038-12-03T00:00:00"/>
    <d v="2018-07-12T00:00:00"/>
    <d v="2018-07-18T00:00:00"/>
    <d v="2018-08-01T00:00:00"/>
    <s v="Approved"/>
    <x v="38"/>
    <d v="2019-06-19T00:00:00"/>
    <d v="2019-06-11T00:00:00"/>
    <s v="No action - no reason specified"/>
    <m/>
    <s v=""/>
    <s v=""/>
    <m/>
    <d v="2019-06-27T00:00:00"/>
  </r>
  <r>
    <x v="2"/>
    <s v="Gonzalez"/>
    <s v="V75736"/>
    <n v="12002475"/>
    <s v="SAC-Facility C"/>
    <x v="0"/>
    <s v="BA342273"/>
    <s v="LWOP"/>
    <d v="2018-09-05T00:00:00"/>
    <d v="2018-09-05T00:00:00"/>
    <d v="2018-09-26T00:00:00"/>
    <s v="Approved"/>
    <x v="46"/>
    <d v="2019-01-22T00:00:00"/>
    <d v="2019-01-07T00:00:00"/>
    <s v="Reduced"/>
    <n v="1095"/>
    <n v="3"/>
    <n v="24777"/>
    <s v="Reduced by 3 years"/>
    <d v="2019-01-22T00:00:00"/>
  </r>
  <r>
    <x v="2"/>
    <s v="Zavala"/>
    <s v="F83774"/>
    <n v="11599904"/>
    <s v="CCI-Facility A"/>
    <x v="19"/>
    <s v="07CM0126"/>
    <d v="2024-12-22T00:00:00"/>
    <d v="2018-09-05T00:00:00"/>
    <d v="2018-09-05T00:00:00"/>
    <d v="2018-09-19T00:00:00"/>
    <s v="Approved"/>
    <x v="45"/>
    <d v="2020-04-08T00:00:00"/>
    <d v="2020-04-02T00:00:00"/>
    <s v="No action - no reason specified"/>
    <m/>
    <s v=""/>
    <s v=""/>
    <m/>
    <d v="2020-04-15T00:00:00"/>
  </r>
  <r>
    <x v="2"/>
    <s v="Solis"/>
    <s v="V36338"/>
    <n v="11979019"/>
    <s v="KVSP-Facility A"/>
    <x v="0"/>
    <s v="KA060714-01"/>
    <d v="2020-07-03T00:00:00"/>
    <d v="2018-09-05T00:00:00"/>
    <d v="2018-09-05T00:00:00"/>
    <d v="2018-09-26T00:00:00"/>
    <s v="Approved"/>
    <x v="46"/>
    <d v="2019-01-02T00:00:00"/>
    <d v="2018-12-18T00:00:00"/>
    <s v="Released"/>
    <n v="1095"/>
    <n v="3"/>
    <n v="24777"/>
    <s v="Reduced by 3 years, released 01/09/2019"/>
    <d v="2019-01-02T00:00:00"/>
  </r>
  <r>
    <x v="1"/>
    <s v="Johnson"/>
    <s v="F30470"/>
    <n v="11567260"/>
    <m/>
    <x v="8"/>
    <s v="RIF151134"/>
    <d v="2028-04-02T00:00:00"/>
    <d v="2018-09-03T00:00:00"/>
    <d v="2018-09-07T00:00:00"/>
    <d v="2018-09-10T00:00:00"/>
    <s v="Approved"/>
    <x v="91"/>
    <d v="2019-06-28T00:00:00"/>
    <d v="2019-06-14T00:00:00"/>
    <s v="No action - no reason specified"/>
    <m/>
    <s v=""/>
    <s v=""/>
    <m/>
    <d v="2019-06-28T00:00:00"/>
  </r>
  <r>
    <x v="1"/>
    <s v="Willis"/>
    <s v="F90477"/>
    <n v="11603893"/>
    <s v="VSP"/>
    <x v="0"/>
    <s v="BA286179"/>
    <d v="2047-08-27T00:00:00"/>
    <d v="2018-09-06T00:00:00"/>
    <d v="2018-09-07T00:00:00"/>
    <d v="2018-09-10T00:00:00"/>
    <s v="Approved"/>
    <x v="43"/>
    <m/>
    <m/>
    <m/>
    <m/>
    <s v=""/>
    <s v=""/>
    <m/>
    <m/>
  </r>
  <r>
    <x v="1"/>
    <s v="Van Otten"/>
    <s v="AP0141"/>
    <n v="11182098"/>
    <s v="RJD"/>
    <x v="10"/>
    <s v="SCD237822"/>
    <d v="2033-11-01T00:00:00"/>
    <d v="2018-09-06T00:00:00"/>
    <d v="2018-09-07T00:00:00"/>
    <d v="2018-09-10T00:00:00"/>
    <s v="Approved"/>
    <x v="92"/>
    <d v="2019-12-24T00:00:00"/>
    <d v="2019-10-21T00:00:00"/>
    <s v="No action - reason provided"/>
    <m/>
    <s v=""/>
    <s v=""/>
    <m/>
    <d v="2019-12-24T00:00:00"/>
  </r>
  <r>
    <x v="3"/>
    <s v="Chavez"/>
    <s v="AH4955"/>
    <n v="11368107"/>
    <s v="KVSP-Facility D"/>
    <x v="12"/>
    <s v="CC817517"/>
    <d v="2027-08-05T00:00:00"/>
    <d v="2018-02-05T00:00:00"/>
    <d v="2018-04-12T00:00:00"/>
    <d v="2018-04-12T00:00:00"/>
    <s v="Approved"/>
    <x v="11"/>
    <d v="2020-02-10T00:00:00"/>
    <d v="2019-11-25T00:00:00"/>
    <s v="No action - no reason specified"/>
    <m/>
    <s v=""/>
    <s v=""/>
    <m/>
    <d v="2020-02-10T00:00:00"/>
  </r>
  <r>
    <x v="7"/>
    <s v="Landren"/>
    <s v="X04633"/>
    <n v="10229086"/>
    <s v="CCWF-Facility D"/>
    <x v="0"/>
    <s v="BA252353"/>
    <d v="2029-10-07T00:00:00"/>
    <d v="2018-07-13T00:00:00"/>
    <d v="2018-07-25T00:00:00"/>
    <d v="2018-07-25T00:00:00"/>
    <s v="Approved"/>
    <x v="50"/>
    <d v="2019-02-15T00:00:00"/>
    <d v="2019-02-08T00:00:00"/>
    <s v="Released"/>
    <n v="9131"/>
    <n v="25.016438356164382"/>
    <n v="206610.76438356165"/>
    <s v="reducded by 25 years, released 02/20/2019"/>
    <d v="2019-02-19T00:00:00"/>
  </r>
  <r>
    <x v="1"/>
    <s v="Mokri"/>
    <s v="AN3663"/>
    <n v="11308445"/>
    <s v="SQ"/>
    <x v="20"/>
    <n v="166672"/>
    <d v="2020-12-15T00:00:00"/>
    <d v="2018-09-10T00:00:00"/>
    <d v="2018-09-12T00:00:00"/>
    <d v="2018-09-13T00:00:00"/>
    <s v="Approved"/>
    <x v="93"/>
    <m/>
    <m/>
    <m/>
    <m/>
    <s v=""/>
    <s v=""/>
    <s v="Released 6/17/2020"/>
    <d v="2020-11-06T00:00:00"/>
  </r>
  <r>
    <x v="7"/>
    <s v="Flores"/>
    <s v="H43209"/>
    <n v="11109951"/>
    <s v="CTF-Facility C"/>
    <x v="10"/>
    <s v="SCD116295"/>
    <d v="2027-07-10T00:00:00"/>
    <d v="2018-10-02T00:00:00"/>
    <d v="2018-10-09T00:00:00"/>
    <d v="2018-10-22T00:00:00"/>
    <s v="Approved"/>
    <x v="94"/>
    <d v="2019-02-08T00:00:00"/>
    <d v="2019-02-06T00:00:00"/>
    <s v="Released"/>
    <n v="6574"/>
    <n v="18.010958904109589"/>
    <n v="148752.50958904109"/>
    <s v="Released to ICE on 02/15/2019"/>
    <d v="2019-02-13T00:00:00"/>
  </r>
  <r>
    <x v="7"/>
    <s v="Williams"/>
    <s v="AG8685"/>
    <n v="11364245"/>
    <s v="CCI Central"/>
    <x v="17"/>
    <s v="1F04282"/>
    <d v="2025-09-21T00:00:00"/>
    <d v="2018-09-17T00:00:00"/>
    <d v="2018-09-20T00:00:00"/>
    <d v="2018-10-01T00:00:00"/>
    <s v="Approved"/>
    <x v="67"/>
    <m/>
    <m/>
    <m/>
    <m/>
    <s v=""/>
    <s v=""/>
    <m/>
    <m/>
  </r>
  <r>
    <x v="11"/>
    <s v="Gonzalez"/>
    <s v="G39850"/>
    <n v="11222774"/>
    <s v="ISP-Facility A"/>
    <x v="0"/>
    <s v="BA336027"/>
    <d v="2031-02-02T00:00:00"/>
    <d v="2019-05-07T00:00:00"/>
    <d v="2019-05-07T00:00:00"/>
    <d v="2019-05-17T00:00:00"/>
    <s v="Approved"/>
    <x v="57"/>
    <d v="2019-07-02T00:00:00"/>
    <d v="2019-06-17T00:00:00"/>
    <s v="No action - no reason specified"/>
    <m/>
    <s v=""/>
    <s v=""/>
    <m/>
    <d v="2019-07-02T00:00:00"/>
  </r>
  <r>
    <x v="11"/>
    <s v="Larios"/>
    <s v="AT5107"/>
    <n v="11796349"/>
    <s v="SCC-Bautista Camp"/>
    <x v="2"/>
    <s v="12CF2610"/>
    <d v="2019-06-21T00:00:00"/>
    <d v="2019-05-15T00:00:00"/>
    <d v="2019-05-15T00:00:00"/>
    <d v="2019-06-04T00:00:00"/>
    <s v="Approved"/>
    <x v="95"/>
    <d v="2019-07-02T00:00:00"/>
    <d v="2019-06-18T00:00:00"/>
    <s v="No action - no reason specified"/>
    <m/>
    <s v=""/>
    <s v=""/>
    <m/>
    <d v="2019-07-17T00:00:00"/>
  </r>
  <r>
    <x v="3"/>
    <s v="Alvarez"/>
    <s v="AF3633"/>
    <n v="11355034"/>
    <s v="COR-Facility 03C"/>
    <x v="14"/>
    <s v="SS081888B"/>
    <d v="2023-01-20T00:00:00"/>
    <d v="2018-09-18T00:00:00"/>
    <d v="2018-09-18T00:00:00"/>
    <d v="2018-09-26T00:00:00"/>
    <s v="Approved"/>
    <x v="46"/>
    <m/>
    <m/>
    <m/>
    <m/>
    <s v=""/>
    <s v=""/>
    <m/>
    <m/>
  </r>
  <r>
    <x v="3"/>
    <s v="Claudio"/>
    <s v="AF9785"/>
    <n v="11358804"/>
    <s v="COCF-La Palma CC, Arizona (AZ2)"/>
    <x v="0"/>
    <s v="NA085301"/>
    <d v="2030-08-12T00:00:00"/>
    <d v="2018-09-18T00:00:00"/>
    <d v="2018-09-18T00:00:00"/>
    <d v="2018-09-26T00:00:00"/>
    <s v="Approved"/>
    <x v="46"/>
    <d v="2019-02-28T00:00:00"/>
    <d v="2019-01-23T00:00:00"/>
    <s v="No reduction - AOJ corrected"/>
    <m/>
    <s v=""/>
    <s v=""/>
    <s v="Sentence restructured"/>
    <d v="2019-02-28T00:00:00"/>
  </r>
  <r>
    <x v="3"/>
    <s v="Ramsey"/>
    <s v="AG1438"/>
    <n v="11359798"/>
    <s v="SVSP-Facility D"/>
    <x v="17"/>
    <s v="08F06947"/>
    <d v="2038-01-24T00:00:00"/>
    <d v="2018-09-18T00:00:00"/>
    <d v="2018-09-18T00:00:00"/>
    <d v="2018-09-26T00:00:00"/>
    <s v="Approved"/>
    <x v="46"/>
    <m/>
    <m/>
    <m/>
    <m/>
    <s v=""/>
    <s v=""/>
    <m/>
    <m/>
  </r>
  <r>
    <x v="3"/>
    <s v="Flores"/>
    <s v="AK8438"/>
    <n v="11574866"/>
    <s v="COR-Facility 03B"/>
    <x v="2"/>
    <s v="06NF1325"/>
    <d v="2020-11-07T00:00:00"/>
    <d v="2018-09-18T00:00:00"/>
    <d v="2018-09-18T00:00:00"/>
    <d v="2018-09-26T00:00:00"/>
    <s v="Approved"/>
    <x v="46"/>
    <m/>
    <m/>
    <m/>
    <m/>
    <s v=""/>
    <s v=""/>
    <s v="Paroled 09/14/20 (not 1170(d)(1))"/>
    <d v="2021-03-19T00:00:00"/>
  </r>
  <r>
    <x v="3"/>
    <s v="Leadbetter"/>
    <s v="AK8668"/>
    <n v="11278826"/>
    <s v="LAC-Central Service"/>
    <x v="0"/>
    <s v="MA053478-01"/>
    <d v="2028-03-04T00:00:00"/>
    <d v="2018-09-18T00:00:00"/>
    <d v="2018-09-18T00:00:00"/>
    <d v="2018-09-26T00:00:00"/>
    <s v="Approved"/>
    <x v="46"/>
    <d v="2019-02-11T00:00:00"/>
    <d v="2018-12-21T00:00:00"/>
    <s v="Reduced"/>
    <n v="730"/>
    <n v="2"/>
    <n v="16518"/>
    <s v="reduced by 2 years"/>
    <d v="2019-02-11T00:00:00"/>
  </r>
  <r>
    <x v="3"/>
    <s v="Rouston"/>
    <s v="AK9273"/>
    <n v="11279536"/>
    <s v="KVSP-Facility A"/>
    <x v="10"/>
    <s v="SCD234128"/>
    <d v="2027-04-02T00:00:00"/>
    <d v="2018-09-18T00:00:00"/>
    <d v="2018-09-18T00:00:00"/>
    <d v="2018-10-03T00:00:00"/>
    <s v="Approved"/>
    <x v="52"/>
    <d v="2021-03-19T00:00:00"/>
    <d v="2019-02-25T00:00:00"/>
    <s v="No action - no reason specified"/>
    <m/>
    <s v=""/>
    <s v=""/>
    <m/>
    <d v="2021-03-19T00:00:00"/>
  </r>
  <r>
    <x v="3"/>
    <s v="Felix"/>
    <s v="F73824"/>
    <n v="11593647"/>
    <s v="NKSP-Facility A"/>
    <x v="8"/>
    <s v="RIF135981"/>
    <d v="2021-05-31T00:00:00"/>
    <d v="2018-09-18T00:00:00"/>
    <d v="2018-09-18T00:00:00"/>
    <d v="2018-10-03T00:00:00"/>
    <s v="Approved"/>
    <x v="52"/>
    <m/>
    <m/>
    <m/>
    <m/>
    <s v=""/>
    <s v=""/>
    <s v="Paroled 01/08/21 (not 1170(d)(1))"/>
    <d v="2021-03-19T00:00:00"/>
  </r>
  <r>
    <x v="2"/>
    <s v="Grozav"/>
    <s v="F15289"/>
    <n v="11558014"/>
    <s v="SATF-Facility C"/>
    <x v="17"/>
    <s v="05F03297"/>
    <d v="2019-12-05T00:00:00"/>
    <d v="2018-11-06T00:00:00"/>
    <d v="2018-11-09T00:00:00"/>
    <d v="2018-11-21T00:00:00"/>
    <s v="Approved"/>
    <x v="63"/>
    <m/>
    <m/>
    <m/>
    <m/>
    <s v=""/>
    <s v=""/>
    <s v="Active Parole"/>
    <d v="2019-09-30T00:00:00"/>
  </r>
  <r>
    <x v="3"/>
    <s v="Thao"/>
    <s v="AK4736"/>
    <n v="11276130"/>
    <s v="SATF-Facility C"/>
    <x v="17"/>
    <s v="10F06846"/>
    <d v="2023-11-26T00:00:00"/>
    <d v="2018-09-18T00:00:00"/>
    <d v="2018-09-18T00:00:00"/>
    <d v="2018-10-03T00:00:00"/>
    <s v="Approved"/>
    <x v="52"/>
    <d v="2019-12-05T00:00:00"/>
    <d v="2019-11-25T00:00:00"/>
    <s v="No action - reason provided"/>
    <m/>
    <s v=""/>
    <s v=""/>
    <m/>
    <d v="2019-12-05T00:00:00"/>
  </r>
  <r>
    <x v="5"/>
    <s v="Casarez Jr."/>
    <s v="AG8481"/>
    <n v="11364114"/>
    <s v="PRMCCF-Desert View"/>
    <x v="17"/>
    <s v="10F05366"/>
    <d v="2021-02-01T00:00:00"/>
    <d v="2018-09-18T00:00:00"/>
    <d v="2018-09-18T00:00:00"/>
    <d v="2018-09-26T00:00:00"/>
    <s v="Approved"/>
    <x v="46"/>
    <d v="2019-04-22T00:00:00"/>
    <d v="2019-04-05T00:00:00"/>
    <s v="No reduction - AOJ corrected"/>
    <m/>
    <s v=""/>
    <s v=""/>
    <s v="Term restructered"/>
    <d v="2019-04-24T00:00:00"/>
  </r>
  <r>
    <x v="5"/>
    <s v="Rodarte Jr."/>
    <s v="AG9501"/>
    <n v="11364743"/>
    <s v="PBSP-Facility C"/>
    <x v="0"/>
    <s v="VA121786-01"/>
    <d v="2033-04-26T00:00:00"/>
    <d v="2018-09-18T00:00:00"/>
    <d v="2018-09-18T00:00:00"/>
    <d v="2018-09-26T00:00:00"/>
    <s v="Approved"/>
    <x v="46"/>
    <d v="2019-04-03T00:00:00"/>
    <d v="2019-03-29T00:00:00"/>
    <s v="Reduced"/>
    <n v="1216"/>
    <n v="3.3315068493150686"/>
    <n v="27514.915068493152"/>
    <s v="reduced by 3 years 4 months"/>
    <d v="2019-04-03T00:00:00"/>
  </r>
  <r>
    <x v="6"/>
    <s v="Galloway"/>
    <s v="AH2604"/>
    <n v="11366653"/>
    <s v="PBSP-Facility C"/>
    <x v="27"/>
    <s v="CH034636"/>
    <s v="LWOP"/>
    <d v="2018-09-18T00:00:00"/>
    <d v="2018-09-18T00:00:00"/>
    <d v="2018-09-26T00:00:00"/>
    <s v="Approved"/>
    <x v="46"/>
    <d v="2018-11-29T00:00:00"/>
    <d v="2018-11-19T00:00:00"/>
    <s v="Reduced"/>
    <n v="365"/>
    <n v="1"/>
    <n v="8259"/>
    <s v="reducded by 1 year"/>
    <d v="2018-12-05T00:00:00"/>
  </r>
  <r>
    <x v="6"/>
    <s v="Vasquez"/>
    <s v="AL3418"/>
    <n v="11295619"/>
    <s v="KVSP-Facility A"/>
    <x v="13"/>
    <s v="DF012674A"/>
    <d v="2079-12-18T00:00:00"/>
    <d v="2018-09-18T00:00:00"/>
    <d v="2018-09-18T00:00:00"/>
    <d v="2018-09-26T00:00:00"/>
    <s v="Approved"/>
    <x v="46"/>
    <m/>
    <m/>
    <m/>
    <m/>
    <s v=""/>
    <s v=""/>
    <m/>
    <m/>
  </r>
  <r>
    <x v="6"/>
    <s v="Kinosian"/>
    <s v="AT0505"/>
    <n v="12111613"/>
    <s v="SAC-Facility A"/>
    <x v="14"/>
    <s v="SS151770A"/>
    <d v="2022-07-25T00:00:00"/>
    <d v="2018-09-18T00:00:00"/>
    <d v="2018-09-18T00:00:00"/>
    <d v="2018-09-26T00:00:00"/>
    <s v="Approved"/>
    <x v="46"/>
    <d v="2018-12-17T00:00:00"/>
    <d v="2018-11-21T00:00:00"/>
    <s v="Reduced"/>
    <n v="730"/>
    <n v="2"/>
    <n v="16518"/>
    <m/>
    <d v="2018-12-21T00:00:00"/>
  </r>
  <r>
    <x v="7"/>
    <s v="Williams"/>
    <s v="T68285"/>
    <n v="11939719"/>
    <s v="CCI - Facility E"/>
    <x v="10"/>
    <s v="SCE285275"/>
    <d v="2025-03-24T00:00:00"/>
    <d v="2019-11-04T00:00:00"/>
    <d v="2019-11-19T00:00:00"/>
    <d v="2019-11-19T00:00:00"/>
    <s v="Approved"/>
    <x v="96"/>
    <d v="2020-03-17T00:00:00"/>
    <d v="2020-03-06T00:00:00"/>
    <s v="Reduced"/>
    <n v="730.5"/>
    <n v="2.0013698630136987"/>
    <n v="16529.313698630136"/>
    <s v="term reduced by 2 years"/>
    <d v="2020-03-17T00:00:00"/>
  </r>
  <r>
    <x v="11"/>
    <s v="Elam"/>
    <s v="WA3431"/>
    <n v="11010104"/>
    <s v="CIW-Facility A"/>
    <x v="3"/>
    <s v="F06905176"/>
    <d v="2027-03-16T00:00:00"/>
    <d v="2019-05-10T00:00:00"/>
    <d v="2019-05-10T00:00:00"/>
    <d v="2019-05-17T00:00:00"/>
    <s v="Approved"/>
    <x v="57"/>
    <d v="2019-07-08T00:00:00"/>
    <d v="2019-06-19T00:00:00"/>
    <s v="No action - reason provided"/>
    <m/>
    <s v=""/>
    <s v=""/>
    <m/>
    <d v="2019-07-10T00:00:00"/>
  </r>
  <r>
    <x v="1"/>
    <s v="Navarrete"/>
    <s v="AA1819"/>
    <n v="11322516"/>
    <s v="CCI-Central Service"/>
    <x v="14"/>
    <s v="SS081056"/>
    <d v="2020-07-29T00:00:00"/>
    <d v="2018-12-14T00:00:00"/>
    <d v="2018-12-18T00:00:00"/>
    <d v="2018-12-18T00:00:00"/>
    <s v="Approved"/>
    <x v="62"/>
    <d v="2019-02-13T00:00:00"/>
    <d v="2019-02-05T00:00:00"/>
    <s v="Released"/>
    <n v="1947"/>
    <n v="5.3342465753424655"/>
    <n v="44055.542465753424"/>
    <s v="reduced by 5 years 4 months, released 02/16/2019"/>
    <d v="2019-02-13T00:00:00"/>
  </r>
  <r>
    <x v="1"/>
    <s v="Brooks"/>
    <s v="W91474"/>
    <n v="10227899"/>
    <s v="CIW-Facility A"/>
    <x v="0"/>
    <s v="BA195570"/>
    <d v="2025-10-27T00:00:00"/>
    <d v="2018-09-24T00:00:00"/>
    <d v="2018-09-25T00:00:00"/>
    <d v="2018-10-01T00:00:00"/>
    <s v="Declined"/>
    <x v="27"/>
    <m/>
    <m/>
    <m/>
    <m/>
    <s v=""/>
    <s v=""/>
    <m/>
    <m/>
  </r>
  <r>
    <x v="1"/>
    <s v="Amaro"/>
    <s v="V83580"/>
    <n v="11189016"/>
    <s v="CAC - Facility B"/>
    <x v="0"/>
    <s v="KA070281"/>
    <d v="2027-09-13T00:00:00"/>
    <d v="2019-12-17T00:00:00"/>
    <d v="2020-01-29T00:00:00"/>
    <d v="2020-02-03T00:00:00"/>
    <s v="Approved"/>
    <x v="97"/>
    <d v="2020-04-03T00:00:00"/>
    <d v="2020-03-27T00:00:00"/>
    <s v="No action - no reason specified"/>
    <m/>
    <s v=""/>
    <s v=""/>
    <m/>
    <d v="2020-04-03T00:00:00"/>
  </r>
  <r>
    <x v="1"/>
    <s v="Foust"/>
    <s v="AM9774"/>
    <n v="11306435"/>
    <s v="SATF-Facility F"/>
    <x v="2"/>
    <s v="09CF1387"/>
    <d v="2032-03-22T00:00:00"/>
    <d v="2018-09-28T00:00:00"/>
    <d v="2018-09-26T00:00:00"/>
    <d v="2018-10-03T00:00:00"/>
    <s v="Declined"/>
    <x v="27"/>
    <m/>
    <m/>
    <m/>
    <m/>
    <s v=""/>
    <s v=""/>
    <m/>
    <m/>
  </r>
  <r>
    <x v="1"/>
    <s v="Arciniega"/>
    <s v="K32992"/>
    <n v="11791934"/>
    <s v="CTF FAC D "/>
    <x v="0"/>
    <s v="BA334596 BA366063 BA333299 GA070865"/>
    <d v="2028-01-05T00:00:00"/>
    <d v="2019-08-14T00:00:00"/>
    <d v="2019-08-27T00:00:00"/>
    <d v="2019-08-27T00:00:00"/>
    <s v="Approved"/>
    <x v="98"/>
    <d v="2019-11-27T00:00:00"/>
    <d v="2019-11-15T00:00:00"/>
    <s v="No action - due to plea"/>
    <m/>
    <s v=""/>
    <s v=""/>
    <m/>
    <m/>
  </r>
  <r>
    <x v="2"/>
    <s v="Urena"/>
    <s v="G23173"/>
    <n v="11624561"/>
    <s v="SAC-Facility A"/>
    <x v="8"/>
    <s v="RIF131491"/>
    <d v="2028-11-23T00:00:00"/>
    <d v="2018-08-23T00:00:00"/>
    <d v="2018-08-23T00:00:00"/>
    <d v="2018-09-12T00:00:00"/>
    <s v="Approved"/>
    <x v="3"/>
    <d v="2019-06-27T00:00:00"/>
    <d v="2019-06-25T00:00:00"/>
    <s v="No action - no reason specified"/>
    <m/>
    <s v=""/>
    <s v=""/>
    <m/>
    <d v="2019-06-27T00:00:00"/>
  </r>
  <r>
    <x v="7"/>
    <s v="Ross"/>
    <s v="X29440"/>
    <n v="10226115"/>
    <s v="CCWF-Facility D"/>
    <x v="40"/>
    <n v="1213918"/>
    <d v="2029-07-15T00:00:00"/>
    <d v="2018-07-12T00:00:00"/>
    <d v="2018-07-26T00:00:00"/>
    <d v="2018-07-26T00:00:00"/>
    <s v="Approved"/>
    <x v="99"/>
    <d v="2019-03-07T00:00:00"/>
    <d v="2019-03-06T00:00:00"/>
    <s v="Released"/>
    <n v="6019"/>
    <n v="16.490410958904111"/>
    <n v="136194.30410958905"/>
    <s v="released on 3/12/19"/>
    <d v="2019-03-07T00:00:00"/>
  </r>
  <r>
    <x v="11"/>
    <s v="Williams"/>
    <s v="WF0366"/>
    <n v="10263148"/>
    <s v="FOL-Facility B"/>
    <x v="24"/>
    <n v="1458764"/>
    <d v="2022-06-06T00:00:00"/>
    <d v="2019-05-10T00:00:00"/>
    <d v="2019-05-10T00:00:00"/>
    <d v="2019-05-17T00:00:00"/>
    <s v="Approved"/>
    <x v="57"/>
    <d v="2019-07-22T00:00:00"/>
    <d v="2019-06-26T00:00:00"/>
    <s v="No action - reason provided"/>
    <m/>
    <s v=""/>
    <s v=""/>
    <m/>
    <d v="2019-07-22T00:00:00"/>
  </r>
  <r>
    <x v="2"/>
    <s v="Garcia"/>
    <s v="BH1933"/>
    <n v="12196639"/>
    <s v="ISP-Facility C"/>
    <x v="4"/>
    <s v="17CR-04410D"/>
    <d v="2027-01-22T00:00:00"/>
    <d v="2018-10-08T00:00:00"/>
    <d v="2018-10-11T00:00:00"/>
    <d v="2018-10-11T00:00:00"/>
    <s v="Approved"/>
    <x v="52"/>
    <m/>
    <m/>
    <m/>
    <m/>
    <s v=""/>
    <s v=""/>
    <m/>
    <m/>
  </r>
  <r>
    <x v="3"/>
    <s v="Romano"/>
    <s v="V04289"/>
    <n v="11960329"/>
    <s v="LAC-Facility C"/>
    <x v="0"/>
    <s v="BA230279"/>
    <d v="2067-01-03T00:00:00"/>
    <d v="2018-07-26T00:00:00"/>
    <d v="2018-07-26T00:00:00"/>
    <d v="2018-08-15T00:00:00"/>
    <s v="Approved"/>
    <x v="17"/>
    <d v="2019-07-08T00:00:00"/>
    <d v="2019-06-27T00:00:00"/>
    <s v="No action - reason provided"/>
    <m/>
    <s v=""/>
    <s v=""/>
    <s v="Denied as 12022.5 ran concurrent and made no impact on time imposed"/>
    <d v="2019-07-08T00:00:00"/>
  </r>
  <r>
    <x v="1"/>
    <s v="Arellano"/>
    <s v="J48386"/>
    <n v="11747656"/>
    <s v="RJD FAC D"/>
    <x v="2"/>
    <s v="98HF0128"/>
    <d v="2023-04-08T00:00:00"/>
    <d v="2019-08-20T00:00:00"/>
    <d v="2019-09-03T00:00:00"/>
    <d v="2019-09-03T00:00:00"/>
    <s v="Approved"/>
    <x v="100"/>
    <d v="2019-10-29T00:00:00"/>
    <d v="2019-10-07T00:00:00"/>
    <s v="No action - no reason specified"/>
    <m/>
    <s v=""/>
    <s v=""/>
    <m/>
    <d v="2020-03-09T00:00:00"/>
  </r>
  <r>
    <x v="2"/>
    <s v="Guzman"/>
    <s v="BG9173"/>
    <n v="12163662"/>
    <s v="NKSP-Facility B"/>
    <x v="4"/>
    <s v="17CR04410"/>
    <d v="2027-05-07T00:00:00"/>
    <d v="2018-10-08T00:00:00"/>
    <d v="2018-10-11T00:00:00"/>
    <d v="2018-10-11T00:00:00"/>
    <s v="Approved"/>
    <x v="52"/>
    <m/>
    <m/>
    <m/>
    <m/>
    <s v=""/>
    <s v=""/>
    <m/>
    <m/>
  </r>
  <r>
    <x v="2"/>
    <s v="Garcia"/>
    <s v="BG4667"/>
    <n v="11371693"/>
    <s v="KVSP-Facility B"/>
    <x v="8"/>
    <s v="INF1500923"/>
    <d v="2058-11-15T00:00:00"/>
    <d v="2018-10-08T00:00:00"/>
    <d v="2018-10-11T00:00:00"/>
    <d v="2018-10-11T00:00:00"/>
    <s v="Approved"/>
    <x v="52"/>
    <m/>
    <m/>
    <m/>
    <m/>
    <s v=""/>
    <s v=""/>
    <m/>
    <m/>
  </r>
  <r>
    <x v="3"/>
    <s v="Acosta"/>
    <s v="BF7606"/>
    <n v="12150268"/>
    <s v="CEN-Facility C"/>
    <x v="0"/>
    <s v="BA451969"/>
    <d v="2116-11-13T00:00:00"/>
    <d v="2018-10-08T00:00:00"/>
    <d v="2018-10-11T00:00:00"/>
    <d v="2018-10-11T00:00:00"/>
    <s v="Approved"/>
    <x v="52"/>
    <d v="2020-05-29T00:00:00"/>
    <d v="2020-02-27T00:00:00"/>
    <s v="Reduced"/>
    <n v="2800"/>
    <n v="7.6712328767123283"/>
    <n v="63356.712328767127"/>
    <s v="PC  12022.5 was stayed, 186.22 b dismissed"/>
    <d v="2020-06-23T00:00:00"/>
  </r>
  <r>
    <x v="5"/>
    <s v="Brown"/>
    <s v="BG0831"/>
    <n v="11641560"/>
    <s v="CMF-Facility A"/>
    <x v="18"/>
    <s v="05-170717-3"/>
    <d v="2030-08-22T00:00:00"/>
    <d v="2018-10-08T00:00:00"/>
    <d v="2018-10-11T00:00:00"/>
    <d v="2018-10-11T00:00:00"/>
    <s v="Approved"/>
    <x v="52"/>
    <m/>
    <m/>
    <m/>
    <m/>
    <s v=""/>
    <s v=""/>
    <m/>
    <m/>
  </r>
  <r>
    <x v="5"/>
    <s v="Gutierrez"/>
    <s v="AN2987"/>
    <n v="11308485"/>
    <s v="CAL-Facility B"/>
    <x v="8"/>
    <s v="INF1601397"/>
    <d v="2039-02-09T00:00:00"/>
    <d v="2018-10-08T00:00:00"/>
    <d v="2018-10-11T00:00:00"/>
    <d v="2018-10-11T00:00:00"/>
    <s v="Approved"/>
    <x v="52"/>
    <m/>
    <m/>
    <m/>
    <m/>
    <s v=""/>
    <s v=""/>
    <m/>
    <m/>
  </r>
  <r>
    <x v="5"/>
    <s v="Palomares"/>
    <s v="G66406"/>
    <n v="11651663"/>
    <s v="FOL-Facility A"/>
    <x v="0"/>
    <s v="KA114877-01"/>
    <d v="2035-02-27T00:00:00"/>
    <d v="2018-10-08T00:00:00"/>
    <d v="2018-10-11T00:00:00"/>
    <d v="2018-10-11T00:00:00"/>
    <s v="Approved"/>
    <x v="52"/>
    <d v="2019-03-25T00:00:00"/>
    <d v="2019-02-07T00:00:00"/>
    <s v="Reduced"/>
    <n v="1826"/>
    <n v="5.0027397260273974"/>
    <n v="41317.627397260272"/>
    <m/>
    <d v="2019-03-25T00:00:00"/>
  </r>
  <r>
    <x v="5"/>
    <s v="Rodriguez"/>
    <s v="BH0550"/>
    <n v="12195696"/>
    <s v="SQ-Facility A"/>
    <x v="12"/>
    <s v="C1513346"/>
    <d v="2035-10-04T00:00:00"/>
    <d v="2018-10-08T00:00:00"/>
    <d v="2018-10-11T00:00:00"/>
    <d v="2018-10-11T00:00:00"/>
    <s v="Approved"/>
    <x v="52"/>
    <d v="2019-07-11T00:00:00"/>
    <d v="2019-05-20T00:00:00"/>
    <s v="Reduced"/>
    <n v="2069.75"/>
    <n v="5.6705479452054792"/>
    <n v="46833.055479452058"/>
    <s v="reduced by 5 years 8 months"/>
    <d v="2019-07-11T00:00:00"/>
  </r>
  <r>
    <x v="5"/>
    <s v="Morales"/>
    <s v="BG6573"/>
    <n v="12193303"/>
    <s v="ISP-Facility A"/>
    <x v="8"/>
    <s v="RIF1701228"/>
    <d v="2030-02-21T00:00:00"/>
    <d v="2018-10-08T00:00:00"/>
    <d v="2018-10-11T00:00:00"/>
    <d v="2018-10-11T00:00:00"/>
    <s v="Approved"/>
    <x v="52"/>
    <m/>
    <m/>
    <m/>
    <m/>
    <s v=""/>
    <s v=""/>
    <m/>
    <m/>
  </r>
  <r>
    <x v="5"/>
    <s v="Acevedo"/>
    <s v="BF4942"/>
    <n v="12185772"/>
    <s v="RJD-Facility A"/>
    <x v="0"/>
    <s v="BA459754-01"/>
    <d v="2032-10-26T00:00:00"/>
    <d v="2018-10-08T00:00:00"/>
    <d v="2018-10-11T00:00:00"/>
    <d v="2018-10-11T00:00:00"/>
    <s v="Approved"/>
    <x v="52"/>
    <d v="2019-02-08T00:00:00"/>
    <d v="2019-01-24T00:00:00"/>
    <s v="Reduced"/>
    <n v="1826"/>
    <n v="5.0027397260273974"/>
    <n v="41317.627397260272"/>
    <s v="reduced by 5 years"/>
    <d v="2019-02-08T00:00:00"/>
  </r>
  <r>
    <x v="1"/>
    <s v="Casillas "/>
    <s v="G30749"/>
    <n v="11629172"/>
    <s v="VSP-Facility B "/>
    <x v="10"/>
    <n v="11629172"/>
    <d v="2025-07-10T00:00:00"/>
    <d v="2018-10-10T00:00:00"/>
    <d v="2018-10-24T00:00:00"/>
    <d v="2018-10-25T00:00:00"/>
    <s v="Declined"/>
    <x v="27"/>
    <m/>
    <m/>
    <m/>
    <m/>
    <s v=""/>
    <s v=""/>
    <m/>
    <m/>
  </r>
  <r>
    <x v="1"/>
    <s v="Day"/>
    <s v="AB8854"/>
    <n v="11051991"/>
    <s v="SOL-Facility D"/>
    <x v="0"/>
    <s v="GA076835"/>
    <d v="2033-11-14T00:00:00"/>
    <d v="2018-09-24T00:00:00"/>
    <d v="2018-09-24T00:00:00"/>
    <d v="2018-09-24T00:00:00"/>
    <s v="Approved"/>
    <x v="101"/>
    <d v="2019-07-18T00:00:00"/>
    <d v="2019-06-27T00:00:00"/>
    <s v="No action - no reason specified"/>
    <m/>
    <s v=""/>
    <s v=""/>
    <m/>
    <d v="2019-07-18T00:00:00"/>
  </r>
  <r>
    <x v="11"/>
    <s v="Tarantino"/>
    <s v="AV9769"/>
    <n v="11054543"/>
    <s v="SCC-Bautista Camp"/>
    <x v="2"/>
    <s v="13WF2693"/>
    <d v="2020-11-22T00:00:00"/>
    <d v="2019-05-16T00:00:00"/>
    <d v="2019-05-16T00:00:00"/>
    <d v="2019-06-13T00:00:00"/>
    <s v="Approved"/>
    <x v="88"/>
    <d v="2019-07-05T00:00:00"/>
    <d v="2019-06-27T00:00:00"/>
    <s v="No action - due to plea"/>
    <m/>
    <s v=""/>
    <s v=""/>
    <m/>
    <d v="2019-07-05T00:00:00"/>
  </r>
  <r>
    <x v="11"/>
    <s v="Gomez"/>
    <s v="AT7798"/>
    <n v="11255092"/>
    <s v="CCI-Facility E"/>
    <x v="9"/>
    <s v="FSB1202970"/>
    <d v="2021-01-07T00:00:00"/>
    <d v="2019-05-30T00:00:00"/>
    <d v="2019-05-30T00:00:00"/>
    <d v="2019-06-13T00:00:00"/>
    <s v="Approved"/>
    <x v="88"/>
    <d v="2019-07-11T00:00:00"/>
    <d v="2019-06-28T00:00:00"/>
    <s v="No action - no reason specified"/>
    <m/>
    <s v=""/>
    <s v=""/>
    <m/>
    <d v="2019-07-17T00:00:00"/>
  </r>
  <r>
    <x v="3"/>
    <s v="Galvan"/>
    <s v="BG2693"/>
    <n v="12190859"/>
    <s v="CMC-Facility A"/>
    <x v="15"/>
    <n v="2018002360"/>
    <d v="2030-11-19T00:00:00"/>
    <d v="2018-10-11T00:00:00"/>
    <d v="2018-10-11T00:00:00"/>
    <d v="2018-10-03T00:00:00"/>
    <s v="Approved"/>
    <x v="52"/>
    <m/>
    <m/>
    <m/>
    <m/>
    <s v=""/>
    <s v=""/>
    <m/>
    <m/>
  </r>
  <r>
    <x v="3"/>
    <s v="Gama"/>
    <s v="BG2813"/>
    <n v="12190954"/>
    <s v="PBSP-Facility D"/>
    <x v="18"/>
    <s v="05-131067-1"/>
    <d v="2022-12-31T00:00:00"/>
    <d v="2018-10-11T00:00:00"/>
    <d v="2018-10-11T00:00:00"/>
    <d v="2018-10-11T00:00:00"/>
    <s v="Approved"/>
    <x v="52"/>
    <m/>
    <m/>
    <m/>
    <m/>
    <s v=""/>
    <s v=""/>
    <m/>
    <m/>
  </r>
  <r>
    <x v="3"/>
    <s v="Solis"/>
    <s v="BG1589"/>
    <n v="12190163"/>
    <s v="CEN-Facility B"/>
    <x v="0"/>
    <s v="BA442133-02"/>
    <d v="2119-08-08T00:00:00"/>
    <d v="2018-10-11T00:00:00"/>
    <d v="2018-10-11T00:00:00"/>
    <d v="2018-10-11T00:00:00"/>
    <s v="Approved"/>
    <x v="52"/>
    <m/>
    <m/>
    <m/>
    <m/>
    <s v=""/>
    <s v=""/>
    <m/>
    <m/>
  </r>
  <r>
    <x v="11"/>
    <s v="Diaz"/>
    <s v="AN2057"/>
    <n v="11291140"/>
    <s v="CEN-Facility C"/>
    <x v="1"/>
    <s v="FCR290514"/>
    <d v="2027-07-11T00:00:00"/>
    <d v="2019-05-30T00:00:00"/>
    <d v="2019-05-30T00:00:00"/>
    <d v="2019-07-02T00:00:00"/>
    <s v="Declined"/>
    <x v="27"/>
    <m/>
    <m/>
    <m/>
    <m/>
    <s v=""/>
    <s v=""/>
    <m/>
    <m/>
  </r>
  <r>
    <x v="5"/>
    <s v="Lewis"/>
    <s v="AL4322"/>
    <n v="11260776"/>
    <s v="LAC-Facility D"/>
    <x v="13"/>
    <s v="BF123070C"/>
    <d v="2057-12-26T00:00:00"/>
    <d v="2018-07-18T00:00:00"/>
    <d v="2018-07-20T00:00:00"/>
    <d v="2018-08-01T00:00:00"/>
    <s v="Approved"/>
    <x v="38"/>
    <m/>
    <d v="2020-03-17T00:00:00"/>
    <s v="Pending Court (Date in Notes)"/>
    <m/>
    <s v=""/>
    <s v=""/>
    <m/>
    <m/>
  </r>
  <r>
    <x v="11"/>
    <s v="Chavez"/>
    <s v="AP4404"/>
    <n v="11258810"/>
    <s v="CTF-Facility D"/>
    <x v="0"/>
    <s v="VA117928"/>
    <d v="2024-10-11T00:00:00"/>
    <d v="2019-05-30T00:00:00"/>
    <d v="2019-05-30T00:00:00"/>
    <d v="2019-06-13T00:00:00"/>
    <s v="Approved"/>
    <x v="88"/>
    <d v="2019-07-18T00:00:00"/>
    <d v="2019-06-28T00:00:00"/>
    <s v="No action - reason provided"/>
    <m/>
    <s v=""/>
    <s v=""/>
    <m/>
    <d v="2019-07-18T00:00:00"/>
  </r>
  <r>
    <x v="11"/>
    <s v="Axberg"/>
    <s v="AR1877"/>
    <n v="11752902"/>
    <s v="SCC-Facility A"/>
    <x v="0"/>
    <s v="MA056336"/>
    <d v="2024-09-22T00:00:00"/>
    <d v="2019-01-15T00:00:00"/>
    <d v="2019-05-08T00:00:00"/>
    <d v="2019-05-17T00:00:00"/>
    <s v="Approved"/>
    <x v="95"/>
    <d v="2019-07-22T00:00:00"/>
    <d v="2019-07-01T00:00:00"/>
    <s v="No action - no reason specified"/>
    <m/>
    <s v=""/>
    <s v=""/>
    <m/>
    <d v="2019-07-22T00:00:00"/>
  </r>
  <r>
    <x v="1"/>
    <s v="Walton "/>
    <s v="X16146"/>
    <n v="11024281"/>
    <s v="CIW-Facility A "/>
    <x v="8"/>
    <s v="SWF024443"/>
    <d v="2030-12-14T00:00:00"/>
    <d v="2018-10-11T00:00:00"/>
    <d v="2018-10-22T00:00:00"/>
    <d v="2018-10-22T00:00:00"/>
    <s v="Approved"/>
    <x v="58"/>
    <d v="2019-03-21T00:00:00"/>
    <d v="2019-03-13T00:00:00"/>
    <s v="Reduced"/>
    <n v="3652"/>
    <n v="10.005479452054795"/>
    <n v="82635.254794520544"/>
    <s v="reduced by 10 years 186.22 ps"/>
    <d v="2019-03-21T00:00:00"/>
  </r>
  <r>
    <x v="1"/>
    <s v="Soto"/>
    <s v="BA7523"/>
    <n v="12157191"/>
    <s v="MCCF- Shafter"/>
    <x v="0"/>
    <s v="KA111455"/>
    <d v="2027-04-02T00:00:00"/>
    <d v="2018-10-23T00:00:00"/>
    <d v="2018-11-06T00:00:00"/>
    <d v="2018-11-06T00:00:00"/>
    <s v="Approved"/>
    <x v="1"/>
    <d v="2019-03-11T00:00:00"/>
    <d v="2019-03-07T00:00:00"/>
    <s v="No action - reason provided"/>
    <m/>
    <s v=""/>
    <s v=""/>
    <m/>
    <d v="2019-03-11T00:00:00"/>
  </r>
  <r>
    <x v="0"/>
    <s v="Singh"/>
    <s v="P91172"/>
    <n v="11895161"/>
    <s v="CMC-Facility E"/>
    <x v="2"/>
    <s v="99NF3030"/>
    <d v="2028-12-01T00:00:00"/>
    <d v="2018-10-25T00:00:00"/>
    <d v="2018-10-30T00:00:00"/>
    <d v="2018-11-06T00:00:00"/>
    <s v="Approved"/>
    <x v="1"/>
    <d v="2019-03-25T00:00:00"/>
    <d v="2018-12-24T00:00:00"/>
    <s v="Commuted"/>
    <m/>
    <s v=""/>
    <s v=""/>
    <s v="Govenor commuted sentence from 32y to life to 20y to life new date of 4/27/2019"/>
    <d v="2019-03-25T00:00:00"/>
  </r>
  <r>
    <x v="7"/>
    <s v="Cristobal"/>
    <s v="V78614"/>
    <n v="12004145"/>
    <s v="CTF-Facility B SNY"/>
    <x v="0"/>
    <s v="PA044991-01"/>
    <d v="2026-02-21T00:00:00"/>
    <d v="2019-02-20T00:00:00"/>
    <d v="2019-02-28T00:00:00"/>
    <d v="2019-02-28T00:00:00"/>
    <s v="Approved"/>
    <x v="75"/>
    <d v="2019-07-08T00:00:00"/>
    <d v="2019-07-01T00:00:00"/>
    <s v="No action - no reason specified"/>
    <m/>
    <s v=""/>
    <s v=""/>
    <m/>
    <d v="2019-07-09T00:00:00"/>
  </r>
  <r>
    <x v="11"/>
    <s v="Myers"/>
    <s v="AC7960"/>
    <n v="11055203"/>
    <s v="PRMCCF-Central Valley"/>
    <x v="0"/>
    <s v="MA056625"/>
    <d v="2028-03-05T00:00:00"/>
    <d v="2019-05-16T00:00:00"/>
    <d v="2019-05-16T00:00:00"/>
    <d v="2019-06-18T00:00:00"/>
    <s v="Approved"/>
    <x v="102"/>
    <d v="2019-07-22T00:00:00"/>
    <d v="2019-07-01T00:00:00"/>
    <s v="No action - no reason specified"/>
    <m/>
    <s v=""/>
    <s v=""/>
    <m/>
    <d v="2019-07-22T00:00:00"/>
  </r>
  <r>
    <x v="11"/>
    <s v="Alvidrez"/>
    <s v="AV6893"/>
    <n v="11744474"/>
    <s v="PUMCCF-Shafter"/>
    <x v="0"/>
    <s v="MA059617"/>
    <d v="2026-09-06T00:00:00"/>
    <d v="2019-01-15T00:00:00"/>
    <d v="2019-05-08T00:00:00"/>
    <d v="2019-05-17T00:00:00"/>
    <s v="Approved"/>
    <x v="95"/>
    <d v="2019-10-15T00:00:00"/>
    <d v="2019-09-25T00:00:00"/>
    <s v="No action - reason provided"/>
    <m/>
    <s v=""/>
    <s v=""/>
    <s v="Court finds it is not in the interest of justice"/>
    <d v="2019-10-15T00:00:00"/>
  </r>
  <r>
    <x v="4"/>
    <s v="Madera"/>
    <s v="F07813"/>
    <n v="11553550"/>
    <s v="RJD-Facility C"/>
    <x v="2"/>
    <s v="06WF3312"/>
    <d v="2019-07-20T00:00:00"/>
    <d v="2018-10-26T00:00:00"/>
    <d v="2018-10-26T00:00:00"/>
    <d v="2018-10-31T00:00:00"/>
    <s v="Approved"/>
    <x v="56"/>
    <m/>
    <m/>
    <m/>
    <m/>
    <s v=""/>
    <s v=""/>
    <m/>
    <m/>
  </r>
  <r>
    <x v="4"/>
    <s v="Lopez"/>
    <s v="AB3617"/>
    <n v="11330014"/>
    <s v="SVSP-Facility D"/>
    <x v="12"/>
    <s v="CC767952"/>
    <d v="2044-09-04T00:00:00"/>
    <d v="2018-10-26T00:00:00"/>
    <d v="2018-10-26T00:00:00"/>
    <d v="2018-10-31T00:00:00"/>
    <s v="Approved"/>
    <x v="56"/>
    <d v="2019-10-21T00:00:00"/>
    <d v="2019-09-23T00:00:00"/>
    <s v="Reduced"/>
    <n v="1364"/>
    <n v="3.7369863013698632"/>
    <n v="30863.769863013698"/>
    <m/>
    <d v="2019-11-05T00:00:00"/>
  </r>
  <r>
    <x v="4"/>
    <s v="Cano"/>
    <s v="AV2021"/>
    <n v="11348935"/>
    <s v="COR-Facility 03A"/>
    <x v="9"/>
    <s v="FWV1300577"/>
    <d v="2025-02-08T00:00:00"/>
    <d v="2018-10-26T00:00:00"/>
    <d v="2018-10-26T00:00:00"/>
    <d v="2018-10-31T00:00:00"/>
    <s v="Approved"/>
    <x v="56"/>
    <m/>
    <m/>
    <m/>
    <m/>
    <s v=""/>
    <s v=""/>
    <m/>
    <m/>
  </r>
  <r>
    <x v="7"/>
    <s v="Frazier"/>
    <s v="X30874"/>
    <n v="10256225"/>
    <s v="CCWF FAC C"/>
    <x v="0"/>
    <s v="BA331474"/>
    <d v="2026-10-23T00:00:00"/>
    <d v="2019-05-22T00:00:00"/>
    <d v="2019-05-29T00:00:00"/>
    <d v="2019-05-29T00:00:00"/>
    <s v="Approved"/>
    <x v="103"/>
    <d v="2019-07-17T00:00:00"/>
    <d v="2019-07-03T00:00:00"/>
    <s v="No action - no reason specified"/>
    <m/>
    <s v=""/>
    <s v=""/>
    <m/>
    <d v="2019-07-17T00:00:00"/>
  </r>
  <r>
    <x v="1"/>
    <s v="Arellano"/>
    <s v="AL3483"/>
    <n v="12004572"/>
    <s v="CAL - Facility D"/>
    <x v="0"/>
    <s v="LA066707"/>
    <d v="2039-01-15T00:00:00"/>
    <d v="2020-10-15T00:00:00"/>
    <d v="2020-10-23T00:00:00"/>
    <d v="2020-11-09T00:00:00"/>
    <s v="Approved"/>
    <x v="104"/>
    <m/>
    <m/>
    <m/>
    <m/>
    <s v=""/>
    <s v=""/>
    <m/>
    <m/>
  </r>
  <r>
    <x v="1"/>
    <s v="Artega"/>
    <s v="AM1586"/>
    <n v="11301285"/>
    <s v="RJD - Facility A"/>
    <x v="21"/>
    <s v="MF034958"/>
    <d v="2023-11-30T00:00:00"/>
    <d v="2021-03-01T00:00:00"/>
    <d v="2021-03-12T00:00:00"/>
    <d v="2021-03-16T00:00:00"/>
    <s v="Approved"/>
    <x v="105"/>
    <m/>
    <m/>
    <m/>
    <m/>
    <s v=""/>
    <s v=""/>
    <m/>
    <m/>
  </r>
  <r>
    <x v="1"/>
    <s v="Wood"/>
    <s v="X27537"/>
    <n v="10261691"/>
    <s v="CIW-Facility A"/>
    <x v="10"/>
    <s v="SCD207311"/>
    <d v="2020-10-12T00:00:00"/>
    <d v="2018-10-01T00:00:00"/>
    <d v="2018-10-02T00:00:00"/>
    <d v="2018-10-03T00:00:00"/>
    <s v="Approved"/>
    <x v="67"/>
    <d v="2019-03-29T00:00:00"/>
    <d v="2019-03-13T00:00:00"/>
    <s v="Released"/>
    <n v="3652"/>
    <n v="10.005479452054795"/>
    <n v="82635.254794520544"/>
    <s v="reduced by 10 years, released 04/05/2019"/>
    <d v="2019-03-29T00:00:00"/>
  </r>
  <r>
    <x v="1"/>
    <s v="Piggie"/>
    <s v="WF0763"/>
    <n v="12123180"/>
    <s v="CCWF-Facility C"/>
    <x v="3"/>
    <s v="F14903969"/>
    <d v="2026-05-07T00:00:00"/>
    <d v="2018-10-31T00:00:00"/>
    <d v="2018-10-30T00:00:00"/>
    <d v="2018-11-06T00:00:00"/>
    <s v="Declined"/>
    <x v="27"/>
    <m/>
    <m/>
    <m/>
    <m/>
    <s v=""/>
    <s v=""/>
    <m/>
    <m/>
  </r>
  <r>
    <x v="1"/>
    <s v="Austin"/>
    <s v="BD2069"/>
    <n v="12171865"/>
    <s v="HDSP-Facility B"/>
    <x v="0"/>
    <s v="MA062046"/>
    <d v="2044-10-23T00:00:00"/>
    <d v="2018-12-31T00:00:00"/>
    <d v="2019-01-04T00:00:00"/>
    <d v="2019-01-04T00:00:00"/>
    <s v="Approved"/>
    <x v="89"/>
    <m/>
    <m/>
    <m/>
    <m/>
    <s v=""/>
    <s v=""/>
    <m/>
    <m/>
  </r>
  <r>
    <x v="1"/>
    <s v="Avalos"/>
    <s v="AE1184"/>
    <n v="11347410"/>
    <s v="SCC Level III SNY"/>
    <x v="3"/>
    <s v="F13900807"/>
    <d v="2033-03-10T00:00:00"/>
    <d v="2019-01-14T00:00:00"/>
    <d v="2019-01-15T00:00:00"/>
    <d v="2019-01-23T00:00:00"/>
    <s v="Approved"/>
    <x v="106"/>
    <d v="2019-07-22T00:00:00"/>
    <d v="2019-07-11T00:00:00"/>
    <s v="No action - reason provided"/>
    <m/>
    <s v=""/>
    <s v=""/>
    <s v="Would not have exercised such discretion"/>
    <d v="2019-07-22T00:00:00"/>
  </r>
  <r>
    <x v="11"/>
    <s v="Black"/>
    <s v="AH1704"/>
    <n v="11070966"/>
    <s v="MCSP-Facility B"/>
    <x v="0"/>
    <s v="PA056470"/>
    <d v="2032-09-29T00:00:00"/>
    <d v="2019-06-04T00:00:00"/>
    <d v="2019-06-04T00:00:00"/>
    <d v="2019-07-02T00:00:00"/>
    <s v="Approved"/>
    <x v="107"/>
    <d v="2019-07-22T00:00:00"/>
    <d v="2019-07-12T00:00:00"/>
    <s v="No action - no reason specified"/>
    <m/>
    <s v=""/>
    <s v=""/>
    <m/>
    <d v="2019-07-23T00:00:00"/>
  </r>
  <r>
    <x v="6"/>
    <s v="Dale"/>
    <s v="P52359"/>
    <n v="11874025"/>
    <s v="CCI-Facility A"/>
    <x v="3"/>
    <s v="16CM1025E"/>
    <d v="2021-01-07T00:00:00"/>
    <d v="2020-01-08T00:00:00"/>
    <d v="2020-01-08T00:00:00"/>
    <d v="2020-01-10T00:00:00"/>
    <s v="Approved"/>
    <x v="108"/>
    <m/>
    <m/>
    <m/>
    <m/>
    <s v=""/>
    <s v=""/>
    <s v="Active parole"/>
    <d v="2020-04-03T00:00:00"/>
  </r>
  <r>
    <x v="2"/>
    <s v="Rogers"/>
    <s v="V13939"/>
    <n v="11965992"/>
    <s v="SCC-Facility B"/>
    <x v="12"/>
    <s v="CC062329"/>
    <d v="2019-10-15T00:00:00"/>
    <d v="2018-11-06T00:00:00"/>
    <d v="2018-11-09T00:00:00"/>
    <d v="2018-11-21T00:00:00"/>
    <s v="Approved"/>
    <x v="63"/>
    <d v="2020-02-06T00:00:00"/>
    <d v="2020-01-31T00:00:00"/>
    <s v="Released"/>
    <n v="365"/>
    <n v="1"/>
    <n v="8259"/>
    <s v="Paroled prior to resentencing"/>
    <d v="2020-02-07T00:00:00"/>
  </r>
  <r>
    <x v="3"/>
    <s v="Medina"/>
    <s v="AC9562"/>
    <n v="11340033"/>
    <s v="CVSP-Facility C"/>
    <x v="13"/>
    <s v="DF008726B"/>
    <d v="2020-06-04T00:00:00"/>
    <d v="2018-02-05T00:00:00"/>
    <d v="2018-04-12T00:00:00"/>
    <d v="2018-04-17T00:00:00"/>
    <s v="Approved"/>
    <x v="10"/>
    <m/>
    <m/>
    <m/>
    <m/>
    <s v=""/>
    <s v=""/>
    <s v="Active Parole 12/18/2019 issue moot"/>
    <d v="2020-10-30T00:00:00"/>
  </r>
  <r>
    <x v="2"/>
    <s v="Trejo"/>
    <s v="G14764"/>
    <n v="11619179"/>
    <s v="PRMCCF-Central Valley"/>
    <x v="0"/>
    <s v="BA309468"/>
    <d v="2019-09-20T00:00:00"/>
    <d v="2018-11-08T00:00:00"/>
    <d v="2018-11-09T00:00:00"/>
    <d v="2018-11-21T00:00:00"/>
    <s v="Approved"/>
    <x v="63"/>
    <d v="2019-01-24T00:00:00"/>
    <d v="2019-01-16T00:00:00"/>
    <s v="Released"/>
    <n v="1095"/>
    <n v="3"/>
    <n v="24777"/>
    <s v="reduced by 3 years, overdue released 03/14/2019"/>
    <d v="2019-03-13T00:00:00"/>
  </r>
  <r>
    <x v="3"/>
    <s v="Anaya"/>
    <s v="AZ6849"/>
    <n v="12150789"/>
    <s v="ISP-Facility D"/>
    <x v="10"/>
    <s v="SCE351772"/>
    <d v="2033-12-04T00:00:00"/>
    <d v="2018-11-09T00:00:00"/>
    <d v="2018-11-13T00:00:00"/>
    <m/>
    <s v="Approved"/>
    <x v="63"/>
    <m/>
    <m/>
    <m/>
    <m/>
    <s v=""/>
    <s v=""/>
    <s v="12022.7 (s) "/>
    <m/>
  </r>
  <r>
    <x v="3"/>
    <s v="Felix"/>
    <s v="AZ9726"/>
    <n v="12152539"/>
    <s v="SATF-Facility C"/>
    <x v="11"/>
    <s v="VCF318418"/>
    <d v="2029-05-11T00:00:00"/>
    <d v="2018-11-09T00:00:00"/>
    <d v="2018-11-13T00:00:00"/>
    <m/>
    <s v="Approved"/>
    <x v="63"/>
    <d v="2019-03-07T00:00:00"/>
    <d v="2019-02-26T00:00:00"/>
    <s v="No reduction - AOJ corrected"/>
    <m/>
    <s v=""/>
    <s v=""/>
    <s v="12022.7 (s) Term restructured "/>
    <d v="2019-03-07T00:00:00"/>
  </r>
  <r>
    <x v="7"/>
    <s v="Salas"/>
    <s v="P59721"/>
    <n v="11878059"/>
    <s v="VSP-Facility D"/>
    <x v="0"/>
    <s v="BA182622"/>
    <d v="2021-03-03T00:00:00"/>
    <d v="2018-06-11T00:00:00"/>
    <d v="2018-06-11T00:00:00"/>
    <d v="2018-06-11T00:00:00"/>
    <s v="Approved"/>
    <x v="109"/>
    <d v="2019-04-02T00:00:00"/>
    <d v="2019-04-02T00:00:00"/>
    <s v="Reduced"/>
    <n v="365"/>
    <n v="1"/>
    <n v="8259"/>
    <s v="reduced by 1 year"/>
    <d v="2019-04-09T00:00:00"/>
  </r>
  <r>
    <x v="11"/>
    <s v="Boulden"/>
    <s v="P28446"/>
    <n v="11860962"/>
    <s v="SATF-Facility B"/>
    <x v="8"/>
    <s v="SWF1300445"/>
    <d v="2033-06-01T00:00:00"/>
    <d v="2019-05-31T00:00:00"/>
    <d v="2019-05-31T00:00:00"/>
    <d v="2019-06-25T00:00:00"/>
    <s v="Approved"/>
    <x v="110"/>
    <d v="2019-08-08T00:00:00"/>
    <d v="2019-07-15T00:00:00"/>
    <s v="No action - no reason specified"/>
    <m/>
    <s v=""/>
    <s v=""/>
    <m/>
    <d v="2019-08-08T00:00:00"/>
  </r>
  <r>
    <x v="1"/>
    <s v="Valle"/>
    <s v="WE6527"/>
    <n v="11313822"/>
    <s v="CCWF"/>
    <x v="17"/>
    <s v="12F04506"/>
    <d v="2023-03-27T00:00:00"/>
    <d v="2018-11-13T00:00:00"/>
    <d v="2018-11-17T00:00:00"/>
    <d v="2018-11-17T00:00:00"/>
    <s v="Declined"/>
    <x v="27"/>
    <m/>
    <m/>
    <m/>
    <m/>
    <s v=""/>
    <s v=""/>
    <m/>
    <m/>
  </r>
  <r>
    <x v="1"/>
    <s v="Carranza"/>
    <s v="AM6042"/>
    <n v="11304093"/>
    <s v="ASP"/>
    <x v="17"/>
    <s v="12F01034"/>
    <d v="2021-10-16T00:00:00"/>
    <d v="2018-11-28T00:00:00"/>
    <d v="2018-11-30T00:00:00"/>
    <d v="2018-12-03T00:00:00"/>
    <s v="Approved"/>
    <x v="111"/>
    <d v="2019-12-10T00:00:00"/>
    <d v="2019-11-12T00:00:00"/>
    <s v="No action - no reason specified"/>
    <m/>
    <s v=""/>
    <s v=""/>
    <s v="Per the institution Sac Superior court will send the Minute Order once they order the file"/>
    <d v="2020-01-16T00:00:00"/>
  </r>
  <r>
    <x v="1"/>
    <s v="Humes"/>
    <s v="AN6994"/>
    <n v="11189732"/>
    <s v="LAC-Facility A"/>
    <x v="8"/>
    <s v="SWF028727"/>
    <d v="2037-09-01T00:00:00"/>
    <d v="2018-11-13T00:00:00"/>
    <d v="2018-11-17T00:00:00"/>
    <d v="2018-11-17T00:00:00"/>
    <s v="Approved"/>
    <x v="60"/>
    <m/>
    <m/>
    <m/>
    <m/>
    <s v=""/>
    <s v=""/>
    <m/>
    <m/>
  </r>
  <r>
    <x v="1"/>
    <s v="Garcia"/>
    <s v="G33899"/>
    <n v="11221509"/>
    <s v="MCCF Golden State"/>
    <x v="2"/>
    <s v="07CF3925"/>
    <d v="2023-06-16T00:00:00"/>
    <d v="2018-11-13T00:00:00"/>
    <d v="2018-11-16T00:00:00"/>
    <d v="2018-11-16T00:00:00"/>
    <s v="Approved"/>
    <x v="60"/>
    <m/>
    <m/>
    <m/>
    <m/>
    <s v=""/>
    <s v=""/>
    <m/>
    <m/>
  </r>
  <r>
    <x v="5"/>
    <s v="Bin"/>
    <s v="G36037"/>
    <n v="11632532"/>
    <s v="ASP-Facility F"/>
    <x v="24"/>
    <n v="1097581"/>
    <d v="2039-08-04T00:00:00"/>
    <d v="2018-07-18T00:00:00"/>
    <d v="2018-07-20T00:00:00"/>
    <d v="2018-07-25T00:00:00"/>
    <s v="Approved"/>
    <x v="40"/>
    <d v="2019-08-21T00:00:00"/>
    <d v="2019-08-08T00:00:00"/>
    <s v="Reduced"/>
    <n v="7691"/>
    <n v="21.07123287671233"/>
    <n v="174027.31232876712"/>
    <m/>
    <d v="2019-08-22T00:00:00"/>
  </r>
  <r>
    <x v="4"/>
    <s v="Hurtado"/>
    <s v="G29031"/>
    <n v="11628142"/>
    <s v="COR-Facility 04A"/>
    <x v="20"/>
    <s v="H41196"/>
    <d v="2039-03-04T00:00:00"/>
    <d v="2018-10-26T00:00:00"/>
    <d v="2018-10-26T00:00:00"/>
    <d v="2018-10-31T00:00:00"/>
    <s v="Approved"/>
    <x v="56"/>
    <d v="2018-08-28T00:00:00"/>
    <d v="2019-07-16T00:00:00"/>
    <s v="No action - no reason specified"/>
    <m/>
    <s v=""/>
    <s v=""/>
    <s v="court declined to modify sentence"/>
    <d v="2019-08-28T00:00:00"/>
  </r>
  <r>
    <x v="1"/>
    <s v="Pillsbury"/>
    <s v="AS3812"/>
    <n v="12107767"/>
    <s v="VSP-Facility C"/>
    <x v="17"/>
    <s v="12F07593"/>
    <d v="2023-05-08T00:00:00"/>
    <d v="2018-11-15T00:00:00"/>
    <d v="2018-11-27T00:00:00"/>
    <d v="2018-11-27T00:00:00"/>
    <s v="Approved"/>
    <x v="60"/>
    <m/>
    <m/>
    <m/>
    <m/>
    <s v=""/>
    <s v=""/>
    <s v="paroled by BPH "/>
    <d v="2021-05-03T00:00:00"/>
  </r>
  <r>
    <x v="11"/>
    <s v="Williams"/>
    <s v="P53136"/>
    <n v="11270432"/>
    <s v="VSP-Facility D"/>
    <x v="2"/>
    <s v="11NF0843"/>
    <d v="2023-05-11T00:00:00"/>
    <d v="2019-05-30T00:00:00"/>
    <d v="2019-05-31T00:00:00"/>
    <d v="2019-07-02T00:00:00"/>
    <s v="Approved"/>
    <x v="55"/>
    <d v="2019-07-19T00:00:00"/>
    <d v="2019-07-16T00:00:00"/>
    <s v="No action - no reason specified"/>
    <m/>
    <s v=""/>
    <s v=""/>
    <m/>
    <d v="2019-07-19T00:00:00"/>
  </r>
  <r>
    <x v="11"/>
    <s v="Maye"/>
    <s v="AU3737"/>
    <n v="11225141"/>
    <s v="CMF-MSF"/>
    <x v="9"/>
    <s v="FVI1303049"/>
    <d v="2020-05-25T00:00:00"/>
    <d v="2019-05-09T00:00:00"/>
    <d v="2019-05-09T00:00:00"/>
    <d v="2019-06-11T00:00:00"/>
    <s v="Approved"/>
    <x v="88"/>
    <d v="2019-08-06T00:00:00"/>
    <d v="2019-07-19T00:00:00"/>
    <s v="No action - no reason specified"/>
    <m/>
    <s v=""/>
    <s v=""/>
    <m/>
    <d v="2019-08-07T00:00:00"/>
  </r>
  <r>
    <x v="1"/>
    <s v="Castillo"/>
    <s v="T58319"/>
    <n v="11246941"/>
    <s v="CHCF"/>
    <x v="10"/>
    <s v="SCD159581/SCD159938"/>
    <d v="2027-08-15T00:00:00"/>
    <d v="2018-11-26T00:00:00"/>
    <d v="2018-11-28T00:00:00"/>
    <d v="2018-11-28T00:00:00"/>
    <s v="Declined"/>
    <x v="27"/>
    <m/>
    <m/>
    <m/>
    <m/>
    <s v=""/>
    <s v=""/>
    <m/>
    <m/>
  </r>
  <r>
    <x v="3"/>
    <s v="Eguiluz"/>
    <s v="F99858"/>
    <n v="11609954"/>
    <s v="SATF-Facility B"/>
    <x v="0"/>
    <s v="SA058161"/>
    <d v="2022-10-26T00:00:00"/>
    <d v="2018-06-11T00:00:00"/>
    <d v="2018-06-12T00:00:00"/>
    <d v="2018-06-27T00:00:00"/>
    <s v="Approved"/>
    <x v="16"/>
    <d v="2019-11-08T00:00:00"/>
    <d v="2019-10-02T00:00:00"/>
    <s v="Reduced"/>
    <n v="365"/>
    <n v="1"/>
    <n v="8259"/>
    <m/>
    <d v="2019-11-25T00:00:00"/>
  </r>
  <r>
    <x v="11"/>
    <s v="Garcia"/>
    <s v="AH0721"/>
    <n v="11070589"/>
    <s v="VSP-Facility C"/>
    <x v="9"/>
    <s v="FMB900221"/>
    <d v="2023-01-20T00:00:00"/>
    <d v="2019-06-04T00:00:00"/>
    <d v="2019-06-04T00:00:00"/>
    <d v="2019-07-02T00:00:00"/>
    <s v="Approved"/>
    <x v="107"/>
    <d v="2019-07-31T00:00:00"/>
    <d v="2019-07-23T00:00:00"/>
    <s v="No action - no reason specified"/>
    <m/>
    <s v=""/>
    <s v=""/>
    <m/>
    <d v="2019-08-02T00:00:00"/>
  </r>
  <r>
    <x v="7"/>
    <s v="Perry"/>
    <s v="E82042"/>
    <n v="1186770"/>
    <s v="MCSP-Facility C"/>
    <x v="26"/>
    <s v="04CR7025 - SC54993"/>
    <d v="2030-09-24T00:00:00"/>
    <d v="2019-02-07T00:00:00"/>
    <d v="2019-02-20T00:00:00"/>
    <d v="2019-02-20T00:00:00"/>
    <s v="Approved"/>
    <x v="81"/>
    <d v="2019-04-26T00:00:00"/>
    <d v="2019-04-26T00:00:00"/>
    <s v="Released"/>
    <n v="4165"/>
    <n v="11.41095890410959"/>
    <n v="94243.109589041094"/>
    <s v="reduced/released 4/30/2019"/>
    <d v="2019-05-01T00:00:00"/>
  </r>
  <r>
    <x v="11"/>
    <s v="Hill"/>
    <s v="AU7359"/>
    <n v="11861293"/>
    <s v="CAC-Facility C"/>
    <x v="0"/>
    <s v="KA102950"/>
    <d v="2022-09-04T00:00:00"/>
    <d v="2019-05-31T00:00:00"/>
    <d v="2019-05-31T00:00:00"/>
    <d v="2019-06-25T00:00:00"/>
    <s v="Approved"/>
    <x v="54"/>
    <d v="2019-07-30T00:00:00"/>
    <d v="2019-07-24T00:00:00"/>
    <s v="No action - no reason specified"/>
    <m/>
    <s v=""/>
    <s v=""/>
    <m/>
    <d v="2019-08-07T00:00:00"/>
  </r>
  <r>
    <x v="7"/>
    <s v="Topper "/>
    <s v="K94377"/>
    <n v="11167965"/>
    <s v="SATF-Facility B"/>
    <x v="14"/>
    <s v="SS972294"/>
    <d v="2042-09-30T00:00:00"/>
    <d v="2018-12-20T00:00:00"/>
    <d v="2019-01-23T00:00:00"/>
    <d v="2019-01-25T00:00:00"/>
    <s v="Approved"/>
    <x v="106"/>
    <d v="2019-05-17T00:00:00"/>
    <d v="2019-05-07T00:00:00"/>
    <s v="Reduced"/>
    <n v="991"/>
    <n v="2.7150684931506848"/>
    <n v="22423.750684931507"/>
    <s v="Paroled 06/07/2019"/>
    <d v="2019-05-17T00:00:00"/>
  </r>
  <r>
    <x v="7"/>
    <s v="Taylor"/>
    <s v="C87324"/>
    <n v="11443939"/>
    <s v="FOL"/>
    <x v="0"/>
    <s v="KA021660"/>
    <d v="2040-06-25T00:00:00"/>
    <d v="2018-09-03T00:00:00"/>
    <d v="2018-09-07T00:00:00"/>
    <d v="2018-09-10T00:00:00"/>
    <s v="Approved"/>
    <x v="91"/>
    <d v="2019-05-21T00:00:00"/>
    <d v="2019-05-10T00:00:00"/>
    <s v="Reduced"/>
    <n v="6095"/>
    <n v="16.698630136986303"/>
    <n v="137913.98630136988"/>
    <m/>
    <d v="2019-05-23T00:00:00"/>
  </r>
  <r>
    <x v="1"/>
    <s v="Alderette"/>
    <s v="AS3929"/>
    <n v="12107915"/>
    <s v="LAC-Facility C"/>
    <x v="21"/>
    <s v="SF118089"/>
    <d v="2023-08-05T00:00:00"/>
    <d v="2018-12-19T00:00:00"/>
    <d v="2018-12-21T00:00:00"/>
    <d v="2018-12-24T00:00:00"/>
    <s v="Declined"/>
    <x v="27"/>
    <m/>
    <m/>
    <m/>
    <m/>
    <s v=""/>
    <s v=""/>
    <m/>
    <m/>
  </r>
  <r>
    <x v="1"/>
    <s v="Avina"/>
    <s v="AE2185"/>
    <n v="11347964"/>
    <s v="VSP-C"/>
    <x v="8"/>
    <s v="INF054992"/>
    <d v="2078-10-16T00:00:00"/>
    <d v="2019-01-09T00:00:00"/>
    <d v="2019-01-14T00:00:00"/>
    <d v="2019-01-14T00:00:00"/>
    <s v="Approved"/>
    <x v="112"/>
    <d v="2019-09-03T00:00:00"/>
    <d v="2019-08-27T00:00:00"/>
    <s v="Reduced"/>
    <n v="18262.5"/>
    <n v="50.034246575342465"/>
    <n v="413232.84246575343"/>
    <m/>
    <d v="2019-09-03T00:00:00"/>
  </r>
  <r>
    <x v="1"/>
    <s v="Urbano"/>
    <s v="AG3229"/>
    <n v="11360905"/>
    <s v="CCI-Facility E"/>
    <x v="6"/>
    <n v="102734"/>
    <d v="2020-05-31T00:00:00"/>
    <d v="2018-12-19T00:00:00"/>
    <d v="2018-12-29T00:00:00"/>
    <d v="2018-12-29T00:00:00"/>
    <s v="Approved"/>
    <x v="66"/>
    <d v="2021-03-17T00:00:00"/>
    <d v="2019-03-15T00:00:00"/>
    <s v="Released"/>
    <n v="165"/>
    <n v="0.45205479452054792"/>
    <n v="3733.5205479452056"/>
    <s v="Released"/>
    <d v="2021-03-17T00:00:00"/>
  </r>
  <r>
    <x v="1"/>
    <s v="Dirden"/>
    <s v="AL0824"/>
    <n v="11280596"/>
    <s v="CIM-Facility A"/>
    <x v="8"/>
    <s v="RIF10004205"/>
    <d v="2027-09-29T00:00:00"/>
    <d v="2018-12-19T00:00:00"/>
    <d v="2018-12-21T00:00:00"/>
    <d v="2018-12-24T00:00:00"/>
    <s v="Approved"/>
    <x v="62"/>
    <m/>
    <m/>
    <m/>
    <m/>
    <s v=""/>
    <s v=""/>
    <m/>
    <m/>
  </r>
  <r>
    <x v="1"/>
    <s v="Faria "/>
    <s v="AK9553"/>
    <n v="11279644"/>
    <s v="ASP-Facility C"/>
    <x v="0"/>
    <s v="BA366634"/>
    <d v="2024-01-26T00:00:00"/>
    <d v="2018-12-20T00:00:00"/>
    <d v="2018-12-21T00:00:00"/>
    <d v="2018-12-21T00:00:00"/>
    <s v="Approved"/>
    <x v="62"/>
    <d v="2020-02-24T00:00:00"/>
    <d v="2020-02-06T00:00:00"/>
    <s v="Released"/>
    <n v="1449"/>
    <n v="3.9698630136986299"/>
    <n v="32787.098630136985"/>
    <s v="Reduced and will release on 2/28/2020"/>
    <d v="2020-02-25T00:00:00"/>
  </r>
  <r>
    <x v="1"/>
    <s v="Shea"/>
    <s v="WF1952"/>
    <n v="12131227"/>
    <s v="CCWF-Facility B"/>
    <x v="17"/>
    <s v="13F07165"/>
    <d v="2024-04-08T00:00:00"/>
    <d v="2018-08-22T00:00:00"/>
    <d v="2018-08-27T00:00:00"/>
    <d v="2018-08-27T00:00:00"/>
    <s v="Approved"/>
    <x v="2"/>
    <d v="2019-05-24T00:00:00"/>
    <d v="2019-05-22T00:00:00"/>
    <s v="Released"/>
    <n v="3652"/>
    <n v="10.005479452054795"/>
    <n v="82635.254794520544"/>
    <s v="reduced by 10 years 12022.53 (d) stricken, released 05/25/2019"/>
    <d v="2019-05-24T00:00:00"/>
  </r>
  <r>
    <x v="1"/>
    <s v="Mondragon"/>
    <s v="F12788"/>
    <n v="11194603"/>
    <s v="CIM-Facility D "/>
    <x v="2"/>
    <s v="08WF0760"/>
    <d v="2022-06-01T00:00:00"/>
    <d v="2018-12-20T00:00:00"/>
    <d v="2018-12-21T00:00:00"/>
    <d v="2018-12-21T00:00:00"/>
    <s v="Approved"/>
    <x v="62"/>
    <m/>
    <m/>
    <m/>
    <m/>
    <s v=""/>
    <s v=""/>
    <s v="Released per 1170 €"/>
    <d v="2021-03-17T00:00:00"/>
  </r>
  <r>
    <x v="7"/>
    <s v="Wortham"/>
    <s v="P82065"/>
    <n v="11085220"/>
    <s v="CTF-Facility C"/>
    <x v="20"/>
    <n v="137640"/>
    <d v="2030-03-22T00:00:00"/>
    <d v="2019-03-06T00:00:00"/>
    <d v="2019-03-13T00:00:00"/>
    <d v="2019-03-13T00:00:00"/>
    <s v="Approved"/>
    <x v="113"/>
    <d v="2019-05-28T00:00:00"/>
    <d v="2019-05-23T00:00:00"/>
    <s v="Released"/>
    <n v="67"/>
    <n v="0.18356164383561643"/>
    <n v="1516.0356164383561"/>
    <s v="released 06/05/2019"/>
    <d v="2019-05-31T00:00:00"/>
  </r>
  <r>
    <x v="11"/>
    <s v="Ahquin"/>
    <s v="AP9061"/>
    <n v="11882156"/>
    <s v="VSP-Facility A"/>
    <x v="0"/>
    <s v="YA083017"/>
    <d v="2020-12-19T00:00:00"/>
    <d v="2019-06-26T00:00:00"/>
    <d v="2019-06-26T00:00:00"/>
    <d v="2019-07-29T00:00:00"/>
    <s v="Approved"/>
    <x v="114"/>
    <d v="2019-09-18T00:00:00"/>
    <d v="2019-09-17T00:00:00"/>
    <s v="Reduced"/>
    <n v="1826"/>
    <n v="5.0027397260273974"/>
    <n v="41317.627397260272"/>
    <s v="reduced by 5 years"/>
    <d v="2019-09-19T00:00:00"/>
  </r>
  <r>
    <x v="11"/>
    <s v="Gonzalez"/>
    <s v="P58314"/>
    <n v="11877282"/>
    <s v="HDSP-Facility A "/>
    <x v="37"/>
    <s v="SC056655"/>
    <d v="2034-07-25T00:00:00"/>
    <d v="2019-05-31T00:00:00"/>
    <d v="2019-05-31T00:00:00"/>
    <d v="2019-06-25T00:00:00"/>
    <s v="Approved"/>
    <x v="54"/>
    <d v="2019-07-31T00:00:00"/>
    <d v="2019-07-29T00:00:00"/>
    <s v="No action - reason provided"/>
    <m/>
    <s v=""/>
    <s v=""/>
    <m/>
    <d v="2019-08-08T00:00:00"/>
  </r>
  <r>
    <x v="1"/>
    <s v="Wimberly"/>
    <s v="AP2295"/>
    <n v="11314117"/>
    <s v="CMC-Facility G"/>
    <x v="0"/>
    <s v="VA127079"/>
    <d v="2025-11-17T00:00:00"/>
    <d v="2018-12-21T00:00:00"/>
    <d v="2018-12-21T00:00:00"/>
    <d v="2018-12-24T00:00:00"/>
    <s v="Declined"/>
    <x v="27"/>
    <m/>
    <m/>
    <m/>
    <m/>
    <s v=""/>
    <s v=""/>
    <m/>
    <m/>
  </r>
  <r>
    <x v="1"/>
    <s v="Tyson "/>
    <s v="BF2830"/>
    <n v="11353801"/>
    <s v="CAL-Facility B"/>
    <x v="0"/>
    <s v="VA144863"/>
    <d v="2030-06-28T00:00:00"/>
    <d v="2018-12-21T00:00:00"/>
    <d v="2018-12-21T00:00:00"/>
    <d v="2018-12-24T00:00:00"/>
    <s v="Declined"/>
    <x v="27"/>
    <m/>
    <m/>
    <m/>
    <m/>
    <s v=""/>
    <s v=""/>
    <m/>
    <m/>
  </r>
  <r>
    <x v="1"/>
    <s v="Byrd "/>
    <s v="AG0359"/>
    <n v="11359129"/>
    <s v="FOL-Facility A"/>
    <x v="17"/>
    <s v="10F02783"/>
    <d v="2021-05-15T00:00:00"/>
    <d v="2018-12-27T00:00:00"/>
    <d v="2019-01-14T00:00:00"/>
    <d v="2019-01-14T00:00:00"/>
    <s v="Declined"/>
    <x v="27"/>
    <m/>
    <m/>
    <m/>
    <m/>
    <s v=""/>
    <s v=""/>
    <m/>
    <m/>
  </r>
  <r>
    <x v="1"/>
    <s v="Avina"/>
    <s v="V12711"/>
    <n v="11965255"/>
    <s v="KVSP - Facility D"/>
    <x v="0"/>
    <s v="PA062154"/>
    <d v="2029-11-06T00:00:00"/>
    <d v="2020-10-08T00:00:00"/>
    <d v="2020-11-04T00:00:00"/>
    <d v="2020-11-09T00:00:00"/>
    <s v="Approved"/>
    <x v="104"/>
    <d v="2021-03-04T00:00:00"/>
    <d v="2021-02-24T00:00:00"/>
    <s v="Reduced"/>
    <n v="1826"/>
    <n v="5.0027397260273974"/>
    <n v="41317.627397260272"/>
    <s v="reduced by 5 years"/>
    <d v="2021-03-08T00:00:00"/>
  </r>
  <r>
    <x v="1"/>
    <s v="Badillo"/>
    <s v="AY6903"/>
    <n v="12144754"/>
    <s v="VSP - Facility B"/>
    <x v="21"/>
    <s v="CRFE20157401"/>
    <d v="2026-03-02T00:00:00"/>
    <d v="2021-03-01T00:00:00"/>
    <d v="2021-03-24T00:00:00"/>
    <d v="2021-03-26T00:00:00"/>
    <s v="Approved"/>
    <x v="115"/>
    <d v="2021-09-16T00:00:00"/>
    <d v="2021-08-24T00:00:00"/>
    <s v="No action - no reason specified"/>
    <m/>
    <s v=""/>
    <s v=""/>
    <m/>
    <d v="2021-09-16T00:00:00"/>
  </r>
  <r>
    <x v="1"/>
    <s v="Baines"/>
    <s v="G48486"/>
    <s v="00G48486"/>
    <s v="SATF FAC B"/>
    <x v="0"/>
    <s v="NA092104"/>
    <d v="2030-06-28T00:00:00"/>
    <d v="2019-05-08T00:00:00"/>
    <d v="2019-05-08T00:00:00"/>
    <d v="2019-05-08T00:00:00"/>
    <s v="Approved"/>
    <x v="70"/>
    <d v="2019-11-19T00:00:00"/>
    <d v="2019-10-30T00:00:00"/>
    <s v="No action - no reason specified"/>
    <m/>
    <s v=""/>
    <s v=""/>
    <m/>
    <d v="2019-11-19T00:00:00"/>
  </r>
  <r>
    <x v="11"/>
    <s v="McNutt"/>
    <s v="AM1023"/>
    <n v="11673106"/>
    <s v="VSP-Facility B"/>
    <x v="9"/>
    <s v="FVI700226"/>
    <d v="2046-04-07T00:00:00"/>
    <d v="2019-01-04T00:00:00"/>
    <d v="2019-12-05T00:00:00"/>
    <d v="2020-01-09T00:00:00"/>
    <s v="Approved"/>
    <x v="76"/>
    <m/>
    <m/>
    <m/>
    <m/>
    <s v=""/>
    <s v=""/>
    <m/>
    <m/>
  </r>
  <r>
    <x v="11"/>
    <s v="Stamper"/>
    <s v="AP3252"/>
    <n v="11696208"/>
    <s v="CVSP-Facility B"/>
    <x v="0"/>
    <s v="NA094476"/>
    <d v="2022-01-23T00:00:00"/>
    <d v="2019-01-04T00:00:00"/>
    <d v="2019-12-12T00:00:00"/>
    <d v="2020-03-09T00:00:00"/>
    <s v="Approved"/>
    <x v="116"/>
    <d v="2020-07-07T00:00:00"/>
    <d v="2020-06-22T00:00:00"/>
    <s v="No action - no reason specified"/>
    <m/>
    <s v=""/>
    <s v=""/>
    <m/>
    <d v="2020-07-07T00:00:00"/>
  </r>
  <r>
    <x v="11"/>
    <s v="Hunt"/>
    <s v="G03155"/>
    <n v="11612004"/>
    <s v="CIM-Facility D "/>
    <x v="10"/>
    <s v="SCN31827/SCN320832"/>
    <d v="2023-04-08T00:00:00"/>
    <d v="2019-01-04T00:00:00"/>
    <d v="2019-12-12T00:00:00"/>
    <d v="2020-03-09T00:00:00"/>
    <s v="Declined"/>
    <x v="27"/>
    <m/>
    <m/>
    <m/>
    <m/>
    <s v=""/>
    <s v=""/>
    <m/>
    <m/>
  </r>
  <r>
    <x v="11"/>
    <s v="Gonzalez"/>
    <s v="P58314"/>
    <n v="11877282"/>
    <s v="HDSP-Facility A "/>
    <x v="13"/>
    <s v="BF140820A"/>
    <d v="2034-07-25T00:00:00"/>
    <d v="2019-05-31T00:00:00"/>
    <d v="2019-05-31T00:00:00"/>
    <d v="2019-06-25T00:00:00"/>
    <s v="Approved"/>
    <x v="110"/>
    <d v="2019-08-06T00:00:00"/>
    <d v="2019-07-29T00:00:00"/>
    <s v="No action - reason provided"/>
    <m/>
    <s v=""/>
    <s v=""/>
    <m/>
    <d v="2019-08-07T00:00:00"/>
  </r>
  <r>
    <x v="11"/>
    <s v="Schlesinger"/>
    <s v="BD5931"/>
    <n v="11622240"/>
    <s v="LAC-Facility A"/>
    <x v="0"/>
    <s v="BA402009"/>
    <d v="2077-01-31T00:00:00"/>
    <d v="2019-01-04T00:00:00"/>
    <d v="2019-04-24T00:00:00"/>
    <d v="2019-04-26T00:00:00"/>
    <s v="Declined"/>
    <x v="27"/>
    <m/>
    <m/>
    <m/>
    <m/>
    <s v=""/>
    <s v=""/>
    <m/>
    <m/>
  </r>
  <r>
    <x v="11"/>
    <s v="Ortiz"/>
    <s v="AW0193"/>
    <n v="11238623"/>
    <s v="PVSP-Facility A"/>
    <x v="0"/>
    <s v="MA059369"/>
    <d v="2025-12-31T00:00:00"/>
    <d v="2019-05-09T00:00:00"/>
    <d v="2019-05-09T00:00:00"/>
    <d v="2019-06-11T00:00:00"/>
    <s v="Approved"/>
    <x v="88"/>
    <d v="2019-08-23T00:00:00"/>
    <d v="2019-07-31T00:00:00"/>
    <s v="No action - reason provided"/>
    <m/>
    <s v=""/>
    <s v=""/>
    <m/>
    <d v="2019-08-23T00:00:00"/>
  </r>
  <r>
    <x v="11"/>
    <s v="Rhodes"/>
    <s v="BA5807"/>
    <n v="11679565"/>
    <s v="MCSP-Facility C"/>
    <x v="12"/>
    <s v="C1351929"/>
    <d v="2037-10-08T00:00:00"/>
    <d v="2019-01-04T00:00:00"/>
    <d v="2019-12-05T00:00:00"/>
    <d v="2020-01-09T00:00:00"/>
    <s v="Approved"/>
    <x v="76"/>
    <m/>
    <m/>
    <m/>
    <m/>
    <s v=""/>
    <s v=""/>
    <m/>
    <m/>
  </r>
  <r>
    <x v="11"/>
    <s v="Jordan"/>
    <s v="AP9523"/>
    <n v="11688084"/>
    <s v="CRC-Facility B"/>
    <x v="0"/>
    <s v="MA056027"/>
    <d v="2024-02-11T00:00:00"/>
    <d v="2019-01-04T00:00:00"/>
    <d v="2019-04-24T00:00:00"/>
    <d v="2019-04-26T00:00:00"/>
    <s v="Declined"/>
    <x v="27"/>
    <m/>
    <m/>
    <m/>
    <m/>
    <s v=""/>
    <s v=""/>
    <m/>
    <m/>
  </r>
  <r>
    <x v="11"/>
    <s v="Souza"/>
    <s v="AP8462"/>
    <n v="11720470"/>
    <s v="CVSP-Facility A"/>
    <x v="11"/>
    <s v="VCF261002"/>
    <d v="2021-07-21T00:00:00"/>
    <d v="2019-01-04T00:00:00"/>
    <d v="2019-05-08T00:00:00"/>
    <d v="2019-05-17T00:00:00"/>
    <s v="Approved"/>
    <x v="95"/>
    <m/>
    <m/>
    <m/>
    <m/>
    <s v=""/>
    <s v=""/>
    <s v="Paroled on 11/12/2019"/>
    <d v="2020-04-13T00:00:00"/>
  </r>
  <r>
    <x v="1"/>
    <s v="Kenney"/>
    <s v="V06773"/>
    <n v="11239167"/>
    <s v="CTF"/>
    <x v="17"/>
    <s v="01F03583"/>
    <d v="2026-11-23T00:00:00"/>
    <d v="2018-11-13T00:00:00"/>
    <d v="2018-11-16T00:00:00"/>
    <d v="2018-11-16T00:00:00"/>
    <s v="Approved"/>
    <x v="60"/>
    <d v="2019-05-31T00:00:00"/>
    <d v="2019-05-10T00:00:00"/>
    <s v="Reduced"/>
    <n v="2434"/>
    <n v="6.6684931506849319"/>
    <n v="55075.084931506848"/>
    <m/>
    <d v="2019-05-31T00:00:00"/>
  </r>
  <r>
    <x v="7"/>
    <s v="Birch"/>
    <s v="J53333"/>
    <s v="00J53333"/>
    <s v="SQ-Facility A"/>
    <x v="17"/>
    <s v="94F08004"/>
    <d v="2026-09-23T00:00:00"/>
    <d v="2019-02-25T00:00:00"/>
    <d v="2019-03-06T00:00:00"/>
    <d v="2019-03-06T00:00:00"/>
    <s v="Approved"/>
    <x v="75"/>
    <d v="2019-05-31T00:00:00"/>
    <d v="2019-05-23T00:00:00"/>
    <s v="Released"/>
    <n v="4462"/>
    <n v="12.224657534246575"/>
    <n v="100963.44657534247"/>
    <s v="released on 5/31/2019"/>
    <d v="2019-05-31T00:00:00"/>
  </r>
  <r>
    <x v="11"/>
    <s v="Anderson"/>
    <s v="P75681"/>
    <n v="11886723"/>
    <s v="CCI-Facility E"/>
    <x v="31"/>
    <s v="13F5143"/>
    <d v="2023-12-18T00:00:00"/>
    <d v="2019-06-07T00:00:00"/>
    <d v="2019-06-07T00:00:00"/>
    <d v="2019-07-17T00:00:00"/>
    <s v="Approved"/>
    <x v="117"/>
    <d v="2019-08-05T00:00:00"/>
    <d v="2019-07-31T00:00:00"/>
    <s v="No action - reason provided"/>
    <m/>
    <s v=""/>
    <s v=""/>
    <s v="No mitigating Factors to justify a lessor sentence"/>
    <d v="2019-08-05T00:00:00"/>
  </r>
  <r>
    <x v="1"/>
    <s v="Castellanos"/>
    <s v="AC6538"/>
    <n v="11338137"/>
    <s v="CVSP-MSF"/>
    <x v="11"/>
    <s v="VCF215254"/>
    <d v="2022-12-27T00:00:00"/>
    <d v="2019-01-09T00:00:00"/>
    <d v="2019-01-14T00:00:00"/>
    <m/>
    <s v="Declined"/>
    <x v="27"/>
    <m/>
    <m/>
    <m/>
    <m/>
    <s v=""/>
    <s v=""/>
    <m/>
    <m/>
  </r>
  <r>
    <x v="7"/>
    <s v="Ramos"/>
    <s v="T86444"/>
    <n v="11950168"/>
    <s v="LAC-Facility A"/>
    <x v="0"/>
    <s v="KA057535"/>
    <d v="2054-08-15T00:00:00"/>
    <d v="2018-08-02T00:00:00"/>
    <d v="2018-08-03T00:00:00"/>
    <d v="2018-08-16T00:00:00"/>
    <s v="Approved"/>
    <x v="118"/>
    <d v="2020-02-14T00:00:00"/>
    <d v="2019-11-05T00:00:00"/>
    <s v="No action - no reason specified"/>
    <m/>
    <s v=""/>
    <s v=""/>
    <m/>
    <d v="2020-02-14T00:00:00"/>
  </r>
  <r>
    <x v="1"/>
    <s v="Woodmore"/>
    <s v="AG4661"/>
    <n v="11361723"/>
    <s v="SQ-Facility A "/>
    <x v="9"/>
    <s v="FV1802606"/>
    <d v="2032-04-23T00:00:00"/>
    <d v="2019-01-09T00:00:00"/>
    <d v="2019-01-14T00:00:00"/>
    <d v="2019-01-25T00:00:00"/>
    <s v="Declined"/>
    <x v="27"/>
    <m/>
    <m/>
    <m/>
    <m/>
    <s v=""/>
    <s v=""/>
    <m/>
    <m/>
  </r>
  <r>
    <x v="1"/>
    <s v="McKissic"/>
    <s v="AG6041"/>
    <n v="11362588"/>
    <s v="PUMCCF-Shafter"/>
    <x v="0"/>
    <s v="VA115047"/>
    <d v="2024-02-02T00:00:00"/>
    <d v="2019-01-09T00:00:00"/>
    <d v="2019-01-14T00:00:00"/>
    <d v="2019-01-25T00:00:00"/>
    <s v="Declined"/>
    <x v="27"/>
    <m/>
    <m/>
    <m/>
    <m/>
    <s v=""/>
    <s v=""/>
    <m/>
    <m/>
  </r>
  <r>
    <x v="1"/>
    <s v="Balderrama"/>
    <s v="V08237"/>
    <n v="11088530"/>
    <s v="RJD - Facility A"/>
    <x v="12"/>
    <s v="CC244958"/>
    <d v="2022-12-30T00:00:00"/>
    <d v="2021-03-01T00:00:00"/>
    <d v="2021-03-12T00:00:00"/>
    <d v="2021-03-16T00:00:00"/>
    <s v="Approved"/>
    <x v="119"/>
    <d v="2021-05-10T00:00:00"/>
    <d v="2021-02-18T00:00:00"/>
    <s v="Reduced"/>
    <n v="1826"/>
    <n v="5.0027397260273974"/>
    <n v="41317.627397260272"/>
    <s v="Release date change 6/5/21"/>
    <d v="2021-05-10T00:00:00"/>
  </r>
  <r>
    <x v="11"/>
    <s v="Hernandez"/>
    <s v="AX0388"/>
    <n v="11589278"/>
    <s v="CAL-Facility C"/>
    <x v="0"/>
    <s v="BA425644"/>
    <d v="2029-08-31T00:00:00"/>
    <d v="2019-06-24T00:00:00"/>
    <d v="2019-06-25T00:00:00"/>
    <d v="2019-07-29T00:00:00"/>
    <s v="Declined"/>
    <x v="27"/>
    <m/>
    <m/>
    <m/>
    <m/>
    <s v=""/>
    <s v=""/>
    <m/>
    <m/>
  </r>
  <r>
    <x v="11"/>
    <s v="Ramirez"/>
    <s v="AN5046"/>
    <n v="11747625"/>
    <s v="CTF-Facility C"/>
    <x v="9"/>
    <s v="FSB1201482"/>
    <d v="2022-11-15T00:00:00"/>
    <d v="2019-01-15T00:00:00"/>
    <d v="2019-05-08T00:00:00"/>
    <d v="2019-05-17T00:00:00"/>
    <s v="Approved"/>
    <x v="95"/>
    <d v="2019-08-09T00:00:00"/>
    <d v="2019-07-19T00:00:00"/>
    <s v="No action - no reason specified"/>
    <m/>
    <s v=""/>
    <s v=""/>
    <m/>
    <d v="2020-04-13T00:00:00"/>
  </r>
  <r>
    <x v="11"/>
    <s v="Goldbaum"/>
    <s v="AN8996"/>
    <n v="11312191"/>
    <s v="SCC-Facility B"/>
    <x v="10"/>
    <s v="SCN297637"/>
    <d v="2029-02-06T00:00:00"/>
    <d v="2019-06-07T00:00:00"/>
    <d v="2019-06-07T00:00:00"/>
    <d v="2019-07-17T00:00:00"/>
    <s v="Approved"/>
    <x v="64"/>
    <d v="2019-08-22T00:00:00"/>
    <d v="2019-07-31T00:00:00"/>
    <s v="No action - no reason specified"/>
    <m/>
    <s v=""/>
    <s v=""/>
    <m/>
    <d v="2019-08-22T00:00:00"/>
  </r>
  <r>
    <x v="11"/>
    <s v="Lawson Jr."/>
    <s v="AT9238"/>
    <n v="11750751"/>
    <s v="ISP-Facility A"/>
    <x v="8"/>
    <s v="INF1203166"/>
    <d v="2052-03-11T00:00:00"/>
    <d v="2019-01-15T00:00:00"/>
    <d v="2019-05-08T00:00:00"/>
    <d v="2019-05-17T00:00:00"/>
    <s v="Approved"/>
    <x v="95"/>
    <d v="2020-03-16T00:00:00"/>
    <d v="2020-03-10T00:00:00"/>
    <s v="No action - no reason specified"/>
    <m/>
    <s v=""/>
    <s v=""/>
    <m/>
    <d v="2020-04-01T00:00:00"/>
  </r>
  <r>
    <x v="7"/>
    <s v="Artola "/>
    <s v="E09958"/>
    <n v="11503587"/>
    <s v="FOL-Facility A"/>
    <x v="0"/>
    <s v="BA097414"/>
    <d v="2020-11-13T00:00:00"/>
    <d v="2019-01-24T00:00:00"/>
    <d v="2019-01-23T00:00:00"/>
    <d v="2019-02-11T00:00:00"/>
    <s v="Approved"/>
    <x v="120"/>
    <d v="2019-11-20T00:00:00"/>
    <d v="2019-10-03T00:00:00"/>
    <s v="Released"/>
    <n v="357"/>
    <n v="0.9780821917808219"/>
    <n v="8077.9808219178085"/>
    <s v="released 11/22/19"/>
    <d v="2019-11-25T00:00:00"/>
  </r>
  <r>
    <x v="11"/>
    <s v="Selitto"/>
    <s v="AX7928"/>
    <n v="11776472"/>
    <s v="CIM-Facility A"/>
    <x v="2"/>
    <s v="13WF1475"/>
    <d v="2032-04-20T00:00:00"/>
    <d v="2019-01-15T00:00:00"/>
    <d v="2019-05-15T00:00:00"/>
    <d v="2019-06-04T00:00:00"/>
    <s v="Approved"/>
    <x v="95"/>
    <d v="2020-10-05T00:00:00"/>
    <d v="2020-06-05T00:00:00"/>
    <s v="No action - reason provided"/>
    <m/>
    <s v=""/>
    <s v=""/>
    <s v="NCD - 06/05/2020"/>
    <d v="2020-10-29T00:00:00"/>
  </r>
  <r>
    <x v="11"/>
    <s v="Shank"/>
    <s v="BA9849"/>
    <n v="11724103"/>
    <s v="NKSP-Facility D"/>
    <x v="1"/>
    <s v="VCR217230"/>
    <d v="2027-07-25T00:00:00"/>
    <d v="2019-01-15T00:00:00"/>
    <d v="2019-05-08T00:00:00"/>
    <d v="2019-05-17T00:00:00"/>
    <s v="Declined"/>
    <x v="27"/>
    <m/>
    <m/>
    <m/>
    <m/>
    <s v=""/>
    <s v=""/>
    <m/>
    <m/>
  </r>
  <r>
    <x v="11"/>
    <s v="Deloney"/>
    <s v="BB2988"/>
    <n v="11752794"/>
    <s v="CAC-Facility C"/>
    <x v="13"/>
    <s v="BF147375 A"/>
    <d v="2025-12-19T00:00:00"/>
    <d v="2019-01-15T00:00:00"/>
    <d v="2019-05-08T00:00:00"/>
    <d v="2019-05-17T00:00:00"/>
    <s v="Declined"/>
    <x v="27"/>
    <m/>
    <m/>
    <m/>
    <m/>
    <s v=""/>
    <s v=""/>
    <m/>
    <m/>
  </r>
  <r>
    <x v="11"/>
    <s v="Porter"/>
    <s v="BD0163"/>
    <n v="11728304"/>
    <s v="CEN-AD SEG"/>
    <x v="0"/>
    <s v="BA406056"/>
    <d v="2029-07-26T00:00:00"/>
    <d v="2019-01-15T00:00:00"/>
    <d v="2019-05-08T00:00:00"/>
    <d v="2019-05-17T00:00:00"/>
    <s v="Approved"/>
    <x v="95"/>
    <d v="2019-10-10T00:00:00"/>
    <d v="2019-09-27T00:00:00"/>
    <s v="Reduced"/>
    <n v="3652"/>
    <n v="10.005479452054795"/>
    <n v="82635.254794520544"/>
    <s v="reduced  by 10 years"/>
    <d v="2019-10-10T00:00:00"/>
  </r>
  <r>
    <x v="5"/>
    <s v="Williams"/>
    <s v="AL4327"/>
    <n v="11296282"/>
    <s v="RJD-Facility B"/>
    <x v="13"/>
    <s v="BF123070B"/>
    <d v="2052-06-21T00:00:00"/>
    <d v="2018-07-18T00:00:00"/>
    <d v="2018-07-20T00:00:00"/>
    <d v="2018-08-01T00:00:00"/>
    <s v="Approved"/>
    <x v="38"/>
    <m/>
    <d v="2021-04-28T00:00:00"/>
    <s v="Pending Court (Date in Notes)"/>
    <m/>
    <s v=""/>
    <s v=""/>
    <m/>
    <m/>
  </r>
  <r>
    <x v="11"/>
    <s v="Cox"/>
    <s v="G12804"/>
    <n v="11216886"/>
    <s v="KVSP-Facility A"/>
    <x v="2"/>
    <s v="06WF2987"/>
    <d v="2030-07-24T00:00:00"/>
    <d v="2019-05-07T00:00:00"/>
    <d v="2019-05-07T00:00:00"/>
    <d v="2019-05-17T00:00:00"/>
    <s v="Approved"/>
    <x v="57"/>
    <d v="2021-08-04T00:00:00"/>
    <d v="2021-10-16T00:00:00"/>
    <s v="No action - no reason specified"/>
    <m/>
    <s v=""/>
    <s v=""/>
    <s v="NCD - 03/18/2020 - Court follow up on 03/27/2020, Courts are closed due to COVID-19/Per Maria, Attorney Clerk II, gang division 714-834-3600... on 10/16/2020 petition for resentence was denied on case #06WF2987.  On 12/10/2020 case was closed. _x000a_"/>
    <d v="2021-08-04T00:00:00"/>
  </r>
  <r>
    <x v="1"/>
    <s v="Wiley"/>
    <s v="AF0404"/>
    <s v="00AF0404"/>
    <s v="SCC Level I"/>
    <x v="0"/>
    <s v="BA354809"/>
    <d v="2021-02-27T00:00:00"/>
    <d v="2019-01-17T00:00:00"/>
    <d v="2019-01-31T00:00:00"/>
    <d v="2019-01-31T00:00:00"/>
    <s v="Declined"/>
    <x v="27"/>
    <m/>
    <m/>
    <m/>
    <m/>
    <s v=""/>
    <s v=""/>
    <m/>
    <m/>
  </r>
  <r>
    <x v="11"/>
    <s v="Faulkner"/>
    <s v="AN0405"/>
    <n v="11784171"/>
    <s v="RJD-Facility A"/>
    <x v="10"/>
    <s v="SCS256806"/>
    <d v="2031-06-22T00:00:00"/>
    <d v="2019-01-18T00:00:00"/>
    <d v="2019-05-15T00:00:00"/>
    <d v="2019-06-04T00:00:00"/>
    <s v="Approved"/>
    <x v="95"/>
    <m/>
    <m/>
    <m/>
    <m/>
    <s v=""/>
    <s v=""/>
    <m/>
    <m/>
  </r>
  <r>
    <x v="11"/>
    <s v="Topete"/>
    <s v="AH9110"/>
    <n v="11073409"/>
    <s v="ASP-Facility B"/>
    <x v="0"/>
    <s v="YA078845"/>
    <d v="2033-09-16T00:00:00"/>
    <d v="2019-06-24T00:00:00"/>
    <d v="2019-06-24T00:00:00"/>
    <d v="2019-07-17T00:00:00"/>
    <s v="Approved"/>
    <x v="64"/>
    <d v="2019-08-22T00:00:00"/>
    <d v="2019-08-05T00:00:00"/>
    <s v="No action - reason provided"/>
    <m/>
    <s v=""/>
    <s v=""/>
    <m/>
    <d v="2019-08-22T00:00:00"/>
  </r>
  <r>
    <x v="11"/>
    <s v="Page"/>
    <s v="AP5268"/>
    <n v="11783650"/>
    <s v="VSP-Facility B"/>
    <x v="31"/>
    <s v="13F2986/10-0369"/>
    <d v="2029-08-31T00:00:00"/>
    <d v="2019-01-18T00:00:00"/>
    <d v="2019-05-15T00:00:00"/>
    <d v="2019-06-04T00:00:00"/>
    <s v="Declined"/>
    <x v="27"/>
    <m/>
    <m/>
    <m/>
    <m/>
    <s v=""/>
    <s v=""/>
    <m/>
    <m/>
  </r>
  <r>
    <x v="11"/>
    <s v="Adams"/>
    <s v="AP9718"/>
    <n v="11793207"/>
    <s v="FOL-Facility A"/>
    <x v="17"/>
    <s v="12F05245"/>
    <d v="2033-01-07T00:00:00"/>
    <d v="2019-01-18T00:00:00"/>
    <d v="2019-05-15T00:00:00"/>
    <d v="2019-06-04T00:00:00"/>
    <s v="Declined"/>
    <x v="27"/>
    <m/>
    <m/>
    <m/>
    <m/>
    <s v=""/>
    <s v=""/>
    <m/>
    <m/>
  </r>
  <r>
    <x v="11"/>
    <s v="Bates"/>
    <s v="AS6597"/>
    <n v="11780180"/>
    <s v="CCI-Facility C"/>
    <x v="0"/>
    <s v="VA122627"/>
    <d v="2055-06-11T00:00:00"/>
    <d v="2019-01-18T00:00:00"/>
    <d v="2019-05-15T00:00:00"/>
    <d v="2019-06-04T00:00:00"/>
    <s v="Declined"/>
    <x v="27"/>
    <m/>
    <m/>
    <m/>
    <m/>
    <s v=""/>
    <s v=""/>
    <m/>
    <m/>
  </r>
  <r>
    <x v="11"/>
    <s v="Najera"/>
    <s v="AX5693"/>
    <n v="11550146"/>
    <s v="SATF-Facility E"/>
    <x v="13"/>
    <s v="BF150312 A"/>
    <d v="2037-01-30T00:00:00"/>
    <d v="2019-01-18T00:00:00"/>
    <d v="2019-12-09T00:00:00"/>
    <d v="2020-03-09T00:00:00"/>
    <s v="Approved"/>
    <x v="116"/>
    <d v="2020-09-18T00:00:00"/>
    <d v="2020-08-12T00:00:00"/>
    <s v="No action - reason provided"/>
    <m/>
    <s v=""/>
    <s v=""/>
    <m/>
    <d v="2020-09-18T00:00:00"/>
  </r>
  <r>
    <x v="11"/>
    <s v="Stoneburg"/>
    <s v="AX8781"/>
    <n v="11526915"/>
    <s v="SATF-Facility E"/>
    <x v="9"/>
    <s v="FSB1102105"/>
    <d v="2030-01-03T00:00:00"/>
    <d v="2019-06-26T00:00:00"/>
    <d v="2019-07-02T00:00:00"/>
    <d v="2019-09-04T00:00:00"/>
    <s v="Approved"/>
    <x v="121"/>
    <d v="2019-12-11T00:00:00"/>
    <d v="2019-10-11T00:00:00"/>
    <s v="Reduced"/>
    <n v="3652.5"/>
    <n v="10.006849315068493"/>
    <n v="82646.568493150684"/>
    <m/>
    <d v="2019-12-11T00:00:00"/>
  </r>
  <r>
    <x v="11"/>
    <s v="Anderson"/>
    <s v="BG3760"/>
    <n v="11549946"/>
    <s v="CAL-Facility A"/>
    <x v="17"/>
    <s v="13F01373"/>
    <d v="2024-01-16T00:00:00"/>
    <d v="2019-01-18T00:00:00"/>
    <d v="2019-12-12T00:00:00"/>
    <d v="2020-03-09T00:00:00"/>
    <s v="Approved"/>
    <x v="116"/>
    <m/>
    <m/>
    <m/>
    <m/>
    <s v=""/>
    <s v=""/>
    <m/>
    <m/>
  </r>
  <r>
    <x v="11"/>
    <s v="Godinez"/>
    <s v="P41241"/>
    <n v="11867908"/>
    <s v="CIM-Facility A"/>
    <x v="40"/>
    <n v="1353476"/>
    <d v="2032-07-02T00:00:00"/>
    <d v="2019-05-31T00:00:00"/>
    <d v="2019-05-31T00:00:00"/>
    <d v="2019-06-25T00:00:00"/>
    <s v="Approved"/>
    <x v="110"/>
    <m/>
    <d v="2020-03-27T00:00:00"/>
    <s v="Pending Court (Date in Notes)"/>
    <m/>
    <s v=""/>
    <s v=""/>
    <s v="NCD - 03/27/2020"/>
    <m/>
  </r>
  <r>
    <x v="11"/>
    <s v="Green"/>
    <s v="AT0463"/>
    <n v="11994225"/>
    <s v="RJD-Facility E"/>
    <x v="0"/>
    <s v="TA125843"/>
    <d v="2028-12-17T00:00:00"/>
    <d v="2019-01-18T00:00:00"/>
    <d v="2019-12-12T00:00:00"/>
    <d v="2020-03-09T00:00:00"/>
    <s v="Approved"/>
    <x v="116"/>
    <d v="2020-08-10T00:00:00"/>
    <d v="2020-07-22T00:00:00"/>
    <s v="Reduced"/>
    <n v="1826.25"/>
    <n v="5.0034246575342465"/>
    <n v="41323.284246575342"/>
    <s v="reduced by 5 years"/>
    <d v="2020-08-10T00:00:00"/>
  </r>
  <r>
    <x v="11"/>
    <s v="Wilson"/>
    <s v="AY7912"/>
    <n v="11995907"/>
    <s v="ISP-Facility A"/>
    <x v="8"/>
    <s v="INF1201979"/>
    <d v="2027-03-04T00:00:00"/>
    <d v="2019-01-18T00:00:00"/>
    <d v="2019-12-05T00:00:00"/>
    <d v="2020-01-09T00:00:00"/>
    <s v="Approved"/>
    <x v="76"/>
    <m/>
    <m/>
    <m/>
    <m/>
    <s v=""/>
    <s v=""/>
    <m/>
    <m/>
  </r>
  <r>
    <x v="11"/>
    <s v="Scarbrough "/>
    <s v="BG8999"/>
    <n v="12194738"/>
    <s v="SCC-Facility B"/>
    <x v="42"/>
    <n v="13002329"/>
    <d v="2028-03-29T00:00:00"/>
    <d v="2019-01-18T00:00:00"/>
    <d v="2019-12-09T00:00:00"/>
    <d v="2020-03-09T00:00:00"/>
    <s v="Approved"/>
    <x v="116"/>
    <d v="2021-04-06T00:00:00"/>
    <d v="2021-04-05T00:00:00"/>
    <s v="Reduced"/>
    <n v="1752"/>
    <n v="4.8"/>
    <n v="39643.200000000004"/>
    <m/>
    <d v="2021-04-06T00:00:00"/>
  </r>
  <r>
    <x v="11"/>
    <s v="Alford"/>
    <s v="T15750"/>
    <n v="11250548"/>
    <s v="CHCF-Facility E"/>
    <x v="10"/>
    <s v="SCN295548"/>
    <d v="2028-04-08T00:00:00"/>
    <d v="2019-05-09T00:00:00"/>
    <d v="2019-05-09T00:00:00"/>
    <d v="2019-06-11T00:00:00"/>
    <s v="Approved"/>
    <x v="88"/>
    <d v="2019-08-20T00:00:00"/>
    <d v="2019-08-06T00:00:00"/>
    <s v="No action - no reason specified"/>
    <m/>
    <s v=""/>
    <s v=""/>
    <m/>
    <d v="2019-08-20T00:00:00"/>
  </r>
  <r>
    <x v="11"/>
    <s v="Botello"/>
    <s v="AV6173"/>
    <n v="11224085"/>
    <s v="COR-Facility 03C"/>
    <x v="40"/>
    <n v="1423851"/>
    <d v="2029-12-20T00:00:00"/>
    <d v="2019-05-07T00:00:00"/>
    <d v="2019-05-10T00:00:00"/>
    <d v="2019-05-17T00:00:00"/>
    <s v="Approved"/>
    <x v="57"/>
    <m/>
    <d v="2020-04-01T00:00:00"/>
    <s v="Pending Court (Date in Notes)"/>
    <m/>
    <s v=""/>
    <s v=""/>
    <s v="NCD - 04/01/2020"/>
    <m/>
  </r>
  <r>
    <x v="6"/>
    <s v="Cruz"/>
    <s v="P83612"/>
    <n v="11891092"/>
    <s v="KVSP-Facility A"/>
    <x v="17"/>
    <s v="CH019019"/>
    <d v="2019-11-05T00:00:00"/>
    <m/>
    <m/>
    <m/>
    <m/>
    <x v="27"/>
    <m/>
    <m/>
    <m/>
    <m/>
    <s v=""/>
    <s v=""/>
    <m/>
    <m/>
  </r>
  <r>
    <x v="5"/>
    <s v="Guerra"/>
    <s v="AW1464"/>
    <n v="12129605"/>
    <s v="CAL-Facility A"/>
    <x v="0"/>
    <m/>
    <m/>
    <m/>
    <m/>
    <m/>
    <m/>
    <x v="27"/>
    <m/>
    <m/>
    <m/>
    <m/>
    <s v=""/>
    <s v=""/>
    <m/>
    <m/>
  </r>
  <r>
    <x v="5"/>
    <s v="Hogan"/>
    <s v="F97521"/>
    <n v="11608446"/>
    <s v="PBSP-Facility A"/>
    <x v="0"/>
    <s v="YA067176"/>
    <d v="2022-05-29T00:00:00"/>
    <m/>
    <m/>
    <m/>
    <m/>
    <x v="27"/>
    <m/>
    <m/>
    <m/>
    <m/>
    <s v=""/>
    <s v=""/>
    <m/>
    <m/>
  </r>
  <r>
    <x v="6"/>
    <s v="Johnson"/>
    <s v="T50658"/>
    <n v="11929835"/>
    <s v="COR-Facility 03A"/>
    <x v="27"/>
    <s v="CH026497"/>
    <d v="2024-10-26T00:00:00"/>
    <m/>
    <m/>
    <m/>
    <m/>
    <x v="27"/>
    <m/>
    <m/>
    <m/>
    <m/>
    <s v=""/>
    <s v=""/>
    <m/>
    <m/>
  </r>
  <r>
    <x v="5"/>
    <s v="Padilla"/>
    <s v="AE9770"/>
    <n v="11352675"/>
    <s v="MCSP-Facility C"/>
    <x v="17"/>
    <m/>
    <m/>
    <m/>
    <m/>
    <m/>
    <m/>
    <x v="27"/>
    <m/>
    <m/>
    <m/>
    <m/>
    <s v=""/>
    <s v=""/>
    <m/>
    <m/>
  </r>
  <r>
    <x v="6"/>
    <s v="Petersen"/>
    <s v="J13386"/>
    <n v="11729641"/>
    <s v="HDSP-Facility B"/>
    <x v="14"/>
    <s v="SS002532"/>
    <d v="2023-02-11T00:00:00"/>
    <m/>
    <m/>
    <m/>
    <m/>
    <x v="27"/>
    <m/>
    <m/>
    <m/>
    <m/>
    <s v=""/>
    <s v=""/>
    <m/>
    <m/>
  </r>
  <r>
    <x v="6"/>
    <s v="Romero"/>
    <s v="H01753"/>
    <n v="11653952"/>
    <s v="FOL-Facility A"/>
    <x v="8"/>
    <n v="6257554"/>
    <d v="2021-03-21T00:00:00"/>
    <m/>
    <m/>
    <m/>
    <m/>
    <x v="27"/>
    <m/>
    <m/>
    <m/>
    <m/>
    <s v=""/>
    <s v=""/>
    <m/>
    <m/>
  </r>
  <r>
    <x v="6"/>
    <s v="Salazar"/>
    <s v="P21942"/>
    <n v="11857353"/>
    <s v="SATF-Facility C"/>
    <x v="27"/>
    <s v="CH026107"/>
    <d v="2022-04-23T00:00:00"/>
    <d v="2019-11-22T00:00:00"/>
    <d v="2019-11-25T00:00:00"/>
    <d v="2019-11-25T00:00:00"/>
    <s v="Declined"/>
    <x v="27"/>
    <m/>
    <m/>
    <m/>
    <m/>
    <s v=""/>
    <s v=""/>
    <m/>
    <m/>
  </r>
  <r>
    <x v="6"/>
    <s v="Turner"/>
    <s v="WA9559"/>
    <n v="11013808"/>
    <s v="CCWF-Facility B"/>
    <x v="9"/>
    <s v="FWV1400965"/>
    <d v="2023-05-15T00:00:00"/>
    <m/>
    <m/>
    <m/>
    <m/>
    <x v="27"/>
    <m/>
    <m/>
    <m/>
    <m/>
    <s v=""/>
    <s v=""/>
    <m/>
    <m/>
  </r>
  <r>
    <x v="11"/>
    <s v="Deltoro"/>
    <s v="WE4544"/>
    <n v="10264057"/>
    <s v="CCWF-Facility D"/>
    <x v="8"/>
    <s v="INF064920"/>
    <d v="2026-06-24T00:00:00"/>
    <d v="2019-05-10T00:00:00"/>
    <d v="2019-05-10T00:00:00"/>
    <d v="2019-05-17T00:00:00"/>
    <s v="Approved"/>
    <x v="57"/>
    <d v="2019-09-23T00:00:00"/>
    <d v="2019-08-08T00:00:00"/>
    <s v="No action - no reason specified"/>
    <m/>
    <s v=""/>
    <m/>
    <m/>
    <d v="2019-09-23T00:00:00"/>
  </r>
  <r>
    <x v="1"/>
    <s v="Ball"/>
    <s v="AH3673"/>
    <n v="11367308"/>
    <s v="CMF FAC A"/>
    <x v="8"/>
    <s v="RIF10005104"/>
    <d v="2021-04-19T00:00:00"/>
    <d v="2019-08-22T00:00:00"/>
    <d v="2019-08-27T00:00:00"/>
    <d v="2019-08-27T00:00:00"/>
    <s v="Approved"/>
    <x v="100"/>
    <d v="2019-10-25T00:00:00"/>
    <d v="2019-10-31T00:00:00"/>
    <s v="No action - no reason specified"/>
    <m/>
    <s v=""/>
    <s v=""/>
    <s v="Hearing for Opposition to Resentence"/>
    <d v="2019-10-25T00:00:00"/>
  </r>
  <r>
    <x v="1"/>
    <s v="Baltazar"/>
    <s v="AH4325"/>
    <n v="11367684"/>
    <s v="CTF - Facility B"/>
    <x v="4"/>
    <s v="MF49001"/>
    <d v="2026-11-23T00:00:00"/>
    <d v="2020-08-24T00:00:00"/>
    <d v="2020-09-14T00:00:00"/>
    <d v="2020-09-14T00:00:00"/>
    <s v="Approved"/>
    <x v="71"/>
    <m/>
    <m/>
    <m/>
    <m/>
    <s v=""/>
    <s v=""/>
    <m/>
    <m/>
  </r>
  <r>
    <x v="1"/>
    <s v="Barajas"/>
    <s v="AF9754"/>
    <n v="11358785"/>
    <s v="CRC-Facility D"/>
    <x v="13"/>
    <s v="BF128174"/>
    <d v="2025-11-04T00:00:00"/>
    <d v="2018-12-31T00:00:00"/>
    <d v="2019-01-04T00:00:00"/>
    <d v="2019-01-04T00:00:00"/>
    <s v="Approved"/>
    <x v="89"/>
    <d v="2020-10-29T00:00:00"/>
    <d v="2020-05-21T00:00:00"/>
    <s v="No action - no reason specified"/>
    <m/>
    <s v=""/>
    <s v=""/>
    <m/>
    <d v="2020-10-30T00:00:00"/>
  </r>
  <r>
    <x v="1"/>
    <s v="Lopez"/>
    <s v="AG1161"/>
    <n v="1135916"/>
    <s v="CAC-Facility A"/>
    <x v="0"/>
    <s v="KA090361"/>
    <d v="2078-10-16T00:00:00"/>
    <d v="2019-01-09T00:00:00"/>
    <d v="2019-01-14T00:00:00"/>
    <d v="2019-01-16T00:00:00"/>
    <s v="Declined"/>
    <x v="27"/>
    <m/>
    <m/>
    <m/>
    <m/>
    <s v=""/>
    <s v=""/>
    <m/>
    <m/>
  </r>
  <r>
    <x v="7"/>
    <s v="Davis"/>
    <s v="D93401"/>
    <n v="11085173"/>
    <s v="CMC-Facility F"/>
    <x v="0"/>
    <s v="BA152570"/>
    <d v="2022-03-03T00:00:00"/>
    <d v="2019-01-19T00:00:00"/>
    <d v="2019-01-22T00:00:00"/>
    <d v="2019-01-23T00:00:00"/>
    <s v="Approved"/>
    <x v="106"/>
    <d v="2020-11-06T00:00:00"/>
    <d v="2019-04-30T00:00:00"/>
    <s v="Released"/>
    <n v="655"/>
    <n v="1.7945205479452055"/>
    <n v="14820.945205479453"/>
    <s v="Discharged 5/17/2019"/>
    <d v="2020-11-06T00:00:00"/>
  </r>
  <r>
    <x v="11"/>
    <s v="Cruz"/>
    <s v="AT3355"/>
    <n v="11222719"/>
    <s v="CAC-Facility C"/>
    <x v="0"/>
    <s v="PA073890"/>
    <d v="2025-12-19T00:00:00"/>
    <d v="2019-05-07T00:00:00"/>
    <d v="2019-05-07T00:00:00"/>
    <d v="2019-05-17T00:00:00"/>
    <s v="Approved"/>
    <x v="57"/>
    <d v="2019-08-20T00:00:00"/>
    <d v="2019-08-09T00:00:00"/>
    <s v="No action - no reason specified"/>
    <m/>
    <s v=""/>
    <s v=""/>
    <m/>
    <d v="2019-08-20T00:00:00"/>
  </r>
  <r>
    <x v="1"/>
    <s v="Barnes"/>
    <s v="AV6452"/>
    <n v="11747234"/>
    <s v="SOL FAC A"/>
    <x v="20"/>
    <s v="H54520"/>
    <d v="2024-01-03T00:00:00"/>
    <d v="2019-07-08T00:00:00"/>
    <d v="2019-07-10T00:00:00"/>
    <d v="2019-07-11T00:00:00"/>
    <s v="Approved"/>
    <x v="122"/>
    <d v="2019-11-19T00:00:00"/>
    <d v="2019-11-15T00:00:00"/>
    <s v="Reduced"/>
    <n v="730"/>
    <n v="2"/>
    <n v="16518"/>
    <s v="reduced by 2 years"/>
    <d v="2019-11-19T00:00:00"/>
  </r>
  <r>
    <x v="11"/>
    <s v="Piovesan"/>
    <s v="AU8789"/>
    <n v="12121928"/>
    <s v="CAC-Facility B"/>
    <x v="12"/>
    <s v="C1243808"/>
    <d v="2029-09-22T00:00:00"/>
    <d v="2019-06-24T00:00:00"/>
    <d v="2019-06-25T00:00:00"/>
    <d v="2019-07-29T00:00:00"/>
    <s v="Approved"/>
    <x v="114"/>
    <d v="2020-03-24T00:00:00"/>
    <d v="2020-02-24T00:00:00"/>
    <s v="Reduced"/>
    <n v="1826.25"/>
    <n v="5.0034246575342465"/>
    <n v="41323.284246575342"/>
    <m/>
    <d v="2020-04-10T00:00:00"/>
  </r>
  <r>
    <x v="1"/>
    <s v="Barrett"/>
    <s v="AF7355"/>
    <n v="11065742"/>
    <s v="ISP - Facility A"/>
    <x v="42"/>
    <n v="211106"/>
    <d v="2036-06-09T00:00:00"/>
    <d v="2021-03-29T00:00:00"/>
    <d v="2021-04-20T00:00:00"/>
    <d v="2021-04-21T00:00:00"/>
    <s v="Approved"/>
    <x v="123"/>
    <m/>
    <m/>
    <m/>
    <m/>
    <s v=""/>
    <s v=""/>
    <m/>
    <m/>
  </r>
  <r>
    <x v="1"/>
    <s v="Beasley"/>
    <s v="AW2783"/>
    <n v="12130226"/>
    <s v="WSP - Facility A"/>
    <x v="2"/>
    <s v="13CF1318"/>
    <d v="2028-10-11T00:00:00"/>
    <d v="2020-09-24T00:00:00"/>
    <d v="2020-10-07T00:00:00"/>
    <d v="2020-10-08T00:00:00"/>
    <s v="Approved"/>
    <x v="124"/>
    <m/>
    <m/>
    <m/>
    <m/>
    <s v=""/>
    <s v=""/>
    <m/>
    <m/>
  </r>
  <r>
    <x v="7"/>
    <s v="Escareno"/>
    <s v="H83031"/>
    <n v="11695537"/>
    <s v="SATF FAC A"/>
    <x v="0"/>
    <s v="KA055189  VA068367"/>
    <d v="2142-03-16T00:00:00"/>
    <d v="2019-04-26T00:00:00"/>
    <d v="2019-05-29T00:00:00"/>
    <d v="2019-05-29T00:00:00"/>
    <s v="Approved"/>
    <x v="103"/>
    <d v="2019-11-13T00:00:00"/>
    <d v="2019-10-30T00:00:00"/>
    <s v="No action - reason provided"/>
    <m/>
    <s v=""/>
    <s v=""/>
    <d v="2019-10-09T00:00:00"/>
    <d v="2019-11-18T00:00:00"/>
  </r>
  <r>
    <x v="1"/>
    <s v="Benitez"/>
    <s v="AP1954"/>
    <n v="11313871"/>
    <s v="ASP - Facility F"/>
    <x v="12"/>
    <s v="C1118634"/>
    <d v="2032-01-30T00:00:00"/>
    <d v="2020-07-16T00:00:00"/>
    <d v="2020-08-25T00:00:00"/>
    <d v="2020-08-26T00:00:00"/>
    <s v="Approved"/>
    <x v="71"/>
    <d v="2020-10-26T00:00:00"/>
    <d v="2020-10-21T00:00:00"/>
    <s v="No action - due to plea"/>
    <m/>
    <s v=""/>
    <s v=""/>
    <m/>
    <d v="2020-10-26T00:00:00"/>
  </r>
  <r>
    <x v="7"/>
    <s v="Beinlick"/>
    <s v="V00252"/>
    <n v="11255100"/>
    <s v="MCSP-Facility E, D-206-3L"/>
    <x v="2"/>
    <s v="02WF1809"/>
    <d v="2069-10-16T00:00:00"/>
    <d v="2019-02-05T00:00:00"/>
    <d v="2019-02-07T00:00:00"/>
    <d v="2019-02-07T00:00:00"/>
    <s v="Approved"/>
    <x v="120"/>
    <d v="2019-11-25T00:00:00"/>
    <d v="2019-11-18T00:00:00"/>
    <s v="Reduced"/>
    <n v="2802"/>
    <n v="7.6767123287671231"/>
    <n v="63401.967123287672"/>
    <m/>
    <d v="2019-12-04T00:00:00"/>
  </r>
  <r>
    <x v="7"/>
    <s v="Dye"/>
    <s v="V56880"/>
    <n v="11991281"/>
    <s v="CIM-Facility C, C-239L"/>
    <x v="10"/>
    <s v="SCD172719"/>
    <d v="2039-07-07T00:00:00"/>
    <d v="2019-02-05T00:00:00"/>
    <d v="2019-02-14T00:00:00"/>
    <d v="2019-02-19T00:00:00"/>
    <s v="Declined"/>
    <x v="27"/>
    <m/>
    <m/>
    <m/>
    <m/>
    <s v=""/>
    <s v=""/>
    <m/>
    <m/>
  </r>
  <r>
    <x v="11"/>
    <s v="Linares"/>
    <s v="AP0874"/>
    <n v="11084728"/>
    <s v="CMC-Facility E"/>
    <x v="0"/>
    <s v="GA085331"/>
    <d v="2028-02-12T00:00:00"/>
    <d v="2019-06-24T00:00:00"/>
    <d v="2019-06-24T00:00:00"/>
    <d v="2019-07-17T00:00:00"/>
    <s v="Approved"/>
    <x v="64"/>
    <d v="2019-09-09T00:00:00"/>
    <d v="2019-08-22T00:00:00"/>
    <s v="No action - no reason specified"/>
    <m/>
    <s v=""/>
    <s v=""/>
    <m/>
    <d v="2019-09-09T00:00:00"/>
  </r>
  <r>
    <x v="7"/>
    <s v="Bedolla"/>
    <s v="W92502"/>
    <n v="11003191"/>
    <s v="CCWF-Facility D"/>
    <x v="16"/>
    <s v="CRF01-40316"/>
    <d v="2024-04-20T00:00:00"/>
    <d v="2019-02-06T00:00:00"/>
    <d v="2019-02-14T00:00:00"/>
    <d v="2019-02-19T00:00:00"/>
    <s v="Approved"/>
    <x v="120"/>
    <m/>
    <m/>
    <m/>
    <m/>
    <s v=""/>
    <s v=""/>
    <m/>
    <m/>
  </r>
  <r>
    <x v="1"/>
    <s v="Granados"/>
    <s v="E50718"/>
    <n v="11523817"/>
    <s v="CMC-Facility G"/>
    <x v="8"/>
    <s v="CR59651"/>
    <d v="2022-05-08T00:00:00"/>
    <d v="2018-09-13T00:00:00"/>
    <d v="2018-09-17T00:00:00"/>
    <d v="2018-09-20T00:00:00"/>
    <s v="Approved"/>
    <x v="93"/>
    <d v="2019-06-27T00:00:00"/>
    <d v="2019-06-07T00:00:00"/>
    <s v="Released"/>
    <n v="674"/>
    <n v="1.8465753424657534"/>
    <n v="15250.865753424658"/>
    <s v="released 7/4/2019"/>
    <d v="2019-06-27T00:00:00"/>
  </r>
  <r>
    <x v="7"/>
    <s v="Kurtenbach"/>
    <s v="AF9068"/>
    <n v="11358368"/>
    <s v="SCC-Facility A"/>
    <x v="10"/>
    <s v="SCE286557"/>
    <d v="2022-05-16T00:00:00"/>
    <d v="2019-03-06T00:00:00"/>
    <d v="2019-03-13T00:00:00"/>
    <d v="2019-03-13T00:00:00"/>
    <s v="Approved"/>
    <x v="113"/>
    <d v="2019-06-27T00:00:00"/>
    <d v="2019-06-27T00:00:00"/>
    <s v="Released"/>
    <n v="1461"/>
    <n v="4.0027397260273974"/>
    <n v="33058.627397260272"/>
    <s v="reduced by 4 years, released 07/05/2019"/>
    <d v="2019-06-27T00:00:00"/>
  </r>
  <r>
    <x v="11"/>
    <s v="McGirt"/>
    <s v="AU4833"/>
    <n v="11870528"/>
    <s v="CRC-Facility C"/>
    <x v="0"/>
    <s v="MA059814"/>
    <d v="2022-03-01T00:00:00"/>
    <d v="2019-05-31T00:00:00"/>
    <d v="2019-05-31T00:00:00"/>
    <d v="2019-06-25T00:00:00"/>
    <s v="Approved"/>
    <x v="54"/>
    <d v="2019-09-04T00:00:00"/>
    <d v="2019-08-23T00:00:00"/>
    <s v="No action - no reason specified"/>
    <m/>
    <s v=""/>
    <s v=""/>
    <m/>
    <d v="2019-09-04T00:00:00"/>
  </r>
  <r>
    <x v="7"/>
    <s v="Villa"/>
    <s v="X06410"/>
    <n v="11017969"/>
    <s v="CIW-Facility A"/>
    <x v="0"/>
    <s v="KA062933"/>
    <d v="2026-11-12T00:00:00"/>
    <d v="2019-06-27T00:00:00"/>
    <d v="2019-07-08T00:00:00"/>
    <d v="2019-07-08T00:00:00"/>
    <s v="Approved"/>
    <x v="79"/>
    <d v="2019-09-04T00:00:00"/>
    <d v="2019-08-27T00:00:00"/>
    <s v="No action - reason provided"/>
    <m/>
    <s v=""/>
    <s v=""/>
    <m/>
    <d v="2019-09-04T00:00:00"/>
  </r>
  <r>
    <x v="11"/>
    <s v="Zendejas"/>
    <s v="WF1387"/>
    <n v="10990921"/>
    <s v="CIW-Facility A"/>
    <x v="0"/>
    <s v="KA100178"/>
    <d v="2030-04-21T00:00:00"/>
    <d v="2019-05-10T00:00:00"/>
    <d v="2019-05-10T00:00:00"/>
    <d v="2019-05-17T00:00:00"/>
    <s v="Approved"/>
    <x v="57"/>
    <d v="2019-09-04T00:00:00"/>
    <d v="2019-08-27T00:00:00"/>
    <s v="No action - no reason specified"/>
    <m/>
    <s v=""/>
    <s v=""/>
    <m/>
    <d v="2019-09-04T00:00:00"/>
  </r>
  <r>
    <x v="1"/>
    <s v="Bennett"/>
    <s v="F91287"/>
    <n v="11604414"/>
    <s v="CVSP FAC D"/>
    <x v="10"/>
    <s v="SCD206784  SC206931"/>
    <d v="2029-10-12T00:00:00"/>
    <d v="2019-08-06T00:00:00"/>
    <d v="2019-08-29T00:00:00"/>
    <d v="2019-08-29T00:00:00"/>
    <s v="Approved"/>
    <x v="125"/>
    <d v="2021-03-17T00:00:00"/>
    <d v="2021-02-22T00:00:00"/>
    <s v="No action - no reason specified"/>
    <m/>
    <s v=""/>
    <s v=""/>
    <m/>
    <d v="2021-03-17T00:00:00"/>
  </r>
  <r>
    <x v="1"/>
    <s v="Bernal"/>
    <s v="AT3512"/>
    <n v="11550229"/>
    <s v="CAC - Facility C"/>
    <x v="11"/>
    <s v="VCF283483"/>
    <d v="2030-04-19T00:00:00"/>
    <d v="2020-08-26T00:00:00"/>
    <d v="2020-09-14T00:00:00"/>
    <d v="2020-09-14T00:00:00"/>
    <s v="Approved"/>
    <x v="71"/>
    <d v="2021-02-12T00:00:00"/>
    <d v="2020-10-07T00:00:00"/>
    <s v="Reduced"/>
    <n v="365.25"/>
    <n v="1.0006849315068493"/>
    <n v="8264.656849315068"/>
    <s v="Reduced by 1 year"/>
    <d v="2021-02-12T00:00:00"/>
  </r>
  <r>
    <x v="1"/>
    <s v="Berry"/>
    <s v="AK1794"/>
    <n v="11188875"/>
    <s v="CMF - Facility A"/>
    <x v="0"/>
    <s v="KA094914"/>
    <d v="2027-12-15T00:00:00"/>
    <d v="2019-11-27T00:00:00"/>
    <d v="2019-12-24T00:00:00"/>
    <d v="2019-12-26T00:00:00"/>
    <s v="Approved"/>
    <x v="126"/>
    <d v="2020-04-03T00:00:00"/>
    <d v="2020-03-19T00:00:00"/>
    <s v="No action - reason provided"/>
    <m/>
    <s v=""/>
    <s v=""/>
    <m/>
    <d v="2020-04-15T00:00:00"/>
  </r>
  <r>
    <x v="7"/>
    <s v="Crosby"/>
    <s v="G45035"/>
    <n v="11638334"/>
    <s v="LAC-Facility A"/>
    <x v="9"/>
    <s v="FSB702668"/>
    <d v="2049-04-11T00:00:00"/>
    <d v="2019-02-12T00:00:00"/>
    <d v="2019-02-20T00:00:00"/>
    <d v="2019-02-20T00:00:00"/>
    <s v="Declined"/>
    <x v="27"/>
    <m/>
    <m/>
    <m/>
    <m/>
    <s v=""/>
    <s v=""/>
    <m/>
    <m/>
  </r>
  <r>
    <x v="1"/>
    <s v="Boner"/>
    <s v="AC5862"/>
    <n v="11054465"/>
    <s v="SATF - Facility E"/>
    <x v="21"/>
    <s v="SF108698"/>
    <d v="2030-03-05T00:00:00"/>
    <d v="2021-03-24T00:00:00"/>
    <d v="2021-04-08T00:00:00"/>
    <d v="2021-04-21T00:00:00"/>
    <s v="Approved"/>
    <x v="123"/>
    <d v="2021-06-03T00:00:00"/>
    <d v="2021-05-24T00:00:00"/>
    <s v="No action - no reason specified"/>
    <m/>
    <s v=""/>
    <s v=""/>
    <m/>
    <m/>
  </r>
  <r>
    <x v="1"/>
    <s v="Morrissey"/>
    <s v="T39443"/>
    <n v="11161760"/>
    <s v="CTF"/>
    <x v="12"/>
    <s v="CC110400"/>
    <d v="2023-12-04T00:00:00"/>
    <d v="2018-11-13T00:00:00"/>
    <d v="2018-11-16T00:00:00"/>
    <d v="2018-11-16T00:00:00"/>
    <s v="Approved"/>
    <x v="60"/>
    <d v="2019-07-09T00:00:00"/>
    <d v="2019-07-08T00:00:00"/>
    <s v="Released"/>
    <n v="1753"/>
    <n v="4.8027397260273972"/>
    <n v="39665.827397260276"/>
    <s v="released 07/16/2019"/>
    <d v="2019-07-10T00:00:00"/>
  </r>
  <r>
    <x v="11"/>
    <s v="Ward "/>
    <s v="AV0647"/>
    <n v="11587433"/>
    <s v="VSP-Facility D"/>
    <x v="3"/>
    <s v="F13910409"/>
    <d v="2029-07-06T00:00:00"/>
    <d v="2019-06-24T00:00:00"/>
    <d v="2019-06-25T00:00:00"/>
    <d v="2019-07-29T00:00:00"/>
    <s v="Approved"/>
    <x v="114"/>
    <d v="2019-09-20T00:00:00"/>
    <d v="2019-09-10T00:00:00"/>
    <s v="No action - no reason specified"/>
    <m/>
    <s v=""/>
    <s v=""/>
    <m/>
    <d v="2019-09-23T00:00:00"/>
  </r>
  <r>
    <x v="11"/>
    <s v="Keith"/>
    <s v="AS7467"/>
    <n v="11125445"/>
    <s v="RJD-MSF"/>
    <x v="10"/>
    <s v="SCD246384"/>
    <d v="2021-09-01T00:00:00"/>
    <d v="2019-08-05T00:00:00"/>
    <d v="2019-08-05T00:00:00"/>
    <d v="2019-10-21T00:00:00"/>
    <s v="Approved"/>
    <x v="127"/>
    <d v="2020-02-24T00:00:00"/>
    <d v="2020-01-14T00:00:00"/>
    <s v="Released"/>
    <n v="851"/>
    <n v="2.3315068493150686"/>
    <n v="19255.915068493152"/>
    <s v="reduced by 2 years 4 months, released 02/21/2020"/>
    <d v="2020-02-24T00:00:00"/>
  </r>
  <r>
    <x v="7"/>
    <s v="Johnson "/>
    <s v="G64936"/>
    <n v="11650907"/>
    <s v="CTF-Facility C"/>
    <x v="0"/>
    <s v="PA060033"/>
    <d v="2058-06-22T00:00:00"/>
    <d v="2019-02-22T00:00:00"/>
    <d v="2019-03-14T00:00:00"/>
    <d v="2019-03-14T00:00:00"/>
    <s v="Approved"/>
    <x v="113"/>
    <d v="2019-12-19T00:00:00"/>
    <d v="2019-12-05T00:00:00"/>
    <s v="Reduced"/>
    <n v="8522"/>
    <n v="23.347945205479451"/>
    <n v="192830.67945205481"/>
    <m/>
    <d v="2019-12-19T00:00:00"/>
  </r>
  <r>
    <x v="7"/>
    <s v="Aguilera"/>
    <s v="H02599"/>
    <n v="11654355"/>
    <s v="VSP"/>
    <x v="0"/>
    <n v="11654355"/>
    <d v="2036-02-19T00:00:00"/>
    <d v="2019-02-25T00:00:00"/>
    <d v="2019-03-14T00:00:00"/>
    <d v="2019-03-14T00:00:00"/>
    <s v="Approved"/>
    <x v="113"/>
    <m/>
    <d v="2021-06-14T00:00:00"/>
    <s v="Pending Court (Date in Notes)"/>
    <m/>
    <s v=""/>
    <s v=""/>
    <m/>
    <m/>
  </r>
  <r>
    <x v="11"/>
    <s v="Cooper"/>
    <s v="H67964"/>
    <n v="11687908"/>
    <s v="CIM-Facility C"/>
    <x v="0"/>
    <s v="GA037077"/>
    <d v="2024-09-05T00:00:00"/>
    <d v="2019-06-21T00:00:00"/>
    <d v="2019-06-24T00:00:00"/>
    <d v="2019-08-19T00:00:00"/>
    <s v="Approved"/>
    <x v="128"/>
    <d v="2019-09-27T00:00:00"/>
    <d v="2019-09-12T00:00:00"/>
    <s v="No action - no reason specified"/>
    <m/>
    <s v=""/>
    <s v=""/>
    <m/>
    <d v="2019-09-27T00:00:00"/>
  </r>
  <r>
    <x v="11"/>
    <s v="Mitchell"/>
    <s v="AL0055"/>
    <n v="11279939"/>
    <s v="FOL-Facility A"/>
    <x v="17"/>
    <s v="07F05356"/>
    <d v="2028-01-29T00:00:00"/>
    <d v="2019-05-30T00:00:00"/>
    <d v="2019-05-31T00:00:00"/>
    <d v="2019-07-02T00:00:00"/>
    <s v="Approved"/>
    <x v="55"/>
    <d v="2020-01-24T00:00:00"/>
    <d v="2019-11-15T00:00:00"/>
    <s v="No action - no reason specified"/>
    <m/>
    <s v=""/>
    <s v=""/>
    <m/>
    <d v="2020-01-24T00:00:00"/>
  </r>
  <r>
    <x v="7"/>
    <s v="Pete"/>
    <s v="W85099"/>
    <n v="10998802"/>
    <s v="CCWF-Facility B"/>
    <x v="21"/>
    <s v="SF076633"/>
    <d v="2022-03-16T00:00:00"/>
    <d v="2019-03-01T00:00:00"/>
    <d v="2019-03-21T00:00:00"/>
    <d v="2019-03-21T00:00:00"/>
    <s v="Declined"/>
    <x v="27"/>
    <m/>
    <m/>
    <m/>
    <m/>
    <s v=""/>
    <s v=""/>
    <m/>
    <m/>
  </r>
  <r>
    <x v="7"/>
    <s v="Gradillas"/>
    <s v="V84753"/>
    <n v="12007811"/>
    <s v="SATF-Facility E"/>
    <x v="0"/>
    <s v="KA066132"/>
    <d v="2040-02-10T00:00:00"/>
    <d v="2019-03-05T00:00:00"/>
    <d v="2019-03-21T00:00:00"/>
    <d v="2019-03-21T00:00:00"/>
    <s v="Declined"/>
    <x v="27"/>
    <m/>
    <m/>
    <m/>
    <m/>
    <s v=""/>
    <s v=""/>
    <m/>
    <m/>
  </r>
  <r>
    <x v="11"/>
    <s v="Rosas"/>
    <s v="BE8057"/>
    <n v="11604432"/>
    <s v="SATF-Facility A"/>
    <x v="11"/>
    <s v="VCF279745C"/>
    <d v="2021-06-30T00:00:00"/>
    <d v="2019-01-04T00:00:00"/>
    <d v="2019-04-24T00:00:00"/>
    <d v="2019-04-26T00:00:00"/>
    <s v="Approved"/>
    <x v="86"/>
    <d v="2019-10-16T00:00:00"/>
    <d v="2019-09-13T00:00:00"/>
    <s v="No action - no reason specified"/>
    <m/>
    <s v=""/>
    <s v=""/>
    <m/>
    <d v="2019-10-16T00:00:00"/>
  </r>
  <r>
    <x v="7"/>
    <s v="Brown"/>
    <s v="X08560"/>
    <n v="11019332"/>
    <s v="CCWF-Facility B"/>
    <x v="1"/>
    <s v="VCR164648"/>
    <d v="2033-05-19T00:00:00"/>
    <d v="2019-03-06T00:00:00"/>
    <d v="2019-03-14T00:00:00"/>
    <d v="2019-03-14T00:00:00"/>
    <s v="Declined"/>
    <x v="27"/>
    <m/>
    <m/>
    <m/>
    <m/>
    <s v=""/>
    <s v=""/>
    <m/>
    <m/>
  </r>
  <r>
    <x v="7"/>
    <s v="Garcia"/>
    <s v="V46016"/>
    <n v="11984794"/>
    <s v="ASP-Facility E"/>
    <x v="0"/>
    <s v="AL045067"/>
    <d v="2026-07-28T00:00:00"/>
    <d v="2019-03-06T00:00:00"/>
    <d v="2018-03-13T00:00:00"/>
    <d v="2018-03-13T00:00:00"/>
    <s v="Declined"/>
    <x v="27"/>
    <m/>
    <m/>
    <m/>
    <m/>
    <s v=""/>
    <s v=""/>
    <m/>
    <m/>
  </r>
  <r>
    <x v="7"/>
    <s v="Kinney"/>
    <s v="T72977"/>
    <n v="11243439"/>
    <s v="FOL - FAC A"/>
    <x v="17"/>
    <s v="02F03682"/>
    <d v="2026-01-04T00:00:00"/>
    <d v="2019-06-05T00:00:00"/>
    <d v="2019-06-27T00:00:00"/>
    <d v="2019-06-27T00:00:00"/>
    <s v="Approved"/>
    <x v="129"/>
    <d v="2019-12-12T00:00:00"/>
    <d v="2019-12-06T00:00:00"/>
    <s v="Released"/>
    <n v="2214"/>
    <n v="6.065753424657534"/>
    <n v="50097.057534246575"/>
    <s v="Compassionate Release ordered by court on 12/13/2019"/>
    <d v="2019-12-12T00:00:00"/>
  </r>
  <r>
    <x v="7"/>
    <s v="Hinds"/>
    <s v="T43357"/>
    <n v="11925723"/>
    <s v="CMC B NDPF 3-289U"/>
    <x v="0"/>
    <s v="SA040570"/>
    <d v="2025-05-07T00:00:00"/>
    <d v="2019-02-19T00:00:00"/>
    <d v="2019-03-20T00:00:00"/>
    <d v="2019-03-22T00:00:00"/>
    <s v="Declined"/>
    <x v="27"/>
    <m/>
    <m/>
    <m/>
    <m/>
    <s v=""/>
    <s v=""/>
    <m/>
    <m/>
  </r>
  <r>
    <x v="11"/>
    <s v="Sweed"/>
    <s v="WE4748"/>
    <n v="11021724"/>
    <s v="FOL-Facility B"/>
    <x v="0"/>
    <s v="BA409795"/>
    <d v="2022-03-27T00:00:00"/>
    <d v="2019-05-10T00:00:00"/>
    <d v="2019-05-10T00:00:00"/>
    <d v="2019-05-17T00:00:00"/>
    <s v="Approved"/>
    <x v="57"/>
    <d v="2019-10-01T00:00:00"/>
    <d v="2019-09-16T00:00:00"/>
    <s v="No action - due to plea"/>
    <m/>
    <s v=""/>
    <s v=""/>
    <m/>
    <d v="2019-10-01T00:00:00"/>
  </r>
  <r>
    <x v="11"/>
    <s v="Nuno"/>
    <s v="AU2910"/>
    <n v="11622602"/>
    <s v="FOL-Central Service"/>
    <x v="0"/>
    <s v="VA127412"/>
    <d v="2024-02-06T00:00:00"/>
    <d v="2019-06-27T00:00:00"/>
    <d v="2019-06-27T00:00:00"/>
    <d v="2019-08-19T00:00:00"/>
    <s v="Approved"/>
    <x v="128"/>
    <d v="2019-09-27T00:00:00"/>
    <d v="2019-09-16T00:00:00"/>
    <s v="No action - reason provided"/>
    <m/>
    <s v=""/>
    <s v=""/>
    <m/>
    <d v="2019-09-30T00:00:00"/>
  </r>
  <r>
    <x v="11"/>
    <s v="Jones"/>
    <s v="AS4138"/>
    <n v="11067588"/>
    <s v="MCSP-Facility A"/>
    <x v="0"/>
    <s v="YA085420"/>
    <d v="2028-11-25T00:00:00"/>
    <d v="2019-05-16T00:00:00"/>
    <d v="2019-05-16T00:00:00"/>
    <d v="2019-06-18T00:00:00"/>
    <s v="Approved"/>
    <x v="102"/>
    <d v="2019-09-17T00:00:00"/>
    <d v="2019-09-17T00:00:00"/>
    <s v="No action - no reason specified"/>
    <m/>
    <s v=""/>
    <s v=""/>
    <m/>
    <d v="2019-09-17T00:00:00"/>
  </r>
  <r>
    <x v="1"/>
    <s v="Bracamontes "/>
    <s v="T69299"/>
    <n v="11180159"/>
    <s v="CIM - Facility A"/>
    <x v="0"/>
    <s v="BA224202"/>
    <d v="2029-05-27T00:00:00"/>
    <d v="2020-12-03T00:00:00"/>
    <d v="2021-02-09T00:00:00"/>
    <d v="2021-02-11T00:00:00"/>
    <s v="Approved"/>
    <x v="84"/>
    <m/>
    <m/>
    <m/>
    <m/>
    <s v=""/>
    <s v=""/>
    <m/>
    <m/>
  </r>
  <r>
    <x v="7"/>
    <s v="Clark"/>
    <s v="T17467"/>
    <n v="11911228"/>
    <s v="ASP-Facility B SNY"/>
    <x v="35"/>
    <s v="CR06464B"/>
    <d v="2023-05-07T00:00:00"/>
    <d v="2019-03-19T00:00:00"/>
    <d v="2019-03-20T00:00:00"/>
    <d v="2019-03-22T00:00:00"/>
    <s v="Approved"/>
    <x v="83"/>
    <m/>
    <m/>
    <m/>
    <m/>
    <s v=""/>
    <s v=""/>
    <m/>
    <m/>
  </r>
  <r>
    <x v="11"/>
    <s v="Chatman"/>
    <s v="F05635"/>
    <n v="11154387"/>
    <s v="CIM-Facility D"/>
    <x v="0"/>
    <s v="NA087422"/>
    <d v="2029-09-20T00:00:00"/>
    <d v="2019-05-15T00:00:00"/>
    <d v="2019-05-15T00:00:00"/>
    <d v="2019-07-29T00:00:00"/>
    <s v="Approved"/>
    <x v="114"/>
    <d v="2020-01-24T00:00:00"/>
    <d v="2019-11-21T00:00:00"/>
    <s v="Reduced"/>
    <n v="1826"/>
    <n v="5.0027397260273974"/>
    <n v="41317.627397260272"/>
    <s v="reduced by 5 years"/>
    <d v="2020-01-24T00:00:00"/>
  </r>
  <r>
    <x v="7"/>
    <s v="Rodriguez"/>
    <s v="AE9852"/>
    <n v="11352734"/>
    <s v="VSP D1 28 1U"/>
    <x v="10"/>
    <s v="SCS219199"/>
    <d v="2021-05-05T00:00:00"/>
    <d v="2019-03-19T00:00:00"/>
    <d v="2019-04-02T00:00:00"/>
    <d v="2019-04-02T00:00:00"/>
    <s v="Approved"/>
    <x v="83"/>
    <m/>
    <m/>
    <m/>
    <m/>
    <s v=""/>
    <s v=""/>
    <s v="Released per BPH/released 12/31/2020"/>
    <d v="2020-12-22T00:00:00"/>
  </r>
  <r>
    <x v="11"/>
    <s v="Sanchez"/>
    <s v="AW9449"/>
    <n v="11084635"/>
    <s v="SOL-Facility C"/>
    <x v="0"/>
    <s v="KA102293"/>
    <d v="2026-01-25T00:00:00"/>
    <d v="2019-06-24T00:00:00"/>
    <d v="2019-06-24T00:00:00"/>
    <d v="2019-07-17T00:00:00"/>
    <s v="Approved"/>
    <x v="64"/>
    <d v="2019-10-01T00:00:00"/>
    <d v="2019-09-19T00:00:00"/>
    <s v="No action - due to plea"/>
    <m/>
    <s v=""/>
    <s v=""/>
    <m/>
    <d v="2019-10-01T00:00:00"/>
  </r>
  <r>
    <x v="7"/>
    <s v="Landeros"/>
    <s v="AM9173"/>
    <n v="11305936"/>
    <s v="VSP"/>
    <x v="17"/>
    <s v="12F01176"/>
    <d v="2022-10-26T00:00:00"/>
    <d v="2019-03-26T00:00:00"/>
    <d v="2019-03-29T00:00:00"/>
    <d v="2019-03-19T00:00:00"/>
    <s v="Approved"/>
    <x v="83"/>
    <d v="2021-03-19T00:00:00"/>
    <d v="2021-02-18T00:00:00"/>
    <s v="Released"/>
    <n v="487"/>
    <n v="1.3342465753424657"/>
    <n v="11019.542465753426"/>
    <s v="set to release 3/24/21"/>
    <d v="2021-03-19T00:00:00"/>
  </r>
  <r>
    <x v="7"/>
    <s v="Espinoza"/>
    <s v="F76336"/>
    <n v="11595201"/>
    <s v="CCI-Facility E SNY"/>
    <x v="17"/>
    <s v="06F02330"/>
    <d v="2020-03-14T00:00:00"/>
    <d v="2019-02-20T00:00:00"/>
    <d v="2019-02-28T00:00:00"/>
    <d v="2019-02-28T00:00:00"/>
    <s v="Approved"/>
    <x v="75"/>
    <d v="2019-08-06T00:00:00"/>
    <d v="2019-08-02T00:00:00"/>
    <s v="Reduced"/>
    <n v="365"/>
    <n v="1"/>
    <n v="8259"/>
    <s v="reduced by 1 year and court orders deft time served "/>
    <d v="2019-08-06T00:00:00"/>
  </r>
  <r>
    <x v="7"/>
    <s v="Williams"/>
    <s v="F07231"/>
    <s v="00F07231"/>
    <s v="CTF"/>
    <x v="0"/>
    <s v="LA044953"/>
    <d v="2170-02-05T00:00:00"/>
    <d v="2019-03-27T00:00:00"/>
    <d v="2019-04-05T00:00:00"/>
    <d v="2019-04-08T00:00:00"/>
    <s v="Approved"/>
    <x v="83"/>
    <d v="2020-01-28T00:00:00"/>
    <d v="2020-01-24T00:00:00"/>
    <s v="Released"/>
    <n v="3273"/>
    <n v="8.9671232876712335"/>
    <n v="74059.47123287672"/>
    <m/>
    <d v="2020-01-29T00:00:00"/>
  </r>
  <r>
    <x v="7"/>
    <s v="Castaneda"/>
    <s v="W99076"/>
    <n v="11007186"/>
    <s v="CIW"/>
    <x v="0"/>
    <s v="TA064954"/>
    <d v="2037-04-25T00:00:00"/>
    <d v="2019-03-26T00:00:00"/>
    <d v="2019-04-05T00:00:00"/>
    <d v="2019-04-08T00:00:00"/>
    <s v="Approved"/>
    <x v="83"/>
    <m/>
    <m/>
    <m/>
    <m/>
    <s v=""/>
    <s v=""/>
    <m/>
    <m/>
  </r>
  <r>
    <x v="7"/>
    <s v="Fill"/>
    <s v="X03953"/>
    <n v="10254629"/>
    <s v="CIW-A"/>
    <x v="9"/>
    <s v="FSB040619"/>
    <d v="2033-10-16T00:00:00"/>
    <d v="2019-03-28T00:00:00"/>
    <d v="2019-04-16T00:00:00"/>
    <d v="2019-04-16T00:00:00"/>
    <s v="Approved"/>
    <x v="130"/>
    <d v="2021-03-19T00:00:00"/>
    <d v="2020-11-13T00:00:00"/>
    <s v="No action - no reason specified"/>
    <m/>
    <s v=""/>
    <s v=""/>
    <m/>
    <d v="2021-03-19T00:00:00"/>
  </r>
  <r>
    <x v="1"/>
    <s v="Bridgers"/>
    <s v="AX0619"/>
    <n v="12134861"/>
    <s v="SCC - Facility A"/>
    <x v="17"/>
    <s v="14F05764"/>
    <d v="2022-06-15T00:00:00"/>
    <d v="2021-02-01T00:00:00"/>
    <d v="2020-11-10T00:00:00"/>
    <d v="2020-11-17T00:00:00"/>
    <s v="Approved"/>
    <x v="131"/>
    <d v="2021-03-25T00:00:00"/>
    <d v="2021-03-26T00:00:00"/>
    <s v="Released"/>
    <n v="447"/>
    <n v="1.2246575342465753"/>
    <n v="10114.446575342467"/>
    <s v="Released 3/25/2021"/>
    <d v="2021-03-25T00:00:00"/>
  </r>
  <r>
    <x v="1"/>
    <s v="Briseno"/>
    <s v="K41407"/>
    <n v="11796514"/>
    <s v="CAL FAC D"/>
    <x v="8"/>
    <s v="INF042283"/>
    <d v="2034-06-16T00:00:00"/>
    <d v="2019-08-22T00:00:00"/>
    <d v="2019-09-17T00:00:00"/>
    <d v="2019-09-20T00:00:00"/>
    <s v="Approved"/>
    <x v="132"/>
    <m/>
    <m/>
    <m/>
    <m/>
    <s v=""/>
    <s v=""/>
    <s v="2nd letter to be sent to Los Angeles Co MA058237"/>
    <m/>
  </r>
  <r>
    <x v="1"/>
    <s v="Baca"/>
    <s v="F70636"/>
    <n v="11207810"/>
    <s v="KVSP-Facility B"/>
    <x v="9"/>
    <s v="FBA008476"/>
    <d v="2021-10-16T00:00:00"/>
    <d v="2018-12-14T00:00:00"/>
    <d v="2018-12-18T00:00:00"/>
    <d v="2018-12-18T00:00:00"/>
    <s v="Approved"/>
    <x v="62"/>
    <d v="2019-08-13T00:00:00"/>
    <d v="2019-08-13T00:00:00"/>
    <s v="Released"/>
    <n v="1583"/>
    <n v="4.33"/>
    <n v="35819.169863013696"/>
    <s v="reduced by 4 years and 4 months, released 08/22/2019"/>
    <d v="2019-08-16T00:00:00"/>
  </r>
  <r>
    <x v="1"/>
    <s v="Brown"/>
    <s v="AS5495"/>
    <s v="00AS5495"/>
    <s v="SATF-Facility B"/>
    <x v="0"/>
    <s v="BA401101"/>
    <d v="2028-11-25T00:00:00"/>
    <d v="2019-02-06T00:00:00"/>
    <d v="2019-02-11T00:00:00"/>
    <d v="2019-02-11T00:00:00"/>
    <s v="Approved"/>
    <x v="73"/>
    <d v="2019-03-13T00:00:00"/>
    <d v="2019-02-27T00:00:00"/>
    <s v="No action - due to plea"/>
    <m/>
    <s v=""/>
    <s v=""/>
    <m/>
    <d v="2019-03-13T00:00:00"/>
  </r>
  <r>
    <x v="1"/>
    <s v="Bui"/>
    <s v="AK0371"/>
    <n v="11041711"/>
    <s v="ASP - Facility A "/>
    <x v="12"/>
    <s v="CC894877"/>
    <d v="2027-05-27T00:00:00"/>
    <d v="2019-11-06T00:00:00"/>
    <d v="2020-03-16T00:00:00"/>
    <d v="2020-03-18T00:00:00"/>
    <s v="Approved"/>
    <x v="133"/>
    <d v="2021-04-21T00:00:00"/>
    <d v="2021-03-01T00:00:00"/>
    <s v="No action - due to plea"/>
    <m/>
    <s v=""/>
    <s v=""/>
    <m/>
    <d v="2021-05-05T00:00:00"/>
  </r>
  <r>
    <x v="1"/>
    <s v="Herrera"/>
    <s v="G11968"/>
    <n v="11617380"/>
    <s v="SVSP Facility B"/>
    <x v="12"/>
    <s v="CC313775  11F05197"/>
    <d v="2025-11-21T00:00:00"/>
    <d v="2019-04-09T00:00:00"/>
    <d v="2019-04-19T00:00:00"/>
    <d v="2019-04-19T00:00:00"/>
    <s v="Declined"/>
    <x v="27"/>
    <m/>
    <m/>
    <m/>
    <m/>
    <s v=""/>
    <s v=""/>
    <m/>
    <m/>
  </r>
  <r>
    <x v="1"/>
    <s v="Villarruel"/>
    <s v="V36343"/>
    <n v="11979023"/>
    <s v="ISP-Facility C"/>
    <x v="0"/>
    <s v="KA069402"/>
    <d v="2026-11-19T00:00:00"/>
    <d v="2018-11-21T00:00:00"/>
    <d v="2018-12-29T00:00:00"/>
    <d v="2018-12-29T00:00:00"/>
    <s v="Approved"/>
    <x v="66"/>
    <d v="2019-08-20T00:00:00"/>
    <d v="2019-08-08T00:00:00"/>
    <s v="Released"/>
    <n v="3652"/>
    <n v="10.005479452054795"/>
    <n v="82635.254794520544"/>
    <s v="Previously Denied on 05/3/19 Court decided to revisit court date set for 8/8/19, released 08/27/2019"/>
    <d v="2019-08-21T00:00:00"/>
  </r>
  <r>
    <x v="11"/>
    <s v="Mosqueda"/>
    <s v="AH3082"/>
    <n v="11071429"/>
    <s v="PRMCCF-Golden State "/>
    <x v="13"/>
    <s v="DF011064A"/>
    <d v="2022-02-05T00:00:00"/>
    <d v="2019-06-03T00:00:00"/>
    <d v="2019-06-03T00:00:00"/>
    <d v="2019-07-02T00:00:00"/>
    <s v="Approved"/>
    <x v="107"/>
    <d v="2020-01-24T00:00:00"/>
    <d v="2019-12-04T00:00:00"/>
    <s v="No action - no reason specified"/>
    <m/>
    <s v=""/>
    <s v=""/>
    <m/>
    <d v="2020-01-24T00:00:00"/>
  </r>
  <r>
    <x v="11"/>
    <s v="Hart"/>
    <s v="P86157"/>
    <n v="11892482"/>
    <s v="CMC-Facilty F"/>
    <x v="9"/>
    <s v="FSB029719"/>
    <d v="2029-08-07T00:00:00"/>
    <d v="2019-06-24T00:00:00"/>
    <d v="2019-06-25T00:00:00"/>
    <d v="2019-07-29T00:00:00"/>
    <s v="Declined"/>
    <x v="27"/>
    <m/>
    <m/>
    <m/>
    <m/>
    <s v=""/>
    <s v=""/>
    <m/>
    <m/>
  </r>
  <r>
    <x v="1"/>
    <s v="Busby"/>
    <s v="P79798"/>
    <n v="11888966"/>
    <s v="PBSP - Facility D"/>
    <x v="28"/>
    <s v="98-341-C"/>
    <d v="2034-04-25T00:00:00"/>
    <d v="2020-10-01T00:00:00"/>
    <d v="2020-10-15T00:00:00"/>
    <d v="2020-10-16T00:00:00"/>
    <s v="Approved"/>
    <x v="134"/>
    <m/>
    <d v="2020-09-03T00:00:00"/>
    <s v="Pending Court (Date in Notes)"/>
    <m/>
    <s v=""/>
    <s v=""/>
    <m/>
    <m/>
  </r>
  <r>
    <x v="1"/>
    <s v="Pomier"/>
    <s v="G24723"/>
    <n v="11625549"/>
    <s v="CVSP MSF"/>
    <x v="9"/>
    <s v="FVA022717"/>
    <d v="2022-01-07T00:00:00"/>
    <d v="2019-04-18T00:00:00"/>
    <d v="2019-04-23T00:00:00"/>
    <d v="2019-04-23T00:00:00"/>
    <s v="Declined"/>
    <x v="27"/>
    <m/>
    <m/>
    <m/>
    <m/>
    <s v=""/>
    <s v=""/>
    <m/>
    <m/>
  </r>
  <r>
    <x v="7"/>
    <s v="Shell"/>
    <s v="H20804"/>
    <n v="11663571"/>
    <s v="FOL-Facility A"/>
    <x v="10"/>
    <s v="SCD126559"/>
    <d v="2056-05-23T00:00:00"/>
    <d v="2019-01-23T00:00:00"/>
    <d v="2019-01-29T00:00:00"/>
    <d v="2019-02-05T00:00:00"/>
    <s v="Approved"/>
    <x v="135"/>
    <d v="2019-09-04T00:00:00"/>
    <d v="2019-08-29T00:00:00"/>
    <s v="Released"/>
    <n v="53"/>
    <n v="0.14520547945205478"/>
    <n v="1199.2520547945205"/>
    <s v="released 09/11/2019"/>
    <d v="2019-09-04T00:00:00"/>
  </r>
  <r>
    <x v="7"/>
    <s v="Diaz"/>
    <s v="K42849"/>
    <n v="11180012"/>
    <s v="FSP-Facility A 1-A5-22L"/>
    <x v="0"/>
    <s v="SA023829"/>
    <d v="2056-07-29T00:00:00"/>
    <d v="2019-02-19T00:00:00"/>
    <d v="2019-03-21T00:00:00"/>
    <d v="2019-03-21T00:00:00"/>
    <s v="Approved"/>
    <x v="82"/>
    <d v="2019-09-04T00:00:00"/>
    <d v="2019-09-27T00:00:00"/>
    <s v="Released"/>
    <n v="13471"/>
    <n v="36.906849315068492"/>
    <n v="304813.66849315068"/>
    <s v="reduced 36 years, released 09/11/2019"/>
    <d v="2019-09-05T00:00:00"/>
  </r>
  <r>
    <x v="1"/>
    <s v="Saephan"/>
    <s v="T68094"/>
    <s v="00T68094"/>
    <s v="CAC Facility A"/>
    <x v="18"/>
    <s v="060248-2"/>
    <d v="2034-05-08T00:00:00"/>
    <d v="2019-04-19T00:00:00"/>
    <d v="2019-04-22T00:00:00"/>
    <d v="2019-04-22T00:00:00"/>
    <s v="Declined"/>
    <x v="27"/>
    <m/>
    <m/>
    <m/>
    <m/>
    <s v=""/>
    <s v=""/>
    <m/>
    <m/>
  </r>
  <r>
    <x v="1"/>
    <s v="Jordan"/>
    <s v="G19570"/>
    <n v="11622232"/>
    <s v="CIM Facility D"/>
    <x v="0"/>
    <s v="VA102449-01  TA088685-01"/>
    <d v="2023-03-09T00:00:00"/>
    <d v="2019-04-19T00:00:00"/>
    <d v="2019-04-24T00:00:00"/>
    <d v="2019-04-24T00:00:00"/>
    <s v="Declined"/>
    <x v="27"/>
    <m/>
    <m/>
    <m/>
    <m/>
    <s v=""/>
    <s v=""/>
    <m/>
    <m/>
  </r>
  <r>
    <x v="1"/>
    <s v="Flores"/>
    <s v="AK6286"/>
    <s v="00AK6286"/>
    <s v="SCC Facility A GP"/>
    <x v="18"/>
    <s v="060248-2"/>
    <d v="2024-05-07T00:00:00"/>
    <d v="2019-04-19T00:00:00"/>
    <d v="2019-04-22T00:00:00"/>
    <d v="2019-04-22T00:00:00"/>
    <s v="Declined"/>
    <x v="27"/>
    <m/>
    <m/>
    <m/>
    <m/>
    <s v=""/>
    <s v=""/>
    <m/>
    <m/>
  </r>
  <r>
    <x v="11"/>
    <s v="Lebar"/>
    <s v="AG4266"/>
    <n v="11068345"/>
    <s v="SATF-Facility F"/>
    <x v="3"/>
    <s v="F08906665"/>
    <d v="2023-04-11T00:00:00"/>
    <d v="2019-06-03T00:00:00"/>
    <d v="2019-06-03T00:00:00"/>
    <d v="2019-07-02T00:00:00"/>
    <s v="Declined"/>
    <x v="27"/>
    <m/>
    <m/>
    <m/>
    <m/>
    <s v=""/>
    <s v=""/>
    <m/>
    <m/>
  </r>
  <r>
    <x v="7"/>
    <s v="Lord"/>
    <s v="V82291"/>
    <n v="12006340"/>
    <s v="CCI Facility D"/>
    <x v="0"/>
    <s v="YA057936"/>
    <d v="2031-06-19T00:00:00"/>
    <d v="2019-04-22T00:00:00"/>
    <d v="2019-04-30T00:00:00"/>
    <d v="2019-04-30T00:00:00"/>
    <s v="Approved"/>
    <x v="136"/>
    <d v="2020-02-05T00:00:00"/>
    <d v="2020-01-21T00:00:00"/>
    <s v="Reduced"/>
    <n v="1826.25"/>
    <n v="5.0034246575342465"/>
    <n v="41323.284246575342"/>
    <m/>
    <d v="2020-02-05T00:00:00"/>
  </r>
  <r>
    <x v="1"/>
    <s v="Buzo"/>
    <s v="AR5025"/>
    <n v="12102536"/>
    <s v="SOL - Facility B"/>
    <x v="21"/>
    <s v="SF120913"/>
    <d v="2030-06-11T00:00:00"/>
    <d v="2020-02-19T00:00:00"/>
    <d v="2020-03-05T00:00:00"/>
    <d v="2020-03-09T00:00:00"/>
    <s v="Approved"/>
    <x v="137"/>
    <m/>
    <m/>
    <m/>
    <m/>
    <s v=""/>
    <s v=""/>
    <s v="Second case number SF1202536"/>
    <m/>
  </r>
  <r>
    <x v="1"/>
    <s v="Caballero"/>
    <s v="AE6326"/>
    <n v="11350532"/>
    <s v="SATF - Facility D"/>
    <x v="0"/>
    <s v="VA112060"/>
    <d v="2023-12-12T00:00:00"/>
    <d v="2021-02-24T00:00:00"/>
    <d v="2021-03-12T00:00:00"/>
    <d v="2021-03-16T00:00:00"/>
    <s v="Approved"/>
    <x v="119"/>
    <m/>
    <m/>
    <m/>
    <m/>
    <s v=""/>
    <s v=""/>
    <m/>
    <m/>
  </r>
  <r>
    <x v="7"/>
    <s v="Harbold"/>
    <s v="T68321"/>
    <n v="11939747"/>
    <s v="ISP FAC C"/>
    <x v="10"/>
    <s v="SCE217220"/>
    <d v="2036-09-30T00:00:00"/>
    <d v="2019-04-24T00:00:00"/>
    <d v="2019-05-08T00:00:00"/>
    <d v="2019-05-08T00:00:00"/>
    <s v="Approved"/>
    <x v="70"/>
    <d v="2019-10-11T00:00:00"/>
    <d v="2019-09-20T00:00:00"/>
    <s v="Reduced"/>
    <n v="7670.25"/>
    <n v="21.014383561643836"/>
    <n v="173557.79383561644"/>
    <m/>
    <d v="2020-03-03T00:00:00"/>
  </r>
  <r>
    <x v="7"/>
    <s v="McCallum"/>
    <s v="F70712"/>
    <n v="11179867"/>
    <s v="SQ Facility A"/>
    <x v="0"/>
    <s v="KA076295"/>
    <d v="2029-04-15T00:00:00"/>
    <d v="2019-04-25T00:00:00"/>
    <d v="2019-05-07T00:00:00"/>
    <d v="2019-05-07T00:00:00"/>
    <s v="Approved"/>
    <x v="70"/>
    <d v="2019-07-15T00:00:00"/>
    <d v="2019-07-08T00:00:00"/>
    <s v="No action - reason provided"/>
    <m/>
    <s v=""/>
    <s v=""/>
    <m/>
    <d v="2020-03-03T00:00:00"/>
  </r>
  <r>
    <x v="11"/>
    <s v="Salih"/>
    <s v="AT5930"/>
    <n v="12114800"/>
    <s v="SOL-Facility C"/>
    <x v="10"/>
    <s v="SCE323564"/>
    <d v="2024-09-18T00:00:00"/>
    <d v="2019-06-27T00:00:00"/>
    <d v="2019-06-27T00:00:00"/>
    <d v="2019-09-04T00:00:00"/>
    <s v="Approved"/>
    <x v="98"/>
    <d v="2019-10-04T00:00:00"/>
    <d v="2019-09-23T00:00:00"/>
    <s v="No action - no reason specified"/>
    <m/>
    <s v=""/>
    <s v=""/>
    <m/>
    <d v="2019-10-07T00:00:00"/>
  </r>
  <r>
    <x v="7"/>
    <s v="Hernandez"/>
    <s v="X30955"/>
    <n v="11034288"/>
    <s v="CIW Facility A"/>
    <x v="2"/>
    <s v="07CF2771"/>
    <d v="2027-09-03T00:00:00"/>
    <d v="2019-04-29T00:00:00"/>
    <d v="2019-05-07T00:00:00"/>
    <d v="2019-05-07T00:00:00"/>
    <s v="Approved"/>
    <x v="70"/>
    <d v="2020-06-22T00:00:00"/>
    <d v="2020-06-19T00:00:00"/>
    <s v="Reduced"/>
    <n v="1614"/>
    <n v="4.4219178082191783"/>
    <n v="36520.61917808219"/>
    <s v="Reduced"/>
    <d v="2020-06-23T00:00:00"/>
  </r>
  <r>
    <x v="11"/>
    <s v="Williams"/>
    <s v="AP5081"/>
    <n v="11315784"/>
    <s v="CMF-Facility C"/>
    <x v="0"/>
    <s v="BA393694"/>
    <d v="2024-08-23T00:00:00"/>
    <d v="2019-06-27T00:00:00"/>
    <d v="2019-06-27T00:00:00"/>
    <d v="2019-09-04T00:00:00"/>
    <s v="Approved"/>
    <x v="98"/>
    <d v="2019-10-07T00:00:00"/>
    <d v="2019-09-27T00:00:00"/>
    <s v="No action - no reason specified"/>
    <m/>
    <s v=""/>
    <s v=""/>
    <m/>
    <d v="2019-10-07T00:00:00"/>
  </r>
  <r>
    <x v="1"/>
    <s v="Pitones"/>
    <s v="AK1553"/>
    <n v="11042563"/>
    <s v="ASP-Facility A"/>
    <x v="2"/>
    <s v="10HF0921"/>
    <d v="2022-10-07T00:00:00"/>
    <d v="2018-10-23T00:00:00"/>
    <d v="2018-10-25T00:00:00"/>
    <d v="2018-10-26T00:00:00"/>
    <s v="Approved"/>
    <x v="77"/>
    <d v="2019-09-09T00:00:00"/>
    <d v="2019-09-03T00:00:00"/>
    <s v="Released"/>
    <n v="3652"/>
    <n v="10.005479452054795"/>
    <n v="82635.254794520544"/>
    <s v="reduced by 10 years, released 09/13/2019"/>
    <d v="2019-09-10T00:00:00"/>
  </r>
  <r>
    <x v="7"/>
    <s v="Montiel"/>
    <s v="WE7095"/>
    <n v="11720952"/>
    <s v="CCWF Fire House"/>
    <x v="0"/>
    <s v="VA125738"/>
    <d v="2020-12-25T00:00:00"/>
    <d v="2019-05-08T00:00:00"/>
    <d v="2019-05-08T00:00:00"/>
    <d v="2019-05-09T00:00:00"/>
    <s v="Approved"/>
    <x v="70"/>
    <d v="2019-11-14T00:00:00"/>
    <d v="2019-10-30T00:00:00"/>
    <s v="No action - reason provided"/>
    <m/>
    <s v=""/>
    <s v=""/>
    <m/>
    <d v="2019-11-25T00:00:00"/>
  </r>
  <r>
    <x v="7"/>
    <s v="Lyman"/>
    <s v="AF1402"/>
    <n v="11353698"/>
    <s v="CMF FAC B"/>
    <x v="0"/>
    <s v="TA105713"/>
    <d v="2024-07-13T00:00:00"/>
    <d v="2019-05-02T00:00:00"/>
    <d v="2019-05-07T00:00:00"/>
    <d v="2019-05-07T00:00:00"/>
    <s v="Approved"/>
    <x v="70"/>
    <d v="2019-12-12T00:00:00"/>
    <d v="2019-12-10T00:00:00"/>
    <s v="Released"/>
    <n v="3652.5"/>
    <n v="10.006849315068493"/>
    <n v="82646.568493150684"/>
    <s v="reduced by 10 years."/>
    <d v="2019-12-10T00:00:00"/>
  </r>
  <r>
    <x v="7"/>
    <s v="Solorzano"/>
    <s v="P36502"/>
    <n v="11282041"/>
    <s v="VSP FAC D"/>
    <x v="21"/>
    <s v="SP062165"/>
    <d v="2018-07-22T00:00:00"/>
    <d v="2019-05-03T00:00:00"/>
    <d v="2019-05-06T00:00:00"/>
    <d v="2019-05-08T00:00:00"/>
    <s v="Declined"/>
    <x v="27"/>
    <m/>
    <m/>
    <m/>
    <m/>
    <s v=""/>
    <s v=""/>
    <m/>
    <m/>
  </r>
  <r>
    <x v="7"/>
    <s v="Tribble"/>
    <s v="T19937"/>
    <n v="11912612"/>
    <s v="SOL FAC D"/>
    <x v="0"/>
    <s v="YA0413915"/>
    <d v="2027-11-01T00:00:00"/>
    <d v="2019-05-06T00:00:00"/>
    <d v="2019-06-04T00:00:00"/>
    <d v="2019-06-06T00:00:00"/>
    <s v="Approved"/>
    <x v="57"/>
    <d v="2020-11-06T00:00:00"/>
    <d v="2020-07-29T00:00:00"/>
    <s v="Released"/>
    <n v="2645"/>
    <n v="7.2465753424657535"/>
    <n v="59849.465753424658"/>
    <s v="Released 8/4/2020"/>
    <d v="2020-11-06T00:00:00"/>
  </r>
  <r>
    <x v="11"/>
    <s v="Hecker"/>
    <s v="AS2774"/>
    <n v="11163019"/>
    <s v="RJD-Facility D"/>
    <x v="10"/>
    <s v="SCD248411"/>
    <d v="2025-08-26T00:00:00"/>
    <d v="2019-08-02T00:00:00"/>
    <d v="2019-08-05T00:00:00"/>
    <d v="2019-10-18T00:00:00"/>
    <s v="Approved"/>
    <x v="138"/>
    <m/>
    <d v="2021-04-15T00:00:00"/>
    <s v="Pending Court (Date in Notes)"/>
    <m/>
    <s v=""/>
    <s v=""/>
    <s v="NCD - 04/07/2020"/>
    <m/>
  </r>
  <r>
    <x v="1"/>
    <s v="Cabral"/>
    <s v="AI8530"/>
    <n v="11376337"/>
    <s v="ISP - Facility A"/>
    <x v="0"/>
    <s v="BA379073"/>
    <d v="2026-08-23T00:00:00"/>
    <d v="2020-08-10T00:00:00"/>
    <d v="2020-09-16T00:00:00"/>
    <d v="2020-09-17T00:00:00"/>
    <s v="Approved"/>
    <x v="139"/>
    <d v="2020-10-26T00:00:00"/>
    <d v="2020-10-15T00:00:00"/>
    <s v="No action - due to plea"/>
    <m/>
    <s v=""/>
    <s v=""/>
    <m/>
    <d v="2020-10-26T00:00:00"/>
  </r>
  <r>
    <x v="1"/>
    <s v="Carrasco"/>
    <s v="V53505"/>
    <n v="11989259"/>
    <s v="CIM - Facility D"/>
    <x v="0"/>
    <s v="PA047352"/>
    <d v="2025-07-10T00:00:00"/>
    <d v="2019-11-06T00:00:00"/>
    <d v="2019-11-26T00:00:00"/>
    <d v="2019-11-27T00:00:00"/>
    <s v="Approved"/>
    <x v="140"/>
    <d v="2020-01-07T00:00:00"/>
    <d v="2019-12-23T00:00:00"/>
    <s v="No action - reason provided"/>
    <m/>
    <s v=""/>
    <s v=""/>
    <m/>
    <d v="2020-01-07T00:00:00"/>
  </r>
  <r>
    <x v="11"/>
    <s v="Fowler"/>
    <s v="AM3667"/>
    <n v="11211757"/>
    <s v="MCSP-Facility D"/>
    <x v="9"/>
    <s v="FSB1105668"/>
    <d v="2024-02-27T00:00:00"/>
    <d v="2019-05-07T00:00:00"/>
    <d v="2019-05-07T00:00:00"/>
    <d v="2019-05-17T00:00:00"/>
    <s v="Declined"/>
    <x v="27"/>
    <m/>
    <m/>
    <m/>
    <m/>
    <s v=""/>
    <s v=""/>
    <m/>
    <m/>
  </r>
  <r>
    <x v="11"/>
    <s v="Cepeda"/>
    <s v="BG0980"/>
    <n v="12189739"/>
    <s v="MCSP-Facility E"/>
    <x v="0"/>
    <s v="NA090365"/>
    <d v="2025-02-08T00:00:00"/>
    <d v="2019-07-05T00:00:00"/>
    <d v="2019-07-08T00:00:00"/>
    <d v="2019-09-26T00:00:00"/>
    <s v="Approved"/>
    <x v="141"/>
    <d v="2021-04-16T00:00:00"/>
    <d v="2020-04-13T00:00:00"/>
    <s v="No action - no reason specified"/>
    <m/>
    <s v=""/>
    <s v=""/>
    <s v="NCD - 04/13/2020"/>
    <d v="2021-04-16T00:00:00"/>
  </r>
  <r>
    <x v="11"/>
    <s v="Jacobo"/>
    <s v="G18710"/>
    <n v="11218209"/>
    <s v="SATF-Facility F"/>
    <x v="0"/>
    <s v="BA414039"/>
    <d v="2028-12-19T00:00:00"/>
    <d v="2019-05-07T00:00:00"/>
    <d v="2019-05-07T00:00:00"/>
    <d v="2019-05-17T00:00:00"/>
    <s v="Approved"/>
    <x v="57"/>
    <d v="2019-11-25T00:00:00"/>
    <d v="2019-11-04T00:00:00"/>
    <s v="Reduced"/>
    <n v="2191.5"/>
    <n v="6.0041095890410956"/>
    <n v="49587.941095890412"/>
    <m/>
    <d v="2019-11-25T00:00:00"/>
  </r>
  <r>
    <x v="1"/>
    <s v="Leber"/>
    <s v="AG4266"/>
    <n v="11068345"/>
    <s v="SATF-Facility F"/>
    <x v="3"/>
    <s v="F08906665"/>
    <d v="2033-04-11T00:00:00"/>
    <d v="2018-09-25T00:00:00"/>
    <d v="2018-09-28T00:00:00"/>
    <d v="2018-10-01T00:00:00"/>
    <s v="Declined"/>
    <x v="27"/>
    <m/>
    <m/>
    <m/>
    <m/>
    <s v=""/>
    <s v=""/>
    <m/>
    <m/>
  </r>
  <r>
    <x v="11"/>
    <s v="Sanchez"/>
    <s v="F97626"/>
    <n v="11213649"/>
    <s v="PUMCCF-Taft"/>
    <x v="8"/>
    <s v="RIF096220"/>
    <d v="2022-09-07T00:00:00"/>
    <d v="2019-05-07T00:00:00"/>
    <d v="2019-05-07T00:00:00"/>
    <d v="2019-05-17T00:00:00"/>
    <s v="Declined"/>
    <x v="27"/>
    <m/>
    <m/>
    <m/>
    <m/>
    <s v=""/>
    <s v=""/>
    <m/>
    <m/>
  </r>
  <r>
    <x v="11"/>
    <s v="Bracamonte"/>
    <s v="AY0406"/>
    <n v="11213500"/>
    <s v="ASP-Facility A"/>
    <x v="0"/>
    <s v="PA077741"/>
    <d v="2022-02-02T00:00:00"/>
    <d v="2019-05-07T00:00:00"/>
    <d v="2019-05-07T00:00:00"/>
    <d v="2019-05-17T00:00:00"/>
    <s v="Declined"/>
    <x v="27"/>
    <m/>
    <m/>
    <m/>
    <m/>
    <s v=""/>
    <s v=""/>
    <m/>
    <m/>
  </r>
  <r>
    <x v="11"/>
    <s v="Hersey"/>
    <s v="AU8362"/>
    <n v="12121660"/>
    <s v="CTF-Facility B"/>
    <x v="4"/>
    <s v="CRM034963"/>
    <d v="2024-08-10T00:00:00"/>
    <d v="2019-06-21T00:00:00"/>
    <d v="2019-06-24T00:00:00"/>
    <d v="2019-08-19T00:00:00"/>
    <s v="Approved"/>
    <x v="128"/>
    <d v="2019-10-15T00:00:00"/>
    <d v="2019-09-30T00:00:00"/>
    <s v="No action - reason provided"/>
    <m/>
    <s v=""/>
    <s v=""/>
    <s v="not in the interest of Justice"/>
    <d v="2019-10-16T00:00:00"/>
  </r>
  <r>
    <x v="11"/>
    <s v="Gonzalez"/>
    <s v="AT3361"/>
    <n v="12113257"/>
    <s v="SATF-Facility G"/>
    <x v="0"/>
    <s v="GA089109"/>
    <d v="2029-10-01T00:00:00"/>
    <d v="2019-06-26T00:00:00"/>
    <d v="2019-07-02T00:00:00"/>
    <d v="2019-09-04T00:00:00"/>
    <s v="Approved"/>
    <x v="121"/>
    <d v="2019-10-15T00:00:00"/>
    <d v="2019-10-01T00:00:00"/>
    <s v="No action - reason provided"/>
    <m/>
    <s v=""/>
    <s v=""/>
    <s v="I/M sentence was final as of 2014"/>
    <d v="2019-10-16T00:00:00"/>
  </r>
  <r>
    <x v="1"/>
    <s v="Carrasco "/>
    <s v="AH3576"/>
    <n v="11367254"/>
    <s v="CMF - Facility A"/>
    <x v="0"/>
    <s v="TA110264"/>
    <d v="2023-01-11T00:00:00"/>
    <d v="2020-11-10T00:00:00"/>
    <d v="2020-12-09T00:00:00"/>
    <d v="2020-12-10T00:00:00"/>
    <s v="Approved"/>
    <x v="142"/>
    <d v="2021-02-02T00:00:00"/>
    <d v="2021-01-15T00:00:00"/>
    <s v="No action - no reason specified"/>
    <m/>
    <s v=""/>
    <s v=""/>
    <m/>
    <m/>
  </r>
  <r>
    <x v="11"/>
    <s v="Harrison"/>
    <s v="WA4735"/>
    <n v="10227417"/>
    <s v="CCWF-Facility C"/>
    <x v="6"/>
    <s v="CRF090202"/>
    <d v="2026-05-09T00:00:00"/>
    <d v="2019-05-10T00:00:00"/>
    <d v="2019-05-10T00:00:00"/>
    <d v="2019-05-17T00:00:00"/>
    <s v="Approved"/>
    <x v="57"/>
    <d v="2020-02-27T00:00:00"/>
    <d v="2020-01-30T00:00:00"/>
    <s v="Reduced"/>
    <n v="1826"/>
    <n v="5.0027397260273974"/>
    <n v="41317.627397260272"/>
    <m/>
    <d v="2020-02-27T00:00:00"/>
  </r>
  <r>
    <x v="11"/>
    <s v="Coleman"/>
    <s v="WF0437"/>
    <n v="10246676"/>
    <s v="SACCO-CCTRP Santa FE Springs"/>
    <x v="0"/>
    <s v="GA090089"/>
    <d v="2021-07-05T00:00:00"/>
    <d v="2019-05-10T00:00:00"/>
    <d v="2019-05-10T00:00:00"/>
    <d v="2019-05-17T00:00:00"/>
    <s v="Approved"/>
    <x v="57"/>
    <d v="2021-03-19T00:00:00"/>
    <d v="2019-07-19T00:00:00"/>
    <s v="No action - no reason specified"/>
    <m/>
    <s v=""/>
    <s v=""/>
    <s v="Judicial Action taken on 06/21/2019. Request for documents."/>
    <d v="2021-03-19T00:00:00"/>
  </r>
  <r>
    <x v="11"/>
    <s v="Ervin"/>
    <s v="AE6475"/>
    <n v="11061784"/>
    <s v="CHCF-Facility E"/>
    <x v="0"/>
    <s v="MA047039"/>
    <d v="2027-01-27T00:00:00"/>
    <d v="2019-05-16T00:00:00"/>
    <d v="2019-05-16T00:00:00"/>
    <d v="2019-06-13T00:00:00"/>
    <s v="Approved"/>
    <x v="88"/>
    <d v="2019-10-11T00:00:00"/>
    <d v="2019-10-03T00:00:00"/>
    <s v="No action - no reason specified"/>
    <m/>
    <s v=""/>
    <s v=""/>
    <m/>
    <d v="2019-10-11T00:00:00"/>
  </r>
  <r>
    <x v="11"/>
    <s v="Redding"/>
    <s v="BE5010"/>
    <n v="11334822"/>
    <s v="CCC-Deadwood Camp"/>
    <x v="42"/>
    <n v="220151"/>
    <d v="2021-07-07T00:00:00"/>
    <d v="2019-11-15T00:00:00"/>
    <d v="2019-11-19T00:00:00"/>
    <d v="2020-01-06T00:00:00"/>
    <s v="Approved"/>
    <x v="143"/>
    <d v="2020-03-05T00:00:00"/>
    <d v="2020-02-26T00:00:00"/>
    <s v="Reduced"/>
    <n v="1826"/>
    <n v="5.0027397260273974"/>
    <n v="41317.627397260272"/>
    <m/>
    <d v="2020-04-10T00:00:00"/>
  </r>
  <r>
    <x v="11"/>
    <s v="Sims"/>
    <s v="WE6373"/>
    <n v="10977883"/>
    <s v="CIW-Facility A"/>
    <x v="0"/>
    <s v="BA403883"/>
    <d v="2023-06-24T00:00:00"/>
    <d v="2019-05-10T00:00:00"/>
    <d v="2019-05-10T00:00:00"/>
    <d v="2019-05-17T00:00:00"/>
    <s v="Approved"/>
    <x v="57"/>
    <m/>
    <m/>
    <m/>
    <m/>
    <s v=""/>
    <s v=""/>
    <m/>
    <m/>
  </r>
  <r>
    <x v="11"/>
    <s v="Ruiz"/>
    <s v="AN8010"/>
    <n v="11311604"/>
    <s v="VSP-Facility A"/>
    <x v="40"/>
    <n v="1347088"/>
    <d v="2038-11-05T00:00:00"/>
    <d v="2019-06-07T00:00:00"/>
    <d v="2019-06-07T00:00:00"/>
    <d v="2019-07-17T00:00:00"/>
    <s v="Approved"/>
    <x v="64"/>
    <d v="2019-10-28T00:00:00"/>
    <d v="2019-10-04T00:00:00"/>
    <s v="No action - reason provided"/>
    <m/>
    <s v=""/>
    <s v=""/>
    <m/>
    <d v="2019-10-29T00:00:00"/>
  </r>
  <r>
    <x v="11"/>
    <s v="Canter"/>
    <s v="AU2788"/>
    <n v="11221006"/>
    <s v="CAC-Facility A"/>
    <x v="2"/>
    <s v="10WF2706"/>
    <d v="2030-05-31T00:00:00"/>
    <d v="2019-07-03T00:00:00"/>
    <d v="2019-07-08T00:00:00"/>
    <d v="2019-09-04T00:00:00"/>
    <s v="Approved"/>
    <x v="121"/>
    <d v="2019-10-25T00:00:00"/>
    <d v="2019-10-07T00:00:00"/>
    <s v="No action - reason provided"/>
    <m/>
    <s v=""/>
    <s v=""/>
    <s v="Origianl sentence should not be disturbed"/>
    <d v="2019-10-25T00:00:00"/>
  </r>
  <r>
    <x v="11"/>
    <s v="Marks"/>
    <s v="WE5142"/>
    <n v="11018810"/>
    <s v="CIW-Facility A"/>
    <x v="17"/>
    <s v="11F01025"/>
    <d v="2024-08-06T00:00:00"/>
    <d v="2019-05-10T00:00:00"/>
    <d v="2019-05-10T00:00:00"/>
    <d v="2019-05-17T00:00:00"/>
    <s v="Approved"/>
    <x v="57"/>
    <d v="2020-01-31T00:00:00"/>
    <d v="2020-01-24T00:00:00"/>
    <s v="Reduced"/>
    <n v="1826"/>
    <n v="5.0027397260273974"/>
    <n v="41317.627397260272"/>
    <m/>
    <d v="2020-02-03T00:00:00"/>
  </r>
  <r>
    <x v="7"/>
    <s v="Santiago"/>
    <s v="T21346"/>
    <n v="11250502"/>
    <s v="FOL-Facility A"/>
    <x v="13"/>
    <s v="SC081888"/>
    <d v="2027-07-30T00:00:00"/>
    <d v="2019-01-23T00:00:00"/>
    <d v="2019-01-29T00:00:00"/>
    <d v="2019-02-05T00:00:00"/>
    <s v="Approved"/>
    <x v="135"/>
    <d v="2019-11-05T00:00:00"/>
    <d v="2019-10-22T00:00:00"/>
    <s v="Released"/>
    <n v="410"/>
    <n v="1.1232876712328768"/>
    <n v="9277.232876712329"/>
    <s v="release 11/5/2019"/>
    <d v="2019-11-19T00:00:00"/>
  </r>
  <r>
    <x v="11"/>
    <s v="Gonsalves"/>
    <s v="WG0104"/>
    <n v="11032877"/>
    <s v="CCWF-Facility C"/>
    <x v="7"/>
    <s v="CM036102"/>
    <d v="2033-05-22T00:00:00"/>
    <d v="2019-05-10T00:00:00"/>
    <d v="2019-05-10T00:00:00"/>
    <d v="2019-05-17T00:00:00"/>
    <s v="Approved"/>
    <x v="57"/>
    <d v="2019-12-02T00:00:00"/>
    <d v="2019-11-05T00:00:00"/>
    <s v="Reduced"/>
    <n v="1826"/>
    <n v="5.0027397260273974"/>
    <n v="41317.627397260272"/>
    <m/>
    <d v="2020-04-13T00:00:00"/>
  </r>
  <r>
    <x v="1"/>
    <s v="Carter "/>
    <s v="T99237"/>
    <n v="11957463"/>
    <s v="CHCF - Facility A"/>
    <x v="17"/>
    <s v="01F02232"/>
    <d v="2035-12-25T00:00:00"/>
    <d v="2020-11-17T00:00:00"/>
    <d v="2020-12-14T00:00:00"/>
    <d v="2020-12-08T00:00:00"/>
    <s v="Approved"/>
    <x v="144"/>
    <m/>
    <m/>
    <m/>
    <m/>
    <s v=""/>
    <s v=""/>
    <m/>
    <m/>
  </r>
  <r>
    <x v="11"/>
    <s v="Frushon"/>
    <s v="AR2274"/>
    <n v="11820096"/>
    <s v="NKSP-Facility A"/>
    <x v="0"/>
    <s v="NA095146"/>
    <d v="2025-04-18T00:00:00"/>
    <d v="2019-07-22T00:00:00"/>
    <d v="2019-07-24T00:00:00"/>
    <d v="2019-09-24T00:00:00"/>
    <s v="Approved"/>
    <x v="141"/>
    <d v="2019-10-07T00:00:00"/>
    <d v="2019-10-04T00:00:00"/>
    <s v="No action - due to plea"/>
    <m/>
    <s v=""/>
    <s v=""/>
    <m/>
    <d v="2019-10-07T00:00:00"/>
  </r>
  <r>
    <x v="11"/>
    <s v="Mooney"/>
    <s v="AZ4523"/>
    <n v="11224197"/>
    <s v="HDSP-Facility A "/>
    <x v="10"/>
    <s v="SCN317406"/>
    <d v="2025-02-20T00:00:00"/>
    <d v="2019-05-09T00:00:00"/>
    <d v="2019-05-09T00:00:00"/>
    <d v="2019-06-11T00:00:00"/>
    <s v="Approved"/>
    <x v="88"/>
    <d v="2019-08-09T00:00:00"/>
    <d v="2019-08-05T00:00:00"/>
    <s v="No action - reason provided"/>
    <m/>
    <s v=""/>
    <s v=""/>
    <s v="No justification for the court to exercise its discretion and resentence defendant"/>
    <d v="2019-08-09T00:00:00"/>
  </r>
  <r>
    <x v="1"/>
    <s v="Canter"/>
    <s v="AU2788"/>
    <n v="11221006"/>
    <s v="COCF-La Palma CC, Arizona (AZ2)"/>
    <x v="2"/>
    <s v="10WF2706"/>
    <d v="2030-05-31T00:00:00"/>
    <d v="2018-10-22T00:00:00"/>
    <d v="2018-10-24T00:00:00"/>
    <d v="2018-10-24T00:00:00"/>
    <s v="Approved"/>
    <x v="145"/>
    <d v="2019-10-25T00:00:00"/>
    <d v="2019-10-07T00:00:00"/>
    <s v="No action - reason provided"/>
    <m/>
    <s v=""/>
    <s v=""/>
    <s v="Original sentence should not be disturbed"/>
    <d v="2019-10-25T00:00:00"/>
  </r>
  <r>
    <x v="11"/>
    <s v="Collins"/>
    <s v="BC7016"/>
    <n v="11228477"/>
    <s v="SATF-Facility C"/>
    <x v="2"/>
    <s v="13NF3319"/>
    <d v="2041-09-28T00:00:00"/>
    <d v="2019-05-09T00:00:00"/>
    <d v="2019-05-09T00:00:00"/>
    <d v="2019-06-11T00:00:00"/>
    <s v="Declined"/>
    <x v="27"/>
    <m/>
    <m/>
    <m/>
    <m/>
    <s v=""/>
    <s v=""/>
    <m/>
    <m/>
  </r>
  <r>
    <x v="11"/>
    <s v="Johnson"/>
    <s v="AL7172"/>
    <n v="11146453"/>
    <s v="CMC-Facility D"/>
    <x v="42"/>
    <n v="214086"/>
    <d v="2024-11-07T00:00:00"/>
    <d v="2019-06-27T00:00:00"/>
    <d v="2019-06-27T00:00:00"/>
    <d v="2019-09-04T00:00:00"/>
    <s v="Approved"/>
    <x v="98"/>
    <d v="2021-02-26T00:00:00"/>
    <d v="2020-03-19T00:00:00"/>
    <s v="Released"/>
    <n v="1589"/>
    <n v="4.353424657534247"/>
    <n v="35954.934246575343"/>
    <s v="Released 7/2/2020"/>
    <d v="2021-02-26T00:00:00"/>
  </r>
  <r>
    <x v="11"/>
    <s v="Vinci"/>
    <s v="AI3255"/>
    <n v="11235592"/>
    <s v="RJD-Facility E"/>
    <x v="10"/>
    <s v="SCN274520"/>
    <d v="2021-05-18T00:00:00"/>
    <d v="2019-05-09T00:00:00"/>
    <d v="2019-05-09T00:00:00"/>
    <d v="2019-06-11T00:00:00"/>
    <s v="Approved"/>
    <x v="88"/>
    <d v="2020-03-10T00:00:00"/>
    <d v="2019-08-23T00:00:00"/>
    <s v="Reduced"/>
    <n v="730.5"/>
    <n v="2.0013698630136987"/>
    <n v="16529.313698630136"/>
    <s v="Released on 10/17/2019"/>
    <d v="2020-04-14T00:00:00"/>
  </r>
  <r>
    <x v="11"/>
    <s v="Lopez"/>
    <s v="AR3666"/>
    <n v="11263297"/>
    <s v="CRC-Facility D"/>
    <x v="2"/>
    <s v="13CF2910"/>
    <d v="2024-10-30T00:00:00"/>
    <d v="2019-06-27T00:00:00"/>
    <d v="2019-06-27T00:00:00"/>
    <d v="2019-08-19T00:00:00"/>
    <s v="Approved"/>
    <x v="128"/>
    <d v="2019-10-16T00:00:00"/>
    <d v="2019-10-09T00:00:00"/>
    <s v="No action - no reason specified"/>
    <m/>
    <s v=""/>
    <s v=""/>
    <m/>
    <d v="2019-10-16T00:00:00"/>
  </r>
  <r>
    <x v="11"/>
    <s v="Scott"/>
    <s v="AS9876"/>
    <n v="11242230"/>
    <s v="CMF-Facility B"/>
    <x v="20"/>
    <n v="172526"/>
    <d v="2024-11-21T00:00:00"/>
    <d v="2019-05-09T00:00:00"/>
    <d v="2019-05-09T00:00:00"/>
    <d v="2019-06-04T00:00:00"/>
    <s v="Declined"/>
    <x v="27"/>
    <m/>
    <m/>
    <m/>
    <m/>
    <s v=""/>
    <s v=""/>
    <m/>
    <m/>
  </r>
  <r>
    <x v="11"/>
    <s v="Sandoval"/>
    <s v="K69724"/>
    <n v="11249659"/>
    <s v="CAC-Facility C"/>
    <x v="9"/>
    <s v="FSB027493"/>
    <d v="2028-01-07T00:00:00"/>
    <d v="2019-05-09T00:00:00"/>
    <d v="2019-05-09T00:00:00"/>
    <d v="2019-06-11T00:00:00"/>
    <s v="Approved"/>
    <x v="88"/>
    <m/>
    <m/>
    <m/>
    <m/>
    <s v=""/>
    <s v=""/>
    <m/>
    <m/>
  </r>
  <r>
    <x v="11"/>
    <s v="Parks"/>
    <s v="P57932"/>
    <n v="11877063"/>
    <s v="CIM-Facility C"/>
    <x v="10"/>
    <s v="SCD227973"/>
    <d v="2030-07-25T00:00:00"/>
    <d v="2019-05-31T00:00:00"/>
    <d v="2019-05-31T00:00:00"/>
    <d v="2019-06-25T00:00:00"/>
    <s v="Approved"/>
    <x v="110"/>
    <d v="2019-10-28T00:00:00"/>
    <d v="2019-10-10T00:00:00"/>
    <s v="No action - no reason specified"/>
    <m/>
    <s v=""/>
    <s v=""/>
    <m/>
    <d v="2019-10-29T00:00:00"/>
  </r>
  <r>
    <x v="5"/>
    <s v="Montenegro"/>
    <s v="AR3348"/>
    <n v="12101425"/>
    <s v="FOL-Facility A"/>
    <x v="2"/>
    <s v="12CF0209"/>
    <m/>
    <d v="2018-04-02T00:00:00"/>
    <d v="2018-04-02T00:00:00"/>
    <d v="2018-04-03T00:00:00"/>
    <s v="Approved"/>
    <x v="8"/>
    <d v="2021-02-26T00:00:00"/>
    <d v="2020-03-25T00:00:00"/>
    <s v="Released"/>
    <n v="735"/>
    <n v="2.0136986301369864"/>
    <n v="16631.136986301372"/>
    <s v="Released 9/8/2020 released from parole 9/28/2020"/>
    <d v="2021-02-26T00:00:00"/>
  </r>
  <r>
    <x v="11"/>
    <s v="Guzman"/>
    <s v="F84637"/>
    <n v="11600455"/>
    <s v="PVSP-Facility C"/>
    <x v="0"/>
    <s v="KA095713"/>
    <d v="2024-11-12T00:00:00"/>
    <d v="2019-06-27T00:00:00"/>
    <d v="2019-06-27T00:00:00"/>
    <d v="2019-08-19T00:00:00"/>
    <s v="Approved"/>
    <x v="128"/>
    <d v="2019-10-15T00:00:00"/>
    <d v="2019-10-11T00:00:00"/>
    <s v="No action - due to plea"/>
    <m/>
    <s v=""/>
    <s v=""/>
    <m/>
    <d v="2019-10-16T00:00:00"/>
  </r>
  <r>
    <x v="11"/>
    <s v="Quijada"/>
    <s v="AX7149"/>
    <n v="11801404"/>
    <s v="KVSP-Facility C"/>
    <x v="11"/>
    <s v="VCF270283"/>
    <d v="2032-05-05T00:00:00"/>
    <d v="2019-05-15T00:00:00"/>
    <d v="2019-05-15T00:00:00"/>
    <d v="2019-06-13T00:00:00"/>
    <s v="Approved"/>
    <x v="88"/>
    <m/>
    <m/>
    <m/>
    <m/>
    <s v=""/>
    <s v=""/>
    <s v="Denied by Judical officer on 06/27/2019. Request to obtain denial letter. "/>
    <m/>
  </r>
  <r>
    <x v="11"/>
    <s v="Nguyen"/>
    <s v="AV7173"/>
    <n v="11805537"/>
    <s v="CTF-Facility C"/>
    <x v="2"/>
    <s v="13WF0278"/>
    <d v="2023-09-30T00:00:00"/>
    <d v="2019-05-15T00:00:00"/>
    <d v="2019-05-15T00:00:00"/>
    <d v="2019-06-04T00:00:00"/>
    <s v="Declined"/>
    <x v="27"/>
    <m/>
    <m/>
    <m/>
    <m/>
    <s v=""/>
    <s v=""/>
    <m/>
    <m/>
  </r>
  <r>
    <x v="11"/>
    <s v="Bailey"/>
    <s v="AK0711"/>
    <n v="11042010"/>
    <s v="SOL-Facility A"/>
    <x v="1"/>
    <s v="FCR262979"/>
    <d v="2037-05-29T00:00:00"/>
    <d v="2019-05-15T00:00:00"/>
    <d v="2019-05-15T00:00:00"/>
    <d v="2019-06-11T00:00:00"/>
    <s v="Approved"/>
    <x v="88"/>
    <d v="2021-03-19T00:00:00"/>
    <d v="2020-09-28T00:00:00"/>
    <s v="No action - no reason specified"/>
    <m/>
    <s v=""/>
    <s v=""/>
    <m/>
    <d v="2021-03-19T00:00:00"/>
  </r>
  <r>
    <x v="11"/>
    <s v="Lopez"/>
    <s v="V76480"/>
    <n v="11292698"/>
    <s v="CIM-Facility D"/>
    <x v="2"/>
    <s v="10CF0356"/>
    <d v="2026-01-03T00:00:00"/>
    <d v="2019-05-30T00:00:00"/>
    <d v="2019-05-31T00:00:00"/>
    <d v="2019-07-02T00:00:00"/>
    <s v="Approved"/>
    <x v="55"/>
    <d v="2021-02-26T00:00:00"/>
    <d v="2020-03-27T00:00:00"/>
    <s v="Released"/>
    <n v="1978"/>
    <n v="5.419178082191781"/>
    <n v="44756.991780821918"/>
    <s v="Released 8/4/2020"/>
    <d v="2021-02-26T00:00:00"/>
  </r>
  <r>
    <x v="11"/>
    <s v="Gaston"/>
    <s v="AW1728"/>
    <n v="11047025"/>
    <s v="CTF-Facility C"/>
    <x v="42"/>
    <n v="218094"/>
    <d v="2031-04-13T00:00:00"/>
    <d v="2019-05-15T00:00:00"/>
    <d v="2019-05-15T00:00:00"/>
    <d v="2019-06-04T00:00:00"/>
    <s v="Approved"/>
    <x v="57"/>
    <d v="2019-09-20T00:00:00"/>
    <d v="2019-08-12T00:00:00"/>
    <s v="Reduced"/>
    <n v="3173"/>
    <n v="8.6931506849315063"/>
    <n v="71796.731506849319"/>
    <m/>
    <d v="2019-09-23T00:00:00"/>
  </r>
  <r>
    <x v="11"/>
    <s v="Beltran"/>
    <s v="AA5919"/>
    <n v="11047425"/>
    <s v="ASP-Facility B "/>
    <x v="10"/>
    <s v="SCS218232"/>
    <d v="2031-05-21T00:00:00"/>
    <d v="2019-05-15T00:00:00"/>
    <d v="2019-05-15T00:00:00"/>
    <d v="2019-06-04T00:00:00"/>
    <s v="Declined"/>
    <x v="27"/>
    <m/>
    <m/>
    <m/>
    <m/>
    <s v=""/>
    <s v=""/>
    <m/>
    <m/>
  </r>
  <r>
    <x v="11"/>
    <s v="Harley"/>
    <s v="BA9156"/>
    <n v="11047768"/>
    <s v="RJD-Facility A"/>
    <x v="0"/>
    <s v="YA086609"/>
    <d v="2024-08-01T00:00:00"/>
    <d v="2019-05-15T00:00:00"/>
    <d v="2019-05-15T00:00:00"/>
    <d v="2019-06-04T00:00:00"/>
    <s v="Declined"/>
    <x v="27"/>
    <m/>
    <m/>
    <m/>
    <m/>
    <s v=""/>
    <s v=""/>
    <m/>
    <m/>
  </r>
  <r>
    <x v="11"/>
    <s v="Tinajero"/>
    <s v="AA9660"/>
    <n v="11048750"/>
    <s v="CEN-Facility D"/>
    <x v="10"/>
    <s v="SCD218231"/>
    <d v="2036-05-02T00:00:00"/>
    <d v="2019-05-15T00:00:00"/>
    <d v="2019-05-15T00:00:00"/>
    <d v="2019-06-04T00:00:00"/>
    <s v="Declined"/>
    <x v="27"/>
    <m/>
    <m/>
    <m/>
    <m/>
    <s v=""/>
    <s v=""/>
    <m/>
    <m/>
  </r>
  <r>
    <x v="11"/>
    <s v="Ward "/>
    <s v="AT3713"/>
    <n v="11048758"/>
    <s v="CTF-Facility C"/>
    <x v="0"/>
    <s v="BA405490"/>
    <d v="2028-06-16T00:00:00"/>
    <d v="2019-05-15T00:00:00"/>
    <d v="2019-05-15T00:00:00"/>
    <d v="2019-06-04T00:00:00"/>
    <s v="Declined"/>
    <x v="27"/>
    <m/>
    <m/>
    <m/>
    <m/>
    <s v=""/>
    <s v=""/>
    <m/>
    <m/>
  </r>
  <r>
    <x v="6"/>
    <s v="Lucas"/>
    <s v="E13423"/>
    <n v="11505305"/>
    <s v="MCSP-Facility A"/>
    <x v="27"/>
    <s v="CC010012"/>
    <d v="2024-08-09T00:00:00"/>
    <d v="2018-08-31T00:00:00"/>
    <d v="2018-08-31T00:00:00"/>
    <d v="2018-09-05T00:00:00"/>
    <s v="Approved"/>
    <x v="22"/>
    <d v="2019-03-04T00:00:00"/>
    <d v="2019-01-24T00:00:00"/>
    <s v="Reduced"/>
    <n v="973"/>
    <n v="2.6657534246575341"/>
    <n v="22016.457534246576"/>
    <s v="reduced by 2 years 8 months"/>
    <d v="2019-03-04T00:00:00"/>
  </r>
  <r>
    <x v="11"/>
    <s v="Forrest"/>
    <s v="AU5246"/>
    <n v="11052667"/>
    <s v="SCC-Facility B"/>
    <x v="8"/>
    <s v="RIF1301685"/>
    <d v="2029-04-06T00:00:00"/>
    <d v="2019-05-15T00:00:00"/>
    <d v="2019-05-15T00:00:00"/>
    <d v="2019-06-04T00:00:00"/>
    <s v="Declined"/>
    <x v="27"/>
    <m/>
    <m/>
    <m/>
    <m/>
    <s v=""/>
    <s v=""/>
    <m/>
    <m/>
  </r>
  <r>
    <x v="11"/>
    <s v="Garcia"/>
    <s v="AU1454"/>
    <n v="11052680"/>
    <s v="FOL-Facility A"/>
    <x v="0"/>
    <s v="GA089508"/>
    <d v="2023-04-22T00:00:00"/>
    <d v="2019-05-15T00:00:00"/>
    <d v="2019-05-15T00:00:00"/>
    <d v="2019-06-04T00:00:00"/>
    <s v="Approved"/>
    <x v="57"/>
    <d v="2019-07-30T00:00:00"/>
    <d v="2019-07-23T00:00:00"/>
    <s v="No action - no reason specified"/>
    <m/>
    <s v=""/>
    <s v=""/>
    <m/>
    <d v="2020-04-14T00:00:00"/>
  </r>
  <r>
    <x v="1"/>
    <s v="Castillo"/>
    <s v="AD6337"/>
    <n v="11344321"/>
    <s v="CVSP - Facility D"/>
    <x v="0"/>
    <s v="BA358480"/>
    <d v="2030-07-15T00:00:00"/>
    <d v="2020-08-13T00:00:00"/>
    <d v="2020-09-04T00:00:00"/>
    <d v="2020-09-08T00:00:00"/>
    <s v="Approved"/>
    <x v="71"/>
    <m/>
    <d v="2020-12-09T00:00:00"/>
    <s v="Pending Court (Date in Notes)"/>
    <m/>
    <s v=""/>
    <s v=""/>
    <s v="NCD-12/09/2020"/>
    <m/>
  </r>
  <r>
    <x v="11"/>
    <s v="Minchaca"/>
    <s v="AU0121"/>
    <n v="11052858"/>
    <s v="CAC-Facility A"/>
    <x v="8"/>
    <s v="RIF1105666"/>
    <d v="2025-01-08T00:00:00"/>
    <d v="2019-05-16T00:00:00"/>
    <d v="2019-05-16T00:00:00"/>
    <d v="2019-06-18T00:00:00"/>
    <s v="Declined"/>
    <x v="27"/>
    <m/>
    <m/>
    <m/>
    <m/>
    <s v=""/>
    <s v=""/>
    <m/>
    <m/>
  </r>
  <r>
    <x v="11"/>
    <s v="Padilla"/>
    <s v="AM5387"/>
    <n v="11904326"/>
    <s v="CMC-Facility F"/>
    <x v="9"/>
    <s v="FWV1002925"/>
    <d v="2027-11-12T00:00:00"/>
    <d v="2019-06-07T00:00:00"/>
    <d v="2019-06-07T00:00:00"/>
    <d v="2019-07-17T00:00:00"/>
    <s v="Approved"/>
    <x v="117"/>
    <d v="2020-01-24T00:00:00"/>
    <d v="2019-12-06T00:00:00"/>
    <s v="Reduced"/>
    <n v="1826"/>
    <n v="5.0027397260273974"/>
    <n v="41317.627397260272"/>
    <s v="reduced by 5 years"/>
    <d v="2020-01-24T00:00:00"/>
  </r>
  <r>
    <x v="11"/>
    <s v="Thomas"/>
    <s v="AP9488"/>
    <n v="11828201"/>
    <s v="CAC-Facility B"/>
    <x v="0"/>
    <s v="TA127465"/>
    <d v="2028-07-08T00:00:00"/>
    <d v="2019-05-17T00:00:00"/>
    <d v="2019-05-17T00:00:00"/>
    <d v="2019-06-18T00:00:00"/>
    <s v="Approved"/>
    <x v="102"/>
    <d v="2019-10-25T00:00:00"/>
    <d v="2019-10-16T00:00:00"/>
    <s v="No action - no reason specified"/>
    <m/>
    <s v=""/>
    <s v=""/>
    <m/>
    <d v="2019-10-25T00:00:00"/>
  </r>
  <r>
    <x v="11"/>
    <s v="Colussi"/>
    <s v="AC6820"/>
    <n v="11054806"/>
    <s v="ASP-Facility C"/>
    <x v="2"/>
    <s v="09HF0949"/>
    <d v="2030-09-17T00:00:00"/>
    <d v="2019-05-16T00:00:00"/>
    <d v="2019-05-16T00:00:00"/>
    <d v="2019-06-18T00:00:00"/>
    <s v="Declined"/>
    <x v="27"/>
    <m/>
    <m/>
    <m/>
    <m/>
    <s v=""/>
    <s v=""/>
    <m/>
    <m/>
  </r>
  <r>
    <x v="11"/>
    <s v="Lucas"/>
    <s v="E13423"/>
    <n v="11505305"/>
    <s v="MCSP-Facility A"/>
    <x v="20"/>
    <s v="H15809B"/>
    <d v="2025-04-13T00:00:00"/>
    <d v="2019-01-18T00:00:00"/>
    <d v="2019-04-24T00:00:00"/>
    <d v="2019-04-26T00:00:00"/>
    <s v="Declined"/>
    <x v="27"/>
    <m/>
    <m/>
    <m/>
    <m/>
    <s v=""/>
    <s v=""/>
    <m/>
    <m/>
  </r>
  <r>
    <x v="11"/>
    <s v="Gonzales"/>
    <s v="AG0024"/>
    <n v="11066732"/>
    <s v="SATF-Facility G"/>
    <x v="9"/>
    <s v="FWV1000920"/>
    <d v="2026-08-24T00:00:00"/>
    <d v="2019-05-16T00:00:00"/>
    <d v="2019-05-16T00:00:00"/>
    <d v="2019-06-18T00:00:00"/>
    <s v="Declined"/>
    <x v="27"/>
    <m/>
    <m/>
    <m/>
    <m/>
    <s v=""/>
    <s v=""/>
    <m/>
    <m/>
  </r>
  <r>
    <x v="11"/>
    <s v="Madrigal"/>
    <s v="AD5854"/>
    <n v="11057997"/>
    <s v="CAC-Facility B"/>
    <x v="40"/>
    <n v="1347816"/>
    <d v="2024-01-17T00:00:00"/>
    <d v="2019-05-16T00:00:00"/>
    <d v="2019-05-16T00:00:00"/>
    <d v="2019-06-18T00:00:00"/>
    <s v="Declined"/>
    <x v="27"/>
    <m/>
    <m/>
    <m/>
    <m/>
    <s v=""/>
    <s v=""/>
    <m/>
    <m/>
  </r>
  <r>
    <x v="1"/>
    <s v="Castillo"/>
    <s v="G58429"/>
    <n v="11646916"/>
    <s v="CCI - Facility E"/>
    <x v="6"/>
    <n v="86163"/>
    <d v="2023-06-04T00:00:00"/>
    <d v="2020-09-21T00:00:00"/>
    <d v="2020-09-16T00:00:00"/>
    <d v="2020-09-17T00:00:00"/>
    <s v="Approved"/>
    <x v="146"/>
    <m/>
    <m/>
    <m/>
    <m/>
    <s v=""/>
    <s v=""/>
    <m/>
    <m/>
  </r>
  <r>
    <x v="11"/>
    <s v="Stevens"/>
    <s v="AM7262"/>
    <n v="11811222"/>
    <s v="MCSP-Facility B"/>
    <x v="10"/>
    <s v="SCE320055"/>
    <d v="2032-04-03T00:00:00"/>
    <d v="2019-05-16T00:00:00"/>
    <d v="2019-05-16T00:00:00"/>
    <d v="2019-06-18T00:00:00"/>
    <s v="Approved"/>
    <x v="102"/>
    <d v="2020-01-15T00:00:00"/>
    <d v="2019-11-12T00:00:00"/>
    <s v="No action - no reason specified"/>
    <m/>
    <s v=""/>
    <s v=""/>
    <m/>
    <d v="2020-01-15T00:00:00"/>
  </r>
  <r>
    <x v="7"/>
    <s v="Latimore"/>
    <s v="G50013"/>
    <s v="00G50013"/>
    <s v="SCC Facility C SNY"/>
    <x v="20"/>
    <s v="H42385"/>
    <d v="2025-11-27T00:00:00"/>
    <d v="2019-04-09T00:00:00"/>
    <d v="2019-04-25T00:00:00"/>
    <d v="2019-04-25T00:00:00"/>
    <s v="Approved"/>
    <x v="136"/>
    <d v="2020-10-07T00:00:00"/>
    <d v="2020-02-28T00:00:00"/>
    <s v="No reduction - AOJ corrected"/>
    <m/>
    <s v=""/>
    <s v=""/>
    <s v="No change to term or any counts.  Excess CDCR conduct credits of 515 days will not be applied per CCR 3371.1. "/>
    <d v="2020-10-30T00:00:00"/>
  </r>
  <r>
    <x v="1"/>
    <s v="Castro"/>
    <s v="V55995"/>
    <n v="11990782"/>
    <s v="CAC - Facility C"/>
    <x v="17"/>
    <s v="11F03112"/>
    <d v="2025-10-16T00:00:00"/>
    <d v="2019-11-19T00:00:00"/>
    <d v="2019-12-03T00:00:00"/>
    <d v="2019-12-04T00:00:00"/>
    <s v="Approved"/>
    <x v="140"/>
    <d v="2020-01-31T00:00:00"/>
    <d v="2020-01-21T00:00:00"/>
    <s v="No action - no reason specified"/>
    <m/>
    <s v=""/>
    <s v=""/>
    <m/>
    <d v="2020-02-03T00:00:00"/>
  </r>
  <r>
    <x v="11"/>
    <s v="Perry"/>
    <s v="AR6557"/>
    <n v="11756344"/>
    <s v="CTF-Facility C"/>
    <x v="0"/>
    <s v="BA402439"/>
    <d v="2020-12-21T00:00:00"/>
    <d v="2019-06-26T00:00:00"/>
    <d v="2019-06-26T00:00:00"/>
    <d v="2019-07-29T00:00:00"/>
    <s v="Approved"/>
    <x v="114"/>
    <d v="2019-11-06T00:00:00"/>
    <d v="2019-10-18T00:00:00"/>
    <s v="No action - no reason specified"/>
    <m/>
    <s v=""/>
    <s v=""/>
    <m/>
    <d v="2019-11-06T00:00:00"/>
  </r>
  <r>
    <x v="11"/>
    <s v="Cook"/>
    <s v="AR6940"/>
    <n v="11818824"/>
    <s v="VSP-Facility B"/>
    <x v="0"/>
    <s v="MA056009"/>
    <d v="2024-07-18T00:00:00"/>
    <d v="2019-05-17T00:00:00"/>
    <d v="2019-05-17T00:00:00"/>
    <d v="2019-06-18T00:00:00"/>
    <s v="Declined"/>
    <x v="27"/>
    <m/>
    <m/>
    <m/>
    <m/>
    <s v=""/>
    <s v=""/>
    <m/>
    <m/>
  </r>
  <r>
    <x v="11"/>
    <s v="Knapp"/>
    <s v="K89861"/>
    <n v="11822483"/>
    <s v="CAC-Facility C"/>
    <x v="0"/>
    <s v="VA092676"/>
    <d v="2023-04-23T00:00:00"/>
    <d v="2019-05-17T00:00:00"/>
    <d v="2019-05-17T00:00:00"/>
    <d v="2019-06-18T00:00:00"/>
    <s v="Approved"/>
    <x v="102"/>
    <m/>
    <m/>
    <m/>
    <m/>
    <s v=""/>
    <s v=""/>
    <s v="Judicial Action on 07/02/2019. Request legal documents"/>
    <m/>
  </r>
  <r>
    <x v="11"/>
    <s v="Aguayo"/>
    <s v="AM3291"/>
    <n v="11848232"/>
    <s v="CCI-Facility D"/>
    <x v="0"/>
    <s v="BA387239"/>
    <d v="2024-10-05T00:00:00"/>
    <d v="2019-05-17T00:00:00"/>
    <d v="2019-05-17T00:00:00"/>
    <d v="2019-06-18T00:00:00"/>
    <s v="Declined"/>
    <x v="27"/>
    <m/>
    <m/>
    <m/>
    <m/>
    <s v=""/>
    <s v=""/>
    <m/>
    <m/>
  </r>
  <r>
    <x v="11"/>
    <s v="Chacon"/>
    <s v="AR8181"/>
    <n v="12104430"/>
    <s v="SATF-Facility A"/>
    <x v="0"/>
    <s v="BA398108"/>
    <d v="2031-04-27T00:00:00"/>
    <d v="2019-07-22T00:00:00"/>
    <d v="2019-07-29T00:00:00"/>
    <d v="2019-10-07T00:00:00"/>
    <s v="Approved"/>
    <x v="147"/>
    <d v="2019-11-06T00:00:00"/>
    <d v="2019-10-18T00:00:00"/>
    <s v="No action - no reason specified"/>
    <m/>
    <s v=""/>
    <s v=""/>
    <m/>
    <d v="2019-11-06T00:00:00"/>
  </r>
  <r>
    <x v="11"/>
    <s v="Lopez"/>
    <s v="AR4083"/>
    <n v="12101962"/>
    <s v="PRMCCF-Central Valley"/>
    <x v="10"/>
    <s v="SCD245557"/>
    <d v="2024-09-30T00:00:00"/>
    <d v="2019-07-12T00:00:00"/>
    <d v="2019-07-15T00:00:00"/>
    <d v="2019-09-26T00:00:00"/>
    <s v="Approved"/>
    <x v="148"/>
    <d v="2019-11-06T00:00:00"/>
    <d v="2019-10-21T00:00:00"/>
    <s v="No action - no reason specified"/>
    <m/>
    <s v=""/>
    <s v=""/>
    <m/>
    <d v="2019-11-06T00:00:00"/>
  </r>
  <r>
    <x v="7"/>
    <s v="Bryant"/>
    <s v="P75550"/>
    <n v="11886656"/>
    <s v="CTF FAC C"/>
    <x v="31"/>
    <s v="99F9303"/>
    <d v="2022-05-05T00:00:00"/>
    <d v="2019-05-24T00:00:00"/>
    <d v="2019-06-11T00:00:00"/>
    <d v="2019-06-11T00:00:00"/>
    <s v="Approved"/>
    <x v="149"/>
    <d v="2020-01-27T00:00:00"/>
    <d v="2019-12-19T00:00:00"/>
    <s v="No action - no reason specified"/>
    <m/>
    <s v=""/>
    <s v=""/>
    <m/>
    <d v="2020-01-27T00:00:00"/>
  </r>
  <r>
    <x v="7"/>
    <s v="Berlin"/>
    <s v="T01637"/>
    <n v="11109394"/>
    <s v="CHCF FAC E"/>
    <x v="10"/>
    <s v="SCD15421  SCD152715  SCD150935"/>
    <d v="2026-05-08T00:00:00"/>
    <d v="2019-05-24T00:00:00"/>
    <d v="2019-06-12T00:00:00"/>
    <d v="2019-06-18T00:00:00"/>
    <s v="Approved"/>
    <x v="149"/>
    <d v="2020-11-06T00:00:00"/>
    <d v="2020-03-18T00:00:00"/>
    <s v="Released"/>
    <n v="2165"/>
    <n v="5.9315068493150687"/>
    <n v="48988.315068493153"/>
    <s v="Released 6/3/2020"/>
    <d v="2020-11-06T00:00:00"/>
  </r>
  <r>
    <x v="7"/>
    <s v="Johnson"/>
    <s v="K91836"/>
    <n v="11076592"/>
    <s v="CMC Central Service"/>
    <x v="10"/>
    <s v="SCD132679"/>
    <d v="2023-10-22T00:00:00"/>
    <d v="2019-05-24T00:00:00"/>
    <d v="2019-05-30T00:00:00"/>
    <d v="2019-05-30T00:00:00"/>
    <s v="Approved"/>
    <x v="149"/>
    <m/>
    <m/>
    <m/>
    <m/>
    <s v=""/>
    <s v=""/>
    <s v="Parole grant 01/14/2020"/>
    <d v="2020-11-06T00:00:00"/>
  </r>
  <r>
    <x v="7"/>
    <s v="Wortham"/>
    <s v="H69234"/>
    <n v="11107401"/>
    <s v="RJD FAC E"/>
    <x v="20"/>
    <s v="H23222"/>
    <d v="2031-07-08T00:00:00"/>
    <d v="2019-05-24T00:00:00"/>
    <d v="2019-06-10T00:00:00"/>
    <d v="2019-06-13T00:00:00"/>
    <s v="Approved"/>
    <x v="149"/>
    <d v="2020-05-11T00:00:00"/>
    <d v="2020-05-06T00:00:00"/>
    <s v="Released"/>
    <n v="4068"/>
    <n v="11.145205479452056"/>
    <n v="92048.252054794517"/>
    <s v="Released on 05/18/2020"/>
    <d v="2020-05-11T00:00:00"/>
  </r>
  <r>
    <x v="7"/>
    <s v="Matthews"/>
    <s v="AC0458"/>
    <n v="11052486"/>
    <s v="VSP FAC C"/>
    <x v="9"/>
    <s v="FSB059330"/>
    <d v="2026-05-08T00:00:00"/>
    <d v="2019-05-28T00:00:00"/>
    <d v="2019-06-10T00:00:00"/>
    <d v="2019-06-10T00:00:00"/>
    <s v="Approved"/>
    <x v="149"/>
    <d v="2021-03-19T00:00:00"/>
    <d v="2019-11-22T00:00:00"/>
    <s v="No action - no reason specified"/>
    <m/>
    <s v=""/>
    <s v=""/>
    <s v="Appellate Court Opinion dated 11/23/2020, Affirmed decision to decline resentence"/>
    <d v="2021-03-19T00:00:00"/>
  </r>
  <r>
    <x v="7"/>
    <s v="Barnes"/>
    <s v="C47694"/>
    <n v="11426458"/>
    <s v="SQ-FAC-A"/>
    <x v="37"/>
    <s v="SC43431"/>
    <d v="2021-04-18T00:00:00"/>
    <d v="2019-06-06T00:00:00"/>
    <d v="2019-06-18T00:00:00"/>
    <d v="2019-06-18T00:00:00"/>
    <s v="Approved"/>
    <x v="129"/>
    <d v="2020-01-24T00:00:00"/>
    <d v="2019-12-06T00:00:00"/>
    <s v="No action - no reason specified"/>
    <m/>
    <s v=""/>
    <s v=""/>
    <s v="Disposition:"/>
    <d v="2020-01-24T00:00:00"/>
  </r>
  <r>
    <x v="7"/>
    <s v="Witt"/>
    <s v="WE2756"/>
    <n v="11041191"/>
    <s v="CCWF FAC B"/>
    <x v="38"/>
    <s v="P09CF0273"/>
    <d v="2022-08-12T00:00:00"/>
    <d v="2019-05-28T00:00:00"/>
    <m/>
    <m/>
    <m/>
    <x v="27"/>
    <m/>
    <m/>
    <m/>
    <m/>
    <s v=""/>
    <s v=""/>
    <s v="Case pulled as courts have no jurisdiction to reduce term"/>
    <d v="2019-06-05T00:00:00"/>
  </r>
  <r>
    <x v="7"/>
    <s v="Hernandez"/>
    <s v="P76829"/>
    <n v="11102163"/>
    <s v="CTF FAC C"/>
    <x v="10"/>
    <s v="SCS143769"/>
    <d v="2025-09-17T00:00:00"/>
    <d v="2019-06-06T00:00:00"/>
    <d v="2019-06-06T00:00:00"/>
    <d v="2019-06-06T00:00:00"/>
    <s v="Approved"/>
    <x v="57"/>
    <d v="2019-11-25T00:00:00"/>
    <d v="2019-11-21T00:00:00"/>
    <s v="Released"/>
    <n v="4200"/>
    <n v="11.506849315068493"/>
    <n v="95035.068493150684"/>
    <s v="Released on 11/28/2019"/>
    <d v="2019-11-25T00:00:00"/>
  </r>
  <r>
    <x v="1"/>
    <s v="Chaidez"/>
    <s v="AU4061"/>
    <n v="12119297"/>
    <s v="CAC - Facility B"/>
    <x v="0"/>
    <s v="BA380010"/>
    <d v="2024-11-09T00:00:00"/>
    <d v="2020-10-12T00:00:00"/>
    <d v="2020-10-23T00:00:00"/>
    <d v="2020-11-09T00:00:00"/>
    <s v="Approved"/>
    <x v="104"/>
    <d v="2021-06-08T00:00:00"/>
    <d v="2021-06-03T00:00:00"/>
    <s v="Reduced"/>
    <n v="1194"/>
    <n v="3.2712328767123289"/>
    <n v="27017.112328767125"/>
    <s v="Reduced and scheduled release date 8/3/21"/>
    <d v="2021-06-08T00:00:00"/>
  </r>
  <r>
    <x v="7"/>
    <s v="Medel"/>
    <s v="T09909"/>
    <n v="11122479"/>
    <s v="ASP FAC A"/>
    <x v="0"/>
    <s v="NA045763"/>
    <d v="2023-11-21T00:00:00"/>
    <d v="2019-05-30T00:00:00"/>
    <d v="2019-06-12T00:00:00"/>
    <d v="2019-06-12T00:00:00"/>
    <s v="Approved"/>
    <x v="149"/>
    <d v="2020-11-06T00:00:00"/>
    <d v="2020-11-05T00:00:00"/>
    <s v="Released"/>
    <n v="1707"/>
    <n v="4.6767123287671231"/>
    <n v="38624.967123287672"/>
    <s v="Released on 11/13/2020"/>
    <d v="2020-11-10T00:00:00"/>
  </r>
  <r>
    <x v="2"/>
    <s v="Moreland"/>
    <s v="AU3843"/>
    <n v="12119207"/>
    <s v="CAL-Facility D"/>
    <x v="0"/>
    <s v="YA084177"/>
    <d v="2041-07-20T00:00:00"/>
    <d v="2018-08-21T00:00:00"/>
    <d v="2018-08-21T00:00:00"/>
    <d v="2018-08-22T00:00:00"/>
    <s v="Approved"/>
    <x v="29"/>
    <m/>
    <d v="2020-05-08T00:00:00"/>
    <s v="Pending Court (Date in Notes)"/>
    <m/>
    <s v=""/>
    <s v=""/>
    <s v="NCD -05/08/2020"/>
    <m/>
  </r>
  <r>
    <x v="11"/>
    <s v="Aragon"/>
    <s v="AT0987"/>
    <n v="11959606"/>
    <s v="CMF-Facility A"/>
    <x v="37"/>
    <s v="SC079561"/>
    <d v="2021-10-17T00:00:00"/>
    <d v="2019-07-25T00:00:00"/>
    <d v="2019-07-25T00:00:00"/>
    <d v="2019-10-07T00:00:00"/>
    <s v="Approved"/>
    <x v="150"/>
    <d v="2021-04-16T00:00:00"/>
    <d v="2020-06-19T00:00:00"/>
    <s v="No action - no reason specified"/>
    <m/>
    <s v=""/>
    <s v=""/>
    <s v="NCD - 05/08/2020"/>
    <d v="2021-04-16T00:00:00"/>
  </r>
  <r>
    <x v="11"/>
    <s v="Egoavil"/>
    <s v="F72169"/>
    <n v="11592627"/>
    <s v="Cen-Facility D"/>
    <x v="0"/>
    <s v="GA085366"/>
    <d v="2021-06-24T00:00:00"/>
    <d v="2019-07-16T00:00:00"/>
    <d v="2019-07-18T00:00:00"/>
    <d v="2019-10-07T00:00:00"/>
    <s v="Approved"/>
    <x v="151"/>
    <d v="2019-11-06T00:00:00"/>
    <d v="2019-10-21T00:00:00"/>
    <s v="No action - no reason specified"/>
    <m/>
    <s v=""/>
    <s v=""/>
    <m/>
    <d v="2019-11-06T00:00:00"/>
  </r>
  <r>
    <x v="11"/>
    <s v="Stewart"/>
    <s v="AM3276"/>
    <n v="11788915"/>
    <s v="RJD-Facility B"/>
    <x v="10"/>
    <s v="SCD240719"/>
    <d v="2025-07-02T00:00:00"/>
    <d v="2019-07-26T00:00:00"/>
    <d v="2019-07-31T00:00:00"/>
    <d v="2019-10-07T00:00:00"/>
    <s v="Approved"/>
    <x v="152"/>
    <d v="2019-11-06T00:00:00"/>
    <d v="2019-10-21T00:00:00"/>
    <s v="No action - no reason specified"/>
    <m/>
    <s v=""/>
    <s v=""/>
    <m/>
    <d v="2019-11-06T00:00:00"/>
  </r>
  <r>
    <x v="11"/>
    <s v="Arnold"/>
    <s v="AM8417"/>
    <n v="11287828"/>
    <s v="CIM-Facility D"/>
    <x v="0"/>
    <s v="GA077104"/>
    <d v="2027-12-16T00:00:00"/>
    <d v="2019-05-30T00:00:00"/>
    <d v="2019-05-31T00:00:00"/>
    <d v="2019-07-02T00:00:00"/>
    <s v="Approved"/>
    <x v="55"/>
    <m/>
    <m/>
    <m/>
    <m/>
    <s v=""/>
    <s v=""/>
    <s v="Judicial Action on 07/29/2019. Request legal documents"/>
    <m/>
  </r>
  <r>
    <x v="11"/>
    <s v="Birrueta"/>
    <s v="AP9998"/>
    <n v="11290767"/>
    <s v="CVSP-MSF"/>
    <x v="0"/>
    <s v="BA399427"/>
    <d v="2021-03-05T00:00:00"/>
    <d v="2019-05-30T00:00:00"/>
    <d v="2019-05-31T00:00:00"/>
    <d v="2019-07-02T00:00:00"/>
    <s v="Approved"/>
    <x v="55"/>
    <d v="2019-08-05T00:00:00"/>
    <d v="2019-07-29T00:00:00"/>
    <s v="No action - due to plea"/>
    <m/>
    <s v=""/>
    <s v=""/>
    <m/>
    <d v="2020-04-14T00:00:00"/>
  </r>
  <r>
    <x v="11"/>
    <s v="Hall"/>
    <s v="AS7830"/>
    <n v="11976162"/>
    <s v="CHCF-Facility C"/>
    <x v="10"/>
    <s v="SCD233892"/>
    <d v="2025-08-06T00:00:00"/>
    <d v="2019-07-26T00:00:00"/>
    <d v="2019-07-31T00:00:00"/>
    <d v="2019-10-07T00:00:00"/>
    <s v="Approved"/>
    <x v="152"/>
    <d v="2019-11-06T00:00:00"/>
    <d v="2019-10-21T00:00:00"/>
    <s v="No action - no reason specified"/>
    <m/>
    <s v=""/>
    <s v=""/>
    <m/>
    <d v="2019-11-06T00:00:00"/>
  </r>
  <r>
    <x v="11"/>
    <s v="Harrelson"/>
    <s v="AY0758"/>
    <n v="11286302"/>
    <s v="CRC-Facility C"/>
    <x v="10"/>
    <s v="SCN325418"/>
    <d v="2029-02-13T00:00:00"/>
    <d v="2019-05-30T00:00:00"/>
    <d v="2019-05-30T00:00:00"/>
    <d v="2019-07-02T00:00:00"/>
    <s v="Approved"/>
    <x v="55"/>
    <m/>
    <m/>
    <m/>
    <m/>
    <s v=""/>
    <s v=""/>
    <m/>
    <m/>
  </r>
  <r>
    <x v="11"/>
    <s v="Pineda"/>
    <s v="AG1233"/>
    <n v="11359662"/>
    <s v="ASP-Facility F"/>
    <x v="15"/>
    <n v="2012008720"/>
    <d v="2024-09-11T00:00:00"/>
    <d v="2019-11-25T00:00:00"/>
    <d v="2019-11-26T00:00:00"/>
    <d v="2020-01-07T00:00:00"/>
    <s v="Approved"/>
    <x v="143"/>
    <m/>
    <d v="2021-04-29T00:00:00"/>
    <s v="Pending Court (Date in Notes)"/>
    <m/>
    <s v=""/>
    <s v=""/>
    <s v="NCD - 06/02/2020"/>
    <m/>
  </r>
  <r>
    <x v="7"/>
    <s v="Montalvo"/>
    <s v="G31774"/>
    <n v="11629835"/>
    <s v="RJD FAC B"/>
    <x v="8"/>
    <s v="RIF117525"/>
    <d v="2022-10-20T00:00:00"/>
    <d v="2019-06-12T00:00:00"/>
    <d v="2019-06-18T00:00:00"/>
    <d v="2019-06-19T00:00:00"/>
    <s v="Approved"/>
    <x v="129"/>
    <d v="2021-02-26T00:00:00"/>
    <d v="2020-04-03T00:00:00"/>
    <s v="No action - no reason specified"/>
    <m/>
    <s v=""/>
    <s v=""/>
    <m/>
    <d v="2021-02-26T00:00:00"/>
  </r>
  <r>
    <x v="3"/>
    <s v="Gomez"/>
    <s v="T16083"/>
    <n v="11910476"/>
    <s v="SVSP-Facility D"/>
    <x v="14"/>
    <s v="SS002126B"/>
    <d v="2061-07-17T00:00:00"/>
    <d v="2018-07-18T00:00:00"/>
    <d v="2018-07-20T00:00:00"/>
    <d v="2018-07-25T00:00:00"/>
    <s v="Approved"/>
    <x v="40"/>
    <d v="2021-02-26T00:00:00"/>
    <d v="2020-04-03T00:00:00"/>
    <s v="No action - no reason specified"/>
    <m/>
    <s v=""/>
    <s v=""/>
    <m/>
    <d v="2021-02-26T00:00:00"/>
  </r>
  <r>
    <x v="11"/>
    <s v="Vizcarra"/>
    <s v="AL1547"/>
    <n v="11281050"/>
    <s v="CEN-Facility D"/>
    <x v="22"/>
    <s v="JCF25950"/>
    <d v="2024-11-11T00:00:00"/>
    <d v="2019-05-30T00:00:00"/>
    <d v="2019-05-30T00:00:00"/>
    <d v="2019-07-02T00:00:00"/>
    <s v="Approved"/>
    <x v="55"/>
    <d v="2020-01-15T00:00:00"/>
    <d v="2019-11-06T00:00:00"/>
    <s v="Reduced"/>
    <n v="2556.75"/>
    <n v="7.0047945205479456"/>
    <n v="57852.597945205482"/>
    <m/>
    <d v="2020-04-14T00:00:00"/>
  </r>
  <r>
    <x v="1"/>
    <s v="Chavez"/>
    <s v="AH1042"/>
    <s v="00AH1042"/>
    <s v="ASP Facility A Integrated Housing"/>
    <x v="21"/>
    <s v="SF114966"/>
    <d v="2024-02-17T00:00:00"/>
    <d v="2019-04-17T00:00:00"/>
    <d v="2019-04-22T00:00:00"/>
    <d v="2019-04-22T00:00:00"/>
    <s v="Approved"/>
    <x v="153"/>
    <d v="2019-05-30T00:00:00"/>
    <d v="2019-05-17T00:00:00"/>
    <s v="No action - due to plea"/>
    <m/>
    <s v=""/>
    <s v=""/>
    <m/>
    <d v="2019-06-04T00:00:00"/>
  </r>
  <r>
    <x v="11"/>
    <s v="Fair"/>
    <s v="AP5504"/>
    <n v="11884020"/>
    <s v="CHCF-Facility E"/>
    <x v="0"/>
    <s v="BA393996"/>
    <d v="2024-05-15T00:00:00"/>
    <d v="2019-05-31T00:00:00"/>
    <d v="2019-05-31T00:00:00"/>
    <d v="2019-06-25T00:00:00"/>
    <s v="Approved"/>
    <x v="110"/>
    <d v="2020-01-07T00:00:00"/>
    <d v="2019-12-20T00:00:00"/>
    <s v="No action - reason provided"/>
    <m/>
    <s v=""/>
    <s v=""/>
    <m/>
    <d v="2020-01-07T00:00:00"/>
  </r>
  <r>
    <x v="11"/>
    <s v="Duran"/>
    <s v="AB0935"/>
    <n v="11049199"/>
    <s v="RJD-Facility C"/>
    <x v="0"/>
    <s v="SA077990"/>
    <d v="2025-02-12T00:00:00"/>
    <d v="2019-07-22T00:00:00"/>
    <d v="2019-07-24T00:00:00"/>
    <d v="2019-09-24T00:00:00"/>
    <s v="Approved"/>
    <x v="141"/>
    <d v="2019-11-08T00:00:00"/>
    <d v="2019-10-28T00:00:00"/>
    <s v="No action - reason provided"/>
    <m/>
    <s v=""/>
    <s v=""/>
    <s v="the victim is in vegetative state and unresponsive / i/m has several RVR's"/>
    <d v="2019-11-08T00:00:00"/>
  </r>
  <r>
    <x v="11"/>
    <s v="Garcia"/>
    <s v="V99597"/>
    <n v="12015935"/>
    <s v="SHS-Atascadero State Hospital"/>
    <x v="3"/>
    <s v="F13905428"/>
    <d v="2025-07-15T00:00:00"/>
    <d v="2019-07-26T00:00:00"/>
    <d v="2019-07-31T00:00:00"/>
    <d v="2019-10-07T00:00:00"/>
    <s v="Approved"/>
    <x v="152"/>
    <d v="2019-11-08T00:00:00"/>
    <d v="2019-10-28T00:00:00"/>
    <s v="No action - reason provided"/>
    <m/>
    <s v=""/>
    <s v=""/>
    <s v="not in the interest of Justice"/>
    <d v="2019-11-08T00:00:00"/>
  </r>
  <r>
    <x v="11"/>
    <s v="Hoover"/>
    <s v="AV2788"/>
    <n v="11875974"/>
    <s v="RJD-Facility D"/>
    <x v="0"/>
    <s v="TA133379"/>
    <d v="2027-09-26T00:00:00"/>
    <d v="2019-05-31T00:00:00"/>
    <d v="2019-05-31T00:00:00"/>
    <d v="2019-06-25T00:00:00"/>
    <s v="Approved"/>
    <x v="110"/>
    <d v="2019-09-04T00:00:00"/>
    <d v="2019-08-23T00:00:00"/>
    <s v="Reduced"/>
    <n v="1826.25"/>
    <n v="5"/>
    <n v="41323.284246575342"/>
    <m/>
    <d v="2019-09-04T00:00:00"/>
  </r>
  <r>
    <x v="11"/>
    <s v="Mays"/>
    <s v="BB1853"/>
    <n v="11886062"/>
    <s v="CHCF-Facility B"/>
    <x v="0"/>
    <s v="PA078261"/>
    <d v="2023-12-01T00:00:00"/>
    <d v="2019-05-31T00:00:00"/>
    <d v="2019-05-31T00:00:00"/>
    <d v="2019-06-25T00:00:00"/>
    <s v="Approved"/>
    <x v="110"/>
    <m/>
    <m/>
    <m/>
    <m/>
    <s v=""/>
    <s v=""/>
    <s v="Judcial Action on 07/16/2019. Request legal documents"/>
    <m/>
  </r>
  <r>
    <x v="1"/>
    <s v="Chavez"/>
    <s v="F77990"/>
    <n v="11596254"/>
    <s v="CCI"/>
    <x v="0"/>
    <s v="TA084148-01"/>
    <d v="2035-04-19T00:00:00"/>
    <d v="2019-03-26T00:00:00"/>
    <d v="2019-04-12T00:00:00"/>
    <d v="2019-04-12T00:00:00"/>
    <s v="Approved"/>
    <x v="130"/>
    <d v="2019-07-01T00:00:00"/>
    <d v="2019-06-24T00:00:00"/>
    <s v="No action - no reason specified"/>
    <m/>
    <s v=""/>
    <s v=""/>
    <m/>
    <d v="2019-07-01T00:00:00"/>
  </r>
  <r>
    <x v="11"/>
    <s v="Williams"/>
    <s v="P31399"/>
    <n v="11862538"/>
    <s v="CMC-Facility E"/>
    <x v="0"/>
    <s v="SA033466"/>
    <d v="2025-08-23T00:00:00"/>
    <d v="2019-05-31T00:00:00"/>
    <d v="2019-05-31T00:00:00"/>
    <d v="2019-06-25T00:00:00"/>
    <s v="Approved"/>
    <x v="54"/>
    <d v="2019-10-30T00:00:00"/>
    <d v="2019-10-21T00:00:00"/>
    <s v="Reduced"/>
    <n v="1826.25"/>
    <n v="5.0034246575342465"/>
    <n v="41323.284246575342"/>
    <m/>
    <d v="2019-10-30T00:00:00"/>
  </r>
  <r>
    <x v="11"/>
    <s v="Vega"/>
    <s v="AU9026"/>
    <n v="11895506"/>
    <s v="CAL-Facility D"/>
    <x v="0"/>
    <s v="PA062376"/>
    <d v="2043-06-21T00:00:00"/>
    <d v="2019-06-07T00:00:00"/>
    <d v="2019-06-07T00:00:00"/>
    <d v="2019-07-17T00:00:00"/>
    <s v="Approved"/>
    <x v="117"/>
    <d v="2021-04-16T00:00:00"/>
    <d v="2020-07-16T00:00:00"/>
    <s v="No action - no reason specified"/>
    <m/>
    <s v=""/>
    <s v=""/>
    <s v="NCD - 06/02/2020"/>
    <d v="2021-04-16T00:00:00"/>
  </r>
  <r>
    <x v="11"/>
    <s v="Velasco"/>
    <s v="AA2181"/>
    <n v="11046090"/>
    <s v="CAL-Facility D"/>
    <x v="9"/>
    <s v="FVI1002669"/>
    <d v="2033-03-13T00:00:00"/>
    <d v="2019-08-02T00:00:00"/>
    <d v="2019-08-05T00:00:00"/>
    <d v="2019-10-15T00:00:00"/>
    <s v="Approved"/>
    <x v="138"/>
    <d v="2019-11-14T00:00:00"/>
    <d v="2019-11-07T00:00:00"/>
    <s v="No action - no reason specified"/>
    <m/>
    <s v=""/>
    <s v=""/>
    <m/>
    <d v="2019-11-14T00:00:00"/>
  </r>
  <r>
    <x v="3"/>
    <s v="Lopez"/>
    <s v="AI4199"/>
    <n v="11075021"/>
    <s v="PVSP-Facility B"/>
    <x v="12"/>
    <s v="F1033711"/>
    <d v="2024-10-10T00:00:00"/>
    <d v="2018-02-05T00:00:00"/>
    <d v="2018-02-05T00:00:00"/>
    <d v="2018-02-12T00:00:00"/>
    <s v="Approved"/>
    <x v="4"/>
    <d v="2019-04-08T00:00:00"/>
    <d v="2018-11-02T00:00:00"/>
    <s v="No action - reason provided"/>
    <m/>
    <s v=""/>
    <s v=""/>
    <s v="Sentence correctly imposed pursuant to People v. Vega"/>
    <d v="2019-04-08T00:00:00"/>
  </r>
  <r>
    <x v="11"/>
    <s v="Myers"/>
    <s v="AN5168"/>
    <n v="11309852"/>
    <s v="VSP-Facility B"/>
    <x v="10"/>
    <s v="SCN305431"/>
    <d v="2031-12-23T00:00:00"/>
    <d v="2019-06-07T00:00:00"/>
    <d v="2019-06-07T00:00:00"/>
    <d v="2019-07-17T00:00:00"/>
    <s v="Approved"/>
    <x v="64"/>
    <d v="2020-02-11T00:00:00"/>
    <d v="2020-01-31T00:00:00"/>
    <s v="No action - no reason specified"/>
    <m/>
    <s v=""/>
    <s v=""/>
    <m/>
    <d v="2020-02-12T00:00:00"/>
  </r>
  <r>
    <x v="11"/>
    <s v="Pettway"/>
    <s v="AD5571"/>
    <n v="11057882"/>
    <s v="SQ-Facility B"/>
    <x v="20"/>
    <n v="162916"/>
    <d v="2022-03-11T00:00:00"/>
    <d v="2019-05-16T00:00:00"/>
    <d v="2019-05-16T00:00:00"/>
    <d v="2019-06-18T00:00:00"/>
    <s v="Approved"/>
    <x v="102"/>
    <d v="2020-01-24T00:00:00"/>
    <d v="2019-12-12T00:00:00"/>
    <s v="Reduced"/>
    <n v="730"/>
    <n v="2"/>
    <n v="16518"/>
    <s v="reduced by 2 years"/>
    <d v="2020-01-24T00:00:00"/>
  </r>
  <r>
    <x v="5"/>
    <s v="Terraza"/>
    <s v="AD5070"/>
    <n v="11343550"/>
    <s v="PVSP-Facility C"/>
    <x v="0"/>
    <s v="BA35563501"/>
    <d v="2020-02-08T00:00:00"/>
    <d v="2018-02-05T00:00:00"/>
    <d v="2018-02-13T00:00:00"/>
    <d v="2018-02-15T00:00:00"/>
    <s v="Approved"/>
    <x v="6"/>
    <d v="2019-04-08T00:00:00"/>
    <d v="2018-04-18T00:00:00"/>
    <s v="No action - due to plea"/>
    <m/>
    <s v=""/>
    <s v=""/>
    <m/>
    <d v="2019-04-08T00:00:00"/>
  </r>
  <r>
    <x v="11"/>
    <s v="Vicente"/>
    <s v="AH5857"/>
    <n v="11072352"/>
    <s v="SATF-Facility B"/>
    <x v="0"/>
    <s v="TA113196"/>
    <d v="2024-01-14T00:00:00"/>
    <d v="2019-06-03T00:00:00"/>
    <d v="2019-06-03T00:00:00"/>
    <d v="2019-07-02T00:00:00"/>
    <s v="Approved"/>
    <x v="107"/>
    <d v="2019-08-05T00:00:00"/>
    <d v="2019-07-30T00:00:00"/>
    <s v="No action - no reason specified"/>
    <m/>
    <s v=""/>
    <s v=""/>
    <m/>
    <d v="2020-04-14T00:00:00"/>
  </r>
  <r>
    <x v="11"/>
    <s v="Guerrero"/>
    <s v="AH0800"/>
    <n v="11070623"/>
    <s v="LAC-Facility A"/>
    <x v="9"/>
    <s v="FCH800038"/>
    <d v="2024-03-05T00:00:00"/>
    <d v="2019-06-04T00:00:00"/>
    <d v="2019-06-04T00:00:00"/>
    <d v="2019-07-02T00:00:00"/>
    <s v="Approved"/>
    <x v="107"/>
    <m/>
    <m/>
    <m/>
    <m/>
    <s v=""/>
    <s v=""/>
    <s v="Paroled 9/23/2019 Issue moot"/>
    <d v="2020-11-05T00:00:00"/>
  </r>
  <r>
    <x v="11"/>
    <s v="Salmeron"/>
    <s v="AM2664"/>
    <n v="11301969"/>
    <s v="CVSP-Facility A"/>
    <x v="10"/>
    <s v="SCD236953"/>
    <d v="2044-11-04T00:00:00"/>
    <d v="2019-06-07T00:00:00"/>
    <d v="2019-06-07T00:00:00"/>
    <d v="2019-07-17T00:00:00"/>
    <s v="Approved"/>
    <x v="64"/>
    <d v="2019-12-06T00:00:00"/>
    <d v="2019-12-02T00:00:00"/>
    <s v="No action - no reason specified"/>
    <m/>
    <s v=""/>
    <s v=""/>
    <m/>
    <d v="2019-12-10T00:00:00"/>
  </r>
  <r>
    <x v="11"/>
    <s v="Gonzalez"/>
    <s v="AR6286"/>
    <n v="11068674"/>
    <s v="ASP-Facility E"/>
    <x v="0"/>
    <s v="KA101599"/>
    <d v="2029-12-28T00:00:00"/>
    <d v="2019-06-04T00:00:00"/>
    <d v="2019-06-04T00:00:00"/>
    <d v="2019-07-02T00:00:00"/>
    <s v="Declined"/>
    <x v="27"/>
    <m/>
    <m/>
    <m/>
    <m/>
    <s v=""/>
    <s v=""/>
    <m/>
    <m/>
  </r>
  <r>
    <x v="5"/>
    <s v="Jacquett"/>
    <s v="AR1009"/>
    <n v="12100054"/>
    <s v="CAL-Facility A"/>
    <x v="10"/>
    <s v="SCD246226"/>
    <d v="2021-10-20T00:00:00"/>
    <d v="2018-02-05T00:00:00"/>
    <d v="2018-05-16T00:00:00"/>
    <d v="2018-05-16T00:00:00"/>
    <s v="Approved"/>
    <x v="12"/>
    <d v="2018-07-10T00:00:00"/>
    <m/>
    <s v="No action - due to plea"/>
    <m/>
    <s v=""/>
    <s v=""/>
    <m/>
    <d v="2018-07-10T00:00:00"/>
  </r>
  <r>
    <x v="3"/>
    <s v="Lee"/>
    <s v="G44378"/>
    <n v="11637951"/>
    <s v="FOL-MSF"/>
    <x v="17"/>
    <s v="08F01468"/>
    <d v="2020-06-22T00:00:00"/>
    <d v="2018-02-05T00:00:00"/>
    <d v="2018-04-12T00:00:00"/>
    <d v="2018-04-12T00:00:00"/>
    <s v="Approved"/>
    <x v="11"/>
    <d v="2018-09-24T00:00:00"/>
    <d v="2018-09-20T00:00:00"/>
    <s v="Reduced"/>
    <n v="730.5"/>
    <n v="2.0013698630136987"/>
    <n v="16529.313698630136"/>
    <s v="Released on 10/07/2018 - Resentenced Per People V. Le &amp; People V. Rodriguez"/>
    <d v="2018-09-24T00:00:00"/>
  </r>
  <r>
    <x v="11"/>
    <s v="Leonard"/>
    <s v="AX7967"/>
    <n v="11069259"/>
    <s v="SATF-Facility E"/>
    <x v="15"/>
    <n v="2013025191"/>
    <d v="2032-04-11T00:00:00"/>
    <d v="2019-06-03T00:00:00"/>
    <d v="2019-06-03T00:00:00"/>
    <d v="2019-07-02T00:00:00"/>
    <s v="Approved"/>
    <x v="107"/>
    <d v="2020-04-20T00:00:00"/>
    <d v="2020-04-17T00:00:00"/>
    <s v="No action - no reason specified"/>
    <m/>
    <s v=""/>
    <s v=""/>
    <m/>
    <d v="2020-04-22T00:00:00"/>
  </r>
  <r>
    <x v="6"/>
    <s v="Jones"/>
    <s v="D57393"/>
    <n v="11477952"/>
    <s v="COR-Facility 04A"/>
    <x v="14"/>
    <s v="SS151769A"/>
    <d v="9999-12-31T00:00:00"/>
    <d v="2018-08-31T00:00:00"/>
    <d v="2018-08-31T00:00:00"/>
    <d v="2018-09-04T00:00:00"/>
    <s v="Approved"/>
    <x v="22"/>
    <d v="2019-10-31T00:00:00"/>
    <d v="2019-10-30T00:00:00"/>
    <s v="No reduction - AOJ corrected"/>
    <m/>
    <s v=""/>
    <s v=""/>
    <s v="Resentenced/No reduction LWOP"/>
    <d v="2019-10-31T00:00:00"/>
  </r>
  <r>
    <x v="3"/>
    <s v="Barron"/>
    <s v="F86321"/>
    <n v="11601554"/>
    <s v="COCF-La Palma CC, Arizona (AZ2)"/>
    <x v="37"/>
    <s v="SC060485A"/>
    <d v="2019-12-21T00:00:00"/>
    <d v="2018-02-05T00:00:00"/>
    <d v="2018-02-05T00:00:00"/>
    <d v="2018-03-20T00:00:00"/>
    <s v="Approved"/>
    <x v="4"/>
    <d v="2021-03-19T00:00:00"/>
    <d v="2018-07-25T00:00:00"/>
    <s v="No reduction - AOJ corrected"/>
    <m/>
    <s v=""/>
    <s v=""/>
    <s v="Paroled and detained by ICE on 10/29/19"/>
    <d v="2021-03-19T00:00:00"/>
  </r>
  <r>
    <x v="11"/>
    <s v="Cephus"/>
    <s v="BC7015"/>
    <n v="11898931"/>
    <s v="CMC-Facility A"/>
    <x v="2"/>
    <s v="13NF3319"/>
    <d v="2046-01-03T00:00:00"/>
    <d v="2019-06-07T00:00:00"/>
    <d v="2019-06-07T00:00:00"/>
    <d v="2019-07-17T00:00:00"/>
    <s v="Approved"/>
    <x v="117"/>
    <m/>
    <m/>
    <m/>
    <m/>
    <s v=""/>
    <s v=""/>
    <m/>
    <m/>
  </r>
  <r>
    <x v="11"/>
    <s v="Garcia"/>
    <s v="BF8450"/>
    <n v="11909929"/>
    <s v="COR-Facility 03A"/>
    <x v="12"/>
    <s v="C1078244"/>
    <d v="2061-07-16T00:00:00"/>
    <d v="2019-06-07T00:00:00"/>
    <d v="2019-06-07T00:00:00"/>
    <d v="2019-07-17T00:00:00"/>
    <s v="Approved"/>
    <x v="117"/>
    <d v="2019-08-09T00:00:00"/>
    <d v="2019-08-05T00:00:00"/>
    <s v="No action - reason provided"/>
    <m/>
    <s v=""/>
    <s v=""/>
    <s v="The court declines until further hearing"/>
    <d v="2019-08-09T00:00:00"/>
  </r>
  <r>
    <x v="11"/>
    <s v="Acosta"/>
    <s v="AR6529"/>
    <n v="11897558"/>
    <s v="VSP-Facility D"/>
    <x v="0"/>
    <s v="PA076211"/>
    <d v="2028-09-30T00:00:00"/>
    <d v="2019-06-07T00:00:00"/>
    <d v="2019-06-07T00:00:00"/>
    <d v="2019-07-17T00:00:00"/>
    <s v="Approved"/>
    <x v="117"/>
    <m/>
    <m/>
    <m/>
    <m/>
    <s v=""/>
    <s v=""/>
    <m/>
    <m/>
  </r>
  <r>
    <x v="11"/>
    <s v="Snyder"/>
    <s v="P80342"/>
    <n v="11889281"/>
    <s v="SAC-MSF"/>
    <x v="0"/>
    <s v="YA078234"/>
    <d v="2021-02-24T00:00:00"/>
    <d v="2019-06-07T00:00:00"/>
    <d v="2019-06-07T00:00:00"/>
    <d v="2019-07-17T00:00:00"/>
    <s v="Declined"/>
    <x v="27"/>
    <m/>
    <m/>
    <m/>
    <m/>
    <s v=""/>
    <s v=""/>
    <m/>
    <m/>
  </r>
  <r>
    <x v="11"/>
    <s v="Moore"/>
    <s v="AR1863"/>
    <n v="11888866"/>
    <s v="LAC-Facility A"/>
    <x v="0"/>
    <s v="KA101873"/>
    <d v="2032-01-01T00:00:00"/>
    <d v="2019-06-07T00:00:00"/>
    <d v="2019-06-07T00:00:00"/>
    <d v="2019-07-17T00:00:00"/>
    <s v="Declined"/>
    <x v="27"/>
    <m/>
    <m/>
    <m/>
    <m/>
    <s v=""/>
    <s v=""/>
    <m/>
    <m/>
  </r>
  <r>
    <x v="11"/>
    <s v="Cherry"/>
    <s v="AL2696"/>
    <n v="11281808"/>
    <s v="CEN-MSF"/>
    <x v="0"/>
    <s v="NA095631"/>
    <d v="2022-02-08T00:00:00"/>
    <d v="2019-10-25T00:00:00"/>
    <d v="2019-10-21T00:00:00"/>
    <d v="2019-12-19T00:00:00"/>
    <s v="Approved"/>
    <x v="154"/>
    <d v="2021-02-26T00:00:00"/>
    <d v="2020-05-13T00:00:00"/>
    <s v="No action - due to plea"/>
    <m/>
    <s v=""/>
    <s v=""/>
    <m/>
    <d v="2021-02-26T00:00:00"/>
  </r>
  <r>
    <x v="11"/>
    <s v="Zavala"/>
    <s v="AL7255"/>
    <n v="11298397"/>
    <s v="CMC-Facility G"/>
    <x v="10"/>
    <s v="SCD232456"/>
    <d v="2027-10-21T00:00:00"/>
    <d v="2019-06-07T00:00:00"/>
    <d v="2019-06-07T00:00:00"/>
    <d v="2019-07-17T00:00:00"/>
    <s v="Approved"/>
    <x v="64"/>
    <m/>
    <m/>
    <m/>
    <m/>
    <s v=""/>
    <s v=""/>
    <m/>
    <m/>
  </r>
  <r>
    <x v="7"/>
    <s v="Hernandez"/>
    <s v="W99088"/>
    <n v="11007195"/>
    <s v="CCWF FAC D"/>
    <x v="0"/>
    <s v="BA399084"/>
    <d v="2021-05-02T00:00:00"/>
    <d v="2019-07-24T00:00:00"/>
    <d v="2019-07-24T00:00:00"/>
    <d v="2019-08-06T00:00:00"/>
    <s v="Approved"/>
    <x v="155"/>
    <d v="2019-11-27T00:00:00"/>
    <d v="2019-11-21T00:00:00"/>
    <s v="Released"/>
    <n v="1826"/>
    <n v="5.0027397260273974"/>
    <n v="41317.627397260272"/>
    <s v="Release on 12/3/2019"/>
    <d v="2019-11-27T00:00:00"/>
  </r>
  <r>
    <x v="11"/>
    <s v="Baca"/>
    <s v="AM8854"/>
    <n v="11305838"/>
    <s v="CTF-Facility D"/>
    <x v="2"/>
    <s v="11CF2178"/>
    <d v="2035-02-18T00:00:00"/>
    <d v="2019-06-07T00:00:00"/>
    <d v="2019-06-07T00:00:00"/>
    <d v="2019-07-17T00:00:00"/>
    <s v="Approved"/>
    <x v="64"/>
    <d v="2019-11-26T00:00:00"/>
    <d v="2019-11-08T00:00:00"/>
    <s v="No action - reason provided"/>
    <m/>
    <s v=""/>
    <s v=""/>
    <m/>
    <m/>
  </r>
  <r>
    <x v="11"/>
    <s v="Madera"/>
    <s v="AL9172"/>
    <n v="11766232"/>
    <s v="SATF-Facility A"/>
    <x v="11"/>
    <s v="VCF258962"/>
    <d v="2025-07-23T00:00:00"/>
    <d v="2019-07-26T00:00:00"/>
    <d v="2019-07-31T00:00:00"/>
    <d v="2019-10-07T00:00:00"/>
    <s v="Approved"/>
    <x v="152"/>
    <m/>
    <d v="2020-06-02T00:00:00"/>
    <s v="Pending Court (Date in Notes)"/>
    <m/>
    <s v=""/>
    <s v=""/>
    <s v="Court Canceled due to covid, no new court date "/>
    <m/>
  </r>
  <r>
    <x v="2"/>
    <s v="Castaneda"/>
    <s v="AI1554"/>
    <n v="11372230"/>
    <s v="SATF-Facility C"/>
    <x v="2"/>
    <s v="07CF3336"/>
    <d v="2023-03-13T00:00:00"/>
    <d v="2018-09-05T00:00:00"/>
    <d v="2018-09-05T00:00:00"/>
    <d v="2018-09-19T00:00:00"/>
    <s v="Approved"/>
    <x v="45"/>
    <d v="2020-03-02T00:00:00"/>
    <d v="2020-02-28T00:00:00"/>
    <s v="Reduced"/>
    <n v="1095.75"/>
    <n v="3.0020547945205478"/>
    <n v="24793.970547945206"/>
    <m/>
    <d v="2020-03-03T00:00:00"/>
  </r>
  <r>
    <x v="3"/>
    <s v="Perez"/>
    <s v="AU2518"/>
    <n v="12118402"/>
    <s v="CIM-Facility B"/>
    <x v="10"/>
    <s v="SCN324938"/>
    <d v="2027-02-06T00:00:00"/>
    <d v="2018-02-05T00:00:00"/>
    <d v="2018-04-12T00:00:00"/>
    <d v="2018-04-12T00:00:00"/>
    <s v="Approved"/>
    <x v="11"/>
    <d v="2019-04-05T00:00:00"/>
    <d v="2018-06-19T00:00:00"/>
    <s v="No action - due to plea"/>
    <m/>
    <s v=""/>
    <s v=""/>
    <m/>
    <d v="2019-04-05T00:00:00"/>
  </r>
  <r>
    <x v="3"/>
    <s v="Sandoval"/>
    <s v="F93998"/>
    <n v="11606166"/>
    <s v="PRMCCF-Central Valley"/>
    <x v="17"/>
    <s v="06F04456"/>
    <d v="2020-05-28T00:00:00"/>
    <d v="2018-02-05T00:00:00"/>
    <d v="2018-04-12T00:00:00"/>
    <d v="2018-04-12T00:00:00"/>
    <s v="Approved"/>
    <x v="11"/>
    <d v="2019-04-05T00:00:00"/>
    <d v="2018-05-17T00:00:00"/>
    <s v="No action - due to plea"/>
    <m/>
    <s v=""/>
    <s v=""/>
    <m/>
    <d v="2019-04-05T00:00:00"/>
  </r>
  <r>
    <x v="11"/>
    <s v="Hancock"/>
    <s v="AP0183"/>
    <n v="11312812"/>
    <s v="RJD-Facility E"/>
    <x v="18"/>
    <n v="51202902"/>
    <d v="2025-07-10T00:00:00"/>
    <d v="2019-06-07T00:00:00"/>
    <d v="2019-06-07T00:00:00"/>
    <d v="2019-07-17T00:00:00"/>
    <s v="Approved"/>
    <x v="64"/>
    <d v="2019-09-11T00:00:00"/>
    <d v="2019-09-05T00:00:00"/>
    <s v="No action - no reason specified"/>
    <m/>
    <s v=""/>
    <s v=""/>
    <m/>
    <d v="2019-09-11T00:00:00"/>
  </r>
  <r>
    <x v="7"/>
    <s v="Greathouse"/>
    <s v="V80247"/>
    <n v="11132679"/>
    <s v="FOL-FAC A"/>
    <x v="14"/>
    <s v="SS050626"/>
    <d v="2028-04-02T00:00:00"/>
    <d v="2019-06-11T00:00:00"/>
    <d v="2019-06-19T00:00:00"/>
    <d v="2019-06-19T00:00:00"/>
    <s v="Declined"/>
    <x v="27"/>
    <m/>
    <m/>
    <m/>
    <m/>
    <s v=""/>
    <s v=""/>
    <m/>
    <m/>
  </r>
  <r>
    <x v="7"/>
    <s v="Thiesen"/>
    <s v="W26931"/>
    <n v="10246074"/>
    <s v="CIW"/>
    <x v="2"/>
    <s v="94NF1280"/>
    <d v="2026-11-12T00:00:00"/>
    <d v="2019-05-07T00:00:00"/>
    <d v="2019-05-15T00:00:00"/>
    <d v="2019-05-15T00:00:00"/>
    <s v="Approved"/>
    <x v="70"/>
    <d v="2021-02-26T00:00:00"/>
    <d v="2020-08-17T00:00:00"/>
    <s v="Reduced"/>
    <n v="5478"/>
    <n v="15.008219178082191"/>
    <n v="123952.88219178082"/>
    <s v="Reduced MEPD changed but not released"/>
    <d v="2021-02-26T00:00:00"/>
  </r>
  <r>
    <x v="11"/>
    <s v="Rincon"/>
    <s v="AT2518"/>
    <n v="11253255"/>
    <s v="VSP-Facility C"/>
    <x v="18"/>
    <n v="51315241"/>
    <d v="2023-05-16T00:00:00"/>
    <d v="2019-05-20T00:00:00"/>
    <d v="2019-05-20T00:00:00"/>
    <d v="2019-06-13T00:00:00"/>
    <s v="Approved"/>
    <x v="88"/>
    <m/>
    <m/>
    <m/>
    <m/>
    <s v=""/>
    <s v=""/>
    <m/>
    <m/>
  </r>
  <r>
    <x v="11"/>
    <s v="Mansir"/>
    <s v="BA4120"/>
    <n v="11256562"/>
    <s v="COR-Facility 03A"/>
    <x v="15"/>
    <n v="2012008032"/>
    <d v="2026-12-16T00:00:00"/>
    <d v="2019-05-20T00:00:00"/>
    <d v="2019-05-20T00:00:00"/>
    <d v="2019-06-13T00:00:00"/>
    <s v="Declined"/>
    <x v="27"/>
    <m/>
    <m/>
    <m/>
    <m/>
    <s v=""/>
    <s v=""/>
    <m/>
    <m/>
  </r>
  <r>
    <x v="7"/>
    <s v="Henry"/>
    <s v="WE0646"/>
    <n v="11022763"/>
    <s v="CCWF FAC D"/>
    <x v="30"/>
    <s v="CRF34412"/>
    <d v="2021-08-07T00:00:00"/>
    <d v="2019-06-13T00:00:00"/>
    <d v="2019-06-19T00:00:00"/>
    <d v="2019-06-19T00:00:00"/>
    <s v="Approved"/>
    <x v="129"/>
    <d v="2020-02-13T00:00:00"/>
    <d v="2020-02-03T00:00:00"/>
    <s v="Reduced"/>
    <n v="1461"/>
    <n v="4.0027397260273974"/>
    <n v="33058.627397260272"/>
    <s v="reduced by 4 years"/>
    <d v="2020-02-21T00:00:00"/>
  </r>
  <r>
    <x v="11"/>
    <s v="Garza"/>
    <s v="AS1501"/>
    <n v="11259044"/>
    <s v="CAC-Facility B"/>
    <x v="13"/>
    <s v="SF017107A"/>
    <d v="2025-05-31T00:00:00"/>
    <d v="2019-05-17T00:00:00"/>
    <d v="2019-05-17T00:00:00"/>
    <d v="2019-06-18T00:00:00"/>
    <s v="Declined"/>
    <x v="27"/>
    <m/>
    <m/>
    <m/>
    <m/>
    <s v=""/>
    <s v=""/>
    <m/>
    <m/>
  </r>
  <r>
    <x v="3"/>
    <s v="Zurita"/>
    <s v="AA5921"/>
    <n v="11325095"/>
    <s v="PBSP-Facility A"/>
    <x v="10"/>
    <s v="SCN25200"/>
    <d v="2024-12-18T00:00:00"/>
    <d v="2018-02-05T00:00:00"/>
    <d v="2018-04-12T00:00:00"/>
    <d v="2018-04-12T00:00:00"/>
    <s v="Approved"/>
    <x v="11"/>
    <d v="2018-05-15T00:00:00"/>
    <d v="2018-05-09T00:00:00"/>
    <s v="No action - due to plea"/>
    <m/>
    <s v=""/>
    <s v=""/>
    <m/>
    <d v="2018-05-15T00:00:00"/>
  </r>
  <r>
    <x v="1"/>
    <s v="Maldonado"/>
    <s v="E33033"/>
    <s v="00E33033"/>
    <s v="CTF Facility A SNY"/>
    <x v="12"/>
    <s v="209185  07CM7295"/>
    <d v="2030-03-26T00:00:00"/>
    <d v="2019-06-18T00:00:00"/>
    <d v="2019-07-01T00:00:00"/>
    <d v="2019-07-02T00:00:00"/>
    <s v="Declined"/>
    <x v="27"/>
    <m/>
    <m/>
    <m/>
    <m/>
    <s v=""/>
    <s v=""/>
    <m/>
    <m/>
  </r>
  <r>
    <x v="7"/>
    <s v="Shukry"/>
    <s v="X23294"/>
    <n v="11029041"/>
    <s v="CCWF FAC B"/>
    <x v="17"/>
    <s v="05F07334"/>
    <d v="2021-10-19T00:00:00"/>
    <d v="2019-06-18T00:00:00"/>
    <d v="2019-07-08T00:00:00"/>
    <d v="2019-07-08T00:00:00"/>
    <s v="Approved"/>
    <x v="79"/>
    <d v="2019-12-10T00:00:00"/>
    <d v="2019-11-15T00:00:00"/>
    <s v="Reduced"/>
    <n v="487"/>
    <n v="1.3342465753424657"/>
    <n v="11019.542465753426"/>
    <m/>
    <d v="2019-12-10T00:00:00"/>
  </r>
  <r>
    <x v="11"/>
    <s v="Gordon"/>
    <s v="X18495"/>
    <n v="10250872"/>
    <s v="CIW-Facility A"/>
    <x v="8"/>
    <s v="RIF1300616"/>
    <d v="2024-05-14T00:00:00"/>
    <d v="2019-06-18T00:00:00"/>
    <d v="2019-06-18T00:00:00"/>
    <d v="2019-07-17T00:00:00"/>
    <s v="Approved"/>
    <x v="117"/>
    <d v="2020-08-03T00:00:00"/>
    <d v="2020-07-23T00:00:00"/>
    <s v="Reduced"/>
    <n v="3652.5"/>
    <n v="10.006849315068493"/>
    <n v="82646.568493150684"/>
    <s v="reduced by 10 years"/>
    <d v="2020-08-03T00:00:00"/>
  </r>
  <r>
    <x v="7"/>
    <s v="Thompson"/>
    <s v="E51686"/>
    <n v="11524302"/>
    <s v="CEN FAC A"/>
    <x v="0"/>
    <s v="SA051591"/>
    <d v="2037-08-11T00:00:00"/>
    <d v="2019-06-18T00:00:00"/>
    <d v="2019-07-02T00:00:00"/>
    <d v="2019-07-02T00:00:00"/>
    <s v="Approved"/>
    <x v="79"/>
    <d v="2020-09-02T00:00:00"/>
    <d v="2020-08-03T00:00:00"/>
    <s v="Reduced"/>
    <n v="1826"/>
    <n v="5.0027397260273974"/>
    <n v="41317.627397260272"/>
    <m/>
    <d v="2020-09-02T00:00:00"/>
  </r>
  <r>
    <x v="11"/>
    <s v="Eiras"/>
    <s v="BF0678"/>
    <n v="11763944"/>
    <s v="VSP-Facility C"/>
    <x v="8"/>
    <s v="INF1301997"/>
    <d v="2023-03-23T00:00:00"/>
    <d v="2019-01-15T00:00:00"/>
    <d v="2019-05-15T00:00:00"/>
    <d v="2019-06-11T00:00:00"/>
    <s v="Approved"/>
    <x v="88"/>
    <d v="2021-02-26T00:00:00"/>
    <d v="2019-07-12T00:00:00"/>
    <s v="No action - no reason specified"/>
    <m/>
    <s v=""/>
    <s v=""/>
    <m/>
    <d v="2021-02-26T00:00:00"/>
  </r>
  <r>
    <x v="11"/>
    <s v="Williams"/>
    <s v="T64691"/>
    <n v="11937637"/>
    <s v="SVSP-Facility B"/>
    <x v="0"/>
    <s v="MA038272"/>
    <d v="2029-06-16T00:00:00"/>
    <d v="2019-06-18T00:00:00"/>
    <d v="2019-06-18T00:00:00"/>
    <d v="2019-07-17T00:00:00"/>
    <s v="Declined"/>
    <x v="27"/>
    <m/>
    <m/>
    <m/>
    <m/>
    <s v=""/>
    <s v=""/>
    <m/>
    <m/>
  </r>
  <r>
    <x v="11"/>
    <s v="Joseph"/>
    <s v="AS0458"/>
    <n v="11973799"/>
    <s v="RJD-Facility D"/>
    <x v="0"/>
    <s v="GA088571"/>
    <d v="2029-03-26T00:00:00"/>
    <d v="2019-06-18T00:00:00"/>
    <d v="2019-06-18T00:00:00"/>
    <d v="2019-07-17T00:00:00"/>
    <s v="Declined"/>
    <x v="27"/>
    <m/>
    <m/>
    <m/>
    <m/>
    <s v=""/>
    <s v=""/>
    <m/>
    <m/>
  </r>
  <r>
    <x v="11"/>
    <s v="Hyde"/>
    <s v="F28223"/>
    <n v="11198231"/>
    <s v="CMF-Facility A"/>
    <x v="20"/>
    <s v="H35398"/>
    <d v="2029-01-02T00:00:00"/>
    <d v="2019-06-18T00:00:00"/>
    <d v="2019-06-18T00:00:00"/>
    <d v="2019-07-17T00:00:00"/>
    <s v="Declined"/>
    <x v="27"/>
    <m/>
    <m/>
    <m/>
    <m/>
    <s v=""/>
    <s v=""/>
    <m/>
    <m/>
  </r>
  <r>
    <x v="7"/>
    <s v="Brinkman"/>
    <s v="E19751"/>
    <n v="11120200"/>
    <s v="SOL FAC D"/>
    <x v="31"/>
    <s v="95F3388"/>
    <d v="2022-05-03T00:00:00"/>
    <d v="2019-06-19T00:00:00"/>
    <d v="2019-07-02T00:00:00"/>
    <d v="2019-07-02T00:00:00"/>
    <s v="Approved"/>
    <x v="79"/>
    <d v="2020-03-25T00:00:00"/>
    <d v="2020-03-09T00:00:00"/>
    <s v="Released"/>
    <n v="767"/>
    <n v="2.1013698630136988"/>
    <n v="17355.213698630138"/>
    <s v="released on 03/27/2020"/>
    <d v="2020-03-26T00:00:00"/>
  </r>
  <r>
    <x v="7"/>
    <s v="Hawkins"/>
    <s v="V31556"/>
    <n v="11237016"/>
    <s v="CRC FAC B"/>
    <x v="10"/>
    <s v="SCN162762"/>
    <d v="2021-05-27T00:00:00"/>
    <d v="2019-06-20T00:00:00"/>
    <d v="2019-06-21T00:00:00"/>
    <d v="2019-06-21T00:00:00"/>
    <s v="Approved"/>
    <x v="79"/>
    <d v="2020-11-06T00:00:00"/>
    <d v="2020-07-07T00:00:00"/>
    <s v="No reduction - AOJ corrected"/>
    <m/>
    <s v=""/>
    <s v=""/>
    <s v="no change in total term"/>
    <d v="2020-11-06T00:00:00"/>
  </r>
  <r>
    <x v="1"/>
    <s v="Chavez"/>
    <s v="F40437"/>
    <n v="11573315"/>
    <s v="DVI - Facility A"/>
    <x v="34"/>
    <s v="F27457"/>
    <d v="2025-10-14T00:00:00"/>
    <d v="2020-10-05T00:00:00"/>
    <d v="2020-10-15T00:00:00"/>
    <d v="2020-10-16T00:00:00"/>
    <s v="Approved"/>
    <x v="134"/>
    <m/>
    <m/>
    <m/>
    <m/>
    <s v=""/>
    <s v=""/>
    <m/>
    <m/>
  </r>
  <r>
    <x v="3"/>
    <s v="Alvarez"/>
    <s v="T82155"/>
    <n v="11947786"/>
    <s v="CAC-Facility A"/>
    <x v="24"/>
    <n v="1040631"/>
    <d v="2022-11-08T00:00:00"/>
    <d v="2018-02-05T00:00:00"/>
    <d v="2018-02-05T00:00:00"/>
    <d v="2018-03-20T00:00:00"/>
    <s v="Approved"/>
    <x v="4"/>
    <d v="2018-05-16T00:00:00"/>
    <d v="2018-05-15T00:00:00"/>
    <s v="No action - due to plea"/>
    <m/>
    <s v=""/>
    <s v=""/>
    <m/>
    <d v="2018-05-16T00:00:00"/>
  </r>
  <r>
    <x v="11"/>
    <s v="Porras"/>
    <s v="AS2449"/>
    <n v="12106990"/>
    <s v="FOL-Facility A"/>
    <x v="10"/>
    <s v="SCS255229"/>
    <d v="2024-02-16T00:00:00"/>
    <d v="2019-06-21T00:00:00"/>
    <d v="2019-06-24T00:00:00"/>
    <d v="2019-08-19T00:00:00"/>
    <s v="Approved"/>
    <x v="128"/>
    <d v="2020-01-28T00:00:00"/>
    <d v="2020-01-03T00:00:00"/>
    <s v="Released"/>
    <n v="1826"/>
    <n v="5.0027397260273974"/>
    <n v="41317.627397260272"/>
    <s v="released 1/30/2019"/>
    <d v="2020-01-29T00:00:00"/>
  </r>
  <r>
    <x v="7"/>
    <s v="Parrat"/>
    <s v="J81555"/>
    <n v="11102008"/>
    <s v="SQ FAC A "/>
    <x v="17"/>
    <s v="95F00785"/>
    <d v="2037-07-02T00:00:00"/>
    <d v="2019-05-31T00:00:00"/>
    <d v="2019-10-01T00:00:00"/>
    <d v="2019-10-03T00:00:00"/>
    <s v="Approved"/>
    <x v="156"/>
    <d v="2021-02-26T00:00:00"/>
    <d v="2020-05-08T00:00:00"/>
    <s v="Released"/>
    <n v="6257"/>
    <n v="17.142465753424659"/>
    <n v="141579.62465753424"/>
    <s v="Released on 5/15/2020"/>
    <d v="2021-02-26T00:00:00"/>
  </r>
  <r>
    <x v="3"/>
    <s v="Coronel"/>
    <s v="T43144"/>
    <n v="11925613"/>
    <s v="COCF-La Palma CC, Arizona (AZ2)"/>
    <x v="15"/>
    <n v="2001027240"/>
    <d v="2019-02-08T00:00:00"/>
    <d v="2018-02-05T00:00:00"/>
    <d v="2018-04-12T00:00:00"/>
    <d v="2018-04-12T00:00:00"/>
    <s v="Approved"/>
    <x v="11"/>
    <d v="2018-06-15T00:00:00"/>
    <d v="2018-06-07T00:00:00"/>
    <s v="No action - due to plea"/>
    <m/>
    <s v=""/>
    <s v=""/>
    <m/>
    <d v="2018-06-15T00:00:00"/>
  </r>
  <r>
    <x v="11"/>
    <s v="Napier"/>
    <s v="AV6458"/>
    <n v="11607770"/>
    <s v="CHCF-Facility E"/>
    <x v="20"/>
    <s v="H54603"/>
    <d v="2024-07-15T00:00:00"/>
    <d v="2019-06-21T00:00:00"/>
    <d v="2019-06-24T00:00:00"/>
    <d v="2019-08-19T00:00:00"/>
    <s v="Approved"/>
    <x v="128"/>
    <m/>
    <m/>
    <m/>
    <m/>
    <s v=""/>
    <s v=""/>
    <m/>
    <m/>
  </r>
  <r>
    <x v="11"/>
    <s v="Madero"/>
    <s v="AR2051"/>
    <n v="11982674"/>
    <s v="CMC-Facility C"/>
    <x v="37"/>
    <s v="SC076581"/>
    <d v="2024-08-07T00:00:00"/>
    <d v="2019-06-21T00:00:00"/>
    <d v="2019-06-24T00:00:00"/>
    <d v="2019-08-19T00:00:00"/>
    <s v="Approved"/>
    <x v="128"/>
    <m/>
    <m/>
    <m/>
    <m/>
    <s v=""/>
    <s v=""/>
    <m/>
    <m/>
  </r>
  <r>
    <x v="11"/>
    <s v="Derosas"/>
    <s v="AS2093"/>
    <n v="12106807"/>
    <s v="ISP-Facility D"/>
    <x v="2"/>
    <s v="11CF3037"/>
    <d v="2024-05-29T00:00:00"/>
    <d v="2019-06-21T00:00:00"/>
    <d v="2019-06-24T00:00:00"/>
    <d v="2019-08-19T00:00:00"/>
    <s v="Approved"/>
    <x v="128"/>
    <m/>
    <m/>
    <m/>
    <m/>
    <s v=""/>
    <s v=""/>
    <s v="Paroled 11/7/2020 issue moot"/>
    <d v="2020-11-05T00:00:00"/>
  </r>
  <r>
    <x v="11"/>
    <s v="Flippin"/>
    <s v="FA1084"/>
    <n v="11525815"/>
    <s v="DVI-Facility A"/>
    <x v="1"/>
    <s v="VCR214418"/>
    <d v="2024-08-14T00:00:00"/>
    <d v="2019-06-21T00:00:00"/>
    <d v="2019-06-24T00:00:00"/>
    <d v="2019-08-19T00:00:00"/>
    <s v="Approved"/>
    <x v="128"/>
    <m/>
    <m/>
    <m/>
    <m/>
    <s v=""/>
    <s v=""/>
    <m/>
    <m/>
  </r>
  <r>
    <x v="3"/>
    <s v="Vang"/>
    <s v="G24158"/>
    <n v="11625170"/>
    <s v="CCI-Facility C"/>
    <x v="3"/>
    <s v="F07906484"/>
    <d v="2028-02-23T00:00:00"/>
    <d v="2018-02-05T00:00:00"/>
    <d v="2018-04-12T00:00:00"/>
    <d v="2018-04-12T00:00:00"/>
    <s v="Approved"/>
    <x v="11"/>
    <d v="2018-06-20T00:00:00"/>
    <d v="2018-06-11T00:00:00"/>
    <s v="No action - due to plea"/>
    <m/>
    <s v=""/>
    <s v=""/>
    <m/>
    <d v="2018-06-28T00:00:00"/>
  </r>
  <r>
    <x v="11"/>
    <s v="Gurrola"/>
    <s v="AP4876"/>
    <n v="11315715"/>
    <s v="PVSP-Facility D"/>
    <x v="11"/>
    <s v="PCF270944"/>
    <d v="2024-04-06T00:00:00"/>
    <d v="2019-06-21T00:00:00"/>
    <d v="2019-06-24T00:00:00"/>
    <d v="2019-08-19T00:00:00"/>
    <s v="Approved"/>
    <x v="128"/>
    <m/>
    <m/>
    <m/>
    <m/>
    <s v=""/>
    <s v=""/>
    <m/>
    <m/>
  </r>
  <r>
    <x v="11"/>
    <s v="Cervantes"/>
    <s v="J66270"/>
    <n v="11756798"/>
    <s v="KVSP-Facility D"/>
    <x v="11"/>
    <n v="9739882"/>
    <d v="2029-03-31T00:00:00"/>
    <d v="2019-06-24T00:00:00"/>
    <d v="2019-06-25T00:00:00"/>
    <d v="2019-07-29T00:00:00"/>
    <s v="Approved"/>
    <x v="114"/>
    <d v="2020-02-21T00:00:00"/>
    <d v="2020-02-11T00:00:00"/>
    <s v="Reduced"/>
    <n v="1826"/>
    <n v="5.0027397260273974"/>
    <n v="41317.627397260272"/>
    <s v="Reduced by 5 years"/>
    <d v="2020-02-21T00:00:00"/>
  </r>
  <r>
    <x v="11"/>
    <s v="Alcantara"/>
    <s v="AM9286"/>
    <n v="11306154"/>
    <s v="PVSP-STRH"/>
    <x v="10"/>
    <s v="SCN315462"/>
    <d v="2030-05-25T00:00:00"/>
    <d v="2019-06-24T00:00:00"/>
    <d v="2019-06-25T00:00:00"/>
    <d v="2019-07-29T00:00:00"/>
    <s v="Approved"/>
    <x v="114"/>
    <d v="2019-12-27T00:00:00"/>
    <d v="2019-12-02T00:00:00"/>
    <s v="No action - no reason specified"/>
    <m/>
    <s v=""/>
    <s v=""/>
    <s v="NCD - 12/02/2019"/>
    <d v="2019-12-27T00:00:00"/>
  </r>
  <r>
    <x v="3"/>
    <s v="Rojas"/>
    <s v="V68386"/>
    <n v="11998104"/>
    <s v="PBSP-Facility D"/>
    <x v="21"/>
    <s v="SF091291A"/>
    <d v="2023-04-18T00:00:00"/>
    <d v="2018-02-05T00:00:00"/>
    <d v="2018-04-12T00:00:00"/>
    <d v="2018-04-12T00:00:00"/>
    <s v="Approved"/>
    <x v="11"/>
    <d v="2019-06-25T00:00:00"/>
    <d v="2019-06-17T00:00:00"/>
    <s v="Reduced"/>
    <n v="1461"/>
    <n v="4.0027397260273974"/>
    <n v="33058.627397260272"/>
    <m/>
    <d v="2019-06-25T00:00:00"/>
  </r>
  <r>
    <x v="6"/>
    <s v="Gadson"/>
    <s v="C41033"/>
    <n v="11423711"/>
    <s v="LAC-Facility D"/>
    <x v="1"/>
    <s v="FCR252220"/>
    <d v="2039-11-12T00:00:00"/>
    <d v="2019-08-01T00:00:00"/>
    <d v="2019-08-01T00:00:00"/>
    <d v="2019-08-12T00:00:00"/>
    <s v="Approved"/>
    <x v="21"/>
    <d v="2019-09-27T00:00:00"/>
    <d v="2019-09-19T00:00:00"/>
    <s v="No action - reason provided"/>
    <m/>
    <s v=""/>
    <s v=""/>
    <m/>
    <d v="2019-09-30T00:00:00"/>
  </r>
  <r>
    <x v="7"/>
    <s v="Moore"/>
    <s v="D62389"/>
    <n v="11480277"/>
    <s v="SQ"/>
    <x v="17"/>
    <s v="99F00713"/>
    <d v="2029-10-11T00:00:00"/>
    <d v="2018-09-07T00:00:00"/>
    <d v="2018-09-24T00:00:00"/>
    <d v="2018-09-24T00:00:00"/>
    <s v="Approved"/>
    <x v="47"/>
    <d v="2020-01-24T00:00:00"/>
    <d v="2019-12-19T00:00:00"/>
    <s v="Released"/>
    <n v="1371"/>
    <n v="3.7561643835616438"/>
    <n v="31022.161643835618"/>
    <s v="released on 1/18/2020"/>
    <d v="2020-01-24T00:00:00"/>
  </r>
  <r>
    <x v="1"/>
    <s v="Mendoza "/>
    <s v="AF8052"/>
    <n v="1137750"/>
    <s v="COCF-La Palma CC, Arizona (AZ2)"/>
    <x v="8"/>
    <s v="RIF149675"/>
    <d v="2033-07-15T00:00:00"/>
    <d v="2018-12-20T00:00:00"/>
    <d v="2018-12-29T00:00:00"/>
    <d v="2018-12-29T00:00:00"/>
    <s v="Approved"/>
    <x v="66"/>
    <m/>
    <d v="2020-06-05T00:00:00"/>
    <s v="Pending Court (Date in Notes)"/>
    <m/>
    <s v=""/>
    <s v=""/>
    <s v="NCD - 06/05/2020"/>
    <m/>
  </r>
  <r>
    <x v="7"/>
    <s v="Jacko"/>
    <s v="H55000"/>
    <n v="11681061"/>
    <s v="SQ FAC A"/>
    <x v="0"/>
    <s v="LA036876"/>
    <d v="2027-03-15T00:00:00"/>
    <d v="2019-05-28T00:00:00"/>
    <d v="2019-06-06T00:00:00"/>
    <d v="2019-06-06T00:00:00"/>
    <s v="Approved"/>
    <x v="149"/>
    <d v="2020-03-13T00:00:00"/>
    <d v="2020-02-28T00:00:00"/>
    <s v="Released"/>
    <n v="2561"/>
    <n v="7.0164383561643833"/>
    <n v="57948.764383561647"/>
    <s v="released on 03/10/2020"/>
    <d v="2020-03-13T00:00:00"/>
  </r>
  <r>
    <x v="11"/>
    <s v="Thomas"/>
    <s v="AB0395"/>
    <n v="11049002"/>
    <s v="SOL - Facility C"/>
    <x v="0"/>
    <s v="BA360124  "/>
    <d v="2026-10-02T00:00:00"/>
    <d v="2019-05-15T00:00:00"/>
    <d v="2019-05-15T00:00:00"/>
    <d v="2019-06-04T00:00:00"/>
    <s v="Approved"/>
    <x v="57"/>
    <d v="2019-07-01T00:00:00"/>
    <d v="2019-06-21T00:00:00"/>
    <s v="No action - reason provided"/>
    <m/>
    <s v=""/>
    <s v=""/>
    <m/>
    <d v="2020-04-14T00:00:00"/>
  </r>
  <r>
    <x v="11"/>
    <s v="Berryman"/>
    <s v="AX4398"/>
    <n v="12010454"/>
    <s v="CAC-Facility B"/>
    <x v="0"/>
    <s v="MA056720"/>
    <d v="2029-11-12T00:00:00"/>
    <d v="2019-06-26T00:00:00"/>
    <d v="2019-07-02T00:00:00"/>
    <d v="2019-09-04T00:00:00"/>
    <s v="Approved"/>
    <x v="157"/>
    <d v="2020-01-10T00:00:00"/>
    <d v="2019-12-23T00:00:00"/>
    <s v="No action - reason provided"/>
    <m/>
    <s v=""/>
    <s v=""/>
    <s v="A just and appropriate sentence"/>
    <d v="2020-01-10T00:00:00"/>
  </r>
  <r>
    <x v="3"/>
    <s v="Phom"/>
    <s v="V59687"/>
    <n v="11992966"/>
    <s v="CAC-Facility B"/>
    <x v="0"/>
    <s v="NA052060"/>
    <d v="2023-03-18T00:00:00"/>
    <d v="2018-02-05T00:00:00"/>
    <d v="2018-02-05T00:00:00"/>
    <d v="2018-02-12T00:00:00"/>
    <s v="Approved"/>
    <x v="5"/>
    <d v="2018-03-23T00:00:00"/>
    <m/>
    <s v="No action - due to plea"/>
    <m/>
    <s v=""/>
    <s v=""/>
    <m/>
    <d v="2018-03-23T00:00:00"/>
  </r>
  <r>
    <x v="11"/>
    <s v="Whittington"/>
    <s v="P55331"/>
    <n v="11133273"/>
    <s v="MCSP-Facility E"/>
    <x v="43"/>
    <s v="CR974622"/>
    <d v="2030-03-19T00:00:00"/>
    <d v="2019-06-26T00:00:00"/>
    <d v="2019-07-02T00:00:00"/>
    <d v="2019-09-04T00:00:00"/>
    <s v="Approved"/>
    <x v="121"/>
    <m/>
    <m/>
    <m/>
    <m/>
    <s v=""/>
    <s v=""/>
    <m/>
    <m/>
  </r>
  <r>
    <x v="11"/>
    <s v="Rose"/>
    <s v="AT1400"/>
    <n v="11135480"/>
    <s v="SCC-Facility A"/>
    <x v="0"/>
    <s v="BA409588"/>
    <d v="2030-04-20T00:00:00"/>
    <d v="2019-06-26T00:00:00"/>
    <d v="2019-07-02T00:00:00"/>
    <d v="2019-09-04T00:00:00"/>
    <s v="Approved"/>
    <x v="121"/>
    <d v="2019-10-16T00:00:00"/>
    <d v="2019-10-04T00:00:00"/>
    <s v="No action - due to plea"/>
    <m/>
    <s v=""/>
    <s v=""/>
    <m/>
    <d v="2020-04-14T00:00:00"/>
  </r>
  <r>
    <x v="11"/>
    <s v="Cuba"/>
    <s v="C95390"/>
    <n v="11447886"/>
    <s v="HDSP-Facility C"/>
    <x v="0"/>
    <s v="BA325622"/>
    <d v="2029-11-27T00:00:00"/>
    <d v="2019-07-02T00:00:00"/>
    <d v="2019-07-02T00:00:00"/>
    <d v="2019-09-04T00:00:00"/>
    <s v="Approved"/>
    <x v="121"/>
    <d v="2019-11-20T00:00:00"/>
    <d v="2019-11-05T00:00:00"/>
    <s v="No action - due to plea"/>
    <m/>
    <s v=""/>
    <s v=""/>
    <m/>
    <d v="2019-11-20T00:00:00"/>
  </r>
  <r>
    <x v="11"/>
    <s v="Corothers"/>
    <s v="J08113"/>
    <n v="11726933"/>
    <s v="CIM-Facility D"/>
    <x v="15"/>
    <n v="2004025710"/>
    <d v="2022-06-21T00:00:00"/>
    <d v="2019-11-06T00:00:00"/>
    <d v="2019-11-13T00:00:00"/>
    <d v="2020-01-06T00:00:00"/>
    <s v="Approved"/>
    <x v="143"/>
    <d v="2020-04-13T00:00:00"/>
    <d v="2020-04-08T00:00:00"/>
    <s v="Released"/>
    <n v="1826.25"/>
    <n v="5.0034246575342465"/>
    <n v="41323.284246575342"/>
    <s v="Released on 04/15/2020"/>
    <d v="2020-04-13T00:00:00"/>
  </r>
  <r>
    <x v="11"/>
    <s v="Murillo"/>
    <s v="AF0865"/>
    <n v="11063369"/>
    <s v="SACCO-MCRP LOS ANGELES"/>
    <x v="0"/>
    <s v="VA111493"/>
    <d v="2021-01-01T00:00:00"/>
    <d v="2019-06-26T00:00:00"/>
    <d v="2019-06-26T00:00:00"/>
    <d v="2019-07-29T00:00:00"/>
    <s v="Approved"/>
    <x v="114"/>
    <m/>
    <m/>
    <m/>
    <m/>
    <s v=""/>
    <s v=""/>
    <s v="Paroled 8/20/2020 issue moot"/>
    <d v="2020-11-05T00:00:00"/>
  </r>
  <r>
    <x v="11"/>
    <s v="Chavez"/>
    <s v="AS6805"/>
    <n v="11049497"/>
    <s v="VSP-Facility D"/>
    <x v="0"/>
    <s v="BA412063"/>
    <d v="2021-02-11T00:00:00"/>
    <d v="2019-06-26T00:00:00"/>
    <d v="2019-06-26T00:00:00"/>
    <d v="2019-07-29T00:00:00"/>
    <s v="Declined"/>
    <x v="27"/>
    <m/>
    <m/>
    <m/>
    <m/>
    <s v=""/>
    <s v=""/>
    <s v="Paroled 10/8/2020 issue moot"/>
    <d v="2020-11-05T00:00:00"/>
  </r>
  <r>
    <x v="11"/>
    <s v="Blackmon"/>
    <s v="AS3109"/>
    <n v="11418475"/>
    <s v="CMC-Facility F"/>
    <x v="40"/>
    <n v="1260289"/>
    <d v="2021-01-14T00:00:00"/>
    <d v="2019-06-26T00:00:00"/>
    <d v="2019-06-26T00:00:00"/>
    <d v="2019-07-29T00:00:00"/>
    <s v="Approved"/>
    <x v="114"/>
    <d v="2019-10-01T00:00:00"/>
    <d v="2019-09-24T00:00:00"/>
    <s v="Released"/>
    <n v="463"/>
    <n v="1.2684931506849315"/>
    <n v="10476.48493150685"/>
    <s v="released 10/09/2019"/>
    <d v="2019-10-03T00:00:00"/>
  </r>
  <r>
    <x v="11"/>
    <s v="Burton"/>
    <s v="AN7058"/>
    <n v="11180560"/>
    <s v="KVSP-MSF"/>
    <x v="3"/>
    <s v="F11906752"/>
    <d v="2021-01-10T00:00:00"/>
    <d v="2019-06-26T00:00:00"/>
    <d v="2019-06-26T00:00:00"/>
    <d v="2019-07-29T00:00:00"/>
    <s v="Declined"/>
    <x v="27"/>
    <m/>
    <m/>
    <m/>
    <m/>
    <s v=""/>
    <s v=""/>
    <s v="Paroled 9/18/2020 issue moot"/>
    <d v="2020-11-05T00:00:00"/>
  </r>
  <r>
    <x v="11"/>
    <s v="Roberts"/>
    <s v="AL7796"/>
    <n v="11106647"/>
    <s v="MCSP-Facility A"/>
    <x v="0"/>
    <s v="BA389938"/>
    <d v="2021-01-01T00:00:00"/>
    <d v="2019-06-26T00:00:00"/>
    <d v="2019-06-26T00:00:00"/>
    <d v="2019-07-29T00:00:00"/>
    <s v="Approved"/>
    <x v="114"/>
    <d v="2020-01-06T00:00:00"/>
    <d v="2019-12-10T00:00:00"/>
    <s v="Released"/>
    <n v="1826.25"/>
    <n v="5.0034246575342465"/>
    <n v="41323.284246575342"/>
    <s v="will be released 1/10/20"/>
    <d v="2020-01-06T00:00:00"/>
  </r>
  <r>
    <x v="5"/>
    <s v="Sanchez"/>
    <s v="T45872"/>
    <n v="11927142"/>
    <s v="SHS-Atascadero "/>
    <x v="29"/>
    <s v="CR106957"/>
    <m/>
    <d v="2018-04-02T00:00:00"/>
    <d v="2018-04-02T00:00:00"/>
    <d v="2018-04-03T00:00:00"/>
    <s v="Approved"/>
    <x v="8"/>
    <d v="2018-05-31T00:00:00"/>
    <d v="2018-05-17T00:00:00"/>
    <s v="No action - due to plea"/>
    <m/>
    <s v=""/>
    <s v=""/>
    <m/>
    <d v="2018-05-31T00:00:00"/>
  </r>
  <r>
    <x v="11"/>
    <s v="Spragan"/>
    <s v="AK8183"/>
    <n v="11278667"/>
    <s v="MCSP-Facility B"/>
    <x v="18"/>
    <n v="51014299"/>
    <d v="2021-01-10T00:00:00"/>
    <d v="2019-06-26T00:00:00"/>
    <d v="2019-06-26T00:00:00"/>
    <d v="2019-07-29T00:00:00"/>
    <s v="Declined"/>
    <x v="27"/>
    <m/>
    <m/>
    <m/>
    <m/>
    <s v=""/>
    <s v=""/>
    <s v="Paroled 10/22/2020 issue moot"/>
    <d v="2020-11-05T00:00:00"/>
  </r>
  <r>
    <x v="11"/>
    <s v="Harris"/>
    <s v="T35363"/>
    <n v="11292129"/>
    <s v="CMF-Facility A"/>
    <x v="10"/>
    <s v="SCE303416"/>
    <d v="2021-01-02T00:00:00"/>
    <d v="2019-06-26T00:00:00"/>
    <d v="2019-06-26T00:00:00"/>
    <d v="2019-07-29T00:00:00"/>
    <s v="Declined"/>
    <x v="27"/>
    <m/>
    <m/>
    <m/>
    <m/>
    <s v=""/>
    <s v=""/>
    <s v="Paroled 09/19/2020 issue moot"/>
    <d v="2020-11-05T00:00:00"/>
  </r>
  <r>
    <x v="7"/>
    <s v="Perez"/>
    <s v="T69223"/>
    <n v="1940270"/>
    <s v="SVSP-Facility A"/>
    <x v="14"/>
    <s v="SS012713"/>
    <d v="2024-10-15T00:00:00"/>
    <d v="2019-06-27T00:00:00"/>
    <d v="2019-07-11T00:00:00"/>
    <d v="2019-07-11T00:00:00"/>
    <s v="Declined"/>
    <x v="27"/>
    <m/>
    <m/>
    <m/>
    <m/>
    <s v=""/>
    <s v=""/>
    <m/>
    <m/>
  </r>
  <r>
    <x v="6"/>
    <s v="Hill"/>
    <s v="F57443"/>
    <n v="11583641"/>
    <s v="CMC-Facility C"/>
    <x v="30"/>
    <s v="CRF41810"/>
    <d v="2023-05-03T00:00:00"/>
    <d v="2018-04-23T00:00:00"/>
    <d v="2018-05-16T00:00:00"/>
    <d v="2018-05-16T00:00:00"/>
    <s v="Approved"/>
    <x v="7"/>
    <d v="2018-05-30T00:00:00"/>
    <d v="2018-05-24T00:00:00"/>
    <s v="No action - due to plea"/>
    <m/>
    <s v=""/>
    <s v=""/>
    <s v="stipulated &amp; case law"/>
    <d v="2018-05-30T00:00:00"/>
  </r>
  <r>
    <x v="6"/>
    <s v="Gonzales"/>
    <s v="F75027"/>
    <n v="11188934"/>
    <s v="RJD-Facility C"/>
    <x v="26"/>
    <s v="12F05591"/>
    <d v="2020-03-23T00:00:00"/>
    <d v="2018-05-23T00:00:00"/>
    <d v="2018-05-31T00:00:00"/>
    <d v="2018-06-12T00:00:00"/>
    <s v="Approved"/>
    <x v="14"/>
    <d v="2018-09-17T00:00:00"/>
    <d v="2018-08-31T00:00:00"/>
    <s v="No action - no reason specified"/>
    <m/>
    <s v=""/>
    <s v=""/>
    <m/>
    <d v="2018-09-17T00:00:00"/>
  </r>
  <r>
    <x v="2"/>
    <s v="Sanchez"/>
    <s v="AV1625"/>
    <n v="11240825"/>
    <s v="CRC-Facility B"/>
    <x v="0"/>
    <s v="PA079520-01"/>
    <d v="2022-06-14T00:00:00"/>
    <d v="2018-06-19T00:00:00"/>
    <d v="2018-06-19T00:00:00"/>
    <d v="2018-07-18T00:00:00"/>
    <s v="Approved"/>
    <x v="28"/>
    <d v="2018-08-06T00:00:00"/>
    <m/>
    <s v="No action - reason provided"/>
    <m/>
    <s v=""/>
    <s v=""/>
    <s v="The court did not impose more than one enhancement for the infliction of great bodily injury on the same conviction in the commission of a single offense."/>
    <d v="2018-08-20T00:00:00"/>
  </r>
  <r>
    <x v="2"/>
    <s v="Gutierrez"/>
    <s v="G49000"/>
    <n v="11640903"/>
    <s v="CRC-Facility D"/>
    <x v="8"/>
    <s v="INF059114"/>
    <d v="2020-08-17T00:00:00"/>
    <d v="2018-06-19T00:00:00"/>
    <d v="2018-06-19T00:00:00"/>
    <d v="2018-06-27T00:00:00"/>
    <s v="Approved"/>
    <x v="16"/>
    <d v="2018-10-01T00:00:00"/>
    <m/>
    <s v="No action - due to plea"/>
    <m/>
    <s v=""/>
    <s v=""/>
    <m/>
    <d v="2018-10-01T00:00:00"/>
  </r>
  <r>
    <x v="11"/>
    <s v="Katepa"/>
    <s v="AD7343"/>
    <n v="11344961"/>
    <s v="CMC-Facility C"/>
    <x v="11"/>
    <s v="VCF290631"/>
    <d v="2024-10-16T00:00:00"/>
    <d v="2019-06-27T00:00:00"/>
    <d v="2019-06-27T00:00:00"/>
    <d v="2019-09-04T00:00:00"/>
    <s v="Approved"/>
    <x v="98"/>
    <m/>
    <m/>
    <m/>
    <m/>
    <s v=""/>
    <s v=""/>
    <m/>
    <m/>
  </r>
  <r>
    <x v="11"/>
    <s v="Walker"/>
    <s v="AZ0580"/>
    <n v="11208436"/>
    <s v="CMC-Facility D"/>
    <x v="42"/>
    <n v="219308"/>
    <d v="2024-09-20T00:00:00"/>
    <d v="2019-06-27T00:00:00"/>
    <d v="2019-06-27T00:00:00"/>
    <d v="2019-09-04T00:00:00"/>
    <s v="Approved"/>
    <x v="98"/>
    <d v="2020-02-06T00:00:00"/>
    <d v="2020-02-06T00:00:00"/>
    <s v="Released"/>
    <n v="2313"/>
    <n v="6.3369863013698629"/>
    <n v="52337.169863013703"/>
    <s v="Court date 01/15/2020"/>
    <d v="2020-02-06T00:00:00"/>
  </r>
  <r>
    <x v="6"/>
    <s v="Boyd"/>
    <s v="AH5506"/>
    <n v="11368472"/>
    <s v="CMF-Facility A"/>
    <x v="1"/>
    <s v="FCR347279"/>
    <d v="2025-03-22T00:00:00"/>
    <d v="2020-01-24T00:00:00"/>
    <d v="2020-01-24T00:00:00"/>
    <d v="2020-01-29T00:00:00"/>
    <s v="Approved"/>
    <x v="158"/>
    <m/>
    <d v="2020-06-17T00:00:00"/>
    <s v="Pending Court (Date in Notes)"/>
    <m/>
    <s v=""/>
    <s v=""/>
    <s v="NCD - 06/17/2020"/>
    <m/>
  </r>
  <r>
    <x v="2"/>
    <s v="Jaime"/>
    <s v="AR6180"/>
    <n v="12103206"/>
    <s v="SATF-Facility C"/>
    <x v="13"/>
    <s v="SF16860D"/>
    <d v="2020-08-20T00:00:00"/>
    <d v="2018-09-05T00:00:00"/>
    <d v="2018-09-05T00:00:00"/>
    <d v="2018-09-26T00:00:00"/>
    <s v="Approved"/>
    <x v="46"/>
    <m/>
    <m/>
    <m/>
    <m/>
    <s v=""/>
    <s v=""/>
    <s v="Active Parole issue Moot per Judge Bush Kern County "/>
    <d v="2020-10-30T00:00:00"/>
  </r>
  <r>
    <x v="11"/>
    <s v="Howard"/>
    <s v="AM2464"/>
    <n v="11301819"/>
    <s v="RJD-Facility B"/>
    <x v="0"/>
    <s v="VA122177"/>
    <d v="2024-09-25T00:00:00"/>
    <d v="2019-06-27T00:00:00"/>
    <d v="2019-06-27T00:00:00"/>
    <d v="2019-09-04T00:00:00"/>
    <s v="Approved"/>
    <x v="98"/>
    <d v="2019-11-26T00:00:00"/>
    <d v="2019-11-13T00:00:00"/>
    <s v="No action - no reason specified"/>
    <m/>
    <s v=""/>
    <s v=""/>
    <m/>
    <m/>
  </r>
  <r>
    <x v="2"/>
    <s v="Rivas"/>
    <s v="AZ1328"/>
    <n v="12147373"/>
    <s v="SATF-Facility E"/>
    <x v="0"/>
    <s v="BA425421-01"/>
    <d v="2061-07-27T00:00:00"/>
    <d v="2018-07-12T00:00:00"/>
    <d v="2018-07-20T00:00:00"/>
    <d v="2018-08-01T00:00:00"/>
    <s v="Approved"/>
    <x v="38"/>
    <m/>
    <d v="2021-05-20T00:00:00"/>
    <s v="Pending Court (Date in Notes)"/>
    <m/>
    <s v=""/>
    <s v=""/>
    <s v="NCD - 06/25/2020"/>
    <m/>
  </r>
  <r>
    <x v="1"/>
    <s v="Chavira"/>
    <s v="AR5035"/>
    <n v="12102482"/>
    <s v="PVSP - Facility B"/>
    <x v="17"/>
    <s v="13F03617"/>
    <d v="2025-09-05T00:00:00"/>
    <d v="2020-10-15T00:00:00"/>
    <d v="2020-11-12T00:00:00"/>
    <d v="2020-11-13T00:00:00"/>
    <s v="Approved"/>
    <x v="159"/>
    <d v="2021-08-05T00:00:00"/>
    <d v="2021-07-22T00:00:00"/>
    <s v="No action - reason provided"/>
    <m/>
    <s v=""/>
    <s v=""/>
    <s v="not in the interest of Justice"/>
    <d v="2021-08-05T00:00:00"/>
  </r>
  <r>
    <x v="11"/>
    <s v="Johnson"/>
    <s v="AP3198"/>
    <n v="11916487"/>
    <s v="SVSP-Facility B"/>
    <x v="24"/>
    <n v="1449584"/>
    <d v="2021-03-29T00:00:00"/>
    <d v="2019-06-28T00:00:00"/>
    <d v="2019-06-28T00:00:00"/>
    <d v="2019-09-26T00:00:00"/>
    <s v="Declined"/>
    <x v="27"/>
    <m/>
    <m/>
    <m/>
    <m/>
    <s v=""/>
    <s v=""/>
    <m/>
    <m/>
  </r>
  <r>
    <x v="7"/>
    <s v="Pazmore"/>
    <s v="WA1563"/>
    <n v="11008816"/>
    <s v="CIW-Facility A"/>
    <x v="0"/>
    <s v="SA068793"/>
    <d v="2021-12-08T00:00:00"/>
    <d v="2019-07-03T00:00:00"/>
    <d v="2019-07-09T00:00:00"/>
    <d v="2019-07-09T00:00:00"/>
    <s v="Declined"/>
    <x v="27"/>
    <m/>
    <m/>
    <m/>
    <m/>
    <s v=""/>
    <s v=""/>
    <m/>
    <m/>
  </r>
  <r>
    <x v="2"/>
    <s v="Robles"/>
    <s v="V94227"/>
    <n v="12012731"/>
    <s v="VSP-Facility C"/>
    <x v="14"/>
    <s v="SS051476A"/>
    <d v="2024-01-23T00:00:00"/>
    <d v="2018-06-21T00:00:00"/>
    <d v="2018-06-21T00:00:00"/>
    <d v="2018-07-02T00:00:00"/>
    <s v="Approved"/>
    <x v="18"/>
    <d v="2018-10-20T00:00:00"/>
    <m/>
    <s v="No action - due to plea"/>
    <m/>
    <s v=""/>
    <s v=""/>
    <m/>
    <d v="2018-10-03T00:00:00"/>
  </r>
  <r>
    <x v="11"/>
    <s v="Bryant"/>
    <s v="AU2800"/>
    <n v="12118590"/>
    <s v="SVSP-Facility C"/>
    <x v="12"/>
    <s v="C1360701"/>
    <d v="2030-05-02T00:00:00"/>
    <d v="2019-07-03T00:00:00"/>
    <d v="2019-07-08T00:00:00"/>
    <d v="2019-09-04T00:00:00"/>
    <s v="Declined"/>
    <x v="27"/>
    <m/>
    <m/>
    <m/>
    <m/>
    <s v=""/>
    <s v=""/>
    <m/>
    <m/>
  </r>
  <r>
    <x v="11"/>
    <s v="Hernandez"/>
    <s v="AT2176"/>
    <n v="12112561"/>
    <s v="ASP-Facility A"/>
    <x v="11"/>
    <s v="VCF234736B"/>
    <d v="2030-01-23T00:00:00"/>
    <d v="2019-07-03T00:00:00"/>
    <d v="2019-07-08T00:00:00"/>
    <d v="2019-09-04T00:00:00"/>
    <s v="Approved"/>
    <x v="157"/>
    <m/>
    <m/>
    <m/>
    <m/>
    <s v=""/>
    <s v=""/>
    <m/>
    <m/>
  </r>
  <r>
    <x v="2"/>
    <s v="Madrigal"/>
    <s v="F09401"/>
    <n v="11554495"/>
    <s v="SATF-Facility C"/>
    <x v="11"/>
    <s v="VCF146315B"/>
    <d v="2025-04-18T00:00:00"/>
    <d v="2018-06-21T00:00:00"/>
    <d v="2018-06-21T00:00:00"/>
    <d v="2018-07-02T00:00:00"/>
    <s v="Approved"/>
    <x v="18"/>
    <d v="2018-09-28T00:00:00"/>
    <m/>
    <s v="No action - due to plea"/>
    <m/>
    <s v=""/>
    <s v=""/>
    <m/>
    <d v="2018-10-01T00:00:00"/>
  </r>
  <r>
    <x v="11"/>
    <s v="Wright"/>
    <s v="AT5414"/>
    <n v="12114481"/>
    <s v="RJD-Facility C"/>
    <x v="6"/>
    <s v="CRF133618"/>
    <d v="2030-01-04T00:00:00"/>
    <d v="2019-07-03T00:00:00"/>
    <d v="2019-07-08T00:00:00"/>
    <d v="2019-09-04T00:00:00"/>
    <s v="Declined"/>
    <x v="27"/>
    <m/>
    <m/>
    <m/>
    <m/>
    <s v=""/>
    <s v=""/>
    <m/>
    <m/>
  </r>
  <r>
    <x v="11"/>
    <s v="Aston"/>
    <s v="P54857"/>
    <n v="11875373"/>
    <s v="SATF-Facility G"/>
    <x v="10"/>
    <s v="SCD244270"/>
    <d v="2030-07-22T00:00:00"/>
    <d v="2019-07-03T00:00:00"/>
    <d v="2019-07-08T00:00:00"/>
    <d v="2019-09-04T00:00:00"/>
    <s v="Approved"/>
    <x v="121"/>
    <m/>
    <m/>
    <m/>
    <m/>
    <s v=""/>
    <s v=""/>
    <m/>
    <m/>
  </r>
  <r>
    <x v="11"/>
    <s v="Oceguera"/>
    <s v="G20151"/>
    <n v="11218513"/>
    <s v="CEN-Facility D"/>
    <x v="0"/>
    <s v="VA083120"/>
    <d v="2030-06-18T00:00:00"/>
    <d v="2019-07-03T00:00:00"/>
    <d v="2019-07-08T00:00:00"/>
    <d v="2019-09-04T00:00:00"/>
    <s v="Approved"/>
    <x v="121"/>
    <d v="2020-01-17T00:00:00"/>
    <d v="2020-01-07T00:00:00"/>
    <s v="No action - no reason specified"/>
    <m/>
    <s v=""/>
    <s v=""/>
    <m/>
    <d v="2020-01-17T00:00:00"/>
  </r>
  <r>
    <x v="11"/>
    <s v="Zurita"/>
    <s v="AM3988"/>
    <n v="11362421"/>
    <s v="KVSP-Facility  A"/>
    <x v="13"/>
    <s v="BF150131A"/>
    <d v="2030-04-27T00:00:00"/>
    <d v="2019-07-03T00:00:00"/>
    <d v="2019-07-08T00:00:00"/>
    <d v="2019-09-04T00:00:00"/>
    <s v="Declined"/>
    <x v="27"/>
    <m/>
    <m/>
    <m/>
    <m/>
    <s v=""/>
    <s v=""/>
    <m/>
    <m/>
  </r>
  <r>
    <x v="11"/>
    <s v="Williams"/>
    <s v="AR9229"/>
    <n v="11581952"/>
    <s v="ISP-Facility A"/>
    <x v="9"/>
    <s v="FSB1300161"/>
    <d v="2030-04-30T00:00:00"/>
    <d v="2019-07-03T00:00:00"/>
    <d v="2019-07-08T00:00:00"/>
    <d v="2019-09-04T00:00:00"/>
    <s v="Approved"/>
    <x v="121"/>
    <d v="2019-11-04T00:00:00"/>
    <d v="2019-09-30T00:00:00"/>
    <s v="Reduced"/>
    <n v="1460"/>
    <n v="4"/>
    <n v="33036"/>
    <m/>
    <d v="2019-11-13T00:00:00"/>
  </r>
  <r>
    <x v="1"/>
    <s v="Coleman"/>
    <s v="AF7685"/>
    <s v="00AF7685"/>
    <s v="CCI-Facility D"/>
    <x v="0"/>
    <s v="BA412608"/>
    <d v="2030-05-08T00:00:00"/>
    <d v="2019-01-09T00:00:00"/>
    <d v="2019-01-22T00:00:00"/>
    <d v="2019-01-23T00:00:00"/>
    <s v="Approved"/>
    <x v="106"/>
    <m/>
    <m/>
    <m/>
    <m/>
    <s v=""/>
    <s v=""/>
    <m/>
    <m/>
  </r>
  <r>
    <x v="7"/>
    <s v="Wilmore"/>
    <s v="X20061"/>
    <n v="10262297"/>
    <s v="CIW FAC A"/>
    <x v="0"/>
    <s v="GA069643"/>
    <d v="2027-01-16T00:00:00"/>
    <d v="2019-07-08T00:00:00"/>
    <d v="2019-07-10T00:00:00"/>
    <d v="2019-07-10T00:00:00"/>
    <s v="Approved"/>
    <x v="122"/>
    <d v="2020-01-10T00:00:00"/>
    <d v="2019-12-10T00:00:00"/>
    <s v="Released"/>
    <n v="4017.75"/>
    <n v="11.007534246575343"/>
    <n v="90911.225342465754"/>
    <s v="Released on 01/12/2020"/>
    <d v="2020-01-10T00:00:00"/>
  </r>
  <r>
    <x v="1"/>
    <s v="Coleman"/>
    <s v="WA9963"/>
    <n v="10259368"/>
    <s v="CCWF - Facility C"/>
    <x v="8"/>
    <s v="RIF10002980"/>
    <d v="2024-02-18T00:00:00"/>
    <d v="2020-06-17T00:00:00"/>
    <d v="2020-09-10T00:00:00"/>
    <d v="2020-09-14T00:00:00"/>
    <s v="Approved"/>
    <x v="71"/>
    <m/>
    <m/>
    <m/>
    <m/>
    <s v=""/>
    <s v=""/>
    <m/>
    <m/>
  </r>
  <r>
    <x v="1"/>
    <s v="Coogler"/>
    <s v="AK2127"/>
    <n v="11981162"/>
    <s v="VSP - Facility A"/>
    <x v="0"/>
    <s v="VA116629"/>
    <d v="2023-09-06T00:00:00"/>
    <d v="2020-10-28T00:00:00"/>
    <d v="2020-11-09T00:00:00"/>
    <d v="2020-11-09T00:00:00"/>
    <s v="Approved"/>
    <x v="160"/>
    <m/>
    <m/>
    <m/>
    <m/>
    <s v=""/>
    <s v=""/>
    <m/>
    <m/>
  </r>
  <r>
    <x v="7"/>
    <s v="Thomas"/>
    <s v="W51560"/>
    <n v="10247671"/>
    <s v="CCWF FAC D"/>
    <x v="40"/>
    <n v="1101530"/>
    <d v="2023-03-31T00:00:00"/>
    <d v="2019-06-25T00:00:00"/>
    <d v="2019-07-10T00:00:00"/>
    <d v="2019-07-11T00:00:00"/>
    <s v="Approved"/>
    <x v="122"/>
    <d v="2020-01-03T00:00:00"/>
    <d v="2019-12-11T00:00:00"/>
    <s v="Reduced"/>
    <n v="2191"/>
    <n v="6.0027397260273974"/>
    <n v="49576.627397260272"/>
    <s v="reduced by 6 years/released on 01/15/2020"/>
    <d v="2020-01-03T00:00:00"/>
  </r>
  <r>
    <x v="11"/>
    <s v="Mojica"/>
    <s v="T92734"/>
    <n v="1195773"/>
    <s v="KVSP-Facility D"/>
    <x v="0"/>
    <s v="BA411045"/>
    <d v="2031-04-24T00:00:00"/>
    <d v="2019-07-11T00:00:00"/>
    <d v="2019-07-15T00:00:00"/>
    <d v="2019-09-04T00:00:00"/>
    <s v="Declined"/>
    <x v="27"/>
    <m/>
    <m/>
    <m/>
    <m/>
    <s v=""/>
    <s v=""/>
    <m/>
    <m/>
  </r>
  <r>
    <x v="11"/>
    <s v="Santana"/>
    <s v="AX9456"/>
    <n v="11914770"/>
    <s v="CVSP-Facility D"/>
    <x v="8"/>
    <s v="RIF1411865"/>
    <d v="2030-05-19T00:00:00"/>
    <d v="2019-07-11T00:00:00"/>
    <d v="2019-07-15T00:00:00"/>
    <d v="2019-09-04T00:00:00"/>
    <s v="Approved"/>
    <x v="121"/>
    <d v="2019-09-27T00:00:00"/>
    <d v="2019-09-20T00:00:00"/>
    <s v="No action - reason provided"/>
    <m/>
    <s v=""/>
    <s v=""/>
    <m/>
    <d v="2019-09-27T00:00:00"/>
  </r>
  <r>
    <x v="11"/>
    <s v="Oneal"/>
    <s v="AS0432"/>
    <n v="11594731"/>
    <s v="CEN-Facility B"/>
    <x v="0"/>
    <s v="GA088571"/>
    <d v="2030-03-31T00:00:00"/>
    <d v="2019-07-11T00:00:00"/>
    <d v="2019-07-15T00:00:00"/>
    <d v="2019-09-04T00:00:00"/>
    <s v="Declined"/>
    <x v="27"/>
    <m/>
    <m/>
    <m/>
    <m/>
    <s v=""/>
    <s v=""/>
    <m/>
    <m/>
  </r>
  <r>
    <x v="11"/>
    <s v="Elshire"/>
    <s v="WE8838"/>
    <n v="10991477"/>
    <s v="CIW-Facility A"/>
    <x v="10"/>
    <s v="SCD248774"/>
    <d v="2030-10-22T00:00:00"/>
    <d v="2019-07-11T00:00:00"/>
    <d v="2019-07-15T00:00:00"/>
    <d v="2019-09-04T00:00:00"/>
    <s v="Approved"/>
    <x v="121"/>
    <m/>
    <m/>
    <m/>
    <m/>
    <s v=""/>
    <s v=""/>
    <m/>
    <m/>
  </r>
  <r>
    <x v="11"/>
    <s v="Lucas"/>
    <s v="T29390"/>
    <n v="11917895"/>
    <s v="SOL-Facility A"/>
    <x v="0"/>
    <s v="YA076170"/>
    <d v="2030-11-19T00:00:00"/>
    <d v="2019-07-11T00:00:00"/>
    <d v="2019-07-15T00:00:00"/>
    <d v="2019-09-04T00:00:00"/>
    <s v="Approved"/>
    <x v="121"/>
    <d v="2020-10-20T00:00:00"/>
    <d v="2020-09-10T00:00:00"/>
    <s v="Reduced"/>
    <n v="2126"/>
    <n v="5.8246575342465752"/>
    <n v="48105.846575342468"/>
    <m/>
    <d v="2020-11-06T00:00:00"/>
  </r>
  <r>
    <x v="1"/>
    <s v="Cook"/>
    <s v="AF1506"/>
    <n v="11353766"/>
    <s v="COCF-La Palma CC, Arizona "/>
    <x v="0"/>
    <s v="TA112952"/>
    <d v="2022-02-25T00:00:00"/>
    <d v="2019-01-09T00:00:00"/>
    <d v="2019-01-22T00:00:00"/>
    <d v="2019-01-23T00:00:00"/>
    <s v="Approved"/>
    <x v="106"/>
    <d v="2021-03-17T00:00:00"/>
    <d v="2019-03-08T00:00:00"/>
    <s v="No action - no reason specified"/>
    <m/>
    <s v=""/>
    <s v=""/>
    <m/>
    <d v="2021-03-17T00:00:00"/>
  </r>
  <r>
    <x v="11"/>
    <s v="Berry "/>
    <s v="AS8812"/>
    <n v="11152849"/>
    <s v="SATF-Facility G"/>
    <x v="0"/>
    <s v="BA413129"/>
    <d v="2031-01-13T00:00:00"/>
    <d v="2019-07-15T00:00:00"/>
    <d v="2019-07-15T00:00:00"/>
    <d v="2019-10-07T00:00:00"/>
    <s v="Approved"/>
    <x v="147"/>
    <d v="2020-10-26T00:00:00"/>
    <d v="2020-10-20T00:00:00"/>
    <s v="Reduced"/>
    <n v="3693"/>
    <n v="10.117808219178082"/>
    <n v="83562.978082191781"/>
    <s v="NCD - 04/21/2020"/>
    <d v="2020-10-26T00:00:00"/>
  </r>
  <r>
    <x v="11"/>
    <s v="Kaumblulu"/>
    <s v="AU5562"/>
    <n v="11610352"/>
    <s v="CMC-Facility B"/>
    <x v="18"/>
    <s v="5-130930"/>
    <d v="2031-01-08T00:00:00"/>
    <d v="2019-07-15T00:00:00"/>
    <d v="2019-07-15T00:00:00"/>
    <d v="2019-10-07T00:00:00"/>
    <s v="Approved"/>
    <x v="161"/>
    <d v="2020-04-10T00:00:00"/>
    <d v="2020-03-13T00:00:00"/>
    <s v="Reduced"/>
    <n v="1826.25"/>
    <n v="5.0034246575342465"/>
    <n v="41323.284246575342"/>
    <m/>
    <d v="2020-04-22T00:00:00"/>
  </r>
  <r>
    <x v="11"/>
    <s v="Edwards"/>
    <s v="AG7157"/>
    <n v="11069397"/>
    <s v="SOL-Facility C"/>
    <x v="9"/>
    <s v="FSB1002902"/>
    <d v="2031-03-18T00:00:00"/>
    <d v="2019-07-15T00:00:00"/>
    <d v="2019-07-15T00:00:00"/>
    <d v="2019-10-07T00:00:00"/>
    <s v="Approved"/>
    <x v="161"/>
    <m/>
    <m/>
    <m/>
    <m/>
    <s v=""/>
    <s v=""/>
    <m/>
    <m/>
  </r>
  <r>
    <x v="11"/>
    <s v="Washington"/>
    <s v="AG9466"/>
    <n v="1136721"/>
    <s v="COR-Facilty 03B"/>
    <x v="0"/>
    <s v="BA393136"/>
    <d v="2031-03-22T00:00:00"/>
    <d v="2019-07-15T00:00:00"/>
    <d v="2019-07-15T00:00:00"/>
    <d v="2019-10-07T00:00:00"/>
    <s v="Approved"/>
    <x v="147"/>
    <d v="2020-01-17T00:00:00"/>
    <d v="2020-01-03T00:00:00"/>
    <s v="Reduced"/>
    <n v="1826.25"/>
    <n v="5.0034246575342465"/>
    <n v="41323.284246575342"/>
    <s v="reduced by 5 years"/>
    <d v="2020-01-17T00:00:00"/>
  </r>
  <r>
    <x v="11"/>
    <s v="Smothers"/>
    <s v="AP5446"/>
    <n v="11149320"/>
    <s v="SQ-Facility A"/>
    <x v="21"/>
    <s v="STK-CR-2016-1265"/>
    <d v="2031-04-08T00:00:00"/>
    <d v="2019-07-15T00:00:00"/>
    <d v="2019-07-15T00:00:00"/>
    <d v="2019-10-07T00:00:00"/>
    <s v="Approved"/>
    <x v="161"/>
    <d v="2019-11-26T00:00:00"/>
    <d v="2019-11-05T00:00:00"/>
    <s v="No action - due to plea"/>
    <m/>
    <s v=""/>
    <s v=""/>
    <m/>
    <d v="2019-11-26T00:00:00"/>
  </r>
  <r>
    <x v="11"/>
    <s v="Jones"/>
    <s v="AT1445"/>
    <n v="11268951"/>
    <s v="VSP-Facility C"/>
    <x v="10"/>
    <s v="SCD250578"/>
    <d v="2030-12-06T00:00:00"/>
    <d v="2019-07-15T00:00:00"/>
    <d v="2019-07-15T00:00:00"/>
    <d v="2019-09-26T00:00:00"/>
    <s v="Approved"/>
    <x v="141"/>
    <m/>
    <m/>
    <m/>
    <m/>
    <s v=""/>
    <s v=""/>
    <m/>
    <m/>
  </r>
  <r>
    <x v="1"/>
    <s v="Cooper"/>
    <s v="H67964"/>
    <n v="11687908"/>
    <s v="CIM FAC C"/>
    <x v="0"/>
    <s v="GA03707701"/>
    <d v="2024-09-05T00:00:00"/>
    <d v="2019-08-07T00:00:00"/>
    <d v="2019-08-08T00:00:00"/>
    <d v="2019-08-16T00:00:00"/>
    <s v="Approved"/>
    <x v="162"/>
    <d v="2019-10-29T00:00:00"/>
    <d v="2019-10-17T00:00:00"/>
    <s v="No action - no reason specified"/>
    <m/>
    <s v=""/>
    <s v=""/>
    <m/>
    <d v="2019-10-29T00:00:00"/>
  </r>
  <r>
    <x v="11"/>
    <s v="Dancy"/>
    <s v="H79567"/>
    <n v="11088037"/>
    <s v="CTF-Facility C"/>
    <x v="0"/>
    <s v="GA080605"/>
    <d v="2023-03-16T00:00:00"/>
    <d v="2019-06-24T00:00:00"/>
    <d v="2019-06-24T00:00:00"/>
    <d v="2019-07-17T00:00:00"/>
    <s v="Approved"/>
    <x v="64"/>
    <m/>
    <m/>
    <m/>
    <m/>
    <s v=""/>
    <s v=""/>
    <s v="Paroled on 02/22/2020  - BPH NVPP"/>
    <m/>
  </r>
  <r>
    <x v="11"/>
    <s v="Matus"/>
    <s v="C26302"/>
    <n v="11083782"/>
    <s v="CIM-Facility A"/>
    <x v="0"/>
    <s v="LA070126"/>
    <d v="2026-01-08T00:00:00"/>
    <d v="2019-06-24T00:00:00"/>
    <d v="2019-06-24T00:00:00"/>
    <d v="2019-07-17T00:00:00"/>
    <s v="Approved"/>
    <x v="64"/>
    <m/>
    <m/>
    <m/>
    <m/>
    <s v=""/>
    <s v=""/>
    <m/>
    <m/>
  </r>
  <r>
    <x v="2"/>
    <s v="Vargas"/>
    <s v="AS9596"/>
    <n v="12111065"/>
    <s v="COR-Facility 03C"/>
    <x v="11"/>
    <s v="VCF263415"/>
    <d v="2024-04-04T00:00:00"/>
    <d v="2018-06-21T00:00:00"/>
    <d v="2018-06-21T00:00:00"/>
    <d v="2018-07-02T00:00:00"/>
    <s v="Approved"/>
    <x v="18"/>
    <d v="2018-11-14T00:00:00"/>
    <m/>
    <s v="No action - due to plea"/>
    <m/>
    <s v=""/>
    <s v=""/>
    <m/>
    <d v="2018-10-01T00:00:00"/>
  </r>
  <r>
    <x v="11"/>
    <s v="Turner"/>
    <s v="AI1254"/>
    <n v="11074063"/>
    <s v="FOL-Facility A"/>
    <x v="42"/>
    <n v="213935"/>
    <d v="2021-02-04T00:00:00"/>
    <d v="2019-06-24T00:00:00"/>
    <d v="2019-06-24T00:00:00"/>
    <d v="2019-07-17T00:00:00"/>
    <s v="Approved"/>
    <x v="64"/>
    <d v="2020-11-12T00:00:00"/>
    <d v="2020-11-06T00:00:00"/>
    <s v="Released"/>
    <n v="81"/>
    <n v="0.22191780821917809"/>
    <n v="1832.8191780821919"/>
    <s v="released 11/15/2020"/>
    <d v="2020-11-13T00:00:00"/>
  </r>
  <r>
    <x v="2"/>
    <s v="Nguyen"/>
    <s v="V11362"/>
    <n v="11964491"/>
    <s v="FOL-Facility A"/>
    <x v="12"/>
    <s v="CC247793"/>
    <d v="2024-10-31T00:00:00"/>
    <d v="2018-06-21T00:00:00"/>
    <d v="2018-06-21T00:00:00"/>
    <d v="2018-07-02T00:00:00"/>
    <s v="Approved"/>
    <x v="18"/>
    <d v="2018-08-29T00:00:00"/>
    <m/>
    <s v="No action - reason provided"/>
    <m/>
    <s v=""/>
    <s v=""/>
    <s v="also has an ISL / would be un-impactful"/>
    <d v="2018-09-10T00:00:00"/>
  </r>
  <r>
    <x v="11"/>
    <s v="Bailey"/>
    <s v="G02325"/>
    <n v="11088868"/>
    <s v="CMF-Facility B"/>
    <x v="20"/>
    <n v="152375"/>
    <d v="2029-04-21T00:00:00"/>
    <d v="2019-06-24T00:00:00"/>
    <d v="2019-06-24T00:00:00"/>
    <d v="2019-07-17T00:00:00"/>
    <s v="Approved"/>
    <x v="64"/>
    <d v="2020-01-31T00:00:00"/>
    <d v="2020-01-23T00:00:00"/>
    <s v="Reduced"/>
    <n v="1826"/>
    <n v="5.0027397260273974"/>
    <n v="41317.627397260272"/>
    <m/>
    <d v="2020-02-05T00:00:00"/>
  </r>
  <r>
    <x v="2"/>
    <s v="Pulido"/>
    <s v="G00653"/>
    <n v="11610441"/>
    <s v="CEN-Facility A"/>
    <x v="0"/>
    <s v="TA089691"/>
    <d v="2029-01-08T00:00:00"/>
    <d v="2018-06-22T00:00:00"/>
    <d v="2018-06-22T00:00:00"/>
    <d v="2018-07-11T00:00:00"/>
    <s v="Approved"/>
    <x v="19"/>
    <d v="2018-07-27T00:00:00"/>
    <m/>
    <s v="No action - due to plea"/>
    <m/>
    <s v=""/>
    <s v=""/>
    <m/>
    <d v="2018-09-05T00:00:00"/>
  </r>
  <r>
    <x v="11"/>
    <s v="Marquez"/>
    <s v="AH8925"/>
    <n v="11073349"/>
    <s v="DVI-MSF"/>
    <x v="12"/>
    <s v="C1357712"/>
    <d v="2021-08-31T00:00:00"/>
    <d v="2019-06-24T00:00:00"/>
    <d v="2019-06-24T00:00:00"/>
    <d v="2019-07-17T00:00:00"/>
    <s v="Approved"/>
    <x v="64"/>
    <d v="2019-10-16T00:00:00"/>
    <d v="2019-10-04T00:00:00"/>
    <s v="No action - due to plea"/>
    <m/>
    <s v=""/>
    <s v=""/>
    <m/>
    <d v="2019-10-16T00:00:00"/>
  </r>
  <r>
    <x v="7"/>
    <s v="Rayos"/>
    <s v="WA6616"/>
    <n v="11012024"/>
    <s v="CCWF FAC C"/>
    <x v="0"/>
    <s v="TA108801"/>
    <d v="2022-03-22T00:00:00"/>
    <d v="2019-05-17T00:00:00"/>
    <d v="2019-06-04T00:00:00"/>
    <d v="2019-06-06T00:00:00"/>
    <s v="Approved"/>
    <x v="57"/>
    <d v="2021-02-26T00:00:00"/>
    <d v="2020-09-25T00:00:00"/>
    <s v="No action - no reason specified"/>
    <m/>
    <s v=""/>
    <s v=""/>
    <m/>
    <d v="2021-02-26T00:00:00"/>
  </r>
  <r>
    <x v="11"/>
    <s v="Jennings"/>
    <s v="F09329"/>
    <n v="11193822"/>
    <s v="CRC-Facility A"/>
    <x v="0"/>
    <s v="TA080045"/>
    <d v="2024-11-18T00:00:00"/>
    <d v="2019-07-05T00:00:00"/>
    <d v="2019-07-08T00:00:00"/>
    <d v="2019-09-26T00:00:00"/>
    <s v="Declined"/>
    <x v="27"/>
    <m/>
    <m/>
    <m/>
    <m/>
    <s v=""/>
    <s v=""/>
    <m/>
    <m/>
  </r>
  <r>
    <x v="11"/>
    <s v="Guevara"/>
    <s v="AS2610"/>
    <n v="12107031"/>
    <s v="CRC-Facility A"/>
    <x v="40"/>
    <n v="1407328"/>
    <d v="2025-01-03T00:00:00"/>
    <d v="2019-07-05T00:00:00"/>
    <d v="2019-07-08T00:00:00"/>
    <d v="2019-09-26T00:00:00"/>
    <s v="Declined"/>
    <x v="27"/>
    <m/>
    <m/>
    <m/>
    <m/>
    <s v=""/>
    <s v=""/>
    <m/>
    <m/>
  </r>
  <r>
    <x v="11"/>
    <s v="Tobilla"/>
    <s v="AR8519"/>
    <n v="11867217"/>
    <s v="RJD-Facility E"/>
    <x v="0"/>
    <s v="BA385523"/>
    <d v="2024-12-22T00:00:00"/>
    <d v="2019-07-05T00:00:00"/>
    <d v="2019-07-08T00:00:00"/>
    <d v="2019-09-26T00:00:00"/>
    <s v="Approved"/>
    <x v="141"/>
    <m/>
    <m/>
    <m/>
    <m/>
    <s v=""/>
    <s v=""/>
    <m/>
    <m/>
  </r>
  <r>
    <x v="11"/>
    <s v="Cooper"/>
    <s v="G51326"/>
    <n v="11167596"/>
    <s v="SATF-Facility G"/>
    <x v="17"/>
    <s v="07F08075"/>
    <d v="2024-12-24T00:00:00"/>
    <d v="2019-07-05T00:00:00"/>
    <d v="2019-07-08T00:00:00"/>
    <d v="2019-09-26T00:00:00"/>
    <s v="Approved"/>
    <x v="148"/>
    <m/>
    <m/>
    <m/>
    <m/>
    <s v=""/>
    <s v=""/>
    <m/>
    <m/>
  </r>
  <r>
    <x v="11"/>
    <s v="Torres"/>
    <s v="T01879"/>
    <n v="11902507"/>
    <s v="CTF-Facility A"/>
    <x v="14"/>
    <s v="SS021235"/>
    <d v="2023-07-01T00:00:00"/>
    <d v="2019-12-05T00:00:00"/>
    <d v="2019-12-06T00:00:00"/>
    <d v="2020-02-14T00:00:00"/>
    <s v="Approved"/>
    <x v="163"/>
    <d v="2021-02-26T00:00:00"/>
    <d v="2020-08-06T00:00:00"/>
    <s v="Reduced"/>
    <n v="1826"/>
    <n v="5.0027397260273974"/>
    <n v="41317.627397260272"/>
    <s v="Reduced 5 years"/>
    <d v="2021-02-26T00:00:00"/>
  </r>
  <r>
    <x v="11"/>
    <s v="Vargas"/>
    <s v="AT9646"/>
    <n v="12116873"/>
    <s v="NKSP-Facility A"/>
    <x v="2"/>
    <s v="11CF3038"/>
    <d v="2025-01-30T00:00:00"/>
    <d v="2019-07-12T00:00:00"/>
    <d v="2019-07-15T00:00:00"/>
    <d v="2019-09-26T00:00:00"/>
    <s v="Approved"/>
    <x v="148"/>
    <m/>
    <m/>
    <m/>
    <m/>
    <s v=""/>
    <s v=""/>
    <m/>
    <m/>
  </r>
  <r>
    <x v="1"/>
    <s v="Gonzalez"/>
    <s v="AK9861"/>
    <n v="11279875"/>
    <s v="CAL-Facility D"/>
    <x v="2"/>
    <s v="11CF1475"/>
    <d v="2033-12-04T00:00:00"/>
    <d v="2018-08-31T00:00:00"/>
    <d v="2018-09-07T00:00:00"/>
    <d v="2018-09-07T00:00:00"/>
    <s v="Approved"/>
    <x v="43"/>
    <d v="2021-02-26T00:00:00"/>
    <d v="2020-07-17T00:00:00"/>
    <s v="No action - no reason specified"/>
    <m/>
    <s v=""/>
    <s v=""/>
    <s v="NCD - 05/29/2020 - Currently Out to Court"/>
    <d v="2021-02-26T00:00:00"/>
  </r>
  <r>
    <x v="11"/>
    <s v="Randle"/>
    <s v="V36431"/>
    <n v="11979084"/>
    <s v="CVSP-Facility D"/>
    <x v="0"/>
    <s v="BA417075"/>
    <d v="2025-02-21T00:00:00"/>
    <d v="2019-07-12T00:00:00"/>
    <d v="2019-07-15T00:00:00"/>
    <d v="2019-09-26T00:00:00"/>
    <s v="Approved"/>
    <x v="141"/>
    <m/>
    <m/>
    <m/>
    <m/>
    <s v=""/>
    <s v=""/>
    <m/>
    <m/>
  </r>
  <r>
    <x v="11"/>
    <s v="Willis"/>
    <s v="AM5206"/>
    <n v="11948514"/>
    <s v="CMC-Facility D"/>
    <x v="0"/>
    <s v="SA078622"/>
    <d v="2025-02-26T00:00:00"/>
    <d v="2019-07-12T00:00:00"/>
    <d v="2019-07-15T00:00:00"/>
    <d v="2019-09-26T00:00:00"/>
    <s v="Approved"/>
    <x v="141"/>
    <m/>
    <m/>
    <m/>
    <m/>
    <s v=""/>
    <s v=""/>
    <m/>
    <m/>
  </r>
  <r>
    <x v="11"/>
    <s v="Ayala"/>
    <s v="F69052"/>
    <n v="11590656"/>
    <s v="CRC-Facility A"/>
    <x v="19"/>
    <s v="12CM4065"/>
    <d v="2025-03-21T00:00:00"/>
    <d v="2019-07-12T00:00:00"/>
    <d v="2019-07-15T00:00:00"/>
    <d v="2019-09-26T00:00:00"/>
    <s v="Declined"/>
    <x v="27"/>
    <m/>
    <m/>
    <m/>
    <m/>
    <s v=""/>
    <s v=""/>
    <m/>
    <m/>
  </r>
  <r>
    <x v="11"/>
    <s v="Richmond"/>
    <s v="AT4011"/>
    <n v="11121725"/>
    <s v="PUMCCF-Taft"/>
    <x v="0"/>
    <s v="BA396888"/>
    <d v="2025-04-12T00:00:00"/>
    <d v="2019-07-12T00:00:00"/>
    <d v="2019-07-15T00:00:00"/>
    <d v="2019-09-26T00:00:00"/>
    <s v="Approved"/>
    <x v="141"/>
    <m/>
    <m/>
    <m/>
    <m/>
    <s v=""/>
    <s v=""/>
    <m/>
    <m/>
  </r>
  <r>
    <x v="2"/>
    <s v="Hernandez"/>
    <s v="BE9054"/>
    <n v="12182339"/>
    <s v="ISP-Facility D"/>
    <x v="0"/>
    <s v="BA453880-01"/>
    <d v="2025-05-07T00:00:00"/>
    <d v="2018-06-22T00:00:00"/>
    <d v="2018-06-22T00:00:00"/>
    <d v="2018-07-11T00:00:00"/>
    <s v="Approved"/>
    <x v="19"/>
    <d v="2018-11-14T00:00:00"/>
    <m/>
    <s v="No action - due to plea"/>
    <m/>
    <s v=""/>
    <s v=""/>
    <m/>
    <d v="2018-11-28T00:00:00"/>
  </r>
  <r>
    <x v="2"/>
    <s v="Hill"/>
    <s v="T38688"/>
    <n v="11923147"/>
    <s v="HDSP-Facility B"/>
    <x v="29"/>
    <s v="CR102256"/>
    <d v="2026-07-20T00:00:00"/>
    <d v="2018-06-22T00:00:00"/>
    <d v="2018-06-22T00:00:00"/>
    <d v="2018-07-11T00:00:00"/>
    <s v="Approved"/>
    <x v="19"/>
    <d v="2018-09-04T00:00:00"/>
    <m/>
    <s v="No action - due to plea"/>
    <m/>
    <s v=""/>
    <s v=""/>
    <m/>
    <d v="2018-09-10T00:00:00"/>
  </r>
  <r>
    <x v="11"/>
    <s v="Ramirez"/>
    <s v="AR2076"/>
    <n v="12013617"/>
    <s v="CIM-Facility D"/>
    <x v="2"/>
    <s v="13NF0638"/>
    <d v="2021-04-25T00:00:00"/>
    <d v="2019-07-03T00:00:00"/>
    <d v="2019-07-03T00:00:00"/>
    <d v="2019-09-26T00:00:00"/>
    <s v="Approved"/>
    <x v="141"/>
    <m/>
    <m/>
    <m/>
    <m/>
    <s v=""/>
    <s v=""/>
    <m/>
    <m/>
  </r>
  <r>
    <x v="11"/>
    <s v="Sumlin"/>
    <s v="G11649"/>
    <n v="11102901"/>
    <s v="CMC-Facility D"/>
    <x v="20"/>
    <n v="147149"/>
    <d v="2021-05-12T00:00:00"/>
    <d v="2019-07-16T00:00:00"/>
    <d v="2019-07-18T00:00:00"/>
    <d v="2019-10-07T00:00:00"/>
    <s v="Approved"/>
    <x v="150"/>
    <m/>
    <m/>
    <m/>
    <m/>
    <s v=""/>
    <s v=""/>
    <m/>
    <m/>
  </r>
  <r>
    <x v="2"/>
    <s v="Arredondo"/>
    <s v="AL8725"/>
    <n v="11298712"/>
    <s v="COR-STRH"/>
    <x v="11"/>
    <s v="VCF255912A"/>
    <d v="2028-01-12T00:00:00"/>
    <d v="2018-06-22T00:00:00"/>
    <d v="2018-06-22T00:00:00"/>
    <d v="2018-07-11T00:00:00"/>
    <s v="Approved"/>
    <x v="19"/>
    <d v="2018-09-04T00:00:00"/>
    <m/>
    <s v="No action - due to plea"/>
    <m/>
    <s v=""/>
    <s v=""/>
    <m/>
    <d v="2018-09-10T00:00:00"/>
  </r>
  <r>
    <x v="11"/>
    <s v="Whitaker"/>
    <s v="J21979"/>
    <n v="11734071"/>
    <s v="SOL-Facility B"/>
    <x v="0"/>
    <s v="BA141904"/>
    <d v="2021-06-25T00:00:00"/>
    <d v="2019-07-16T00:00:00"/>
    <d v="2019-07-18T00:00:00"/>
    <d v="2019-10-07T00:00:00"/>
    <s v="Approved"/>
    <x v="151"/>
    <m/>
    <m/>
    <m/>
    <m/>
    <s v=""/>
    <s v=""/>
    <m/>
    <m/>
  </r>
  <r>
    <x v="11"/>
    <s v="Pitts"/>
    <s v="AH6934"/>
    <n v="11369391"/>
    <s v="CMC-Facility D"/>
    <x v="10"/>
    <s v="SCD249489"/>
    <d v="2021-05-06T00:00:00"/>
    <d v="2019-07-16T00:00:00"/>
    <d v="2019-07-18T00:00:00"/>
    <d v="2019-10-07T00:00:00"/>
    <s v="Approved"/>
    <x v="150"/>
    <d v="2020-01-15T00:00:00"/>
    <d v="2019-11-06T00:00:00"/>
    <s v="No action - no reason specified"/>
    <m/>
    <s v=""/>
    <s v=""/>
    <m/>
    <d v="2020-03-04T00:00:00"/>
  </r>
  <r>
    <x v="11"/>
    <s v="Packard"/>
    <s v="AS9853"/>
    <n v="12111240"/>
    <s v="RJD-Facility"/>
    <x v="10"/>
    <s v="SCD252490"/>
    <d v="2021-06-17T00:00:00"/>
    <d v="2019-07-16T00:00:00"/>
    <d v="2019-07-18T00:00:00"/>
    <d v="2019-10-07T00:00:00"/>
    <s v="Approved"/>
    <x v="150"/>
    <d v="2019-11-26T00:00:00"/>
    <d v="2019-11-12T00:00:00"/>
    <s v="No action - reason provided"/>
    <m/>
    <s v=""/>
    <s v=""/>
    <m/>
    <d v="2019-11-26T00:00:00"/>
  </r>
  <r>
    <x v="11"/>
    <s v="Williams"/>
    <s v="AR0611"/>
    <n v="12099832"/>
    <s v="SOL-Facility D"/>
    <x v="0"/>
    <s v="YA087518"/>
    <d v="2021-07-21T00:00:00"/>
    <d v="2019-07-16T00:00:00"/>
    <d v="2019-07-18T00:00:00"/>
    <d v="2019-10-07T00:00:00"/>
    <s v="Approved"/>
    <x v="150"/>
    <d v="2020-02-28T00:00:00"/>
    <d v="2020-02-24T00:00:00"/>
    <s v="Released"/>
    <n v="1826.25"/>
    <n v="5.0034246575342465"/>
    <n v="41323.284246575342"/>
    <s v="Released on 03/08/2020"/>
    <d v="2020-03-04T00:00:00"/>
  </r>
  <r>
    <x v="1"/>
    <s v="Corona"/>
    <s v="AK7592"/>
    <n v="11278282"/>
    <s v="CCC - Facility C"/>
    <x v="12"/>
    <s v="CC816687"/>
    <d v="2024-04-24T00:00:00"/>
    <d v="2021-03-01T00:00:00"/>
    <d v="2021-03-12T00:00:00"/>
    <d v="2021-03-16T00:00:00"/>
    <s v="Approved"/>
    <x v="119"/>
    <m/>
    <m/>
    <m/>
    <m/>
    <s v=""/>
    <s v=""/>
    <m/>
    <m/>
  </r>
  <r>
    <x v="11"/>
    <s v="Alvarez"/>
    <s v="P97270"/>
    <n v="11059846"/>
    <s v="RJD-Facility D"/>
    <x v="2"/>
    <s v="09WF0174"/>
    <d v="2025-01-06T00:00:00"/>
    <d v="2019-07-22T00:00:00"/>
    <d v="2019-07-24T00:00:00"/>
    <d v="2019-09-24T00:00:00"/>
    <s v="Approved"/>
    <x v="148"/>
    <m/>
    <m/>
    <m/>
    <m/>
    <s v=""/>
    <s v=""/>
    <m/>
    <m/>
  </r>
  <r>
    <x v="11"/>
    <s v="Alvarez"/>
    <s v="P97270"/>
    <n v="11059846"/>
    <s v="RJD-Facility B"/>
    <x v="0"/>
    <s v="NA082731"/>
    <d v="2025-01-06T00:00:00"/>
    <d v="2019-07-22T00:00:00"/>
    <d v="2019-07-24T00:00:00"/>
    <d v="2019-09-24T00:00:00"/>
    <s v="Approved"/>
    <x v="141"/>
    <m/>
    <m/>
    <m/>
    <m/>
    <s v=""/>
    <s v=""/>
    <m/>
    <m/>
  </r>
  <r>
    <x v="11"/>
    <s v="Hudson"/>
    <s v="AR3565"/>
    <n v="11139741"/>
    <s v="SOL-Facility D"/>
    <x v="18"/>
    <n v="51220391"/>
    <d v="2025-04-25T00:00:00"/>
    <d v="2019-07-22T00:00:00"/>
    <d v="2019-07-24T00:00:00"/>
    <d v="2019-09-24T00:00:00"/>
    <s v="Approved"/>
    <x v="148"/>
    <m/>
    <m/>
    <m/>
    <m/>
    <s v=""/>
    <s v=""/>
    <m/>
    <m/>
  </r>
  <r>
    <x v="11"/>
    <s v="Lizarraga"/>
    <s v="F43290"/>
    <n v="11197744"/>
    <s v="CAC-Facility C"/>
    <x v="10"/>
    <s v="SCD217357"/>
    <d v="2025-01-15T00:00:00"/>
    <d v="2019-07-22T00:00:00"/>
    <d v="2019-07-24T00:00:00"/>
    <d v="2019-09-24T00:00:00"/>
    <s v="Approved"/>
    <x v="148"/>
    <m/>
    <m/>
    <m/>
    <m/>
    <s v=""/>
    <s v=""/>
    <m/>
    <m/>
  </r>
  <r>
    <x v="2"/>
    <s v="Martin"/>
    <s v="P09030"/>
    <n v="11850304"/>
    <s v="HDSP-STRH"/>
    <x v="10"/>
    <s v="SCN129999"/>
    <d v="2076-12-03T00:00:00"/>
    <d v="2018-07-12T00:00:00"/>
    <d v="2018-07-12T00:00:00"/>
    <d v="2018-07-25T00:00:00"/>
    <s v="Approved"/>
    <x v="40"/>
    <d v="2018-09-25T00:00:00"/>
    <m/>
    <s v="No action - due to plea"/>
    <m/>
    <s v=""/>
    <s v=""/>
    <s v="Defendant can come to SD and contest himself?"/>
    <d v="2018-10-01T00:00:00"/>
  </r>
  <r>
    <x v="2"/>
    <s v="Molina"/>
    <s v="G33423"/>
    <n v="11630856"/>
    <s v="SAC-Facility B"/>
    <x v="0"/>
    <s v="PA059233"/>
    <d v="2089-03-13T00:00:00"/>
    <d v="2018-07-12T00:00:00"/>
    <d v="2018-07-12T00:00:00"/>
    <d v="2018-07-25T00:00:00"/>
    <s v="Approved"/>
    <x v="40"/>
    <d v="2018-09-24T00:00:00"/>
    <m/>
    <s v="No action - reason provided"/>
    <m/>
    <s v=""/>
    <s v=""/>
    <s v="Gonzalez does not apply"/>
    <d v="2018-10-01T00:00:00"/>
  </r>
  <r>
    <x v="11"/>
    <s v="Sweeney"/>
    <s v="AM5135"/>
    <n v="11099953"/>
    <s v="ASP-Facility F"/>
    <x v="0"/>
    <s v="PA073241"/>
    <d v="2025-05-15T00:00:00"/>
    <d v="2019-07-22T00:00:00"/>
    <d v="2019-07-24T00:00:00"/>
    <d v="2019-09-24T00:00:00"/>
    <s v="Approved"/>
    <x v="141"/>
    <d v="2019-12-11T00:00:00"/>
    <d v="2019-12-03T00:00:00"/>
    <s v="No action - no reason specified"/>
    <m/>
    <s v=""/>
    <s v=""/>
    <m/>
    <d v="2019-12-11T00:00:00"/>
  </r>
  <r>
    <x v="11"/>
    <s v="Smith"/>
    <s v="AX1909"/>
    <n v="11209281"/>
    <s v="COR-Facility 03A"/>
    <x v="9"/>
    <s v="FVI1300638"/>
    <d v="2025-04-21T00:00:00"/>
    <d v="2019-07-22T00:00:00"/>
    <d v="2019-07-24T00:00:00"/>
    <d v="2019-09-24T00:00:00"/>
    <s v="Approved"/>
    <x v="148"/>
    <d v="2020-01-06T00:00:00"/>
    <d v="2019-12-12T00:00:00"/>
    <s v="No action - reason provided"/>
    <m/>
    <s v=""/>
    <s v=""/>
    <m/>
    <d v="2020-01-06T00:00:00"/>
  </r>
  <r>
    <x v="11"/>
    <s v="Childers"/>
    <s v="AN7569"/>
    <n v="11921198"/>
    <s v="CHCF-Facility A"/>
    <x v="10"/>
    <s v="SCD231261"/>
    <d v="2025-05-23T00:00:00"/>
    <d v="2019-07-22T00:00:00"/>
    <d v="2019-07-24T00:00:00"/>
    <d v="2019-09-24T00:00:00"/>
    <s v="Approved"/>
    <x v="148"/>
    <m/>
    <m/>
    <m/>
    <m/>
    <s v=""/>
    <s v=""/>
    <m/>
    <m/>
  </r>
  <r>
    <x v="11"/>
    <s v="Thomas"/>
    <s v="AN9005"/>
    <n v="11612184"/>
    <s v="CMC-Facility G"/>
    <x v="10"/>
    <s v="SCD241793"/>
    <d v="2022-09-12T00:00:00"/>
    <d v="2019-11-15T00:00:00"/>
    <d v="2019-11-19T00:00:00"/>
    <d v="2020-01-06T00:00:00"/>
    <s v="Approved"/>
    <x v="143"/>
    <d v="2020-02-19T00:00:00"/>
    <d v="2020-01-29T00:00:00"/>
    <s v="No action - no reason specified"/>
    <m/>
    <s v=""/>
    <s v=""/>
    <m/>
    <d v="2020-04-10T00:00:00"/>
  </r>
  <r>
    <x v="1"/>
    <s v="Cortez"/>
    <s v="AM0573"/>
    <n v="11557386"/>
    <s v="CIM FAC D"/>
    <x v="2"/>
    <s v="11CF2712"/>
    <d v="2021-02-26T00:00:00"/>
    <d v="2019-07-16T00:00:00"/>
    <d v="2019-07-18T00:00:00"/>
    <d v="2019-07-19T00:00:00"/>
    <s v="Approved"/>
    <x v="164"/>
    <d v="2020-06-26T00:00:00"/>
    <d v="2020-06-25T00:00:00"/>
    <s v="Reduced"/>
    <n v="2556"/>
    <n v="7.0027397260273974"/>
    <n v="57835.627397260272"/>
    <s v="Reduced by 7 years. Term restructured"/>
    <d v="2020-06-26T00:00:00"/>
  </r>
  <r>
    <x v="1"/>
    <s v="Cortez"/>
    <s v="AU2424"/>
    <n v="11652404"/>
    <s v="ASP -Facility E"/>
    <x v="0"/>
    <s v="VA130706"/>
    <d v="2032-08-18T00:00:00"/>
    <d v="2020-09-22T00:00:00"/>
    <d v="2020-09-23T00:00:00"/>
    <d v="2020-09-25T00:00:00"/>
    <s v="Approved"/>
    <x v="134"/>
    <m/>
    <m/>
    <m/>
    <m/>
    <s v=""/>
    <s v=""/>
    <m/>
    <m/>
  </r>
  <r>
    <x v="7"/>
    <s v="Bun"/>
    <s v="K91753"/>
    <n v="11823485"/>
    <s v="SQ FAC A"/>
    <x v="2"/>
    <s v="97NF1524  CH025583"/>
    <d v="2041-06-29T00:00:00"/>
    <d v="2019-07-25T00:00:00"/>
    <d v="2019-07-25T00:00:00"/>
    <d v="2019-08-06T00:00:00"/>
    <s v="Declined"/>
    <x v="27"/>
    <m/>
    <m/>
    <m/>
    <m/>
    <s v=""/>
    <s v=""/>
    <m/>
    <m/>
  </r>
  <r>
    <x v="7"/>
    <s v="Alvarado"/>
    <s v="T88883"/>
    <n v="11951601"/>
    <s v="CTF-Facility D"/>
    <x v="2"/>
    <s v=" 01NF1889"/>
    <d v="2024-01-19T00:00:00"/>
    <d v="2019-02-06T00:00:00"/>
    <d v="2019-02-20T00:00:00"/>
    <d v="2019-02-20T00:00:00"/>
    <s v="Approved"/>
    <x v="81"/>
    <d v="2019-10-22T00:00:00"/>
    <d v="2019-10-11T00:00:00"/>
    <s v="Released"/>
    <n v="2922"/>
    <n v="8.0054794520547947"/>
    <n v="66117.254794520544"/>
    <s v="released 10/29/2019"/>
    <d v="2019-10-23T00:00:00"/>
  </r>
  <r>
    <x v="11"/>
    <s v="Oneal"/>
    <s v="AT7838"/>
    <n v="11169172"/>
    <s v="FOL-MSF"/>
    <x v="20"/>
    <n v="171505"/>
    <d v="2021-08-04T00:00:00"/>
    <d v="2019-07-16T00:00:00"/>
    <d v="2019-07-18T00:00:00"/>
    <d v="2019-10-07T00:00:00"/>
    <s v="Approved"/>
    <x v="150"/>
    <d v="2020-02-25T00:00:00"/>
    <d v="2020-01-30T00:00:00"/>
    <s v="No action - no reason specified"/>
    <m/>
    <s v=""/>
    <s v=""/>
    <m/>
    <d v="2020-02-26T00:00:00"/>
  </r>
  <r>
    <x v="11"/>
    <s v="Johnson"/>
    <s v="T45085"/>
    <n v="11089606"/>
    <s v="CMC-Facility G"/>
    <x v="10"/>
    <s v="SCD162364"/>
    <d v="2021-10-05T00:00:00"/>
    <d v="2019-07-25T00:00:00"/>
    <d v="2019-07-25T00:00:00"/>
    <d v="2019-10-07T00:00:00"/>
    <s v="Approved"/>
    <x v="150"/>
    <d v="2020-03-03T00:00:00"/>
    <d v="2020-02-26T00:00:00"/>
    <s v="Released"/>
    <n v="1826.25"/>
    <n v="5.0034246575342465"/>
    <n v="41323.284246575342"/>
    <s v="released on 03/09/2020"/>
    <d v="2020-03-04T00:00:00"/>
  </r>
  <r>
    <x v="11"/>
    <s v="Bryant"/>
    <s v="E65222"/>
    <n v="11531267"/>
    <s v="CIM-Facility C"/>
    <x v="0"/>
    <s v="BA248242"/>
    <d v="2053-06-08T00:00:00"/>
    <d v="2019-01-18T00:00:00"/>
    <d v="2019-12-05T00:00:00"/>
    <d v="2020-01-09T00:00:00"/>
    <s v="Approved"/>
    <x v="76"/>
    <d v="2021-04-16T00:00:00"/>
    <d v="2020-06-29T00:00:00"/>
    <s v="No reduction - AOJ corrected"/>
    <m/>
    <s v=""/>
    <s v=""/>
    <s v="Term restructured"/>
    <d v="2021-04-16T00:00:00"/>
  </r>
  <r>
    <x v="11"/>
    <s v="Myers"/>
    <s v="F98738"/>
    <n v="11213873"/>
    <s v="SATF-Facility B"/>
    <x v="10"/>
    <s v="SCE292865"/>
    <d v="2021-09-12T00:00:00"/>
    <d v="2019-07-25T00:00:00"/>
    <d v="2019-07-25T00:00:00"/>
    <d v="2019-10-07T00:00:00"/>
    <s v="Approved"/>
    <x v="150"/>
    <m/>
    <m/>
    <m/>
    <m/>
    <s v=""/>
    <s v=""/>
    <m/>
    <m/>
  </r>
  <r>
    <x v="7"/>
    <s v="Trillo"/>
    <s v="T43543"/>
    <n v="11925831"/>
    <s v="VSP-Facility C1-13-3L"/>
    <x v="17"/>
    <s v="00F06442"/>
    <d v="2036-05-25T00:00:00"/>
    <d v="2019-02-12T00:00:00"/>
    <d v="2019-02-20T00:00:00"/>
    <d v="2019-02-20T00:00:00"/>
    <s v="Approved"/>
    <x v="81"/>
    <d v="2019-11-22T00:00:00"/>
    <d v="2019-11-15T00:00:00"/>
    <s v="Reduced"/>
    <n v="5478"/>
    <n v="15.008219178082191"/>
    <n v="123952.88219178082"/>
    <d v="2019-11-15T00:00:00"/>
    <d v="2019-12-05T00:00:00"/>
  </r>
  <r>
    <x v="5"/>
    <s v="Torres"/>
    <s v="AL5214"/>
    <n v="11296836"/>
    <s v="PBSP-Facility A"/>
    <x v="12"/>
    <s v="CC960248"/>
    <d v="2036-04-08T00:00:00"/>
    <d v="2018-07-18T00:00:00"/>
    <d v="2018-07-20T00:00:00"/>
    <d v="2018-08-01T00:00:00"/>
    <s v="Approved"/>
    <x v="38"/>
    <d v="2018-09-25T00:00:00"/>
    <m/>
    <s v="No action - reason provided"/>
    <m/>
    <s v=""/>
    <s v=""/>
    <s v="Concurrent and moot"/>
    <d v="2018-10-01T00:00:00"/>
  </r>
  <r>
    <x v="11"/>
    <s v="Everett"/>
    <s v="AW3741"/>
    <n v="11965499"/>
    <s v="RJD-Facility A"/>
    <x v="0"/>
    <s v="YA084595"/>
    <d v="2031-03-15T00:00:00"/>
    <d v="2019-07-22T00:00:00"/>
    <d v="2019-07-29T00:00:00"/>
    <d v="2019-10-07T00:00:00"/>
    <s v="Approved"/>
    <x v="147"/>
    <m/>
    <m/>
    <m/>
    <m/>
    <s v=""/>
    <s v=""/>
    <m/>
    <m/>
  </r>
  <r>
    <x v="11"/>
    <s v="Garcia"/>
    <s v="V81149"/>
    <n v="12005636"/>
    <s v="MCSP-Facility D"/>
    <x v="15"/>
    <n v="2009036676"/>
    <d v="2021-08-11T00:00:00"/>
    <d v="2019-07-25T00:00:00"/>
    <d v="2019-07-25T00:00:00"/>
    <d v="2019-10-07T00:00:00"/>
    <s v="Approved"/>
    <x v="150"/>
    <d v="2020-11-18T00:00:00"/>
    <d v="2020-11-02T00:00:00"/>
    <s v="No action - no reason specified"/>
    <m/>
    <s v=""/>
    <s v=""/>
    <m/>
    <d v="2020-11-18T00:00:00"/>
  </r>
  <r>
    <x v="11"/>
    <s v="Jones"/>
    <s v="AE6092"/>
    <n v="11350377"/>
    <s v="CMC-Faciity C"/>
    <x v="13"/>
    <s v="BF1476799C"/>
    <d v="2031-10-11T00:00:00"/>
    <d v="2019-07-22T00:00:00"/>
    <d v="2019-07-29T00:00:00"/>
    <d v="2019-10-07T00:00:00"/>
    <s v="Approved"/>
    <x v="161"/>
    <d v="2020-10-29T00:00:00"/>
    <d v="2019-10-31T00:00:00"/>
    <s v="No action - no reason specified"/>
    <m/>
    <s v=""/>
    <s v=""/>
    <m/>
    <d v="2020-10-30T00:00:00"/>
  </r>
  <r>
    <x v="1"/>
    <s v="Cruz"/>
    <s v="AS5988"/>
    <n v="11954042"/>
    <s v="FOL Facility A"/>
    <x v="0"/>
    <s v="VA122923"/>
    <d v="2023-10-03T00:00:00"/>
    <d v="2019-10-23T00:00:00"/>
    <d v="2019-11-13T00:00:00"/>
    <d v="2019-11-14T00:00:00"/>
    <s v="Approved"/>
    <x v="96"/>
    <d v="2020-01-28T00:00:00"/>
    <d v="2019-12-27T00:00:00"/>
    <s v="No action - no reason specified"/>
    <m/>
    <s v=""/>
    <s v=""/>
    <m/>
    <d v="2020-01-27T00:00:00"/>
  </r>
  <r>
    <x v="1"/>
    <s v="Rivas"/>
    <s v="AU0449"/>
    <n v="11352473"/>
    <s v="LAC-Facility A"/>
    <x v="2"/>
    <s v="12NF1089"/>
    <d v="2030-07-18T00:00:00"/>
    <d v="2018-12-20T00:00:00"/>
    <d v="2018-12-21T00:00:00"/>
    <d v="2018-12-21T00:00:00"/>
    <s v="Approved"/>
    <x v="62"/>
    <d v="2019-10-24T00:00:00"/>
    <d v="2019-09-06T00:00:00"/>
    <s v="Reduced"/>
    <n v="3652"/>
    <n v="10.005479452054795"/>
    <n v="82635.254794520544"/>
    <m/>
    <d v="2019-10-24T00:00:00"/>
  </r>
  <r>
    <x v="11"/>
    <s v="Keller"/>
    <s v="AP4297"/>
    <n v="11639010"/>
    <s v="CIM-Facility B"/>
    <x v="10"/>
    <s v="SCD264642"/>
    <d v="2031-04-26T00:00:00"/>
    <d v="2019-07-22T00:00:00"/>
    <d v="2019-07-29T00:00:00"/>
    <d v="2019-10-07T00:00:00"/>
    <s v="Approved"/>
    <x v="150"/>
    <d v="2019-12-03T00:00:00"/>
    <d v="2019-11-22T00:00:00"/>
    <s v="No action - no reason specified"/>
    <m/>
    <s v=""/>
    <s v=""/>
    <m/>
    <d v="2020-03-09T00:00:00"/>
  </r>
  <r>
    <x v="11"/>
    <s v="Garcia"/>
    <s v="AF3729"/>
    <n v="11355092"/>
    <s v="CMC-Facility G"/>
    <x v="0"/>
    <s v="BA363319"/>
    <d v="2031-09-24T00:00:00"/>
    <d v="2019-07-29T00:00:00"/>
    <d v="2019-08-02T00:00:00"/>
    <d v="2019-09-04T00:00:00"/>
    <s v="Declined"/>
    <x v="27"/>
    <m/>
    <m/>
    <m/>
    <m/>
    <s v=""/>
    <s v=""/>
    <m/>
    <m/>
  </r>
  <r>
    <x v="11"/>
    <s v="Williams"/>
    <s v="AT2670"/>
    <n v="11962998"/>
    <s v="CVSP-Facility C"/>
    <x v="13"/>
    <s v="BF1151132B"/>
    <d v="2031-10-06T00:00:00"/>
    <d v="2019-07-29T00:00:00"/>
    <d v="2019-08-02T00:00:00"/>
    <d v="2019-09-04T00:00:00"/>
    <s v="Declined"/>
    <x v="27"/>
    <m/>
    <m/>
    <m/>
    <m/>
    <s v=""/>
    <s v=""/>
    <m/>
    <m/>
  </r>
  <r>
    <x v="11"/>
    <s v="Howell"/>
    <s v="AS5253"/>
    <n v="11276659"/>
    <s v="SOL-Facility A"/>
    <x v="12"/>
    <s v="C1241247"/>
    <d v="2032-03-06T00:00:00"/>
    <d v="2019-07-29T00:00:00"/>
    <d v="2019-08-02T00:00:00"/>
    <d v="2019-09-04T00:00:00"/>
    <s v="Approved"/>
    <x v="121"/>
    <d v="2020-02-06T00:00:00"/>
    <d v="2020-01-24T00:00:00"/>
    <s v="No action - reason provided"/>
    <m/>
    <s v=""/>
    <s v=""/>
    <m/>
    <d v="2020-02-07T00:00:00"/>
  </r>
  <r>
    <x v="11"/>
    <s v="Mendietta"/>
    <s v="AR4524"/>
    <n v="12102235"/>
    <s v="ASP-Facility B"/>
    <x v="3"/>
    <s v="F12909409"/>
    <d v="2032-03-19T00:00:00"/>
    <d v="2019-07-29T00:00:00"/>
    <d v="2019-08-02T00:00:00"/>
    <d v="2019-09-04T00:00:00"/>
    <s v="Approved"/>
    <x v="141"/>
    <m/>
    <m/>
    <m/>
    <m/>
    <s v=""/>
    <s v=""/>
    <m/>
    <m/>
  </r>
  <r>
    <x v="11"/>
    <s v="Ramirez"/>
    <s v="AH3359"/>
    <n v="11367120"/>
    <s v="HDSP-Facility B"/>
    <x v="0"/>
    <s v="VA111786"/>
    <d v="2032-09-01T00:00:00"/>
    <d v="2019-07-29T00:00:00"/>
    <d v="2019-08-02T00:00:00"/>
    <d v="2019-09-04T00:00:00"/>
    <s v="Approved"/>
    <x v="121"/>
    <d v="2020-01-15T00:00:00"/>
    <d v="2019-10-30T00:00:00"/>
    <s v="No action - reason provided"/>
    <m/>
    <s v=""/>
    <s v=""/>
    <m/>
    <d v="2020-01-15T00:00:00"/>
  </r>
  <r>
    <x v="11"/>
    <s v="Gibbs"/>
    <s v="AM6456"/>
    <n v="11500195"/>
    <s v="CMC-Facility F"/>
    <x v="10"/>
    <s v="SCD240904"/>
    <d v="2032-09-29T00:00:00"/>
    <d v="2019-07-29T00:00:00"/>
    <d v="2019-08-02T00:00:00"/>
    <d v="2019-09-04T00:00:00"/>
    <s v="Approved"/>
    <x v="121"/>
    <d v="2019-10-30T00:00:00"/>
    <d v="2019-10-10T00:00:00"/>
    <s v="No action - no reason specified"/>
    <m/>
    <s v=""/>
    <s v=""/>
    <m/>
    <d v="2020-03-09T00:00:00"/>
  </r>
  <r>
    <x v="11"/>
    <s v="Garcia"/>
    <s v="T45522"/>
    <n v="11926941"/>
    <s v="PVSP-Facility D"/>
    <x v="0"/>
    <s v="LA073433"/>
    <d v="2025-07-03T00:00:00"/>
    <d v="2019-07-26T00:00:00"/>
    <d v="2019-07-31T00:00:00"/>
    <d v="2019-10-07T00:00:00"/>
    <s v="Approved"/>
    <x v="152"/>
    <d v="2020-01-13T00:00:00"/>
    <d v="2019-10-21T00:00:00"/>
    <s v="No action - reason provided"/>
    <m/>
    <s v=""/>
    <s v=""/>
    <s v="Plea Bargain"/>
    <d v="2020-01-13T00:00:00"/>
  </r>
  <r>
    <x v="11"/>
    <s v="Dellaripa"/>
    <s v="AL6737"/>
    <n v="11137780"/>
    <s v="CMC-Facility D"/>
    <x v="0"/>
    <s v="GA084064"/>
    <d v="2025-06-11T00:00:00"/>
    <d v="2019-07-26T00:00:00"/>
    <d v="2019-07-31T00:00:00"/>
    <d v="2019-10-07T00:00:00"/>
    <s v="Approved"/>
    <x v="152"/>
    <d v="2020-08-31T00:00:00"/>
    <d v="2020-08-17T00:00:00"/>
    <s v="No action - no reason specified"/>
    <m/>
    <s v=""/>
    <s v=""/>
    <m/>
    <d v="2020-08-31T00:00:00"/>
  </r>
  <r>
    <x v="11"/>
    <s v="Depina"/>
    <s v="AG6816"/>
    <n v="11363070"/>
    <s v="ASP-Facility D"/>
    <x v="13"/>
    <s v="BF147916"/>
    <d v="2025-07-18T00:00:00"/>
    <d v="2019-07-26T00:00:00"/>
    <d v="2019-07-31T00:00:00"/>
    <d v="2019-10-07T00:00:00"/>
    <s v="Approved"/>
    <x v="152"/>
    <d v="2019-11-25T00:00:00"/>
    <d v="2019-11-01T00:00:00"/>
    <s v="No action - reason provided"/>
    <m/>
    <s v=""/>
    <s v=""/>
    <m/>
    <d v="2019-11-25T00:00:00"/>
  </r>
  <r>
    <x v="11"/>
    <s v="Price"/>
    <s v="G12085"/>
    <n v="11617458"/>
    <s v="CVSP-Facility A"/>
    <x v="20"/>
    <n v="173652"/>
    <d v="2021-07-19T00:00:00"/>
    <d v="2019-07-26T00:00:00"/>
    <d v="2019-07-31T00:00:00"/>
    <d v="2019-10-07T00:00:00"/>
    <s v="Approved"/>
    <x v="152"/>
    <d v="2020-01-22T00:00:00"/>
    <d v="2020-01-10T00:00:00"/>
    <s v="Reduced"/>
    <n v="1826.25"/>
    <n v="5"/>
    <n v="41323.279999999999"/>
    <m/>
    <d v="2020-01-28T00:00:00"/>
  </r>
  <r>
    <x v="5"/>
    <s v="Ortega"/>
    <s v="P27036"/>
    <n v="11860169"/>
    <s v="CEN-Facility C"/>
    <x v="2"/>
    <s v="98CF0854"/>
    <d v="2037-05-21T00:00:00"/>
    <d v="2018-07-18T00:00:00"/>
    <d v="2018-07-20T00:00:00"/>
    <d v="2018-07-25T00:00:00"/>
    <s v="Approved"/>
    <x v="40"/>
    <d v="2019-04-05T00:00:00"/>
    <m/>
    <s v="No action - due to plea"/>
    <m/>
    <s v=""/>
    <s v=""/>
    <m/>
    <d v="2019-04-05T00:00:00"/>
  </r>
  <r>
    <x v="11"/>
    <s v="Bailey"/>
    <s v="G22528"/>
    <n v="11219036"/>
    <s v="SCC-La Cima Camp"/>
    <x v="8"/>
    <s v="SWF013195"/>
    <d v="2021-08-02T00:00:00"/>
    <d v="2019-05-07T00:00:00"/>
    <d v="2019-05-07T00:00:00"/>
    <d v="2019-05-17T00:00:00"/>
    <s v="Approved"/>
    <x v="57"/>
    <m/>
    <d v="2020-07-09T00:00:00"/>
    <s v="Pending Court (Date in Notes)"/>
    <m/>
    <s v=""/>
    <s v=""/>
    <s v="Paroled 4/23/201"/>
    <d v="2021-04-16T00:00:00"/>
  </r>
  <r>
    <x v="11"/>
    <s v="Vasquez"/>
    <s v="AN2265"/>
    <n v="11303310"/>
    <s v="CTF-Facility D"/>
    <x v="2"/>
    <s v="11NF3081"/>
    <d v="2025-05-25T00:00:00"/>
    <d v="2019-07-26T00:00:00"/>
    <d v="2019-07-31T00:00:00"/>
    <d v="2019-10-07T00:00:00"/>
    <s v="Approved"/>
    <x v="152"/>
    <m/>
    <m/>
    <m/>
    <m/>
    <s v=""/>
    <s v=""/>
    <m/>
    <m/>
  </r>
  <r>
    <x v="5"/>
    <s v="Yerena"/>
    <s v="AV9246"/>
    <n v="11287678"/>
    <s v="CAL-Facility D"/>
    <x v="0"/>
    <s v="PA076990-01"/>
    <d v="2037-01-18T00:00:00"/>
    <d v="2018-07-23T00:00:00"/>
    <d v="2018-07-23T00:00:00"/>
    <d v="2018-08-01T00:00:00"/>
    <s v="Approved"/>
    <x v="38"/>
    <d v="2018-09-20T00:00:00"/>
    <m/>
    <s v="No action - due to plea"/>
    <m/>
    <s v=""/>
    <s v=""/>
    <m/>
    <d v="2018-09-20T00:00:00"/>
  </r>
  <r>
    <x v="5"/>
    <s v="Patterson"/>
    <s v="AL6637"/>
    <n v="11297964"/>
    <s v="LAC-Facility B"/>
    <x v="0"/>
    <s v="TA116659"/>
    <d v="2028-01-06T00:00:00"/>
    <d v="2018-07-25T00:00:00"/>
    <d v="2018-07-25T00:00:00"/>
    <d v="2018-08-07T00:00:00"/>
    <s v="Approved"/>
    <x v="42"/>
    <d v="2018-08-31T00:00:00"/>
    <m/>
    <s v="No action - due to plea"/>
    <m/>
    <s v=""/>
    <s v=""/>
    <m/>
    <d v="2018-09-10T00:00:00"/>
  </r>
  <r>
    <x v="7"/>
    <s v="Flores"/>
    <s v="F51715"/>
    <n v="11203511"/>
    <s v="VSP FAC D"/>
    <x v="11"/>
    <s v="VCF124890"/>
    <d v="2025-06-04T00:00:00"/>
    <d v="2019-05-17T00:00:00"/>
    <d v="2019-06-03T00:00:00"/>
    <d v="2019-06-06T00:00:00"/>
    <s v="Approved"/>
    <x v="57"/>
    <d v="2020-11-06T00:00:00"/>
    <d v="2020-06-09T00:00:00"/>
    <s v="Released"/>
    <n v="1793"/>
    <n v="4.912328767123288"/>
    <n v="40570.923287671234"/>
    <s v="Released on 7/7/2020"/>
    <d v="2020-11-06T00:00:00"/>
  </r>
  <r>
    <x v="8"/>
    <s v="Juhl"/>
    <s v="AD9774"/>
    <n v="11346513"/>
    <s v="VSP-Facility D"/>
    <x v="8"/>
    <s v="RIF145253"/>
    <d v="2020-11-14T00:00:00"/>
    <d v="2018-08-01T00:00:00"/>
    <d v="2018-08-14T00:00:00"/>
    <d v="2018-08-15T00:00:00"/>
    <s v="Approved"/>
    <x v="17"/>
    <d v="2018-09-01T00:00:00"/>
    <m/>
    <s v="No action - reason provided"/>
    <m/>
    <s v=""/>
    <s v=""/>
    <s v="DA contact - will make no changes multiple offenses."/>
    <d v="2019-02-19T00:00:00"/>
  </r>
  <r>
    <x v="11"/>
    <s v="Montalvo"/>
    <s v="AV5321"/>
    <n v="11902476"/>
    <s v="SOL-Facility D"/>
    <x v="6"/>
    <s v="CRF12-3902"/>
    <d v="2032-11-06T00:00:00"/>
    <d v="2019-08-02T00:00:00"/>
    <d v="2019-08-05T00:00:00"/>
    <d v="2019-10-15T00:00:00"/>
    <s v="Approved"/>
    <x v="138"/>
    <m/>
    <m/>
    <m/>
    <m/>
    <s v=""/>
    <s v=""/>
    <m/>
    <m/>
  </r>
  <r>
    <x v="11"/>
    <s v="Renteria"/>
    <s v="AZ8548"/>
    <n v="11209251"/>
    <s v="SVSP-Facility A"/>
    <x v="12"/>
    <n v="212318"/>
    <d v="2033-01-20T00:00:00"/>
    <d v="2019-08-02T00:00:00"/>
    <d v="2019-08-05T00:00:00"/>
    <d v="2019-10-15T00:00:00"/>
    <s v="Approved"/>
    <x v="138"/>
    <d v="2020-02-06T00:00:00"/>
    <d v="2019-11-14T00:00:00"/>
    <s v="No action - no reason specified"/>
    <m/>
    <s v=""/>
    <s v=""/>
    <m/>
    <d v="2020-02-07T00:00:00"/>
  </r>
  <r>
    <x v="11"/>
    <s v="Jouett"/>
    <s v="AB1403"/>
    <n v="11043960"/>
    <s v="CIM-Facility D"/>
    <x v="0"/>
    <s v="BA403167"/>
    <d v="2033-02-28T00:00:00"/>
    <d v="2019-08-02T00:00:00"/>
    <d v="2019-08-05T00:00:00"/>
    <d v="2019-10-15T00:00:00"/>
    <s v="Declined"/>
    <x v="27"/>
    <m/>
    <m/>
    <m/>
    <m/>
    <s v=""/>
    <s v=""/>
    <m/>
    <m/>
  </r>
  <r>
    <x v="11"/>
    <s v="Lawson"/>
    <s v="BE9435"/>
    <n v="11939131"/>
    <s v="SATF-Facility D"/>
    <x v="9"/>
    <s v="FVI1300638"/>
    <d v="2033-02-20T00:00:00"/>
    <d v="2019-08-02T00:00:00"/>
    <d v="2019-08-05T00:00:00"/>
    <d v="2019-10-15T00:00:00"/>
    <s v="Approved"/>
    <x v="138"/>
    <m/>
    <m/>
    <m/>
    <m/>
    <s v=""/>
    <s v=""/>
    <m/>
    <m/>
  </r>
  <r>
    <x v="2"/>
    <s v="Hernandez"/>
    <s v="G30817"/>
    <n v="11629216"/>
    <s v="CAC-Facility C"/>
    <x v="10"/>
    <s v="SCN238860"/>
    <d v="2020-08-06T00:00:00"/>
    <d v="2018-08-23T00:00:00"/>
    <d v="2018-08-23T00:00:00"/>
    <d v="2018-08-29T00:00:00"/>
    <s v="Approved"/>
    <x v="23"/>
    <d v="2018-10-01T00:00:00"/>
    <m/>
    <s v="No action - due to plea"/>
    <m/>
    <s v=""/>
    <s v=""/>
    <m/>
    <d v="2018-10-03T00:00:00"/>
  </r>
  <r>
    <x v="11"/>
    <s v="Smith"/>
    <s v="AX0068"/>
    <n v="12134613"/>
    <s v="LAC-Facility D"/>
    <x v="18"/>
    <s v="05-130081-3"/>
    <d v="2033-03-07T00:00:00"/>
    <d v="2019-08-02T00:00:00"/>
    <d v="2019-08-05T00:00:00"/>
    <d v="2019-10-15T00:00:00"/>
    <s v="Declined"/>
    <x v="27"/>
    <m/>
    <m/>
    <m/>
    <m/>
    <s v=""/>
    <s v=""/>
    <m/>
    <m/>
  </r>
  <r>
    <x v="11"/>
    <s v="Gage"/>
    <s v="AU4979"/>
    <n v="11565147"/>
    <s v="CEN-Facility C"/>
    <x v="13"/>
    <s v="BF142035B"/>
    <d v="2032-12-10T00:00:00"/>
    <d v="2019-08-02T00:00:00"/>
    <d v="2019-08-05T00:00:00"/>
    <d v="2019-10-15T00:00:00"/>
    <s v="Declined"/>
    <x v="27"/>
    <m/>
    <m/>
    <m/>
    <m/>
    <s v=""/>
    <s v=""/>
    <m/>
    <m/>
  </r>
  <r>
    <x v="11"/>
    <s v="Barrera"/>
    <s v="T67229"/>
    <n v="11147170"/>
    <s v="SOL-Facility D"/>
    <x v="8"/>
    <s v="RIF102091"/>
    <d v="2033-06-07T00:00:00"/>
    <d v="2019-08-02T00:00:00"/>
    <d v="2019-08-05T00:00:00"/>
    <d v="2019-10-15T00:00:00"/>
    <s v="Approved"/>
    <x v="138"/>
    <m/>
    <m/>
    <m/>
    <m/>
    <s v=""/>
    <s v=""/>
    <m/>
    <m/>
  </r>
  <r>
    <x v="11"/>
    <s v="Willard"/>
    <s v="AG2402"/>
    <n v="11360382"/>
    <s v="CMF-Facility C"/>
    <x v="0"/>
    <s v="BA369978"/>
    <d v="2021-07-18T00:00:00"/>
    <d v="2019-08-05T00:00:00"/>
    <d v="2019-08-05T00:00:00"/>
    <d v="2019-10-21T00:00:00"/>
    <s v="Approved"/>
    <x v="127"/>
    <d v="2019-12-20T00:00:00"/>
    <d v="2019-12-13T00:00:00"/>
    <s v="No action - reason provided"/>
    <m/>
    <s v=""/>
    <s v=""/>
    <m/>
    <d v="2019-12-13T00:00:00"/>
  </r>
  <r>
    <x v="11"/>
    <s v="Miller"/>
    <s v="AU6889"/>
    <n v="12120859"/>
    <s v="CMC-MSF"/>
    <x v="4"/>
    <s v="CRM026292"/>
    <d v="2021-10-08T00:00:00"/>
    <d v="2019-08-05T00:00:00"/>
    <d v="2019-08-05T00:00:00"/>
    <d v="2019-10-21T00:00:00"/>
    <s v="Declined"/>
    <x v="27"/>
    <m/>
    <m/>
    <m/>
    <m/>
    <s v=""/>
    <s v=""/>
    <m/>
    <m/>
  </r>
  <r>
    <x v="11"/>
    <s v="Baskin"/>
    <s v="AM6750"/>
    <n v="11562675"/>
    <s v="CCI-Facility D"/>
    <x v="0"/>
    <s v="NA086624"/>
    <d v="2021-05-25T00:00:00"/>
    <d v="2019-08-05T00:00:00"/>
    <d v="2019-08-05T00:00:00"/>
    <d v="2019-10-21T00:00:00"/>
    <s v="Approved"/>
    <x v="127"/>
    <m/>
    <m/>
    <m/>
    <m/>
    <s v=""/>
    <s v=""/>
    <s v="BPH - Release NVPP - 11/11/2019"/>
    <m/>
  </r>
  <r>
    <x v="11"/>
    <s v="Wilson"/>
    <s v="AV0282"/>
    <n v="11109150"/>
    <s v="SATF-Facility B"/>
    <x v="0"/>
    <s v="YA089874"/>
    <d v="2021-10-04T00:00:00"/>
    <d v="2019-08-05T00:00:00"/>
    <d v="2019-08-05T00:00:00"/>
    <d v="2019-10-21T00:00:00"/>
    <s v="Approved"/>
    <x v="127"/>
    <d v="2020-02-27T00:00:00"/>
    <d v="2020-02-18T00:00:00"/>
    <s v="No action - no reason specified"/>
    <m/>
    <s v=""/>
    <s v=""/>
    <m/>
    <d v="2020-02-27T00:00:00"/>
  </r>
  <r>
    <x v="11"/>
    <s v="Long"/>
    <s v="G07938"/>
    <n v="11215897"/>
    <s v="PVSP-Facility A"/>
    <x v="2"/>
    <s v="06CF2481"/>
    <d v="2021-04-09T00:00:00"/>
    <d v="2019-08-05T00:00:00"/>
    <d v="2019-08-05T00:00:00"/>
    <d v="2019-10-21T00:00:00"/>
    <s v="Declined"/>
    <x v="27"/>
    <m/>
    <m/>
    <m/>
    <m/>
    <s v=""/>
    <s v=""/>
    <m/>
    <m/>
  </r>
  <r>
    <x v="11"/>
    <s v="Long"/>
    <s v="G07938"/>
    <n v="11215897"/>
    <s v="PVSP-Facility A "/>
    <x v="2"/>
    <s v="05CF0002"/>
    <d v="2021-04-09T00:00:00"/>
    <d v="2019-08-05T00:00:00"/>
    <d v="2019-08-05T00:00:00"/>
    <d v="2019-10-21T00:00:00"/>
    <s v="Declined"/>
    <x v="27"/>
    <m/>
    <m/>
    <m/>
    <m/>
    <m/>
    <m/>
    <m/>
    <m/>
  </r>
  <r>
    <x v="7"/>
    <s v="Henderson"/>
    <s v="K58552"/>
    <n v="11132372"/>
    <s v="LAC FAC A"/>
    <x v="0"/>
    <s v="YA29718"/>
    <d v="2026-07-07T00:00:00"/>
    <d v="2019-05-30T00:00:00"/>
    <d v="2019-06-12T00:00:00"/>
    <d v="2019-06-12T00:00:00"/>
    <s v="Approved"/>
    <x v="149"/>
    <m/>
    <d v="2020-07-17T00:00:00"/>
    <s v="Pending Court (Date in Notes)"/>
    <m/>
    <s v=""/>
    <s v=""/>
    <m/>
    <m/>
  </r>
  <r>
    <x v="11"/>
    <s v="Savage"/>
    <s v="AR4110"/>
    <n v="11186566"/>
    <s v="CTF-Facility A"/>
    <x v="20"/>
    <n v="171747"/>
    <d v="2025-07-16T00:00:00"/>
    <d v="2019-08-02T00:00:00"/>
    <d v="2019-08-05T00:00:00"/>
    <d v="2019-10-18T00:00:00"/>
    <s v="Approved"/>
    <x v="138"/>
    <m/>
    <m/>
    <m/>
    <m/>
    <s v=""/>
    <s v=""/>
    <m/>
    <m/>
  </r>
  <r>
    <x v="11"/>
    <s v="Wells"/>
    <s v="AM6705"/>
    <n v="11304521"/>
    <s v="CTF-Facility D"/>
    <x v="34"/>
    <s v="F22584"/>
    <d v="2025-04-11T00:00:00"/>
    <d v="2019-08-02T00:00:00"/>
    <d v="2019-08-05T00:00:00"/>
    <d v="2019-10-18T00:00:00"/>
    <s v="Declined"/>
    <x v="27"/>
    <m/>
    <m/>
    <m/>
    <m/>
    <s v=""/>
    <s v=""/>
    <m/>
    <m/>
  </r>
  <r>
    <x v="11"/>
    <s v="Jones"/>
    <s v="F31441"/>
    <n v="11198957"/>
    <s v="SATF-Facility B"/>
    <x v="0"/>
    <s v="VA086514"/>
    <d v="2025-08-09T00:00:00"/>
    <d v="2019-08-02T00:00:00"/>
    <d v="2019-08-05T00:00:00"/>
    <d v="2019-10-18T00:00:00"/>
    <s v="Approved"/>
    <x v="138"/>
    <d v="2020-01-21T00:00:00"/>
    <d v="2020-01-13T00:00:00"/>
    <s v="No action - reason provided"/>
    <m/>
    <s v=""/>
    <s v=""/>
    <m/>
    <d v="2020-01-22T00:00:00"/>
  </r>
  <r>
    <x v="1"/>
    <s v="Cruz"/>
    <s v="AR5004"/>
    <n v="12102509"/>
    <s v="CIM - Facility D"/>
    <x v="10"/>
    <s v="SCE317052"/>
    <d v="2024-07-29T00:00:00"/>
    <d v="2019-12-03T00:00:00"/>
    <d v="2019-12-16T00:00:00"/>
    <d v="2019-12-16T00:00:00"/>
    <s v="Approved"/>
    <x v="165"/>
    <d v="2020-02-20T00:00:00"/>
    <d v="2020-02-03T00:00:00"/>
    <s v="No action - reason provided"/>
    <m/>
    <s v=""/>
    <s v=""/>
    <m/>
    <d v="2020-02-20T00:00:00"/>
  </r>
  <r>
    <x v="11"/>
    <s v="Walker"/>
    <s v="AK1091"/>
    <n v="11725030"/>
    <s v="CMF-Facility A"/>
    <x v="18"/>
    <n v="51100601"/>
    <d v="2025-08-14T00:00:00"/>
    <d v="2019-08-02T00:00:00"/>
    <d v="2019-08-05T00:00:00"/>
    <d v="2019-10-18T00:00:00"/>
    <s v="Approved"/>
    <x v="138"/>
    <m/>
    <m/>
    <m/>
    <m/>
    <s v=""/>
    <s v=""/>
    <m/>
    <m/>
  </r>
  <r>
    <x v="11"/>
    <s v="Jones"/>
    <s v="T40487"/>
    <n v="11924077"/>
    <s v="SOL-Facility D"/>
    <x v="13"/>
    <s v="BF147477A"/>
    <d v="2025-09-04T00:00:00"/>
    <d v="2019-08-02T00:00:00"/>
    <d v="2019-08-05T00:00:00"/>
    <d v="2019-10-18T00:00:00"/>
    <s v="Approved"/>
    <x v="138"/>
    <d v="2020-06-18T00:00:00"/>
    <d v="2020-05-27T00:00:00"/>
    <s v="Reduced"/>
    <n v="730"/>
    <n v="2"/>
    <n v="16518"/>
    <s v="reduced by 2 years"/>
    <d v="2020-06-23T00:00:00"/>
  </r>
  <r>
    <x v="11"/>
    <s v="Hor"/>
    <s v="AP9944"/>
    <n v="11828539"/>
    <s v="SOL-Facility C"/>
    <x v="0"/>
    <s v="NA094450"/>
    <d v="2025-09-08T00:00:00"/>
    <d v="2019-08-02T00:00:00"/>
    <d v="2019-08-05T00:00:00"/>
    <d v="2019-10-18T00:00:00"/>
    <s v="Approved"/>
    <x v="138"/>
    <m/>
    <m/>
    <m/>
    <m/>
    <s v=""/>
    <s v=""/>
    <m/>
    <m/>
  </r>
  <r>
    <x v="11"/>
    <s v="Martin"/>
    <s v="C60042"/>
    <n v="11116788"/>
    <s v="RJD-Facility A"/>
    <x v="9"/>
    <s v="FBA1200191"/>
    <d v="2025-08-26T00:00:00"/>
    <d v="2019-08-02T00:00:00"/>
    <d v="2019-08-05T00:00:00"/>
    <d v="2019-10-18T00:00:00"/>
    <s v="Approved"/>
    <x v="138"/>
    <m/>
    <d v="2020-03-06T00:00:00"/>
    <m/>
    <m/>
    <s v=""/>
    <s v=""/>
    <m/>
    <m/>
  </r>
  <r>
    <x v="11"/>
    <s v="Galloway"/>
    <s v="AB2320"/>
    <n v="11049677"/>
    <s v="CHCF-Facility B"/>
    <x v="17"/>
    <s v="04F09068"/>
    <d v="2025-10-09T00:00:00"/>
    <d v="2019-08-02T00:00:00"/>
    <d v="2019-08-05T00:00:00"/>
    <d v="2019-10-18T00:00:00"/>
    <s v="Declined"/>
    <x v="27"/>
    <m/>
    <m/>
    <m/>
    <m/>
    <s v=""/>
    <s v=""/>
    <m/>
    <m/>
  </r>
  <r>
    <x v="1"/>
    <s v="Huerta"/>
    <s v="AS1136"/>
    <n v="11272238"/>
    <s v="MCSP"/>
    <x v="11"/>
    <s v="VCF274843"/>
    <d v="2026-07-27T00:00:00"/>
    <d v="2018-11-14T00:00:00"/>
    <d v="2018-11-18T00:00:00"/>
    <d v="2018-11-18T00:00:00"/>
    <s v="Approved"/>
    <x v="60"/>
    <d v="2019-01-10T00:00:00"/>
    <m/>
    <s v="No action - reason provided"/>
    <m/>
    <s v=""/>
    <s v=""/>
    <s v="Criminal History"/>
    <d v="2019-01-10T00:00:00"/>
  </r>
  <r>
    <x v="1"/>
    <s v="Daniel"/>
    <s v="D03662"/>
    <n v="11451808"/>
    <s v="SATF - Facility B"/>
    <x v="0"/>
    <s v="TA049801"/>
    <d v="2055-04-09T00:00:00"/>
    <d v="2020-09-15T00:00:00"/>
    <d v="2020-09-17T00:00:00"/>
    <d v="2020-09-17T00:00:00"/>
    <s v="Approved"/>
    <x v="71"/>
    <d v="2021-06-03T00:00:00"/>
    <d v="2021-05-13T00:00:00"/>
    <s v="Released"/>
    <n v="1194"/>
    <n v="3.2712328767123289"/>
    <n v="27017.112328767125"/>
    <s v="released 6/3/2021"/>
    <d v="2021-06-03T00:00:00"/>
  </r>
  <r>
    <x v="7"/>
    <s v="Calvin"/>
    <s v="J17246"/>
    <n v="11098213"/>
    <s v="WSP-Facility A"/>
    <x v="0"/>
    <s v="98CF2324"/>
    <d v="2062-06-10T00:00:00"/>
    <d v="2018-08-01T00:00:00"/>
    <d v="2018-08-01T00:00:00"/>
    <d v="2018-08-16T00:00:00"/>
    <s v="Approved"/>
    <x v="53"/>
    <d v="2020-11-06T00:00:00"/>
    <d v="2019-03-21T00:00:00"/>
    <s v="No action - no reason specified"/>
    <m/>
    <s v=""/>
    <s v=""/>
    <s v="court declined to modify sentence"/>
    <d v="2020-11-06T00:00:00"/>
  </r>
  <r>
    <x v="1"/>
    <s v="Darton"/>
    <s v="G25902"/>
    <s v="00G25902"/>
    <s v="CVSP FAC B"/>
    <x v="20"/>
    <n v="150580"/>
    <d v="2027-10-23T00:00:00"/>
    <d v="2019-05-30T00:00:00"/>
    <d v="2019-06-18T00:00:00"/>
    <d v="2019-06-18T00:00:00"/>
    <s v="Approved"/>
    <x v="129"/>
    <d v="2021-03-01T00:00:00"/>
    <d v="2020-11-05T00:00:00"/>
    <s v="Released"/>
    <n v="2535"/>
    <n v="6.9452054794520546"/>
    <n v="57360.452054794521"/>
    <s v="Released on 11/13/2020"/>
    <d v="2021-03-01T00:00:00"/>
  </r>
  <r>
    <x v="7"/>
    <s v="Hunter"/>
    <s v="T29288"/>
    <n v="11917830"/>
    <s v="SQ Central Service"/>
    <x v="0"/>
    <s v="MA020784"/>
    <d v="2055-06-20T00:00:00"/>
    <d v="2019-05-21T00:00:00"/>
    <d v="2019-06-06T00:00:00"/>
    <d v="2019-06-06T00:00:00"/>
    <s v="Approved"/>
    <x v="57"/>
    <d v="2019-09-17T00:00:00"/>
    <d v="2019-08-28T00:00:00"/>
    <s v="No action - no reason specified"/>
    <m/>
    <s v=""/>
    <s v=""/>
    <m/>
    <d v="2019-09-17T00:00:00"/>
  </r>
  <r>
    <x v="1"/>
    <s v="Davis"/>
    <s v="AL9449"/>
    <n v="11997664"/>
    <s v="MCSP - Facility B"/>
    <x v="44"/>
    <s v="NCR82824"/>
    <d v="2032-10-30T00:00:00"/>
    <d v="2020-10-12T00:00:00"/>
    <d v="2020-10-23T00:00:00"/>
    <d v="2020-11-09T00:00:00"/>
    <s v="Approved"/>
    <x v="104"/>
    <d v="2021-05-04T00:00:00"/>
    <d v="2021-04-08T00:00:00"/>
    <s v="Reduced"/>
    <n v="365"/>
    <n v="1"/>
    <n v="8259"/>
    <m/>
    <d v="2021-05-04T00:00:00"/>
  </r>
  <r>
    <x v="7"/>
    <s v="Behnke"/>
    <s v="F38068"/>
    <n v="11571874"/>
    <s v="VSP FAC C "/>
    <x v="10"/>
    <s v="SCD183245"/>
    <d v="2027-04-26T00:00:00"/>
    <d v="2019-08-06T00:00:00"/>
    <d v="2019-08-19T00:00:00"/>
    <d v="2019-08-21T00:00:00"/>
    <s v="Approved"/>
    <x v="162"/>
    <m/>
    <m/>
    <m/>
    <m/>
    <s v=""/>
    <s v=""/>
    <m/>
    <m/>
  </r>
  <r>
    <x v="1"/>
    <s v="De la Cruz"/>
    <s v="V60763"/>
    <n v="11993612"/>
    <s v="CMF - Facility A"/>
    <x v="0"/>
    <s v="VA104579"/>
    <d v="2028-07-13T00:00:00"/>
    <d v="2019-12-04T00:00:00"/>
    <d v="2020-03-17T00:00:00"/>
    <d v="2020-03-18T00:00:00"/>
    <s v="Approved"/>
    <x v="133"/>
    <d v="2020-11-18T00:00:00"/>
    <d v="2020-11-02T00:00:00"/>
    <s v="No action - no reason specified"/>
    <m/>
    <s v=""/>
    <s v=""/>
    <s v="Second case number VA103235 for Los Angeles County. Second letter will be sent to Riverside County for case number RIF1802254. Per M.O File transferred to Judge Lillian Vega 8/26/20 for disposition"/>
    <d v="2020-11-18T00:00:00"/>
  </r>
  <r>
    <x v="1"/>
    <s v="Deal "/>
    <s v="G63240"/>
    <n v="11162726"/>
    <s v="COR - Central Service"/>
    <x v="0"/>
    <s v="BA363085"/>
    <d v="2034-03-26T00:00:00"/>
    <d v="2021-01-12T00:00:00"/>
    <d v="2021-01-28T00:00:00"/>
    <d v="2021-01-29T00:00:00"/>
    <s v="Approved"/>
    <x v="166"/>
    <m/>
    <m/>
    <m/>
    <m/>
    <s v=""/>
    <s v=""/>
    <m/>
    <m/>
  </r>
  <r>
    <x v="1"/>
    <s v="Deckard"/>
    <s v="AG5297"/>
    <n v="11362128"/>
    <s v="CEN-MSF"/>
    <x v="8"/>
    <s v="RIF10003573"/>
    <d v="2022-07-06T00:00:00"/>
    <d v="2019-01-09T00:00:00"/>
    <d v="2019-01-14T00:00:00"/>
    <d v="2019-02-01T00:00:00"/>
    <s v="Approved"/>
    <x v="135"/>
    <d v="2019-10-03T00:00:00"/>
    <d v="2019-10-03T00:00:00"/>
    <s v="No action - no reason specified"/>
    <m/>
    <s v=""/>
    <s v=""/>
    <m/>
    <d v="2019-10-03T00:00:00"/>
  </r>
  <r>
    <x v="1"/>
    <s v="Delacruz"/>
    <s v="V57107"/>
    <n v="11991424"/>
    <s v="CAC - Facility B"/>
    <x v="0"/>
    <s v="PA054869"/>
    <d v="2027-06-17T00:00:00"/>
    <d v="2021-03-01T00:00:00"/>
    <d v="2021-03-12T00:00:00"/>
    <d v="2021-03-16T00:00:00"/>
    <s v="Approved"/>
    <x v="105"/>
    <m/>
    <m/>
    <m/>
    <m/>
    <s v=""/>
    <s v=""/>
    <m/>
    <m/>
  </r>
  <r>
    <x v="1"/>
    <s v="Delaney"/>
    <s v="AK6327"/>
    <n v="11277303"/>
    <s v="CRC - Facility A"/>
    <x v="0"/>
    <s v="MA054829"/>
    <d v="2022-12-04T00:00:00"/>
    <d v="2021-04-28T00:00:00"/>
    <d v="2021-04-20T00:00:00"/>
    <d v="2021-04-26T00:00:00"/>
    <s v="Approved"/>
    <x v="167"/>
    <m/>
    <m/>
    <m/>
    <m/>
    <s v=""/>
    <s v=""/>
    <m/>
    <m/>
  </r>
  <r>
    <x v="1"/>
    <s v="Diaz"/>
    <s v="F62885"/>
    <n v="11205948"/>
    <s v="CIM FAC D"/>
    <x v="8"/>
    <s v="SWF012538"/>
    <d v="2021-01-27T00:00:00"/>
    <d v="2019-07-11T00:00:00"/>
    <d v="2019-07-16T00:00:00"/>
    <d v="2019-07-19T00:00:00"/>
    <s v="Approved"/>
    <x v="64"/>
    <d v="2020-01-03T00:00:00"/>
    <d v="2019-12-02T00:00:00"/>
    <s v="No action - reason provided"/>
    <m/>
    <s v=""/>
    <s v=""/>
    <s v="Court not willing to exercise it's right to recall"/>
    <d v="2020-01-07T00:00:00"/>
  </r>
  <r>
    <x v="1"/>
    <s v="Diaz"/>
    <s v="AL1414"/>
    <n v="11280877"/>
    <s v="ISP - Facility B"/>
    <x v="12"/>
    <s v="CC960248"/>
    <d v="2025-08-13T00:00:00"/>
    <d v="2021-03-01T00:00:00"/>
    <d v="2021-03-12T00:00:00"/>
    <d v="2021-03-16T00:00:00"/>
    <s v="Approved"/>
    <x v="105"/>
    <d v="2021-05-05T00:00:00"/>
    <d v="2021-04-28T00:00:00"/>
    <s v="No action - no reason specified"/>
    <m/>
    <s v=""/>
    <s v=""/>
    <m/>
    <d v="2021-05-06T00:00:00"/>
  </r>
  <r>
    <x v="1"/>
    <s v="Distefano"/>
    <s v="P62954"/>
    <n v="11879796"/>
    <s v="CMF - Facility A"/>
    <x v="0"/>
    <s v="NA041554"/>
    <d v="2024-05-28T00:00:00"/>
    <d v="2020-03-05T00:00:00"/>
    <d v="2020-08-13T00:00:00"/>
    <d v="2020-08-13T00:00:00"/>
    <s v="Approved"/>
    <x v="168"/>
    <m/>
    <m/>
    <m/>
    <m/>
    <s v=""/>
    <s v=""/>
    <m/>
    <m/>
  </r>
  <r>
    <x v="1"/>
    <s v="Dixon"/>
    <s v="AL4893"/>
    <n v="11296605"/>
    <s v="RJD - Facility B"/>
    <x v="10"/>
    <s v="SCD236479"/>
    <d v="2024-07-26T00:00:00"/>
    <d v="2020-08-19T00:00:00"/>
    <d v="2020-09-14T00:00:00"/>
    <d v="2020-09-14T00:00:00"/>
    <s v="Approved"/>
    <x v="169"/>
    <m/>
    <m/>
    <m/>
    <m/>
    <s v=""/>
    <s v=""/>
    <m/>
    <m/>
  </r>
  <r>
    <x v="7"/>
    <s v="Saeteurn"/>
    <s v="V71854"/>
    <n v="12000161"/>
    <s v="CHCF FAC E "/>
    <x v="17"/>
    <s v="03F00640"/>
    <d v="2025-08-13T00:00:00"/>
    <d v="2019-08-22T00:00:00"/>
    <d v="2019-09-13T00:00:00"/>
    <d v="2019-09-16T00:00:00"/>
    <s v="Approved"/>
    <x v="170"/>
    <d v="2019-12-26T00:00:00"/>
    <d v="2019-12-23T00:00:00"/>
    <s v="No action - no reason specified"/>
    <m/>
    <s v=""/>
    <s v=""/>
    <m/>
    <d v="2020-03-09T00:00:00"/>
  </r>
  <r>
    <x v="1"/>
    <s v="Dreyer"/>
    <s v="F22329"/>
    <n v="11158928"/>
    <s v="FOL - MSF"/>
    <x v="10"/>
    <s v="SCD194730"/>
    <d v="2022-07-08T00:00:00"/>
    <d v="2020-08-11T00:00:00"/>
    <d v="2020-08-21T00:00:00"/>
    <d v="2020-08-27T00:00:00"/>
    <s v="Approved"/>
    <x v="171"/>
    <d v="2021-03-08T00:00:00"/>
    <d v="2021-01-08T00:00:00"/>
    <s v="No action - reason provided"/>
    <m/>
    <s v=""/>
    <s v=""/>
    <m/>
    <d v="2021-03-08T00:00:00"/>
  </r>
  <r>
    <x v="1"/>
    <s v="Dumas"/>
    <s v="K77935"/>
    <n v="11238644"/>
    <s v="SATF - Facility A"/>
    <x v="0"/>
    <s v="LA028506"/>
    <d v="2024-02-06T00:00:00"/>
    <d v="2021-01-12T00:00:00"/>
    <d v="2021-02-09T00:00:00"/>
    <d v="2021-02-11T00:00:00"/>
    <s v="Approved"/>
    <x v="84"/>
    <d v="2021-06-17T00:00:00"/>
    <d v="2021-05-19T00:00:00"/>
    <s v="Released"/>
    <n v="986"/>
    <n v="2.7013698630136984"/>
    <n v="22310.613698630139"/>
    <s v="released 5/26/21"/>
    <d v="2021-06-17T00:00:00"/>
  </r>
  <r>
    <x v="2"/>
    <s v="Padilla"/>
    <s v="AI6286"/>
    <n v="11375135"/>
    <s v="CCI-Facility B"/>
    <x v="8"/>
    <s v="SWF025883"/>
    <d v="2032-04-28T00:00:00"/>
    <d v="2018-09-05T00:00:00"/>
    <d v="2018-09-05T00:00:00"/>
    <d v="2018-09-26T00:00:00"/>
    <s v="Approved"/>
    <x v="46"/>
    <d v="2021-04-15T00:00:00"/>
    <d v="2021-04-01T00:00:00"/>
    <s v="No action - no reason specified"/>
    <m/>
    <s v=""/>
    <s v=""/>
    <m/>
    <d v="2021-04-15T00:00:00"/>
  </r>
  <r>
    <x v="1"/>
    <s v="Echols"/>
    <s v="AT1596"/>
    <n v="11146748"/>
    <s v="SOL - Facility C"/>
    <x v="3"/>
    <s v="F13906816"/>
    <d v="2024-10-01T00:00:00"/>
    <d v="2020-10-06T00:00:00"/>
    <d v="2020-10-16T00:00:00"/>
    <d v="2020-10-17T00:00:00"/>
    <s v="Approved"/>
    <x v="134"/>
    <m/>
    <m/>
    <m/>
    <m/>
    <s v=""/>
    <s v=""/>
    <m/>
    <m/>
  </r>
  <r>
    <x v="11"/>
    <s v="Ellis"/>
    <s v="BG2683"/>
    <n v="11994569"/>
    <s v="WSP-Facility A"/>
    <x v="42"/>
    <n v="12006702"/>
    <d v="2025-06-11T00:00:00"/>
    <d v="2019-12-23T00:00:00"/>
    <d v="2019-12-23T00:00:00"/>
    <d v="2020-03-09T00:00:00"/>
    <s v="Approved"/>
    <x v="116"/>
    <d v="2021-03-01T00:00:00"/>
    <d v="2020-07-09T00:00:00"/>
    <s v="Released"/>
    <n v="1790"/>
    <n v="4.904109589041096"/>
    <n v="40503.04109589041"/>
    <s v="Released on 7/17/2020"/>
    <d v="2021-03-01T00:00:00"/>
  </r>
  <r>
    <x v="7"/>
    <s v="Douglas"/>
    <s v="X33508"/>
    <n v="10264708"/>
    <s v="CIW FAC A"/>
    <x v="0"/>
    <s v="BA310304"/>
    <d v="2024-03-10T00:00:00"/>
    <d v="2019-06-03T00:00:00"/>
    <d v="2019-10-01T00:00:00"/>
    <d v="2019-10-03T00:00:00"/>
    <s v="Approved"/>
    <x v="156"/>
    <d v="2020-03-03T00:00:00"/>
    <d v="2020-02-21T00:00:00"/>
    <s v="No action - reason provided"/>
    <m/>
    <s v=""/>
    <s v=""/>
    <m/>
    <d v="2020-03-11T00:00:00"/>
  </r>
  <r>
    <x v="3"/>
    <s v="Nieves"/>
    <s v="BE3134"/>
    <n v="12178770"/>
    <s v="CEN-Facility A"/>
    <x v="2"/>
    <s v="12WF0501"/>
    <d v="2030-06-20T00:00:00"/>
    <d v="2018-05-22T00:00:00"/>
    <d v="2018-05-23T00:00:00"/>
    <d v="2018-05-23T00:00:00"/>
    <s v="Approved"/>
    <x v="13"/>
    <d v="2018-07-03T00:00:00"/>
    <m/>
    <s v="No action - due to plea"/>
    <m/>
    <s v=""/>
    <s v=""/>
    <m/>
    <d v="2018-07-03T00:00:00"/>
  </r>
  <r>
    <x v="1"/>
    <s v="Arellano"/>
    <s v="P75366"/>
    <n v="11886566"/>
    <s v="CCI FAC E"/>
    <x v="0"/>
    <s v="BA184992"/>
    <d v="2029-07-10T00:00:00"/>
    <d v="2019-09-18T00:00:00"/>
    <d v="2019-10-10T00:00:00"/>
    <d v="2019-10-15T00:00:00"/>
    <s v="Declined"/>
    <x v="27"/>
    <m/>
    <m/>
    <m/>
    <m/>
    <s v=""/>
    <s v=""/>
    <s v="2nd letter to be sent to Kings Co - 09CM8954"/>
    <m/>
  </r>
  <r>
    <x v="1"/>
    <s v="Edwards"/>
    <s v="AV1001"/>
    <n v="12123139"/>
    <s v="DVI - Facility A"/>
    <x v="0"/>
    <s v="BA424694"/>
    <d v="2026-02-28T00:00:00"/>
    <d v="2020-10-26T00:00:00"/>
    <d v="2020-11-12T00:00:00"/>
    <d v="2020-11-09T00:00:00"/>
    <s v="Approved"/>
    <x v="160"/>
    <d v="2021-05-04T00:00:00"/>
    <d v="2021-04-16T00:00:00"/>
    <s v="No action - due to plea"/>
    <m/>
    <s v=""/>
    <s v=""/>
    <m/>
    <d v="2021-05-04T00:00:00"/>
  </r>
  <r>
    <x v="7"/>
    <s v="Schumann"/>
    <s v="X07601"/>
    <n v="11018709"/>
    <s v="CCWF FAC B"/>
    <x v="9"/>
    <s v="FSB032415"/>
    <d v="2023-04-14T00:00:00"/>
    <d v="2019-09-19T00:00:00"/>
    <m/>
    <m/>
    <m/>
    <x v="27"/>
    <m/>
    <m/>
    <m/>
    <m/>
    <s v=""/>
    <s v=""/>
    <s v="Case pulled as courts have no jurisdiction to reduce term"/>
    <d v="2020-09-21T00:00:00"/>
  </r>
  <r>
    <x v="7"/>
    <s v="Raviart"/>
    <s v="H86816"/>
    <n v="11697487"/>
    <s v="MCSP FAC C"/>
    <x v="17"/>
    <s v="99F01489"/>
    <d v="2120-06-26T00:00:00"/>
    <d v="2019-09-19T00:00:00"/>
    <d v="2019-10-14T00:00:00"/>
    <d v="2019-10-15T00:00:00"/>
    <s v="Approved"/>
    <x v="172"/>
    <d v="2020-11-06T00:00:00"/>
    <d v="2020-08-21T00:00:00"/>
    <s v="Released"/>
    <n v="1278"/>
    <n v="3.5013698630136987"/>
    <n v="28917.813698630136"/>
    <s v="Released 9/1/2020"/>
    <d v="2020-11-06T00:00:00"/>
  </r>
  <r>
    <x v="11"/>
    <s v="Rodriguez"/>
    <s v="AP4976"/>
    <n v="11859407"/>
    <s v="SOL-Facility B"/>
    <x v="0"/>
    <s v="BA407714"/>
    <d v="2022-01-16T00:00:00"/>
    <d v="2019-07-31T00:00:00"/>
    <d v="2019-07-31T00:00:00"/>
    <d v="2019-10-07T00:00:00"/>
    <s v="Approved"/>
    <x v="150"/>
    <d v="2020-02-19T00:00:00"/>
    <d v="2020-02-06T00:00:00"/>
    <s v="No action - reason provided"/>
    <m/>
    <s v=""/>
    <s v=""/>
    <s v="Plea Bargain"/>
    <d v="2020-02-19T00:00:00"/>
  </r>
  <r>
    <x v="11"/>
    <s v="Nutter"/>
    <s v="T79910"/>
    <n v="11232849"/>
    <s v="CHCF-Facility C"/>
    <x v="10"/>
    <s v="SCN285505"/>
    <d v="2021-05-13T00:00:00"/>
    <d v="2019-07-03T00:00:00"/>
    <d v="2019-07-03T00:00:00"/>
    <d v="2019-09-26T00:00:00"/>
    <s v="Approved"/>
    <x v="150"/>
    <d v="2020-01-06T00:00:00"/>
    <d v="2019-12-11T00:00:00"/>
    <s v="No action - reason provided"/>
    <m/>
    <s v=""/>
    <s v=""/>
    <s v="Plea Bargain"/>
    <d v="2020-01-06T00:00:00"/>
  </r>
  <r>
    <x v="11"/>
    <s v="Palomino"/>
    <s v="AR0938"/>
    <n v="11096149"/>
    <s v="LAC-Facility C"/>
    <x v="9"/>
    <s v="FVI1100839"/>
    <d v="2021-04-30T00:00:00"/>
    <d v="2019-07-03T00:00:00"/>
    <d v="2019-07-03T00:00:00"/>
    <d v="2019-09-26T00:00:00"/>
    <s v="Declined"/>
    <x v="27"/>
    <m/>
    <m/>
    <m/>
    <m/>
    <s v=""/>
    <s v=""/>
    <m/>
    <m/>
  </r>
  <r>
    <x v="11"/>
    <s v="Keys"/>
    <s v="V70932"/>
    <n v="11999607"/>
    <s v="CEN-Facility B"/>
    <x v="0"/>
    <s v="VA124980"/>
    <d v="2021-05-17T00:00:00"/>
    <d v="2019-07-03T00:00:00"/>
    <d v="2019-07-03T00:00:00"/>
    <d v="2019-09-26T00:00:00"/>
    <s v="Declined"/>
    <x v="27"/>
    <m/>
    <m/>
    <m/>
    <m/>
    <s v=""/>
    <s v=""/>
    <m/>
    <m/>
  </r>
  <r>
    <x v="11"/>
    <s v="Sanchez"/>
    <s v="AR5631"/>
    <n v="11244768"/>
    <s v="ISP-Facility B"/>
    <x v="2"/>
    <s v="10CF2489"/>
    <d v="2021-01-20T00:00:00"/>
    <d v="2019-07-03T00:00:00"/>
    <d v="2019-07-03T00:00:00"/>
    <d v="2019-09-26T00:00:00"/>
    <s v="Approved"/>
    <x v="141"/>
    <d v="2020-08-14T00:00:00"/>
    <d v="2020-08-04T00:00:00"/>
    <s v="Released"/>
    <n v="365"/>
    <n v="1"/>
    <n v="8259"/>
    <s v="Released on 08/21/2020"/>
    <d v="2020-08-14T00:00:00"/>
  </r>
  <r>
    <x v="11"/>
    <s v="Garcia"/>
    <s v="AP2563"/>
    <n v="11352707"/>
    <s v="CRC-Facility A"/>
    <x v="10"/>
    <s v="SCD243268"/>
    <d v="2021-04-04T00:00:00"/>
    <d v="2019-07-03T00:00:00"/>
    <d v="2019-07-03T00:00:00"/>
    <d v="2019-09-26T00:00:00"/>
    <s v="Approved"/>
    <x v="141"/>
    <d v="2019-12-19T00:00:00"/>
    <d v="2019-12-09T00:00:00"/>
    <s v="No action - no reason specified"/>
    <m/>
    <s v=""/>
    <s v=""/>
    <m/>
    <d v="2020-03-09T00:00:00"/>
  </r>
  <r>
    <x v="11"/>
    <s v="Remijio"/>
    <s v="J41963"/>
    <n v="11114173"/>
    <s v="MCSP-Facility C"/>
    <x v="0"/>
    <s v="VA131427"/>
    <d v="2021-04-29T00:00:00"/>
    <d v="2019-07-03T00:00:00"/>
    <d v="2019-07-03T00:00:00"/>
    <d v="2019-09-26T00:00:00"/>
    <s v="Approved"/>
    <x v="141"/>
    <m/>
    <m/>
    <m/>
    <m/>
    <s v=""/>
    <s v=""/>
    <m/>
    <m/>
  </r>
  <r>
    <x v="11"/>
    <s v="Short"/>
    <s v="AM4088"/>
    <n v="11509952"/>
    <s v="CIM-Facility B"/>
    <x v="10"/>
    <s v="SCD241527"/>
    <d v="2022-05-18T00:00:00"/>
    <d v="2019-01-15T00:00:00"/>
    <d v="2019-10-21T00:00:00"/>
    <d v="2019-12-19T00:00:00"/>
    <s v="Approved"/>
    <x v="154"/>
    <m/>
    <m/>
    <m/>
    <m/>
    <s v=""/>
    <s v=""/>
    <m/>
    <m/>
  </r>
  <r>
    <x v="11"/>
    <s v="Salter"/>
    <s v="AR1307"/>
    <n v="12100191"/>
    <s v="CHCF-Facility B"/>
    <x v="0"/>
    <s v="BA408132"/>
    <d v="2021-04-22T00:00:00"/>
    <d v="2019-07-03T00:00:00"/>
    <d v="2019-07-03T00:00:00"/>
    <d v="2019-09-26T00:00:00"/>
    <s v="Declined"/>
    <x v="27"/>
    <m/>
    <m/>
    <m/>
    <m/>
    <s v=""/>
    <s v=""/>
    <m/>
    <m/>
  </r>
  <r>
    <x v="7"/>
    <s v="Holmes"/>
    <s v="WE2726"/>
    <n v="11041165"/>
    <s v="CCWF FAC C "/>
    <x v="21"/>
    <s v="SF115318"/>
    <d v="2023-01-11T00:00:00"/>
    <d v="2019-09-25T00:00:00"/>
    <d v="2019-10-14T00:00:00"/>
    <d v="2019-10-15T00:00:00"/>
    <s v="Approved"/>
    <x v="172"/>
    <d v="2020-01-17T00:00:00"/>
    <d v="2020-01-09T00:00:00"/>
    <s v="No action - reason provided"/>
    <m/>
    <s v=""/>
    <s v=""/>
    <m/>
    <d v="2020-01-17T00:00:00"/>
  </r>
  <r>
    <x v="1"/>
    <s v="Epperson"/>
    <s v="AX4123"/>
    <n v="12136982"/>
    <s v="CMF - Facility B"/>
    <x v="1"/>
    <s v="VCR216163"/>
    <d v="2031-06-01T00:00:00"/>
    <d v="2020-11-06T00:00:00"/>
    <d v="2020-12-09T00:00:00"/>
    <d v="2020-11-17T00:00:00"/>
    <s v="Approved"/>
    <x v="173"/>
    <m/>
    <m/>
    <m/>
    <m/>
    <s v=""/>
    <s v=""/>
    <m/>
    <m/>
  </r>
  <r>
    <x v="7"/>
    <s v="Johnson"/>
    <s v="W90224"/>
    <n v="11001824"/>
    <s v="CIW FAC A"/>
    <x v="17"/>
    <s v="99F07256"/>
    <d v="2026-09-11T00:00:00"/>
    <d v="2019-08-27T00:00:00"/>
    <d v="2019-10-10T00:00:00"/>
    <d v="2019-10-15T00:00:00"/>
    <s v="Approved"/>
    <x v="172"/>
    <d v="2020-11-02T00:00:00"/>
    <d v="2020-10-30T00:00:00"/>
    <s v="Reduced"/>
    <n v="4173"/>
    <n v="11.432876712328767"/>
    <n v="94424.128767123286"/>
    <m/>
    <d v="2020-11-02T00:00:00"/>
  </r>
  <r>
    <x v="7"/>
    <s v="Coleman"/>
    <s v="V39721"/>
    <n v="11981007"/>
    <s v="CAC FAC B"/>
    <x v="25"/>
    <s v="F429514"/>
    <d v="2026-03-11T00:00:00"/>
    <d v="2019-10-02T00:00:00"/>
    <d v="2019-10-14T00:00:00"/>
    <d v="2019-10-15T00:00:00"/>
    <s v="Approved"/>
    <x v="172"/>
    <d v="2020-11-06T00:00:00"/>
    <d v="2020-08-31T00:00:00"/>
    <s v="Released"/>
    <n v="2008"/>
    <n v="5.5013698630136982"/>
    <n v="45435.81369863014"/>
    <s v="Released 9/10/2020"/>
    <d v="2020-11-06T00:00:00"/>
  </r>
  <r>
    <x v="1"/>
    <s v="Esmay"/>
    <s v="D86924"/>
    <n v="11492218"/>
    <s v="CAL - Facility D"/>
    <x v="12"/>
    <s v="CC113124"/>
    <d v="2040-05-27T00:00:00"/>
    <d v="2021-03-15T00:00:00"/>
    <d v="2021-03-29T00:00:00"/>
    <d v="2021-03-30T00:00:00"/>
    <s v="Approved"/>
    <x v="174"/>
    <m/>
    <m/>
    <m/>
    <m/>
    <s v=""/>
    <s v=""/>
    <m/>
    <m/>
  </r>
  <r>
    <x v="7"/>
    <s v="Daniels"/>
    <s v="T46088"/>
    <n v="11927264"/>
    <s v="SATF FAC G"/>
    <x v="31"/>
    <s v="98F3428"/>
    <d v="2041-09-14T00:00:00"/>
    <d v="2019-09-11T00:00:00"/>
    <d v="2019-10-01T00:00:00"/>
    <d v="2019-10-03T00:00:00"/>
    <s v="Declined"/>
    <x v="27"/>
    <m/>
    <m/>
    <m/>
    <m/>
    <s v=""/>
    <s v=""/>
    <m/>
    <m/>
  </r>
  <r>
    <x v="7"/>
    <s v="Mullenix"/>
    <s v="X34327"/>
    <n v="11036605"/>
    <s v="CCWF FAC C "/>
    <x v="2"/>
    <s v="06WF2607"/>
    <d v="2028-02-10T00:00:00"/>
    <d v="2019-04-29T00:00:00"/>
    <d v="2019-10-14T00:00:00"/>
    <d v="2019-10-15T00:00:00"/>
    <s v="Approved"/>
    <x v="172"/>
    <m/>
    <m/>
    <m/>
    <m/>
    <s v=""/>
    <s v=""/>
    <m/>
    <m/>
  </r>
  <r>
    <x v="7"/>
    <s v="Figueroa"/>
    <s v="T43011"/>
    <n v="11925509"/>
    <s v="VSP FAC A "/>
    <x v="0"/>
    <s v="LA037158"/>
    <d v="2027-05-20T00:00:00"/>
    <d v="2019-09-12T00:00:00"/>
    <d v="2019-10-10T00:00:00"/>
    <d v="2019-10-15T00:00:00"/>
    <s v="Approved"/>
    <x v="172"/>
    <d v="2019-12-10T00:00:00"/>
    <d v="2019-12-06T00:00:00"/>
    <s v="Reduced"/>
    <n v="2714"/>
    <n v="7.4356164383561643"/>
    <n v="61410.756164383565"/>
    <s v="Released date 1/23/2020"/>
    <d v="2019-12-10T00:00:00"/>
  </r>
  <r>
    <x v="11"/>
    <s v="Haggard"/>
    <s v="AN1590"/>
    <n v="11307498"/>
    <s v="CAL-Facility C"/>
    <x v="9"/>
    <s v="FSB1001307"/>
    <d v="2033-06-08T00:00:00"/>
    <d v="2019-10-07T00:00:00"/>
    <d v="2019-10-09T00:00:00"/>
    <d v="2019-11-26T00:00:00"/>
    <s v="Declined"/>
    <x v="27"/>
    <m/>
    <m/>
    <m/>
    <m/>
    <s v=""/>
    <s v=""/>
    <m/>
    <m/>
  </r>
  <r>
    <x v="11"/>
    <s v="McCoy"/>
    <s v="P69646"/>
    <n v="11883441"/>
    <s v="MCSP-Facility A"/>
    <x v="0"/>
    <s v="NA092316"/>
    <d v="2033-07-28T00:00:00"/>
    <d v="2019-10-07T00:00:00"/>
    <d v="2019-10-09T00:00:00"/>
    <d v="2019-11-26T00:00:00"/>
    <s v="Approved"/>
    <x v="90"/>
    <d v="2020-04-29T00:00:00"/>
    <d v="2020-02-18T00:00:00"/>
    <s v="No action - due to plea"/>
    <m/>
    <s v=""/>
    <s v=""/>
    <m/>
    <d v="2020-04-29T00:00:00"/>
  </r>
  <r>
    <x v="11"/>
    <s v="Gathright"/>
    <s v="AU4510"/>
    <n v="11942914"/>
    <s v="RJD-Facility D"/>
    <x v="0"/>
    <s v="BA410472"/>
    <d v="2033-08-25T00:00:00"/>
    <d v="2019-10-07T00:00:00"/>
    <d v="2019-10-09T00:00:00"/>
    <d v="2019-11-26T00:00:00"/>
    <s v="Approved"/>
    <x v="90"/>
    <m/>
    <m/>
    <m/>
    <m/>
    <s v=""/>
    <s v=""/>
    <m/>
    <m/>
  </r>
  <r>
    <x v="11"/>
    <s v="Deltoro"/>
    <s v="AT2917"/>
    <n v="12004659"/>
    <s v="CCI-Facility C"/>
    <x v="12"/>
    <s v="CC818794"/>
    <d v="2033-05-26T00:00:00"/>
    <d v="2019-10-07T00:00:00"/>
    <d v="2019-10-09T00:00:00"/>
    <d v="2019-11-26T00:00:00"/>
    <s v="Approved"/>
    <x v="90"/>
    <d v="2020-02-04T00:00:00"/>
    <d v="2020-01-27T00:00:00"/>
    <s v="No action - reason provided"/>
    <m/>
    <s v=""/>
    <s v=""/>
    <m/>
    <d v="2020-02-04T00:00:00"/>
  </r>
  <r>
    <x v="11"/>
    <s v="Hernandez"/>
    <s v="AH7110"/>
    <n v="11369514"/>
    <s v="SVSP-Facilty B"/>
    <x v="13"/>
    <s v="BF143220A"/>
    <d v="2033-10-12T00:00:00"/>
    <d v="2019-10-07T00:00:00"/>
    <d v="2019-10-09T00:00:00"/>
    <d v="2019-11-26T00:00:00"/>
    <s v="Declined"/>
    <x v="27"/>
    <m/>
    <m/>
    <m/>
    <m/>
    <s v=""/>
    <s v=""/>
    <m/>
    <m/>
  </r>
  <r>
    <x v="11"/>
    <s v="Anthony"/>
    <s v="AS7546"/>
    <n v="11847669"/>
    <s v="CAL-Facility AQ"/>
    <x v="21"/>
    <s v="SF122844A"/>
    <d v="2033-10-23T00:00:00"/>
    <d v="2019-10-07T00:00:00"/>
    <d v="2019-10-09T00:00:00"/>
    <d v="2019-11-26T00:00:00"/>
    <s v="Declined"/>
    <x v="27"/>
    <m/>
    <m/>
    <m/>
    <m/>
    <s v=""/>
    <s v=""/>
    <m/>
    <m/>
  </r>
  <r>
    <x v="11"/>
    <s v="Wilson"/>
    <s v="AV7094"/>
    <n v="1127145"/>
    <s v="SOL-Facility D"/>
    <x v="20"/>
    <n v="172500"/>
    <d v="2033-08-24T00:00:00"/>
    <d v="2019-10-07T00:00:00"/>
    <d v="2019-10-09T00:00:00"/>
    <d v="2019-11-26T00:00:00"/>
    <s v="Declined"/>
    <x v="27"/>
    <m/>
    <m/>
    <m/>
    <m/>
    <s v=""/>
    <s v=""/>
    <m/>
    <m/>
  </r>
  <r>
    <x v="11"/>
    <s v="Van Otten "/>
    <s v="AP0141"/>
    <n v="11182098"/>
    <s v="RJD-Facility E"/>
    <x v="10"/>
    <s v="SCD237822"/>
    <d v="2033-10-01T00:00:00"/>
    <d v="2019-10-07T00:00:00"/>
    <d v="2019-10-09T00:00:00"/>
    <d v="2019-11-26T00:00:00"/>
    <s v="Approved"/>
    <x v="90"/>
    <m/>
    <m/>
    <m/>
    <m/>
    <s v=""/>
    <s v=""/>
    <m/>
    <m/>
  </r>
  <r>
    <x v="11"/>
    <s v="Martinez"/>
    <s v="AX3660"/>
    <n v="11373534"/>
    <s v="PVSP-Facility C"/>
    <x v="2"/>
    <s v="12CF3455"/>
    <d v="2034-01-11T00:00:00"/>
    <d v="2019-10-07T00:00:00"/>
    <d v="2019-10-09T00:00:00"/>
    <d v="2019-11-26T00:00:00"/>
    <s v="Approved"/>
    <x v="90"/>
    <m/>
    <m/>
    <m/>
    <m/>
    <s v=""/>
    <s v=""/>
    <m/>
    <m/>
  </r>
  <r>
    <x v="11"/>
    <s v="Carrol"/>
    <s v="AM3100"/>
    <n v="11990303"/>
    <s v="LAC-Facility A"/>
    <x v="9"/>
    <s v="FSB702049"/>
    <d v="2034-01-22T00:00:00"/>
    <d v="2019-10-07T00:00:00"/>
    <d v="2019-10-09T00:00:00"/>
    <d v="2019-11-26T00:00:00"/>
    <s v="Approved"/>
    <x v="90"/>
    <d v="2020-01-09T00:00:00"/>
    <d v="2019-12-20T00:00:00"/>
    <s v="No action - reason provided"/>
    <m/>
    <s v=""/>
    <s v=""/>
    <s v="Plea Bargain"/>
    <d v="2020-01-09T00:00:00"/>
  </r>
  <r>
    <x v="1"/>
    <s v="Esparza"/>
    <s v="AP5864"/>
    <n v="11938041"/>
    <s v="COR - Facility 03B"/>
    <x v="3"/>
    <s v="F13900454"/>
    <d v="2038-10-19T00:00:00"/>
    <d v="2020-08-04T00:00:00"/>
    <d v="2020-09-04T00:00:00"/>
    <d v="2020-09-08T00:00:00"/>
    <s v="Approved"/>
    <x v="71"/>
    <m/>
    <m/>
    <m/>
    <m/>
    <s v=""/>
    <s v=""/>
    <m/>
    <m/>
  </r>
  <r>
    <x v="6"/>
    <s v="Davis"/>
    <s v="G33351"/>
    <n v="11630804"/>
    <s v="SVSP- Facility D"/>
    <x v="13"/>
    <s v="SF018517A"/>
    <d v="2035-03-08T00:00:00"/>
    <d v="2019-09-18T00:00:00"/>
    <d v="2019-09-20T00:00:00"/>
    <d v="2019-09-23T00:00:00"/>
    <s v="Approved"/>
    <x v="116"/>
    <m/>
    <d v="2020-11-05T00:00:00"/>
    <s v="Pending Court (Date in Notes)"/>
    <m/>
    <s v=""/>
    <s v=""/>
    <s v="Resent to the Secretary on 03/05/2020 Originally sent 10/14/19"/>
    <m/>
  </r>
  <r>
    <x v="7"/>
    <s v="Uyemura"/>
    <s v="AA1834"/>
    <n v="11322526"/>
    <s v="CCI Facility E"/>
    <x v="8"/>
    <s v="RIF131216"/>
    <d v="2028-06-06T00:00:00"/>
    <d v="2019-10-11T00:00:00"/>
    <d v="2019-10-31T00:00:00"/>
    <d v="2019-10-31T00:00:00"/>
    <s v="Declined"/>
    <x v="27"/>
    <m/>
    <m/>
    <m/>
    <m/>
    <s v=""/>
    <s v=""/>
    <m/>
    <m/>
  </r>
  <r>
    <x v="1"/>
    <s v="Espinoza"/>
    <s v="F90534"/>
    <n v="11603926"/>
    <s v="CCI FAC E"/>
    <x v="0"/>
    <s v="TA084148"/>
    <d v="2034-01-12T00:00:00"/>
    <d v="2019-05-17T00:00:00"/>
    <d v="2019-05-29T00:00:00"/>
    <d v="2019-05-29T00:00:00"/>
    <s v="Approved"/>
    <x v="103"/>
    <d v="2019-09-18T00:00:00"/>
    <d v="2019-08-22T00:00:00"/>
    <s v="No action - reason provided"/>
    <m/>
    <s v=""/>
    <s v=""/>
    <m/>
    <m/>
  </r>
  <r>
    <x v="11"/>
    <s v="Harper"/>
    <s v="AR4947"/>
    <n v="11261626"/>
    <s v="CRC-Facility A"/>
    <x v="0"/>
    <s v="BA400715"/>
    <d v="2021-11-03T00:00:00"/>
    <d v="2019-08-05T00:00:00"/>
    <d v="2019-08-05T00:00:00"/>
    <d v="2019-10-21T00:00:00"/>
    <s v="Declined"/>
    <x v="27"/>
    <m/>
    <m/>
    <m/>
    <m/>
    <s v=""/>
    <s v=""/>
    <m/>
    <m/>
  </r>
  <r>
    <x v="11"/>
    <s v="Gallardo"/>
    <s v="AL1990"/>
    <n v="11194075"/>
    <s v="CRC-Facility D"/>
    <x v="8"/>
    <s v="SWF026737"/>
    <d v="2025-10-26T00:00:00"/>
    <d v="2019-10-11T00:00:00"/>
    <d v="2019-10-14T00:00:00"/>
    <d v="2019-11-19T00:00:00"/>
    <s v="Approved"/>
    <x v="175"/>
    <d v="2021-05-26T00:00:00"/>
    <d v="2021-05-10T00:00:00"/>
    <s v="Reduced"/>
    <n v="1412"/>
    <n v="3.8684931506849316"/>
    <n v="31949.884931506851"/>
    <m/>
    <d v="2021-05-28T00:00:00"/>
  </r>
  <r>
    <x v="11"/>
    <s v="Johnson"/>
    <s v="AT4612"/>
    <n v="12114024"/>
    <s v="CAC-Facility B"/>
    <x v="0"/>
    <s v="VA133055"/>
    <d v="2025-06-20T00:00:00"/>
    <d v="2019-10-11T00:00:00"/>
    <d v="2019-10-14T00:00:00"/>
    <d v="2019-11-19T00:00:00"/>
    <s v="Approved"/>
    <x v="175"/>
    <m/>
    <m/>
    <m/>
    <m/>
    <s v=""/>
    <s v=""/>
    <m/>
    <m/>
  </r>
  <r>
    <x v="11"/>
    <s v="Foster"/>
    <s v="AM2386"/>
    <n v="11167831"/>
    <s v="CIM-Facility D"/>
    <x v="0"/>
    <s v="NA090097"/>
    <d v="2025-11-06T00:00:00"/>
    <d v="2019-10-11T00:00:00"/>
    <d v="2019-10-14T00:00:00"/>
    <d v="2019-11-19T00:00:00"/>
    <s v="Approved"/>
    <x v="175"/>
    <d v="2020-01-07T00:00:00"/>
    <d v="2019-12-05T00:00:00"/>
    <s v="No action - reason provided"/>
    <m/>
    <s v=""/>
    <s v=""/>
    <s v="denied based on nature of the crime and past criminality"/>
    <d v="2020-01-07T00:00:00"/>
  </r>
  <r>
    <x v="11"/>
    <s v="Jackson"/>
    <s v="AU8729"/>
    <n v="11106587"/>
    <s v="CMF-Facility A"/>
    <x v="20"/>
    <n v="173104"/>
    <d v="2025-10-04T00:00:00"/>
    <d v="2019-10-11T00:00:00"/>
    <d v="2019-10-14T00:00:00"/>
    <d v="2019-11-19T00:00:00"/>
    <s v="Approved"/>
    <x v="175"/>
    <d v="2020-02-25T00:00:00"/>
    <d v="2020-01-30T00:00:00"/>
    <s v="No action - reason provided"/>
    <m/>
    <s v=""/>
    <s v=""/>
    <m/>
    <d v="2020-02-26T00:00:00"/>
  </r>
  <r>
    <x v="11"/>
    <s v="Housh"/>
    <s v="AP4109"/>
    <n v="11315195"/>
    <s v="CMF-Facility A"/>
    <x v="23"/>
    <s v="SC176430"/>
    <d v="2025-10-25T00:00:00"/>
    <d v="2019-10-11T00:00:00"/>
    <d v="2019-10-14T00:00:00"/>
    <d v="2019-11-19T00:00:00"/>
    <s v="Approved"/>
    <x v="175"/>
    <d v="2020-02-04T00:00:00"/>
    <d v="2020-01-14T00:00:00"/>
    <s v="Reduced"/>
    <n v="1826.25"/>
    <n v="5.0034246575342465"/>
    <n v="41323.284246575342"/>
    <m/>
    <d v="2020-02-04T00:00:00"/>
  </r>
  <r>
    <x v="11"/>
    <s v="Easley"/>
    <s v="AT3091"/>
    <n v="11093262"/>
    <s v="CAC-Facility B"/>
    <x v="0"/>
    <s v="SA085062"/>
    <d v="2025-11-13T00:00:00"/>
    <d v="2019-10-11T00:00:00"/>
    <d v="2019-10-14T00:00:00"/>
    <d v="2019-11-19T00:00:00"/>
    <s v="Approved"/>
    <x v="175"/>
    <d v="2020-03-16T00:00:00"/>
    <d v="2020-02-07T00:00:00"/>
    <s v="No action - no reason specified"/>
    <m/>
    <s v=""/>
    <s v=""/>
    <m/>
    <d v="2020-03-16T00:00:00"/>
  </r>
  <r>
    <x v="11"/>
    <s v="Guzman"/>
    <s v="F53211"/>
    <n v="11203848"/>
    <s v="LAC-Facility A"/>
    <x v="0"/>
    <s v="SA065277"/>
    <d v="2025-11-17T00:00:00"/>
    <d v="2019-10-11T00:00:00"/>
    <d v="2019-10-14T00:00:00"/>
    <d v="2019-11-19T00:00:00"/>
    <s v="Approved"/>
    <x v="175"/>
    <d v="2020-01-06T00:00:00"/>
    <d v="2019-12-12T00:00:00"/>
    <s v="No action - reason provided"/>
    <m/>
    <s v=""/>
    <s v=""/>
    <m/>
    <d v="2020-01-06T00:00:00"/>
  </r>
  <r>
    <x v="11"/>
    <s v="James"/>
    <s v="AE6860"/>
    <n v="11061902"/>
    <s v="MCSP-Facility C"/>
    <x v="0"/>
    <s v="NA083861"/>
    <d v="2025-11-17T00:00:00"/>
    <d v="2019-10-11T00:00:00"/>
    <d v="2019-10-14T00:00:00"/>
    <d v="2019-11-19T00:00:00"/>
    <s v="Approved"/>
    <x v="175"/>
    <d v="2019-12-17T00:00:00"/>
    <d v="2019-12-06T00:00:00"/>
    <s v="No action - reason provided"/>
    <m/>
    <s v=""/>
    <s v=""/>
    <s v="denied based on i/m is a danger to community "/>
    <d v="2019-12-18T00:00:00"/>
  </r>
  <r>
    <x v="11"/>
    <s v="Vasquez"/>
    <s v="AR8012"/>
    <n v="11660635"/>
    <s v="ISP-Facility B"/>
    <x v="10"/>
    <s v="SCS265943"/>
    <d v="2025-11-19T00:00:00"/>
    <d v="2019-10-11T00:00:00"/>
    <d v="2019-10-14T00:00:00"/>
    <d v="2019-11-19T00:00:00"/>
    <s v="Approved"/>
    <x v="175"/>
    <m/>
    <m/>
    <m/>
    <m/>
    <s v=""/>
    <s v=""/>
    <m/>
    <m/>
  </r>
  <r>
    <x v="11"/>
    <s v="Grant"/>
    <s v="AT4408"/>
    <n v="11188354"/>
    <s v="CMC-Facility E"/>
    <x v="0"/>
    <s v="BA417351"/>
    <d v="2024-12-28T00:00:00"/>
    <d v="2019-10-18T00:00:00"/>
    <d v="2019-10-21T00:00:00"/>
    <d v="2019-12-02T00:00:00"/>
    <s v="Declined"/>
    <x v="27"/>
    <m/>
    <m/>
    <m/>
    <m/>
    <s v=""/>
    <s v=""/>
    <m/>
    <m/>
  </r>
  <r>
    <x v="11"/>
    <s v="Grant"/>
    <s v="AT4408"/>
    <n v="11188354"/>
    <s v="CMC-Facility E"/>
    <x v="0"/>
    <s v="BA422973"/>
    <d v="2024-12-28T00:00:00"/>
    <d v="2019-10-18T00:00:00"/>
    <d v="2019-10-21T00:00:00"/>
    <d v="2019-12-02T00:00:00"/>
    <s v="Declined"/>
    <x v="27"/>
    <m/>
    <m/>
    <m/>
    <m/>
    <s v=""/>
    <s v=""/>
    <m/>
    <m/>
  </r>
  <r>
    <x v="11"/>
    <s v="Amaya"/>
    <s v="BA8563"/>
    <n v="12011238"/>
    <s v="PVSP-Facility B"/>
    <x v="0"/>
    <s v="NA094687"/>
    <d v="2025-06-16T00:00:00"/>
    <d v="2019-10-18T00:00:00"/>
    <d v="2019-10-21T00:00:00"/>
    <d v="2019-12-02T00:00:00"/>
    <s v="Declined"/>
    <x v="27"/>
    <m/>
    <m/>
    <m/>
    <m/>
    <s v=""/>
    <s v=""/>
    <m/>
    <m/>
  </r>
  <r>
    <x v="11"/>
    <s v="Sheppard"/>
    <s v="AM5596"/>
    <n v="11972940"/>
    <s v="CTF-Facility C"/>
    <x v="0"/>
    <s v="PA067817"/>
    <d v="2025-03-13T00:00:00"/>
    <d v="2019-10-18T00:00:00"/>
    <d v="2019-10-21T00:00:00"/>
    <d v="2019-12-02T00:00:00"/>
    <s v="Declined"/>
    <x v="27"/>
    <m/>
    <m/>
    <m/>
    <m/>
    <s v=""/>
    <s v=""/>
    <m/>
    <m/>
  </r>
  <r>
    <x v="11"/>
    <s v="Ramos"/>
    <s v="G64724"/>
    <n v="11228214"/>
    <s v="MCSP-Facility D"/>
    <x v="0"/>
    <s v="LA059184"/>
    <d v="2024-02-18T00:00:00"/>
    <d v="2019-10-18T00:00:00"/>
    <d v="2019-10-21T00:00:00"/>
    <d v="2019-12-02T00:00:00"/>
    <s v="Approved"/>
    <x v="90"/>
    <m/>
    <m/>
    <m/>
    <m/>
    <s v=""/>
    <s v=""/>
    <m/>
    <m/>
  </r>
  <r>
    <x v="11"/>
    <s v="Beckemeyer"/>
    <s v="AS7825"/>
    <n v="11112557"/>
    <s v="ASP-Facility A"/>
    <x v="10"/>
    <s v="SCE317734"/>
    <d v="2025-03-17T00:00:00"/>
    <d v="2019-10-18T00:00:00"/>
    <d v="2019-10-21T00:00:00"/>
    <d v="2019-12-02T00:00:00"/>
    <s v="Approved"/>
    <x v="90"/>
    <d v="2019-12-24T00:00:00"/>
    <d v="2019-12-19T00:00:00"/>
    <s v="No action - no reason specified"/>
    <m/>
    <s v=""/>
    <s v=""/>
    <m/>
    <d v="2020-01-03T00:00:00"/>
  </r>
  <r>
    <x v="7"/>
    <s v="Long"/>
    <s v="G64902"/>
    <n v="11228223"/>
    <s v="CAC - Facility C"/>
    <x v="0"/>
    <s v="TA099269"/>
    <d v="2029-10-15T00:00:00"/>
    <d v="2020-02-20T00:00:00"/>
    <d v="2020-03-05T00:00:00"/>
    <d v="2020-03-09T00:00:00"/>
    <s v="Approved"/>
    <x v="137"/>
    <d v="2021-04-14T00:00:00"/>
    <d v="2020-11-05T00:00:00"/>
    <s v="Released"/>
    <n v="3108"/>
    <n v="8.5150684931506841"/>
    <n v="70325.950684931508"/>
    <s v="Released on 4/12/21"/>
    <d v="2021-04-14T00:00:00"/>
  </r>
  <r>
    <x v="11"/>
    <s v="Cates"/>
    <s v="AK5898"/>
    <n v="11760965"/>
    <s v="CVSP-Facility C"/>
    <x v="2"/>
    <s v="11NF1542"/>
    <d v="2025-12-11T00:00:00"/>
    <d v="2019-10-18T00:00:00"/>
    <d v="2019-10-21T00:00:00"/>
    <d v="2019-12-02T00:00:00"/>
    <s v="Approved"/>
    <x v="90"/>
    <d v="2020-01-28T00:00:00"/>
    <d v="2019-12-17T00:00:00"/>
    <s v="No action - no reason specified"/>
    <m/>
    <s v=""/>
    <s v=""/>
    <m/>
    <d v="2020-01-28T00:00:00"/>
  </r>
  <r>
    <x v="11"/>
    <s v="Cates"/>
    <s v="AK5898"/>
    <n v="11760965"/>
    <s v="CVSP-Facility C"/>
    <x v="10"/>
    <s v="SCN284992"/>
    <d v="2025-12-11T00:00:00"/>
    <d v="2019-10-18T00:00:00"/>
    <d v="2019-10-21T00:00:00"/>
    <d v="2019-12-02T00:00:00"/>
    <s v="Approved"/>
    <x v="90"/>
    <m/>
    <m/>
    <m/>
    <m/>
    <s v=""/>
    <s v=""/>
    <m/>
    <m/>
  </r>
  <r>
    <x v="11"/>
    <s v="Green"/>
    <s v="G41962"/>
    <n v="11636396"/>
    <s v="CMC-Facility A"/>
    <x v="10"/>
    <s v="SCD248863"/>
    <d v="2025-07-20T00:00:00"/>
    <d v="2019-10-18T00:00:00"/>
    <d v="2019-10-21T00:00:00"/>
    <d v="2019-12-02T00:00:00"/>
    <s v="Approved"/>
    <x v="90"/>
    <d v="2020-03-03T00:00:00"/>
    <d v="2020-02-21T00:00:00"/>
    <s v="No action - due to plea"/>
    <m/>
    <s v=""/>
    <s v=""/>
    <m/>
    <d v="2020-03-11T00:00:00"/>
  </r>
  <r>
    <x v="11"/>
    <s v="Ramos"/>
    <s v="G19901"/>
    <n v="11218463"/>
    <s v="CIM-Facility A"/>
    <x v="0"/>
    <s v="VA123137"/>
    <d v="2025-01-29T00:00:00"/>
    <d v="2019-10-18T00:00:00"/>
    <d v="2019-10-21T00:00:00"/>
    <d v="2019-12-02T00:00:00"/>
    <s v="Approved"/>
    <x v="90"/>
    <d v="2021-02-08T00:00:00"/>
    <d v="2021-02-01T00:00:00"/>
    <s v="Reduced"/>
    <n v="365.25"/>
    <n v="1.0006849315068493"/>
    <n v="8264.656849315068"/>
    <m/>
    <d v="2021-02-24T00:00:00"/>
  </r>
  <r>
    <x v="11"/>
    <s v="Martin"/>
    <s v="B60373"/>
    <n v="11389820"/>
    <s v="CMF-Facility B"/>
    <x v="9"/>
    <s v="SCR44997"/>
    <d v="2053-07-02T00:00:00"/>
    <d v="2019-10-21T00:00:00"/>
    <d v="2019-10-21T00:00:00"/>
    <d v="2019-12-12T00:00:00"/>
    <s v="Declined"/>
    <x v="27"/>
    <m/>
    <m/>
    <m/>
    <m/>
    <s v=""/>
    <s v=""/>
    <m/>
    <m/>
  </r>
  <r>
    <x v="11"/>
    <s v="Martin"/>
    <s v="B60373"/>
    <n v="11389820"/>
    <s v="CMF-Facility B"/>
    <x v="12"/>
    <n v="92934"/>
    <d v="2053-07-02T00:00:00"/>
    <d v="2019-10-21T00:00:00"/>
    <d v="2019-10-21T00:00:00"/>
    <d v="2019-12-12T00:00:00"/>
    <s v="Approved"/>
    <x v="176"/>
    <m/>
    <m/>
    <m/>
    <m/>
    <s v=""/>
    <s v=""/>
    <m/>
    <m/>
  </r>
  <r>
    <x v="11"/>
    <s v="Martin"/>
    <s v="B60373"/>
    <n v="11389820"/>
    <s v="CMF-Facility B"/>
    <x v="0"/>
    <s v="A089763"/>
    <d v="2053-07-02T00:00:00"/>
    <d v="2019-10-21T00:00:00"/>
    <d v="2019-10-21T00:00:00"/>
    <d v="2019-12-12T00:00:00"/>
    <s v="Approved"/>
    <x v="176"/>
    <d v="2020-04-29T00:00:00"/>
    <d v="2020-04-10T00:00:00"/>
    <s v="No action - reason provided"/>
    <m/>
    <s v=""/>
    <s v=""/>
    <m/>
    <d v="2020-04-29T00:00:00"/>
  </r>
  <r>
    <x v="11"/>
    <s v="Smith"/>
    <s v="AS5667"/>
    <n v="11920988"/>
    <s v="SATF-Facility G"/>
    <x v="8"/>
    <s v="RIF1105233"/>
    <d v="2027-10-24T00:00:00"/>
    <d v="2019-10-21T00:00:00"/>
    <d v="2019-10-21T00:00:00"/>
    <d v="2019-12-12T00:00:00"/>
    <s v="Declined"/>
    <x v="27"/>
    <m/>
    <m/>
    <m/>
    <m/>
    <s v=""/>
    <s v=""/>
    <m/>
    <m/>
  </r>
  <r>
    <x v="11"/>
    <s v="Brashear"/>
    <s v="BC0467"/>
    <n v="11207970"/>
    <s v="ISP-Facility B"/>
    <x v="41"/>
    <s v="13-1097"/>
    <d v="2024-08-25T00:00:00"/>
    <d v="2019-10-21T00:00:00"/>
    <d v="2019-10-21T00:00:00"/>
    <d v="2019-12-12T00:00:00"/>
    <s v="Declined"/>
    <x v="27"/>
    <m/>
    <m/>
    <m/>
    <m/>
    <s v=""/>
    <s v=""/>
    <m/>
    <m/>
  </r>
  <r>
    <x v="11"/>
    <s v="Alcantar"/>
    <s v="AN6970"/>
    <n v="11093226"/>
    <s v="MCSP-Facility D"/>
    <x v="11"/>
    <s v="VCF250845"/>
    <d v="2021-10-13T00:00:00"/>
    <d v="2019-10-21T00:00:00"/>
    <d v="2019-10-21T00:00:00"/>
    <d v="2019-12-12T00:00:00"/>
    <s v="Declined"/>
    <x v="27"/>
    <m/>
    <m/>
    <m/>
    <m/>
    <s v=""/>
    <s v=""/>
    <m/>
    <m/>
  </r>
  <r>
    <x v="11"/>
    <s v="Duran"/>
    <s v="AT1871"/>
    <n v="11544988"/>
    <s v="SATF-Facility A"/>
    <x v="0"/>
    <s v="GA087267"/>
    <d v="2021-07-12T00:00:00"/>
    <d v="2019-10-21T00:00:00"/>
    <d v="2019-10-21T00:00:00"/>
    <d v="2019-12-12T00:00:00"/>
    <s v="Approved"/>
    <x v="176"/>
    <m/>
    <m/>
    <m/>
    <m/>
    <s v=""/>
    <s v=""/>
    <m/>
    <m/>
  </r>
  <r>
    <x v="11"/>
    <s v="Horton"/>
    <s v="F69872"/>
    <n v="11207633"/>
    <s v="CMF-Facility A"/>
    <x v="10"/>
    <s v="SCE264213"/>
    <d v="2025-09-12T00:00:00"/>
    <d v="2019-10-21T00:00:00"/>
    <d v="2019-10-21T00:00:00"/>
    <d v="2019-12-12T00:00:00"/>
    <s v="Declined"/>
    <x v="27"/>
    <m/>
    <m/>
    <m/>
    <m/>
    <s v=""/>
    <s v=""/>
    <s v="Inmate deceased as of 02/21/2020"/>
    <m/>
  </r>
  <r>
    <x v="11"/>
    <s v="Dellett"/>
    <s v="AS9872"/>
    <n v="11173046"/>
    <s v="CIM-Facility A"/>
    <x v="20"/>
    <s v="H55244"/>
    <d v="2021-11-29T00:00:00"/>
    <d v="2019-10-21T00:00:00"/>
    <d v="2019-10-21T00:00:00"/>
    <d v="2019-12-12T00:00:00"/>
    <s v="Declined"/>
    <x v="27"/>
    <m/>
    <m/>
    <m/>
    <m/>
    <s v=""/>
    <s v=""/>
    <m/>
    <m/>
  </r>
  <r>
    <x v="11"/>
    <s v="Onsurez"/>
    <s v="AT8169"/>
    <n v="11886390"/>
    <s v="PUMCCF-Taft"/>
    <x v="11"/>
    <s v="VCF273185"/>
    <d v="2027-08-16T00:00:00"/>
    <d v="2019-10-21T00:00:00"/>
    <d v="2019-10-21T00:00:00"/>
    <d v="2019-12-12T00:00:00"/>
    <s v="Declined"/>
    <x v="27"/>
    <m/>
    <m/>
    <m/>
    <m/>
    <s v=""/>
    <s v=""/>
    <m/>
    <m/>
  </r>
  <r>
    <x v="11"/>
    <s v="Rhodes"/>
    <s v="F42575"/>
    <n v="11105926"/>
    <s v="SOL-Facility D"/>
    <x v="17"/>
    <s v="11F04725"/>
    <d v="2028-08-20T00:00:00"/>
    <d v="2019-10-21T00:00:00"/>
    <d v="2019-10-21T00:00:00"/>
    <d v="2019-12-12T00:00:00"/>
    <s v="Approved"/>
    <x v="176"/>
    <m/>
    <m/>
    <m/>
    <m/>
    <s v=""/>
    <s v=""/>
    <m/>
    <m/>
  </r>
  <r>
    <x v="11"/>
    <s v="Green"/>
    <s v="H10769"/>
    <n v="11658435"/>
    <s v="CAC-Facility C"/>
    <x v="0"/>
    <s v="TA064430"/>
    <d v="2021-10-26T00:00:00"/>
    <d v="2019-10-21T00:00:00"/>
    <d v="2019-10-21T00:00:00"/>
    <d v="2019-12-12T00:00:00"/>
    <s v="Declined"/>
    <x v="27"/>
    <m/>
    <m/>
    <m/>
    <m/>
    <s v=""/>
    <s v=""/>
    <m/>
    <m/>
  </r>
  <r>
    <x v="11"/>
    <s v="Coulter"/>
    <s v="H96215"/>
    <n v="11247916"/>
    <s v="CMC-Facility A"/>
    <x v="0"/>
    <s v="YA073305"/>
    <d v="2034-01-09T00:00:00"/>
    <d v="2019-10-21T00:00:00"/>
    <d v="2019-10-23T00:00:00"/>
    <d v="2019-12-19T00:00:00"/>
    <s v="Declined"/>
    <x v="27"/>
    <m/>
    <m/>
    <m/>
    <m/>
    <s v=""/>
    <s v=""/>
    <m/>
    <m/>
  </r>
  <r>
    <x v="11"/>
    <s v="Holt"/>
    <s v="AU7360"/>
    <n v="11891349"/>
    <s v="LAC-Facility A"/>
    <x v="0"/>
    <s v="PA073689"/>
    <d v="2033-07-23T00:00:00"/>
    <d v="2019-10-21T00:00:00"/>
    <d v="2019-10-23T00:00:00"/>
    <d v="2019-12-19T00:00:00"/>
    <s v="Declined"/>
    <x v="27"/>
    <m/>
    <m/>
    <m/>
    <m/>
    <s v=""/>
    <s v=""/>
    <m/>
    <m/>
  </r>
  <r>
    <x v="11"/>
    <s v="Trotter"/>
    <s v="AV1577"/>
    <n v="12123421"/>
    <s v="CCI-Facilty C"/>
    <x v="17"/>
    <s v="12F04801"/>
    <d v="2033-09-21T00:00:00"/>
    <d v="2019-10-21T00:00:00"/>
    <d v="2019-10-23T00:00:00"/>
    <d v="2019-12-19T00:00:00"/>
    <s v="Declined"/>
    <x v="27"/>
    <m/>
    <m/>
    <m/>
    <m/>
    <s v=""/>
    <s v=""/>
    <m/>
    <m/>
  </r>
  <r>
    <x v="11"/>
    <s v="Coronel Jr"/>
    <s v="AS9431"/>
    <n v="11597663"/>
    <s v="CAL-Facility C"/>
    <x v="8"/>
    <s v="INF1300528"/>
    <d v="2034-05-24T00:00:00"/>
    <d v="2019-10-21T00:00:00"/>
    <d v="2019-10-23T00:00:00"/>
    <d v="2019-12-19T00:00:00"/>
    <s v="Declined"/>
    <x v="27"/>
    <m/>
    <m/>
    <m/>
    <m/>
    <s v=""/>
    <s v=""/>
    <m/>
    <m/>
  </r>
  <r>
    <x v="11"/>
    <s v="Deal "/>
    <s v="G63240"/>
    <n v="11162726"/>
    <s v="CTF-Facility D"/>
    <x v="0"/>
    <s v="BA363085"/>
    <d v="2034-06-18T00:00:00"/>
    <d v="2019-10-21T00:00:00"/>
    <d v="2019-10-23T00:00:00"/>
    <d v="2019-12-19T00:00:00"/>
    <s v="Approved"/>
    <x v="154"/>
    <m/>
    <m/>
    <m/>
    <m/>
    <s v=""/>
    <s v=""/>
    <m/>
    <m/>
  </r>
  <r>
    <x v="11"/>
    <s v="Brown"/>
    <s v="AL0986"/>
    <n v="11141910"/>
    <s v="CMF-Facility A"/>
    <x v="18"/>
    <s v="05-110559-2"/>
    <d v="2034-08-21T00:00:00"/>
    <d v="2019-10-21T00:00:00"/>
    <d v="2019-10-23T00:00:00"/>
    <d v="2019-12-19T00:00:00"/>
    <s v="Declined"/>
    <x v="27"/>
    <m/>
    <m/>
    <m/>
    <m/>
    <s v=""/>
    <s v=""/>
    <m/>
    <m/>
  </r>
  <r>
    <x v="11"/>
    <s v="Pruitt"/>
    <s v="E24795"/>
    <n v="11511085"/>
    <s v="MCSP-Facility D"/>
    <x v="17"/>
    <s v="10F06215"/>
    <d v="2034-11-17T00:00:00"/>
    <d v="2019-10-21T00:00:00"/>
    <d v="2019-10-23T00:00:00"/>
    <d v="2019-12-19T00:00:00"/>
    <s v="Declined"/>
    <x v="27"/>
    <m/>
    <m/>
    <m/>
    <m/>
    <s v=""/>
    <s v=""/>
    <m/>
    <m/>
  </r>
  <r>
    <x v="1"/>
    <s v="Esqueda"/>
    <s v="AN7816"/>
    <n v="11311473"/>
    <s v="CCC-MSF"/>
    <x v="12"/>
    <s v="C1118634"/>
    <d v="2026-02-26T00:00:00"/>
    <d v="2021-03-22T00:00:00"/>
    <d v="2021-03-24T00:00:00"/>
    <d v="2021-03-24T00:00:00"/>
    <s v="Approved"/>
    <x v="72"/>
    <d v="2021-06-03T00:00:00"/>
    <d v="2021-04-23T00:00:00"/>
    <s v="No action - no reason specified"/>
    <m/>
    <s v=""/>
    <s v=""/>
    <m/>
    <d v="2021-06-17T00:00:00"/>
  </r>
  <r>
    <x v="11"/>
    <s v="Session"/>
    <s v="AC7679"/>
    <n v="11055103"/>
    <s v="LAC-Facility A"/>
    <x v="0"/>
    <s v="TA122594"/>
    <d v="2022-09-01T00:00:00"/>
    <d v="2019-10-23T00:00:00"/>
    <d v="2019-10-28T00:00:00"/>
    <d v="2019-12-19T00:00:00"/>
    <s v="Approved"/>
    <x v="176"/>
    <d v="2020-02-18T00:00:00"/>
    <d v="2020-01-31T00:00:00"/>
    <s v="No action - no reason specified"/>
    <m/>
    <s v=""/>
    <s v=""/>
    <m/>
    <d v="2020-02-18T00:00:00"/>
  </r>
  <r>
    <x v="11"/>
    <s v="Valencia"/>
    <s v="AI3810"/>
    <n v="11074878"/>
    <s v="VSP-Facility D"/>
    <x v="0"/>
    <s v="BA382330"/>
    <d v="2022-06-16T00:00:00"/>
    <d v="2019-10-23T00:00:00"/>
    <d v="2019-10-28T00:00:00"/>
    <d v="2019-12-19T00:00:00"/>
    <s v="Approved"/>
    <x v="176"/>
    <m/>
    <m/>
    <m/>
    <m/>
    <s v=""/>
    <s v=""/>
    <m/>
    <m/>
  </r>
  <r>
    <x v="11"/>
    <s v="Gaone"/>
    <s v="AR8569"/>
    <n v="11113451"/>
    <s v="MCSP-Facility E"/>
    <x v="0"/>
    <s v="BA411566"/>
    <d v="2021-08-19T00:00:00"/>
    <d v="2019-10-23T00:00:00"/>
    <d v="2019-10-28T00:00:00"/>
    <d v="2019-12-19T00:00:00"/>
    <s v="Approved"/>
    <x v="176"/>
    <m/>
    <m/>
    <m/>
    <m/>
    <s v=""/>
    <s v=""/>
    <m/>
    <m/>
  </r>
  <r>
    <x v="11"/>
    <s v="Jones"/>
    <s v="AW3984"/>
    <n v="11116001"/>
    <s v="LAC-Facility A"/>
    <x v="9"/>
    <s v="FVA1300710"/>
    <d v="2028-02-20T00:00:00"/>
    <d v="2019-10-23T00:00:00"/>
    <d v="2019-10-28T00:00:00"/>
    <d v="2019-12-19T00:00:00"/>
    <s v="Approved"/>
    <x v="176"/>
    <d v="2020-03-09T00:00:00"/>
    <d v="2020-03-03T00:00:00"/>
    <s v="No action - no reason specified"/>
    <m/>
    <s v=""/>
    <s v=""/>
    <m/>
    <d v="2020-03-11T00:00:00"/>
  </r>
  <r>
    <x v="11"/>
    <s v="Wesson"/>
    <s v="J04226"/>
    <n v="11125959"/>
    <s v="CMC-Facility G"/>
    <x v="21"/>
    <s v="MF036536"/>
    <d v="2027-06-09T00:00:00"/>
    <d v="2019-10-23T00:00:00"/>
    <d v="2019-10-28T00:00:00"/>
    <d v="2019-12-19T00:00:00"/>
    <s v="Approved"/>
    <x v="176"/>
    <m/>
    <m/>
    <m/>
    <m/>
    <s v=""/>
    <s v=""/>
    <m/>
    <m/>
  </r>
  <r>
    <x v="11"/>
    <s v="Barragan"/>
    <s v="H45552"/>
    <n v="11136221"/>
    <s v="CIM-Facility D"/>
    <x v="0"/>
    <s v="LA034658"/>
    <d v="2021-09-30T00:00:00"/>
    <d v="2019-10-23T00:00:00"/>
    <d v="2019-10-28T00:00:00"/>
    <d v="2019-12-19T00:00:00"/>
    <s v="Approved"/>
    <x v="154"/>
    <m/>
    <m/>
    <m/>
    <m/>
    <s v=""/>
    <s v=""/>
    <m/>
    <m/>
  </r>
  <r>
    <x v="11"/>
    <s v="Ridgeway"/>
    <s v="AV9240"/>
    <n v="11137429"/>
    <s v="CMF-Facility A"/>
    <x v="0"/>
    <s v="SA084191"/>
    <d v="2024-01-11T00:00:00"/>
    <d v="2019-10-23T00:00:00"/>
    <d v="2019-10-28T00:00:00"/>
    <d v="2019-12-19T00:00:00"/>
    <s v="Approved"/>
    <x v="154"/>
    <d v="2020-03-09T00:00:00"/>
    <d v="2020-02-21T00:00:00"/>
    <s v="No action - reason provided"/>
    <m/>
    <s v=""/>
    <s v=""/>
    <m/>
    <d v="2020-03-11T00:00:00"/>
  </r>
  <r>
    <x v="11"/>
    <s v="Castro"/>
    <s v="AL3184"/>
    <n v="12002873"/>
    <s v="VSP-Facility C"/>
    <x v="2"/>
    <s v="09NF2586"/>
    <d v="2021-12-28T00:00:00"/>
    <d v="2019-10-25T00:00:00"/>
    <d v="2019-10-21T00:00:00"/>
    <d v="2019-12-19T00:00:00"/>
    <s v="Declined"/>
    <x v="27"/>
    <m/>
    <m/>
    <m/>
    <m/>
    <s v=""/>
    <s v=""/>
    <m/>
    <m/>
  </r>
  <r>
    <x v="11"/>
    <s v="Biggers"/>
    <s v="J54366"/>
    <n v="11750800"/>
    <s v="CMC-Facility C"/>
    <x v="0"/>
    <s v="TA053330"/>
    <d v="2022-05-24T00:00:00"/>
    <d v="2019-10-25T00:00:00"/>
    <d v="2019-10-21T00:00:00"/>
    <d v="2019-12-19T00:00:00"/>
    <s v="Approved"/>
    <x v="154"/>
    <d v="2020-01-17T00:00:00"/>
    <d v="2020-01-09T00:00:00"/>
    <s v="No action - no reason specified"/>
    <m/>
    <s v=""/>
    <s v=""/>
    <m/>
    <d v="2020-01-17T00:00:00"/>
  </r>
  <r>
    <x v="11"/>
    <s v="Guzman"/>
    <s v="AT9609"/>
    <n v="12116836"/>
    <s v="CMC-Facility F"/>
    <x v="12"/>
    <s v="C1356148"/>
    <d v="2022-05-14T00:00:00"/>
    <d v="2019-10-25T00:00:00"/>
    <d v="2019-10-21T00:00:00"/>
    <d v="2019-12-19T00:00:00"/>
    <s v="Approved"/>
    <x v="154"/>
    <d v="2021-04-28T00:00:00"/>
    <d v="2021-01-26T00:00:00"/>
    <s v="Released"/>
    <n v="473"/>
    <n v="1.295890410958904"/>
    <n v="10702.758904109589"/>
    <m/>
    <d v="2021-05-05T00:00:00"/>
  </r>
  <r>
    <x v="11"/>
    <s v="Wilson"/>
    <s v="WE6467"/>
    <n v="11313421"/>
    <s v="FOL-Facility B"/>
    <x v="0"/>
    <s v="MA057023"/>
    <d v="2021-12-23T00:00:00"/>
    <d v="2019-10-25T00:00:00"/>
    <d v="2019-10-21T00:00:00"/>
    <d v="2019-12-19T00:00:00"/>
    <s v="Approved"/>
    <x v="154"/>
    <d v="2020-01-14T00:00:00"/>
    <d v="2019-12-23T00:00:00"/>
    <s v="No action - no reason specified"/>
    <m/>
    <s v=""/>
    <s v=""/>
    <m/>
    <d v="2020-01-15T00:00:00"/>
  </r>
  <r>
    <x v="11"/>
    <s v="Carnegie"/>
    <s v="AR5536"/>
    <n v="12102803"/>
    <s v="CHCF-Facility E"/>
    <x v="13"/>
    <s v="SF017368A"/>
    <d v="2022-05-06T00:00:00"/>
    <d v="2019-10-25T00:00:00"/>
    <d v="2019-10-21T00:00:00"/>
    <d v="2019-12-19T00:00:00"/>
    <s v="Approved"/>
    <x v="154"/>
    <d v="2020-03-09T00:00:00"/>
    <d v="2020-02-25T00:00:00"/>
    <s v="No action - no reason specified"/>
    <m/>
    <s v=""/>
    <s v=""/>
    <m/>
    <d v="2020-03-11T00:00:00"/>
  </r>
  <r>
    <x v="11"/>
    <s v="Sims"/>
    <s v="K60365"/>
    <n v="11806736"/>
    <s v="CEN-Facility A"/>
    <x v="0"/>
    <s v="YA066364"/>
    <d v="2023-01-07T00:00:00"/>
    <d v="2019-10-25T00:00:00"/>
    <d v="2019-10-21T00:00:00"/>
    <d v="2019-12-19T00:00:00"/>
    <s v="Declined"/>
    <x v="27"/>
    <m/>
    <m/>
    <m/>
    <m/>
    <s v=""/>
    <s v=""/>
    <m/>
    <m/>
  </r>
  <r>
    <x v="7"/>
    <s v="Daniels"/>
    <s v="G23416"/>
    <n v="1114120"/>
    <s v="SQ-Facility A"/>
    <x v="0"/>
    <s v="BA301458"/>
    <d v="2042-04-24T00:00:00"/>
    <d v="2020-08-11T00:00:00"/>
    <d v="2020-09-11T00:00:00"/>
    <d v="2020-09-17T00:00:00"/>
    <s v="Approved"/>
    <x v="171"/>
    <m/>
    <d v="2021-05-06T00:00:00"/>
    <s v="Pending Court (Date in Notes)"/>
    <m/>
    <s v=""/>
    <s v=""/>
    <m/>
    <m/>
  </r>
  <r>
    <x v="1"/>
    <s v="Estrada"/>
    <s v="AI3259"/>
    <n v="11373315"/>
    <s v="CTF - Facility B"/>
    <x v="10"/>
    <s v="SCD221501"/>
    <d v="2055-12-19T00:00:00"/>
    <d v="2020-09-01T00:00:00"/>
    <d v="2020-09-17T00:00:00"/>
    <d v="2020-09-17T00:00:00"/>
    <s v="Approved"/>
    <x v="71"/>
    <m/>
    <m/>
    <m/>
    <m/>
    <s v=""/>
    <s v=""/>
    <m/>
    <m/>
  </r>
  <r>
    <x v="7"/>
    <s v="Brown"/>
    <s v="W19836"/>
    <n v="10245889"/>
    <s v="CCWF Facility B"/>
    <x v="0"/>
    <s v="NA042723"/>
    <d v="2027-05-11T00:00:00"/>
    <d v="2019-03-11T00:00:00"/>
    <d v="2019-11-14T00:00:00"/>
    <d v="2019-11-14T00:00:00"/>
    <s v="Approved"/>
    <x v="96"/>
    <d v="2020-10-09T00:00:00"/>
    <d v="2020-10-06T00:00:00"/>
    <s v="Released"/>
    <n v="2239"/>
    <n v="6.1342465753424653"/>
    <n v="50662.742465753428"/>
    <s v="Released 10/9/2020"/>
    <d v="2020-10-30T00:00:00"/>
  </r>
  <r>
    <x v="11"/>
    <s v="Leos"/>
    <s v="AV7693"/>
    <n v="12127269"/>
    <s v="SATF-Facility E"/>
    <x v="11"/>
    <s v="VCF306715E"/>
    <d v="2030-03-10T00:00:00"/>
    <d v="2019-10-28T00:00:00"/>
    <d v="2019-10-29T00:00:00"/>
    <d v="2019-12-19T00:00:00"/>
    <s v="Declined"/>
    <x v="27"/>
    <m/>
    <m/>
    <m/>
    <m/>
    <s v=""/>
    <s v=""/>
    <m/>
    <m/>
  </r>
  <r>
    <x v="11"/>
    <s v="Mendoza"/>
    <s v="AS7707"/>
    <n v="11589777"/>
    <s v="SATF-Facility E"/>
    <x v="24"/>
    <n v="1428320"/>
    <d v="2031-05-31T00:00:00"/>
    <d v="2019-10-28T00:00:00"/>
    <d v="2019-10-29T00:00:00"/>
    <d v="2019-12-19T00:00:00"/>
    <s v="Declined"/>
    <x v="27"/>
    <m/>
    <m/>
    <m/>
    <m/>
    <s v=""/>
    <s v=""/>
    <m/>
    <m/>
  </r>
  <r>
    <x v="11"/>
    <s v="Michael "/>
    <s v="AC9563"/>
    <n v="11340034"/>
    <s v="CMF-Facility A"/>
    <x v="13"/>
    <s v="BF149711A"/>
    <d v="2030-03-13T00:00:00"/>
    <d v="2019-10-28T00:00:00"/>
    <d v="2019-10-29T00:00:00"/>
    <d v="2019-12-19T00:00:00"/>
    <s v="Declined"/>
    <x v="27"/>
    <m/>
    <m/>
    <m/>
    <m/>
    <s v=""/>
    <s v=""/>
    <m/>
    <m/>
  </r>
  <r>
    <x v="11"/>
    <s v="George"/>
    <s v="AT5139"/>
    <n v="11849600"/>
    <s v="PUMCCF-Taft"/>
    <x v="0"/>
    <s v="TA128060"/>
    <d v="2021-05-15T00:00:00"/>
    <d v="2019-10-28T00:00:00"/>
    <d v="2019-10-29T00:00:00"/>
    <d v="2019-12-19T00:00:00"/>
    <s v="Approved"/>
    <x v="154"/>
    <d v="2020-02-11T00:00:00"/>
    <d v="2020-01-31T00:00:00"/>
    <s v="No action - reason provided"/>
    <m/>
    <s v=""/>
    <s v=""/>
    <m/>
    <d v="2020-02-12T00:00:00"/>
  </r>
  <r>
    <x v="11"/>
    <s v="Gutosky"/>
    <s v="AT9451"/>
    <n v="11536751"/>
    <s v="ASP-Facility B"/>
    <x v="14"/>
    <s v="SS131391A"/>
    <d v="2036-04-24T00:00:00"/>
    <d v="2019-10-28T00:00:00"/>
    <d v="2019-10-29T00:00:00"/>
    <d v="2019-12-19T00:00:00"/>
    <s v="Approved"/>
    <x v="177"/>
    <m/>
    <m/>
    <m/>
    <m/>
    <s v=""/>
    <s v=""/>
    <m/>
    <m/>
  </r>
  <r>
    <x v="11"/>
    <s v="Wise"/>
    <s v="AT5152"/>
    <n v="11291152"/>
    <s v="CMC-Facility D"/>
    <x v="0"/>
    <s v="BA394949"/>
    <d v="2021-09-09T00:00:00"/>
    <d v="2019-10-28T00:00:00"/>
    <d v="2019-10-29T00:00:00"/>
    <d v="2019-12-19T00:00:00"/>
    <s v="Approved"/>
    <x v="154"/>
    <d v="2020-01-17T00:00:00"/>
    <d v="2020-01-09T00:00:00"/>
    <s v="No action - reason provided"/>
    <m/>
    <s v=""/>
    <s v=""/>
    <m/>
    <d v="2020-01-17T00:00:00"/>
  </r>
  <r>
    <x v="7"/>
    <s v="Hinojosa"/>
    <s v="V42659"/>
    <n v="11982781"/>
    <s v="CMC - Facility G"/>
    <x v="36"/>
    <n v="62118259"/>
    <d v="2021-12-26T00:00:00"/>
    <d v="2019-10-22T00:00:00"/>
    <d v="2019-11-19T00:00:00"/>
    <d v="2019-11-19T00:00:00"/>
    <s v="Approved"/>
    <x v="96"/>
    <d v="2020-11-06T00:00:00"/>
    <d v="2020-05-29T00:00:00"/>
    <s v="Released"/>
    <n v="464"/>
    <n v="1.2712328767123289"/>
    <n v="10499.112328767123"/>
    <s v="Rleased 9/18/2020"/>
    <d v="2020-11-06T00:00:00"/>
  </r>
  <r>
    <x v="11"/>
    <s v="See"/>
    <s v="AT4948"/>
    <n v="12114224"/>
    <s v="SATF-Facility E"/>
    <x v="11"/>
    <s v="VCF279544"/>
    <d v="2029-05-26T00:00:00"/>
    <d v="2019-06-18T00:00:00"/>
    <d v="2019-06-18T00:00:00"/>
    <d v="2019-07-17T00:00:00"/>
    <s v="Approved"/>
    <x v="64"/>
    <m/>
    <m/>
    <m/>
    <m/>
    <s v=""/>
    <s v=""/>
    <s v="Released with BPH"/>
    <d v="2021-03-01T00:00:00"/>
  </r>
  <r>
    <x v="1"/>
    <s v="Trafficano"/>
    <s v="P46115"/>
    <n v="11870536"/>
    <s v="CAL - Facility D"/>
    <x v="0"/>
    <s v="NA061227"/>
    <d v="2024-05-15T00:00:00"/>
    <d v="2019-10-30T00:00:00"/>
    <d v="2019-11-13T00:00:00"/>
    <d v="2019-11-26T00:00:00"/>
    <s v="Declined"/>
    <x v="27"/>
    <m/>
    <m/>
    <m/>
    <m/>
    <s v=""/>
    <s v=""/>
    <m/>
    <m/>
  </r>
  <r>
    <x v="11"/>
    <s v="Hall"/>
    <s v="AN1788"/>
    <n v="11162545"/>
    <s v="RJD-Facility E"/>
    <x v="10"/>
    <s v="SCD321500"/>
    <d v="2021-08-26T00:00:00"/>
    <d v="2019-10-30T00:00:00"/>
    <d v="2019-10-30T00:00:00"/>
    <d v="2019-12-20T00:00:00"/>
    <s v="Approved"/>
    <x v="178"/>
    <d v="2020-02-20T00:00:00"/>
    <d v="2020-02-04T00:00:00"/>
    <s v="No action - no reason specified"/>
    <m/>
    <s v=""/>
    <s v=""/>
    <m/>
    <d v="2020-02-20T00:00:00"/>
  </r>
  <r>
    <x v="11"/>
    <s v="Morris"/>
    <s v="F88469"/>
    <n v="11211748"/>
    <s v="ASP-Facility A"/>
    <x v="15"/>
    <n v="2006011575"/>
    <d v="2021-08-29T00:00:00"/>
    <d v="2019-10-30T00:00:00"/>
    <d v="2019-10-30T00:00:00"/>
    <d v="2019-12-20T00:00:00"/>
    <s v="Approved"/>
    <x v="179"/>
    <d v="2021-04-15T00:00:00"/>
    <d v="2021-04-13T00:00:00"/>
    <s v="No action - no reason specified"/>
    <m/>
    <s v=""/>
    <s v=""/>
    <m/>
    <d v="2021-04-16T00:00:00"/>
  </r>
  <r>
    <x v="11"/>
    <s v="Wong"/>
    <s v="V61083"/>
    <n v="11117622"/>
    <s v="MCSP-Facility D"/>
    <x v="42"/>
    <n v="2132861"/>
    <d v="2021-09-14T00:00:00"/>
    <d v="2019-10-30T00:00:00"/>
    <d v="2019-10-30T00:00:00"/>
    <d v="2019-12-20T00:00:00"/>
    <s v="Approved"/>
    <x v="179"/>
    <m/>
    <m/>
    <m/>
    <m/>
    <s v=""/>
    <s v=""/>
    <m/>
    <m/>
  </r>
  <r>
    <x v="11"/>
    <s v="Sniffin"/>
    <s v="BE9093"/>
    <n v="11253732"/>
    <s v="SQ-Facility B"/>
    <x v="8"/>
    <s v="INF13000007"/>
    <d v="2021-06-21T00:00:00"/>
    <d v="2019-10-30T00:00:00"/>
    <d v="2019-10-30T00:00:00"/>
    <d v="2019-12-20T00:00:00"/>
    <s v="Declined"/>
    <x v="27"/>
    <m/>
    <m/>
    <m/>
    <m/>
    <s v=""/>
    <s v=""/>
    <m/>
    <m/>
  </r>
  <r>
    <x v="11"/>
    <s v="Delfin"/>
    <s v="AN2433"/>
    <n v="11923321"/>
    <s v="CEN-Facility B"/>
    <x v="13"/>
    <s v="BF142465"/>
    <d v="2021-10-25T00:00:00"/>
    <d v="2019-10-31T00:00:00"/>
    <d v="2019-11-04T00:00:00"/>
    <d v="2019-12-24T00:00:00"/>
    <s v="Declined"/>
    <x v="27"/>
    <m/>
    <m/>
    <m/>
    <m/>
    <s v=""/>
    <s v=""/>
    <m/>
    <m/>
  </r>
  <r>
    <x v="11"/>
    <s v="Velazquez"/>
    <s v="AP6633"/>
    <n v="11886594"/>
    <s v="VSP-Facility B"/>
    <x v="2"/>
    <s v="07CF3197"/>
    <d v="2022-01-06T00:00:00"/>
    <d v="2019-10-31T00:00:00"/>
    <d v="2019-11-04T00:00:00"/>
    <d v="2019-11-19T00:00:00"/>
    <s v="Approved"/>
    <x v="175"/>
    <d v="2020-01-17T00:00:00"/>
    <d v="2020-12-01T00:00:00"/>
    <s v="Released"/>
    <n v="330"/>
    <n v="0.90410958904109584"/>
    <n v="7467.0410958904113"/>
    <s v="Released 2/10/20201"/>
    <d v="2021-02-19T00:00:00"/>
  </r>
  <r>
    <x v="11"/>
    <s v="Johnson"/>
    <s v="AS8909"/>
    <n v="12009859"/>
    <s v="ASP-Facility A"/>
    <x v="11"/>
    <s v="VCF287513"/>
    <d v="2021-05-24T00:00:00"/>
    <d v="2019-10-31T00:00:00"/>
    <d v="2019-11-04T00:00:00"/>
    <d v="2019-11-19T00:00:00"/>
    <s v="Declined"/>
    <x v="27"/>
    <m/>
    <m/>
    <m/>
    <m/>
    <s v=""/>
    <s v=""/>
    <m/>
    <m/>
  </r>
  <r>
    <x v="11"/>
    <s v="Cail"/>
    <s v="AM0508"/>
    <n v="11116816"/>
    <s v="CAC-Facility B"/>
    <x v="9"/>
    <s v="FVI1201218"/>
    <d v="2022-04-09T00:00:00"/>
    <d v="2019-10-31T00:00:00"/>
    <d v="2019-11-04T00:00:00"/>
    <d v="2019-11-19T00:00:00"/>
    <s v="Approved"/>
    <x v="175"/>
    <m/>
    <m/>
    <m/>
    <m/>
    <s v=""/>
    <s v=""/>
    <m/>
    <m/>
  </r>
  <r>
    <x v="11"/>
    <s v="Jones"/>
    <s v="AZ6104"/>
    <n v="11131041"/>
    <s v="SOL-Facility C"/>
    <x v="42"/>
    <n v="11012198"/>
    <d v="2022-03-13T00:00:00"/>
    <d v="2019-10-31T00:00:00"/>
    <d v="2019-11-04T00:00:00"/>
    <d v="2019-12-24T00:00:00"/>
    <s v="Approved"/>
    <x v="143"/>
    <d v="2020-03-23T00:00:00"/>
    <d v="2020-03-18T00:00:00"/>
    <s v="Released"/>
    <n v="1826.25"/>
    <n v="5.0034246575342465"/>
    <n v="41323.284246575342"/>
    <s v="Released on 03/29/2020"/>
    <d v="2020-03-25T00:00:00"/>
  </r>
  <r>
    <x v="11"/>
    <s v="Hackett"/>
    <s v="AL8432"/>
    <n v="11299185"/>
    <s v="CMC-Facility E"/>
    <x v="0"/>
    <s v="NA092461"/>
    <d v="2021-11-01T00:00:00"/>
    <d v="2019-10-31T00:00:00"/>
    <d v="2019-11-04T00:00:00"/>
    <d v="2019-12-24T00:00:00"/>
    <s v="Approved"/>
    <x v="143"/>
    <d v="2020-12-15T00:00:00"/>
    <d v="2020-12-15T00:00:00"/>
    <s v="Reduced"/>
    <n v="164"/>
    <n v="0.44931506849315067"/>
    <n v="3710.8931506849317"/>
    <m/>
    <d v="2020-12-21T00:00:00"/>
  </r>
  <r>
    <x v="11"/>
    <s v="Carter"/>
    <s v="T73630"/>
    <n v="11151357"/>
    <s v="CHCF-Facility E"/>
    <x v="0"/>
    <s v="BA409890"/>
    <d v="2022-03-12T00:00:00"/>
    <d v="2019-10-31T00:00:00"/>
    <d v="2019-11-04T00:00:00"/>
    <d v="2019-12-24T00:00:00"/>
    <s v="Approved"/>
    <x v="143"/>
    <d v="2020-02-20T00:00:00"/>
    <d v="2020-02-06T00:00:00"/>
    <s v="No action - reason provided"/>
    <m/>
    <s v=""/>
    <s v=""/>
    <m/>
    <d v="2020-02-20T00:00:00"/>
  </r>
  <r>
    <x v="11"/>
    <s v="Banks"/>
    <s v="AR4718"/>
    <n v="11930332"/>
    <s v="SATF-Facility A"/>
    <x v="0"/>
    <s v="MA059510"/>
    <d v="2022-05-28T00:00:00"/>
    <d v="2019-10-31T00:00:00"/>
    <d v="2019-11-04T00:00:00"/>
    <d v="2019-12-24T00:00:00"/>
    <s v="Approved"/>
    <x v="143"/>
    <d v="2020-02-19T00:00:00"/>
    <d v="2020-01-29T00:00:00"/>
    <s v="No action - reason provided"/>
    <m/>
    <s v=""/>
    <s v=""/>
    <s v="Plea Bargain"/>
    <d v="2020-02-19T00:00:00"/>
  </r>
  <r>
    <x v="11"/>
    <s v="Alamillo"/>
    <s v="T11003"/>
    <n v="11289747"/>
    <s v="ASP-Facility F"/>
    <x v="0"/>
    <s v="YA088373"/>
    <d v="2021-06-03T00:00:00"/>
    <d v="2019-10-31T00:00:00"/>
    <d v="2019-11-04T00:00:00"/>
    <d v="2019-12-24T00:00:00"/>
    <s v="Approved"/>
    <x v="143"/>
    <d v="2020-02-04T00:00:00"/>
    <d v="2020-01-22T00:00:00"/>
    <s v="No action - reason provided"/>
    <m/>
    <s v=""/>
    <s v=""/>
    <m/>
    <m/>
  </r>
  <r>
    <x v="11"/>
    <s v="Bly"/>
    <s v="AN5424"/>
    <n v="11577191"/>
    <s v="SCC-Facility A"/>
    <x v="0"/>
    <s v="YA081344"/>
    <d v="2021-09-12T00:00:00"/>
    <d v="2019-10-31T00:00:00"/>
    <d v="2019-11-04T00:00:00"/>
    <d v="2019-12-24T00:00:00"/>
    <s v="Approved"/>
    <x v="143"/>
    <d v="2020-05-14T00:00:00"/>
    <d v="2020-05-07T00:00:00"/>
    <s v="Released"/>
    <n v="2191.5"/>
    <n v="6.0041095890410956"/>
    <n v="49587.941095890412"/>
    <s v="Released on 05/19/2020"/>
    <d v="2020-05-15T00:00:00"/>
  </r>
  <r>
    <x v="11"/>
    <s v="Shetterly"/>
    <s v="K33534"/>
    <n v="11044685"/>
    <s v="SOL-Facility D"/>
    <x v="45"/>
    <n v="1643"/>
    <d v="2061-04-05T00:00:00"/>
    <d v="2019-11-04T00:00:00"/>
    <d v="2019-11-06T00:00:00"/>
    <d v="2019-12-23T00:00:00"/>
    <s v="Approved"/>
    <x v="180"/>
    <d v="2020-02-27T00:00:00"/>
    <d v="2020-02-14T00:00:00"/>
    <s v="No action - reason provided"/>
    <m/>
    <s v=""/>
    <s v=""/>
    <m/>
    <d v="2020-02-27T00:00:00"/>
  </r>
  <r>
    <x v="11"/>
    <s v="Ramirez"/>
    <s v="AB8134"/>
    <n v="11051748"/>
    <s v="CTF-Facility C"/>
    <x v="2"/>
    <s v="07CF2531"/>
    <d v="2040-10-20T00:00:00"/>
    <d v="2019-11-04T00:00:00"/>
    <d v="2019-11-06T00:00:00"/>
    <d v="2019-12-23T00:00:00"/>
    <s v="Approved"/>
    <x v="180"/>
    <m/>
    <m/>
    <m/>
    <m/>
    <s v=""/>
    <s v=""/>
    <m/>
    <m/>
  </r>
  <r>
    <x v="11"/>
    <s v="Phillips"/>
    <s v="AE2234"/>
    <n v="11060222"/>
    <s v="LAC-Facility C"/>
    <x v="0"/>
    <s v="GA076137"/>
    <d v="2039-05-10T00:00:00"/>
    <d v="2019-11-04T00:00:00"/>
    <d v="2019-11-06T00:00:00"/>
    <d v="2019-12-23T00:00:00"/>
    <s v="Declined"/>
    <x v="27"/>
    <m/>
    <m/>
    <m/>
    <m/>
    <s v=""/>
    <s v=""/>
    <m/>
    <m/>
  </r>
  <r>
    <x v="11"/>
    <s v="Tabata"/>
    <s v="T99434"/>
    <n v="11078046"/>
    <s v="FOL-Facility A"/>
    <x v="0"/>
    <s v="NA040673"/>
    <d v="2055-05-17T00:00:00"/>
    <d v="2019-11-04T00:00:00"/>
    <d v="2019-11-06T00:00:00"/>
    <d v="2019-12-23T00:00:00"/>
    <s v="Approved"/>
    <x v="180"/>
    <d v="2020-02-20T00:00:00"/>
    <d v="2020-01-31T00:00:00"/>
    <s v="No action - reason provided"/>
    <m/>
    <s v=""/>
    <s v=""/>
    <m/>
    <d v="2020-02-20T00:00:00"/>
  </r>
  <r>
    <x v="11"/>
    <s v="Cross"/>
    <s v="H08634"/>
    <n v="11081875"/>
    <s v="FOL-Facility A"/>
    <x v="38"/>
    <s v="PR00237"/>
    <d v="2025-03-01T00:00:00"/>
    <d v="2019-11-04T00:00:00"/>
    <d v="2019-11-06T00:00:00"/>
    <d v="2019-12-23T00:00:00"/>
    <s v="Approved"/>
    <x v="180"/>
    <m/>
    <m/>
    <m/>
    <m/>
    <s v=""/>
    <s v=""/>
    <m/>
    <m/>
  </r>
  <r>
    <x v="11"/>
    <s v="Maldonado"/>
    <s v="V30034"/>
    <n v="11094670"/>
    <s v="LAC-Facility D"/>
    <x v="5"/>
    <s v="SCR 33578"/>
    <d v="2029-08-04T00:00:00"/>
    <d v="2019-11-04T00:00:00"/>
    <d v="2019-11-06T00:00:00"/>
    <d v="2019-12-23T00:00:00"/>
    <s v="Declined"/>
    <x v="27"/>
    <m/>
    <m/>
    <m/>
    <m/>
    <s v=""/>
    <s v=""/>
    <m/>
    <m/>
  </r>
  <r>
    <x v="11"/>
    <s v="Lugo "/>
    <s v="C39934"/>
    <n v="11097543"/>
    <s v="MCSP-Facility E"/>
    <x v="12"/>
    <n v="189590"/>
    <d v="2028-02-10T00:00:00"/>
    <d v="2019-11-04T00:00:00"/>
    <d v="2019-11-06T00:00:00"/>
    <d v="2019-12-23T00:00:00"/>
    <s v="Approved"/>
    <x v="180"/>
    <m/>
    <m/>
    <m/>
    <m/>
    <s v=""/>
    <s v=""/>
    <m/>
    <m/>
  </r>
  <r>
    <x v="11"/>
    <s v="Johnson"/>
    <s v="T43634"/>
    <n v="11099383"/>
    <s v="SOL-Facility D"/>
    <x v="17"/>
    <s v="00F07553"/>
    <d v="2029-04-03T00:00:00"/>
    <d v="2019-11-04T00:00:00"/>
    <d v="2019-11-06T00:00:00"/>
    <d v="2019-12-23T00:00:00"/>
    <s v="Declined"/>
    <x v="27"/>
    <m/>
    <m/>
    <m/>
    <m/>
    <s v=""/>
    <s v=""/>
    <m/>
    <m/>
  </r>
  <r>
    <x v="11"/>
    <s v="Wells"/>
    <s v="F64934"/>
    <n v="11099602"/>
    <s v="MCSP-Facility D"/>
    <x v="12"/>
    <s v="BB411106"/>
    <d v="2176-04-16T00:00:00"/>
    <d v="2019-11-04T00:00:00"/>
    <d v="2019-11-06T00:00:00"/>
    <d v="2019-12-23T00:00:00"/>
    <s v="Approved"/>
    <x v="180"/>
    <d v="2020-02-12T00:00:00"/>
    <d v="2020-02-06T00:00:00"/>
    <s v="No action - no reason specified"/>
    <m/>
    <s v=""/>
    <s v=""/>
    <m/>
    <d v="2020-02-12T00:00:00"/>
  </r>
  <r>
    <x v="11"/>
    <s v="Wortham"/>
    <s v="H69234"/>
    <n v="11107401"/>
    <s v="RJD-Facility E"/>
    <x v="20"/>
    <s v="H23222"/>
    <d v="2031-06-29T00:00:00"/>
    <d v="2019-11-04T00:00:00"/>
    <d v="2019-11-06T00:00:00"/>
    <d v="2019-12-23T00:00:00"/>
    <s v="Approved"/>
    <x v="180"/>
    <d v="2020-05-11T00:00:00"/>
    <d v="2020-05-06T00:00:00"/>
    <s v="Released"/>
    <n v="4068"/>
    <n v="11.145205479452056"/>
    <n v="92048.252054794517"/>
    <s v=" Exceptional Conduct Release"/>
    <d v="2020-05-11T00:00:00"/>
  </r>
  <r>
    <x v="11"/>
    <s v="Hawkins"/>
    <s v="AK5222"/>
    <n v="11196561"/>
    <s v="FOL-Facility A"/>
    <x v="24"/>
    <n v="1420849"/>
    <d v="2021-12-26T00:00:00"/>
    <d v="2019-11-06T00:00:00"/>
    <d v="2019-11-13T00:00:00"/>
    <d v="2020-01-06T00:00:00"/>
    <s v="Declined"/>
    <x v="27"/>
    <m/>
    <m/>
    <m/>
    <m/>
    <s v=""/>
    <s v=""/>
    <m/>
    <m/>
  </r>
  <r>
    <x v="11"/>
    <s v="Singletary"/>
    <s v="H13722"/>
    <n v="11659910"/>
    <s v="CMF-Central Service"/>
    <x v="18"/>
    <n v="951183"/>
    <d v="2022-06-29T00:00:00"/>
    <d v="2019-11-06T00:00:00"/>
    <d v="2019-11-13T00:00:00"/>
    <d v="2020-01-06T00:00:00"/>
    <s v="Declined"/>
    <x v="27"/>
    <m/>
    <m/>
    <m/>
    <m/>
    <s v=""/>
    <s v=""/>
    <m/>
    <m/>
  </r>
  <r>
    <x v="11"/>
    <s v="Martinez"/>
    <s v="AH0327"/>
    <n v="11365212"/>
    <s v="ASP-Facility E"/>
    <x v="2"/>
    <s v="10NF0612"/>
    <d v="2022-03-20T00:00:00"/>
    <d v="2019-11-06T00:00:00"/>
    <d v="2019-11-13T00:00:00"/>
    <d v="2020-01-06T00:00:00"/>
    <s v="Approved"/>
    <x v="143"/>
    <m/>
    <m/>
    <m/>
    <m/>
    <s v=""/>
    <s v=""/>
    <m/>
    <m/>
  </r>
  <r>
    <x v="11"/>
    <s v="Ebell"/>
    <s v="AS0414"/>
    <n v="11219943"/>
    <s v="CMF-Facility A"/>
    <x v="8"/>
    <s v="SWF1205742"/>
    <d v="2022-07-23T00:00:00"/>
    <d v="2019-11-06T00:00:00"/>
    <d v="2019-11-13T00:00:00"/>
    <d v="2020-01-06T00:00:00"/>
    <s v="Approved"/>
    <x v="143"/>
    <d v="2020-08-07T00:00:00"/>
    <d v="2020-07-24T00:00:00"/>
    <s v="No action - reason provided"/>
    <m/>
    <s v=""/>
    <s v=""/>
    <m/>
    <d v="2020-08-07T00:00:00"/>
  </r>
  <r>
    <x v="7"/>
    <s v="Green"/>
    <s v="H25460"/>
    <n v="11665948"/>
    <s v="CMC - Facility G"/>
    <x v="0"/>
    <s v="BA172799"/>
    <d v="2039-06-30T00:00:00"/>
    <d v="2019-10-23T00:00:00"/>
    <d v="2019-11-18T00:00:00"/>
    <d v="2019-11-19T00:00:00"/>
    <s v="Approved"/>
    <x v="96"/>
    <d v="2020-03-25T00:00:00"/>
    <d v="2020-03-20T00:00:00"/>
    <s v="Released"/>
    <n v="7027"/>
    <n v="19.252054794520546"/>
    <n v="159002.72054794521"/>
    <s v="Release on 04/03/2020"/>
    <d v="2020-03-27T00:00:00"/>
  </r>
  <r>
    <x v="11"/>
    <s v="Sanders"/>
    <s v="AV0912"/>
    <n v="11134708"/>
    <s v="MCSP-Facility C"/>
    <x v="13"/>
    <s v="RF005885"/>
    <d v="2022-07-07T00:00:00"/>
    <d v="2019-11-06T00:00:00"/>
    <d v="2019-11-13T00:00:00"/>
    <d v="2020-01-06T00:00:00"/>
    <s v="Approved"/>
    <x v="143"/>
    <d v="2020-02-19T00:00:00"/>
    <d v="2020-01-23T00:00:00"/>
    <s v="No action - reason provided"/>
    <m/>
    <s v=""/>
    <s v=""/>
    <m/>
    <d v="2020-02-19T00:00:00"/>
  </r>
  <r>
    <x v="11"/>
    <s v="Bracy"/>
    <s v="AP4716"/>
    <n v="11259350"/>
    <s v="CRC-Facility A"/>
    <x v="6"/>
    <s v="CRF123717"/>
    <d v="2022-07-17T00:00:00"/>
    <d v="2019-11-06T00:00:00"/>
    <d v="2019-11-13T00:00:00"/>
    <d v="2020-01-06T00:00:00"/>
    <s v="Approved"/>
    <x v="143"/>
    <m/>
    <m/>
    <m/>
    <m/>
    <s v=""/>
    <s v=""/>
    <m/>
    <m/>
  </r>
  <r>
    <x v="11"/>
    <s v="Awardo"/>
    <s v="AM8323"/>
    <n v="11982163"/>
    <s v="CHCF-Facility E"/>
    <x v="9"/>
    <s v="FSB1200458"/>
    <d v="2022-10-22T00:00:00"/>
    <d v="2019-11-06T00:00:00"/>
    <d v="2019-11-13T00:00:00"/>
    <d v="2020-01-06T00:00:00"/>
    <s v="Approved"/>
    <x v="143"/>
    <d v="2020-02-12T00:00:00"/>
    <d v="2020-01-27T00:00:00"/>
    <s v="No action - reason provided"/>
    <m/>
    <s v=""/>
    <s v=""/>
    <m/>
    <d v="2020-02-12T00:00:00"/>
  </r>
  <r>
    <x v="11"/>
    <s v="Smith"/>
    <s v="J50715"/>
    <n v="11110575"/>
    <s v="CHCF-Facility E"/>
    <x v="0"/>
    <s v="TA079382"/>
    <d v="2022-01-09T00:00:00"/>
    <d v="2019-11-06T00:00:00"/>
    <d v="2019-11-13T00:00:00"/>
    <d v="2020-01-06T00:00:00"/>
    <s v="Declined"/>
    <x v="27"/>
    <m/>
    <m/>
    <m/>
    <m/>
    <s v=""/>
    <s v=""/>
    <m/>
    <m/>
  </r>
  <r>
    <x v="11"/>
    <s v="Wimberly"/>
    <s v="AR8523"/>
    <n v="11292761"/>
    <s v="CMF-Facility A"/>
    <x v="0"/>
    <s v="TA129788"/>
    <d v="2022-07-21T00:00:00"/>
    <d v="2019-11-06T00:00:00"/>
    <d v="2019-11-13T00:00:00"/>
    <d v="2020-01-06T00:00:00"/>
    <s v="Approved"/>
    <x v="143"/>
    <d v="2020-02-20T00:00:00"/>
    <d v="2020-02-14T00:00:00"/>
    <s v="No action - reason provided"/>
    <m/>
    <s v=""/>
    <s v=""/>
    <m/>
    <d v="2020-02-20T00:00:00"/>
  </r>
  <r>
    <x v="1"/>
    <s v="Feathers"/>
    <s v="P16781"/>
    <n v="11854572"/>
    <s v="CMF - Facility A"/>
    <x v="20"/>
    <n v="133975"/>
    <d v="2035-09-03T00:00:00"/>
    <d v="2020-09-25T00:00:00"/>
    <d v="2020-10-07T00:00:00"/>
    <d v="2020-10-08T00:00:00"/>
    <s v="Approved"/>
    <x v="134"/>
    <m/>
    <m/>
    <m/>
    <m/>
    <s v=""/>
    <s v=""/>
    <m/>
    <m/>
  </r>
  <r>
    <x v="11"/>
    <s v="Ginn"/>
    <s v="AD1288"/>
    <n v="11341125"/>
    <s v="ISP-Facility D"/>
    <x v="0"/>
    <s v="NA096497"/>
    <d v="2022-02-09T00:00:00"/>
    <d v="2019-11-04T00:00:00"/>
    <d v="2019-11-12T00:00:00"/>
    <d v="2019-11-19T00:00:00"/>
    <s v="Declined"/>
    <x v="27"/>
    <m/>
    <m/>
    <m/>
    <m/>
    <s v=""/>
    <s v=""/>
    <m/>
    <m/>
  </r>
  <r>
    <x v="11"/>
    <s v="Murray"/>
    <s v="V78798"/>
    <n v="12004252"/>
    <s v="CAL-Facility A"/>
    <x v="0"/>
    <s v="BA414800"/>
    <d v="2022-01-27T00:00:00"/>
    <d v="2019-11-04T00:00:00"/>
    <d v="2019-11-12T00:00:00"/>
    <d v="2019-11-19T00:00:00"/>
    <s v="Declined"/>
    <x v="27"/>
    <m/>
    <m/>
    <m/>
    <m/>
    <s v=""/>
    <s v=""/>
    <m/>
    <m/>
  </r>
  <r>
    <x v="11"/>
    <s v="Lunsford"/>
    <s v="AS4477"/>
    <n v="11191153"/>
    <s v="SVSP-MSF"/>
    <x v="42"/>
    <n v="221055"/>
    <d v="2022-07-12T00:00:00"/>
    <d v="2019-11-04T00:00:00"/>
    <d v="2019-11-12T00:00:00"/>
    <d v="2020-01-09T00:00:00"/>
    <s v="Approved"/>
    <x v="181"/>
    <d v="2020-09-11T00:00:00"/>
    <d v="2020-08-31T00:00:00"/>
    <s v="Released"/>
    <n v="1826"/>
    <n v="5.0027397260273974"/>
    <n v="41317.627397260272"/>
    <s v="Scheduled realease 9/8/2020"/>
    <d v="2020-09-03T00:00:00"/>
  </r>
  <r>
    <x v="11"/>
    <s v="Mccray"/>
    <s v="AS9393"/>
    <n v="12111011"/>
    <s v="SATF-Facility G"/>
    <x v="8"/>
    <s v="RIF1105973"/>
    <d v="2022-07-18T00:00:00"/>
    <d v="2019-11-04T00:00:00"/>
    <d v="2019-11-12T00:00:00"/>
    <d v="2020-01-09T00:00:00"/>
    <s v="Approved"/>
    <x v="181"/>
    <d v="2020-12-10T00:00:00"/>
    <d v="2020-11-05T00:00:00"/>
    <s v="No action - no reason specified"/>
    <m/>
    <s v=""/>
    <s v=""/>
    <m/>
    <d v="2020-12-10T00:00:00"/>
  </r>
  <r>
    <x v="11"/>
    <s v="Gonzalez"/>
    <s v="F78985"/>
    <n v="11209658"/>
    <s v="CAC-Facility C"/>
    <x v="2"/>
    <s v="13CF1147"/>
    <d v="2022-09-11T00:00:00"/>
    <d v="2019-11-04T00:00:00"/>
    <d v="2019-11-12T00:00:00"/>
    <d v="2020-01-09T00:00:00"/>
    <s v="Declined"/>
    <x v="27"/>
    <m/>
    <m/>
    <m/>
    <m/>
    <s v=""/>
    <s v=""/>
    <m/>
    <m/>
  </r>
  <r>
    <x v="11"/>
    <s v="Harvey"/>
    <s v="AR7995"/>
    <n v="11543194"/>
    <s v="RJD-Facility E"/>
    <x v="10"/>
    <s v="SCD240649"/>
    <d v="2022-08-21T00:00:00"/>
    <d v="2019-11-04T00:00:00"/>
    <d v="2019-11-12T00:00:00"/>
    <d v="2020-01-09T00:00:00"/>
    <s v="Approved"/>
    <x v="181"/>
    <d v="2020-07-06T00:00:00"/>
    <m/>
    <s v="No action - no reason specified"/>
    <m/>
    <s v=""/>
    <s v=""/>
    <m/>
    <d v="2020-07-06T00:00:00"/>
  </r>
  <r>
    <x v="11"/>
    <s v="Iniguez"/>
    <s v="K26670"/>
    <n v="11131555"/>
    <s v="CIM-Facility A"/>
    <x v="0"/>
    <s v="YA026373"/>
    <d v="2022-10-15T00:00:00"/>
    <d v="2019-11-04T00:00:00"/>
    <d v="2019-11-12T00:00:00"/>
    <d v="2020-01-09T00:00:00"/>
    <s v="Approved"/>
    <x v="181"/>
    <m/>
    <m/>
    <m/>
    <m/>
    <s v=""/>
    <s v=""/>
    <m/>
    <m/>
  </r>
  <r>
    <x v="11"/>
    <s v="Hamilton"/>
    <s v="AU2583"/>
    <n v="11157775"/>
    <s v="SOL-Facility D"/>
    <x v="0"/>
    <s v="BA396475"/>
    <d v="2023-01-10T00:00:00"/>
    <d v="2019-11-04T00:00:00"/>
    <d v="2019-11-12T00:00:00"/>
    <d v="2020-01-09T00:00:00"/>
    <s v="Approved"/>
    <x v="181"/>
    <m/>
    <m/>
    <m/>
    <m/>
    <s v=""/>
    <s v=""/>
    <m/>
    <m/>
  </r>
  <r>
    <x v="11"/>
    <s v="Munoz"/>
    <s v="AE8968"/>
    <n v="11352164"/>
    <s v="MCSP-Facility B"/>
    <x v="0"/>
    <s v="NA091422"/>
    <d v="2022-12-25T00:00:00"/>
    <d v="2019-11-04T00:00:00"/>
    <d v="2019-11-12T00:00:00"/>
    <d v="2020-01-09T00:00:00"/>
    <s v="Approved"/>
    <x v="143"/>
    <d v="2020-02-24T00:00:00"/>
    <d v="2020-02-07T00:00:00"/>
    <s v="No action - due to plea"/>
    <m/>
    <s v=""/>
    <s v=""/>
    <m/>
    <d v="2020-02-24T00:00:00"/>
  </r>
  <r>
    <x v="1"/>
    <s v="Franco"/>
    <s v="F76253"/>
    <n v="11595150"/>
    <s v="PVSP - Facility B"/>
    <x v="12"/>
    <s v="CC463276"/>
    <d v="2039-09-05T00:00:00"/>
    <d v="2021-03-24T00:00:00"/>
    <d v="2021-04-20T00:00:00"/>
    <d v="2021-04-21T00:00:00"/>
    <s v="Approved"/>
    <x v="123"/>
    <m/>
    <m/>
    <m/>
    <m/>
    <s v=""/>
    <s v=""/>
    <m/>
    <m/>
  </r>
  <r>
    <x v="11"/>
    <s v="Howard"/>
    <s v="J80116"/>
    <n v="11763923"/>
    <s v="CTF-Facility D"/>
    <x v="0"/>
    <s v="BA411520-02"/>
    <d v="2042-09-20T00:00:00"/>
    <d v="2019-01-15T00:00:00"/>
    <d v="2019-05-08T00:00:00"/>
    <d v="2019-05-17T00:00:00"/>
    <s v="Approved"/>
    <x v="95"/>
    <d v="2021-03-01T00:00:00"/>
    <d v="2020-07-22T00:00:00"/>
    <s v="Reduced"/>
    <n v="2922"/>
    <n v="8.0054794520547947"/>
    <n v="66117.254794520544"/>
    <s v="Reduced 10 years"/>
    <d v="2021-03-01T00:00:00"/>
  </r>
  <r>
    <x v="11"/>
    <s v="Emond"/>
    <s v="AK5717"/>
    <n v="11489003"/>
    <s v="CMF-Facility B"/>
    <x v="2"/>
    <s v="10HF2287"/>
    <d v="2022-11-19T00:00:00"/>
    <d v="2019-11-15T00:00:00"/>
    <d v="2019-11-19T00:00:00"/>
    <d v="2020-01-06T00:00:00"/>
    <s v="Approved"/>
    <x v="143"/>
    <m/>
    <m/>
    <m/>
    <m/>
    <s v=""/>
    <s v=""/>
    <m/>
    <m/>
  </r>
  <r>
    <x v="11"/>
    <s v="Poucher"/>
    <s v="T71332"/>
    <n v="11941586"/>
    <s v="CHCF-Facility D"/>
    <x v="10"/>
    <s v="SCE220167"/>
    <d v="2023-01-10T00:00:00"/>
    <d v="2019-11-15T00:00:00"/>
    <d v="2019-11-19T00:00:00"/>
    <d v="2020-01-06T00:00:00"/>
    <s v="Approved"/>
    <x v="143"/>
    <d v="2020-02-26T00:00:00"/>
    <d v="2020-02-13T00:00:00"/>
    <s v="No action - no reason specified"/>
    <m/>
    <s v=""/>
    <s v=""/>
    <m/>
    <d v="2020-02-26T00:00:00"/>
  </r>
  <r>
    <x v="11"/>
    <s v="Ortiz"/>
    <s v="AR1407"/>
    <n v="11895791"/>
    <s v="CEN-Facility A"/>
    <x v="0"/>
    <s v="YA086761"/>
    <d v="2023-01-15T00:00:00"/>
    <d v="2019-11-15T00:00:00"/>
    <d v="2019-11-19T00:00:00"/>
    <d v="2020-01-06T00:00:00"/>
    <s v="Declined"/>
    <x v="27"/>
    <m/>
    <m/>
    <m/>
    <m/>
    <s v=""/>
    <s v=""/>
    <m/>
    <m/>
  </r>
  <r>
    <x v="11"/>
    <s v="Diaz"/>
    <s v="AP7319"/>
    <n v="11518829"/>
    <s v="RJD-Facility A"/>
    <x v="0"/>
    <s v="BA396512"/>
    <d v="2022-12-18T00:00:00"/>
    <d v="2019-11-15T00:00:00"/>
    <d v="2019-11-19T00:00:00"/>
    <d v="2020-01-06T00:00:00"/>
    <s v="Approved"/>
    <x v="143"/>
    <d v="2020-08-31T00:00:00"/>
    <d v="2020-08-25T00:00:00"/>
    <s v="No action - reason provided"/>
    <m/>
    <s v=""/>
    <s v=""/>
    <m/>
    <d v="2020-08-31T00:00:00"/>
  </r>
  <r>
    <x v="11"/>
    <s v="Zamora"/>
    <s v="AS5514"/>
    <n v="11998961"/>
    <s v="CEN-Facility D"/>
    <x v="0"/>
    <s v="KA102986"/>
    <d v="2022-12-18T00:00:00"/>
    <d v="2019-11-15T00:00:00"/>
    <d v="2019-11-19T00:00:00"/>
    <d v="2020-01-06T00:00:00"/>
    <s v="Declined"/>
    <x v="27"/>
    <m/>
    <m/>
    <m/>
    <m/>
    <s v=""/>
    <s v=""/>
    <m/>
    <m/>
  </r>
  <r>
    <x v="11"/>
    <s v="Rausse"/>
    <s v="H16511"/>
    <n v="11661356"/>
    <s v="CRC-Facility B"/>
    <x v="0"/>
    <s v="TA128921"/>
    <d v="2023-05-02T00:00:00"/>
    <d v="2019-11-15T00:00:00"/>
    <d v="2019-11-19T00:00:00"/>
    <d v="2020-01-06T00:00:00"/>
    <s v="Declined"/>
    <x v="27"/>
    <m/>
    <m/>
    <m/>
    <m/>
    <s v=""/>
    <s v=""/>
    <m/>
    <m/>
  </r>
  <r>
    <x v="11"/>
    <s v="Kamfolt"/>
    <s v="AV1822"/>
    <n v="11630334"/>
    <s v="MCSP-Facility E"/>
    <x v="12"/>
    <s v="C1369061"/>
    <d v="2023-01-08T00:00:00"/>
    <d v="2019-11-15T00:00:00"/>
    <d v="2019-11-19T00:00:00"/>
    <d v="2020-01-06T00:00:00"/>
    <s v="Declined"/>
    <x v="27"/>
    <m/>
    <m/>
    <m/>
    <m/>
    <s v=""/>
    <s v=""/>
    <m/>
    <m/>
  </r>
  <r>
    <x v="11"/>
    <s v="Jones"/>
    <s v="AS7430"/>
    <n v="11510626"/>
    <s v="CMC-Facility E"/>
    <x v="0"/>
    <s v="YA087237"/>
    <d v="2023-05-17T00:00:00"/>
    <d v="2019-11-15T00:00:00"/>
    <d v="2019-11-19T00:00:00"/>
    <d v="2020-01-06T00:00:00"/>
    <s v="Declined"/>
    <x v="27"/>
    <m/>
    <m/>
    <m/>
    <m/>
    <s v=""/>
    <s v=""/>
    <m/>
    <m/>
  </r>
  <r>
    <x v="11"/>
    <s v="Walker"/>
    <s v="AU1538"/>
    <n v="11250514"/>
    <s v="SOL-Facility C"/>
    <x v="18"/>
    <s v="05-130581-2"/>
    <d v="2022-03-20T00:00:00"/>
    <d v="2019-10-09T00:00:00"/>
    <d v="2019-10-09T00:00:00"/>
    <d v="2019-11-19T00:00:00"/>
    <s v="Approved"/>
    <x v="175"/>
    <m/>
    <m/>
    <m/>
    <m/>
    <s v=""/>
    <s v=""/>
    <m/>
    <m/>
  </r>
  <r>
    <x v="11"/>
    <s v="Martinez"/>
    <s v="AD4323"/>
    <n v="11057453"/>
    <s v="PRMCCF - Desert View"/>
    <x v="12"/>
    <s v="C1230681"/>
    <d v="2022-01-13T00:00:00"/>
    <d v="2019-10-09T00:00:00"/>
    <d v="2019-10-09T00:00:00"/>
    <d v="2019-11-19T00:00:00"/>
    <s v="Approved"/>
    <x v="175"/>
    <d v="2020-01-28T00:00:00"/>
    <d v="2020-01-08T00:00:00"/>
    <s v="No action - reason provided"/>
    <m/>
    <s v=""/>
    <s v=""/>
    <m/>
    <d v="2020-01-28T00:00:00"/>
  </r>
  <r>
    <x v="11"/>
    <s v="Cleveland"/>
    <s v="K52434"/>
    <n v="11107844"/>
    <s v="CHCF-Facility D"/>
    <x v="5"/>
    <s v="SCR24077"/>
    <d v="2021-12-13T00:00:00"/>
    <d v="2019-11-11T00:00:00"/>
    <d v="2019-11-13T00:00:00"/>
    <d v="2020-01-07T00:00:00"/>
    <s v="Approved"/>
    <x v="182"/>
    <m/>
    <m/>
    <m/>
    <m/>
    <s v=""/>
    <s v=""/>
    <m/>
    <m/>
  </r>
  <r>
    <x v="11"/>
    <s v="Ramirez"/>
    <s v="T51434"/>
    <n v="11118045"/>
    <s v="CTF-Facility A"/>
    <x v="12"/>
    <s v="CC120254"/>
    <d v="2067-03-05T00:00:00"/>
    <d v="2019-11-11T00:00:00"/>
    <d v="2019-11-13T00:00:00"/>
    <d v="2020-01-07T00:00:00"/>
    <s v="Approved"/>
    <x v="143"/>
    <d v="2020-02-25T00:00:00"/>
    <d v="2020-02-16T00:00:00"/>
    <s v="No action - no reason specified"/>
    <m/>
    <s v=""/>
    <s v=""/>
    <m/>
    <d v="2020-02-25T00:00:00"/>
  </r>
  <r>
    <x v="11"/>
    <s v="Silvas"/>
    <s v="C64134"/>
    <n v="11118186"/>
    <s v="CVSP-Facility B"/>
    <x v="0"/>
    <s v="PA026243"/>
    <d v="2031-10-16T00:00:00"/>
    <d v="2019-11-11T00:00:00"/>
    <d v="2019-11-13T00:00:00"/>
    <d v="2020-01-07T00:00:00"/>
    <s v="Approved"/>
    <x v="182"/>
    <d v="2020-02-27T00:00:00"/>
    <d v="2020-02-07T00:00:00"/>
    <s v="No action - reason provided"/>
    <m/>
    <s v=""/>
    <s v=""/>
    <m/>
    <d v="2020-02-27T00:00:00"/>
  </r>
  <r>
    <x v="11"/>
    <s v="Garcia"/>
    <s v="T59334"/>
    <n v="11124668"/>
    <s v="SQ-Facility A"/>
    <x v="0"/>
    <s v="VA068452"/>
    <d v="2034-07-28T00:00:00"/>
    <d v="2019-11-11T00:00:00"/>
    <d v="2019-11-13T00:00:00"/>
    <d v="2020-01-07T00:00:00"/>
    <s v="Approved"/>
    <x v="182"/>
    <d v="2020-02-04T00:00:00"/>
    <d v="2020-01-22T00:00:00"/>
    <s v="No action - reason provided"/>
    <m/>
    <s v=""/>
    <s v=""/>
    <m/>
    <d v="2020-02-04T00:00:00"/>
  </r>
  <r>
    <x v="11"/>
    <s v="Williams"/>
    <s v="T99534"/>
    <n v="11124827"/>
    <s v="CTF-Facility C"/>
    <x v="0"/>
    <s v="BA237575"/>
    <d v="2029-04-21T00:00:00"/>
    <d v="2019-11-11T00:00:00"/>
    <d v="2019-11-13T00:00:00"/>
    <d v="2020-01-07T00:00:00"/>
    <s v="Approved"/>
    <x v="182"/>
    <d v="2020-11-05T00:00:00"/>
    <d v="2020-10-14T00:00:00"/>
    <s v="Reduced"/>
    <n v="2114"/>
    <n v="5.7917808219178086"/>
    <n v="47834.317808219181"/>
    <s v="Reduced"/>
    <d v="2020-11-06T00:00:00"/>
  </r>
  <r>
    <x v="11"/>
    <s v="Muller"/>
    <s v="G16534"/>
    <n v="11125516"/>
    <s v="MCSP-Facility E"/>
    <x v="20"/>
    <n v="158259"/>
    <d v="2023-07-10T00:00:00"/>
    <d v="2019-11-11T00:00:00"/>
    <d v="2019-11-13T00:00:00"/>
    <d v="2019-01-30T00:00:00"/>
    <s v="Approved"/>
    <x v="183"/>
    <m/>
    <m/>
    <m/>
    <m/>
    <s v=""/>
    <s v=""/>
    <m/>
    <m/>
  </r>
  <r>
    <x v="11"/>
    <s v="Osumi"/>
    <s v="T49434"/>
    <n v="11169711"/>
    <s v="FOL-Facility A"/>
    <x v="0"/>
    <s v="SA043514"/>
    <d v="2036-12-27T00:00:00"/>
    <d v="2019-11-11T00:00:00"/>
    <d v="2019-11-13T00:00:00"/>
    <d v="2020-01-07T00:00:00"/>
    <s v="Declined"/>
    <x v="27"/>
    <m/>
    <m/>
    <m/>
    <m/>
    <s v=""/>
    <s v=""/>
    <m/>
    <m/>
  </r>
  <r>
    <x v="11"/>
    <s v="Maldonado"/>
    <s v="H11234"/>
    <n v="11142747"/>
    <s v="CRC-Facility B"/>
    <x v="0"/>
    <s v="KA053742"/>
    <d v="2025-01-19T00:00:00"/>
    <d v="2019-11-11T00:00:00"/>
    <d v="2019-11-13T00:00:00"/>
    <d v="2020-01-07T00:00:00"/>
    <s v="Declined"/>
    <x v="27"/>
    <m/>
    <m/>
    <m/>
    <m/>
    <s v=""/>
    <s v=""/>
    <m/>
    <m/>
  </r>
  <r>
    <x v="11"/>
    <s v="Redondo"/>
    <s v="J63134"/>
    <n v="11157157"/>
    <s v="CEN-Central Service"/>
    <x v="0"/>
    <s v="LA019062"/>
    <d v="2027-10-13T00:00:00"/>
    <d v="2019-11-11T00:00:00"/>
    <d v="2019-11-13T00:00:00"/>
    <d v="2020-01-07T00:00:00"/>
    <s v="Declined"/>
    <x v="27"/>
    <m/>
    <m/>
    <m/>
    <m/>
    <s v=""/>
    <s v=""/>
    <m/>
    <m/>
  </r>
  <r>
    <x v="11"/>
    <s v="Gray "/>
    <s v="K53834"/>
    <n v="11182892"/>
    <s v="LAC-Facility B"/>
    <x v="0"/>
    <s v="YA052938"/>
    <d v="2043-03-07T00:00:00"/>
    <d v="2019-11-20T00:00:00"/>
    <d v="2019-11-22T00:00:00"/>
    <d v="2020-01-22T00:00:00"/>
    <s v="Declined"/>
    <x v="27"/>
    <m/>
    <m/>
    <m/>
    <m/>
    <s v=""/>
    <s v=""/>
    <m/>
    <m/>
  </r>
  <r>
    <x v="11"/>
    <s v="Anderson"/>
    <s v="G13434"/>
    <n v="11217032"/>
    <s v="CHCF-Facility E"/>
    <x v="0"/>
    <s v="VA096799"/>
    <d v="2052-09-13T00:00:00"/>
    <d v="2019-11-20T00:00:00"/>
    <d v="2019-11-22T00:00:00"/>
    <d v="2020-01-22T00:00:00"/>
    <s v="Approved"/>
    <x v="184"/>
    <d v="2020-02-24T00:00:00"/>
    <d v="2020-02-11T00:00:00"/>
    <s v="No action - no reason specified"/>
    <m/>
    <s v=""/>
    <s v=""/>
    <m/>
    <d v="2020-02-26T00:00:00"/>
  </r>
  <r>
    <x v="11"/>
    <s v="Chavez"/>
    <s v="G14034"/>
    <n v="11217180"/>
    <s v="CTF-Facility B"/>
    <x v="17"/>
    <s v="05F07263"/>
    <d v="2262-05-16T00:00:00"/>
    <d v="2019-11-20T00:00:00"/>
    <d v="2019-11-22T00:00:00"/>
    <d v="2020-01-22T00:00:00"/>
    <s v="Approved"/>
    <x v="184"/>
    <m/>
    <m/>
    <m/>
    <m/>
    <s v=""/>
    <s v=""/>
    <m/>
    <m/>
  </r>
  <r>
    <x v="11"/>
    <s v="Espinoza"/>
    <s v="G35734"/>
    <n v="11221906"/>
    <s v="LAC-Facility B"/>
    <x v="0"/>
    <s v="NA066376"/>
    <d v="2029-03-27T00:00:00"/>
    <d v="2019-11-20T00:00:00"/>
    <d v="2019-11-22T00:00:00"/>
    <d v="2020-01-22T00:00:00"/>
    <s v="Declined"/>
    <x v="27"/>
    <m/>
    <m/>
    <m/>
    <m/>
    <s v=""/>
    <s v=""/>
    <m/>
    <m/>
  </r>
  <r>
    <x v="11"/>
    <s v="Mendoza"/>
    <s v="T26834"/>
    <n v="11259476"/>
    <s v="CCI-Facility D"/>
    <x v="12"/>
    <s v="EE014970"/>
    <d v="2022-02-11T00:00:00"/>
    <d v="2019-11-20T00:00:00"/>
    <d v="2019-11-22T00:00:00"/>
    <d v="2020-01-22T00:00:00"/>
    <s v="Approved"/>
    <x v="184"/>
    <d v="2020-03-02T00:00:00"/>
    <d v="2020-02-16T00:00:00"/>
    <s v="No action - reason provided"/>
    <m/>
    <s v=""/>
    <s v=""/>
    <m/>
    <d v="2020-03-02T00:00:00"/>
  </r>
  <r>
    <x v="11"/>
    <s v="Johnson"/>
    <s v="E43834"/>
    <n v="11520318"/>
    <s v="FOL-Facility A"/>
    <x v="12"/>
    <n v="203073"/>
    <d v="2085-11-13T00:00:00"/>
    <d v="2019-11-20T00:00:00"/>
    <d v="2019-11-22T00:00:00"/>
    <d v="2020-01-22T00:00:00"/>
    <s v="Approved"/>
    <x v="184"/>
    <m/>
    <m/>
    <m/>
    <m/>
    <s v=""/>
    <s v=""/>
    <m/>
    <m/>
  </r>
  <r>
    <x v="11"/>
    <s v="Borboa"/>
    <s v="H11634"/>
    <n v="11658863"/>
    <s v="CVSP-Facility A"/>
    <x v="0"/>
    <s v="BA133213"/>
    <d v="2091-09-06T00:00:00"/>
    <d v="2019-11-20T00:00:00"/>
    <d v="2019-11-22T00:00:00"/>
    <d v="2020-01-22T00:00:00"/>
    <s v="Approved"/>
    <x v="184"/>
    <d v="2020-02-27T00:00:00"/>
    <d v="2020-02-13T00:00:00"/>
    <s v="No action - no reason specified"/>
    <m/>
    <s v=""/>
    <s v=""/>
    <m/>
    <d v="2020-02-27T00:00:00"/>
  </r>
  <r>
    <x v="11"/>
    <s v="Coker"/>
    <s v="H32734"/>
    <n v="11669766"/>
    <s v="MCSP-Facility E"/>
    <x v="17"/>
    <s v="00F09219"/>
    <d v="2108-09-06T00:00:00"/>
    <d v="2019-11-20T00:00:00"/>
    <d v="2019-11-22T00:00:00"/>
    <d v="2020-01-22T00:00:00"/>
    <s v="Approved"/>
    <x v="184"/>
    <d v="2020-04-03T00:00:00"/>
    <d v="2020-03-17T00:00:00"/>
    <s v="No action - reason provided"/>
    <m/>
    <s v=""/>
    <s v=""/>
    <m/>
    <d v="2020-04-15T00:00:00"/>
  </r>
  <r>
    <x v="11"/>
    <s v="Gilliam"/>
    <s v="T60934"/>
    <n v="11935553"/>
    <s v="CHCF-Facility E"/>
    <x v="10"/>
    <s v="SCE299097"/>
    <d v="2025-10-10T00:00:00"/>
    <d v="2019-11-20T00:00:00"/>
    <d v="2019-11-22T00:00:00"/>
    <d v="2020-01-22T00:00:00"/>
    <s v="Declined"/>
    <x v="27"/>
    <m/>
    <m/>
    <m/>
    <m/>
    <s v=""/>
    <s v=""/>
    <m/>
    <m/>
  </r>
  <r>
    <x v="1"/>
    <s v="Frank"/>
    <s v="AW5517"/>
    <n v="12131937"/>
    <s v="DVI - Facility A"/>
    <x v="12"/>
    <s v="C1117615"/>
    <d v="2025-11-08T00:00:00"/>
    <d v="2021-03-22T00:00:00"/>
    <d v="2021-03-24T00:00:00"/>
    <d v="2021-03-24T00:00:00"/>
    <s v="Approved"/>
    <x v="72"/>
    <m/>
    <m/>
    <m/>
    <m/>
    <s v=""/>
    <s v=""/>
    <s v="Hold per Secretary Allison"/>
    <m/>
  </r>
  <r>
    <x v="7"/>
    <s v="Castaneda"/>
    <s v="P74895"/>
    <n v="11886286"/>
    <s v="SOL - Facility D"/>
    <x v="17"/>
    <s v="00F06896"/>
    <d v="2028-03-25T00:00:00"/>
    <d v="2019-11-18T00:00:00"/>
    <d v="2019-12-03T00:00:00"/>
    <d v="2019-12-04T00:00:00"/>
    <s v="Approved"/>
    <x v="140"/>
    <d v="2020-11-06T00:00:00"/>
    <d v="2020-08-28T00:00:00"/>
    <s v="Released"/>
    <n v="1451"/>
    <n v="3.9753424657534246"/>
    <n v="32832.353424657536"/>
    <s v="Released 9/2/2020 from County Jail "/>
    <d v="2020-11-06T00:00:00"/>
  </r>
  <r>
    <x v="7"/>
    <s v="Burch"/>
    <s v="K87975"/>
    <n v="11113640"/>
    <s v="SQ - Central Service"/>
    <x v="34"/>
    <s v="S609576"/>
    <d v="1965-05-12T00:00:00"/>
    <d v="2019-11-04T00:00:00"/>
    <m/>
    <m/>
    <m/>
    <x v="27"/>
    <m/>
    <m/>
    <m/>
    <m/>
    <s v=""/>
    <s v=""/>
    <s v="Inmate deseased as of 11/6/19"/>
    <d v="2019-11-06T00:00:00"/>
  </r>
  <r>
    <x v="11"/>
    <s v="Garcia"/>
    <s v="J91670"/>
    <n v="11769978"/>
    <s v="PVSP-Facility C"/>
    <x v="14"/>
    <s v="SS070721A"/>
    <d v="2022-10-11T00:00:00"/>
    <d v="2019-11-18T00:00:00"/>
    <d v="2019-11-18T00:00:00"/>
    <d v="2019-01-30T00:00:00"/>
    <s v="Approved"/>
    <x v="185"/>
    <m/>
    <m/>
    <m/>
    <m/>
    <s v=""/>
    <s v=""/>
    <m/>
    <m/>
  </r>
  <r>
    <x v="11"/>
    <s v="Torres"/>
    <s v="AV1170"/>
    <n v="12123312"/>
    <s v="PVSP-Facility D"/>
    <x v="12"/>
    <s v="C1227146"/>
    <d v="2023-01-23T00:00:00"/>
    <d v="2019-11-18T00:00:00"/>
    <d v="2019-11-18T00:00:00"/>
    <d v="2019-01-30T00:00:00"/>
    <s v="Approved"/>
    <x v="185"/>
    <d v="2020-05-20T00:00:00"/>
    <d v="2020-05-14T00:00:00"/>
    <s v="No action - reason provided"/>
    <m/>
    <s v=""/>
    <s v=""/>
    <s v="Sentence served the interest of justice"/>
    <d v="2020-05-21T00:00:00"/>
  </r>
  <r>
    <x v="11"/>
    <s v="Chavez"/>
    <s v="AV3299"/>
    <n v="11921533"/>
    <s v="PUMCCF-Taft"/>
    <x v="8"/>
    <s v="INF1200330"/>
    <d v="2023-03-23T00:00:00"/>
    <d v="2019-11-18T00:00:00"/>
    <d v="2019-11-18T00:00:00"/>
    <d v="2019-01-30T00:00:00"/>
    <s v="Approved"/>
    <x v="185"/>
    <d v="2020-08-19T00:00:00"/>
    <d v="2020-08-11T00:00:00"/>
    <s v="Reduced"/>
    <n v="1461"/>
    <n v="4.0027397260273974"/>
    <n v="33058.627397260272"/>
    <m/>
    <d v="2020-08-19T00:00:00"/>
  </r>
  <r>
    <x v="11"/>
    <s v="Gonzalez"/>
    <s v="AM8093"/>
    <n v="11305424"/>
    <s v="SCC Growlersburg Camp"/>
    <x v="11"/>
    <s v="VCF242391"/>
    <d v="2022-06-18T00:00:00"/>
    <d v="2019-11-18T00:00:00"/>
    <d v="2019-11-18T00:00:00"/>
    <d v="2019-01-30T00:00:00"/>
    <s v="Approved"/>
    <x v="185"/>
    <m/>
    <m/>
    <m/>
    <m/>
    <s v=""/>
    <s v=""/>
    <m/>
    <m/>
  </r>
  <r>
    <x v="11"/>
    <s v="Alcala"/>
    <s v="AE9273"/>
    <n v="11352353"/>
    <s v="CRC-Facility C"/>
    <x v="0"/>
    <s v="VA124080"/>
    <d v="2023-06-14T00:00:00"/>
    <d v="2019-11-18T00:00:00"/>
    <d v="2019-11-18T00:00:00"/>
    <d v="2019-01-30T00:00:00"/>
    <s v="Approved"/>
    <x v="185"/>
    <d v="2020-04-03T00:00:00"/>
    <d v="2020-03-16T00:00:00"/>
    <s v="No action - no reason specified"/>
    <m/>
    <s v=""/>
    <s v=""/>
    <m/>
    <d v="2020-04-15T00:00:00"/>
  </r>
  <r>
    <x v="11"/>
    <s v="Douglas"/>
    <s v="AT5184"/>
    <n v="12114362"/>
    <s v="SQ-Facility B"/>
    <x v="17"/>
    <s v="13F00422"/>
    <d v="2023-08-04T00:00:00"/>
    <d v="2019-11-18T00:00:00"/>
    <d v="2019-11-18T00:00:00"/>
    <d v="2019-01-30T00:00:00"/>
    <s v="Approved"/>
    <x v="185"/>
    <m/>
    <m/>
    <m/>
    <m/>
    <s v=""/>
    <s v=""/>
    <m/>
    <m/>
  </r>
  <r>
    <x v="11"/>
    <s v="Laster"/>
    <s v="V74284"/>
    <n v="12001586"/>
    <s v="CMF-Facility A"/>
    <x v="9"/>
    <s v="FMB1000338"/>
    <d v="2023-08-14T00:00:00"/>
    <d v="2019-11-18T00:00:00"/>
    <d v="2019-11-18T00:00:00"/>
    <d v="2019-01-30T00:00:00"/>
    <s v="Approved"/>
    <x v="185"/>
    <m/>
    <m/>
    <m/>
    <m/>
    <s v=""/>
    <s v=""/>
    <m/>
    <m/>
  </r>
  <r>
    <x v="11"/>
    <s v="Perez"/>
    <s v="T81891"/>
    <n v="11947639"/>
    <s v="MCSP-Facility D"/>
    <x v="12"/>
    <s v="C1355917"/>
    <d v="2023-07-26T00:00:00"/>
    <d v="2019-11-18T00:00:00"/>
    <d v="2019-11-18T00:00:00"/>
    <d v="2019-01-30T00:00:00"/>
    <s v="Approved"/>
    <x v="185"/>
    <d v="2020-03-11T00:00:00"/>
    <d v="2020-02-28T00:00:00"/>
    <s v="No action - reason provided"/>
    <m/>
    <s v=""/>
    <s v=""/>
    <m/>
    <d v="2020-03-13T00:00:00"/>
  </r>
  <r>
    <x v="11"/>
    <s v="Lamaire"/>
    <s v="AV1079"/>
    <n v="11795567"/>
    <s v="SHS-Atascadero "/>
    <x v="10"/>
    <s v="SCD238223"/>
    <d v="2023-07-07T00:00:00"/>
    <d v="2019-11-18T00:00:00"/>
    <d v="2019-11-18T00:00:00"/>
    <d v="2019-01-30T00:00:00"/>
    <s v="Approved"/>
    <x v="185"/>
    <d v="2020-08-07T00:00:00"/>
    <d v="2020-07-08T00:00:00"/>
    <s v="No action - reason provided"/>
    <m/>
    <s v=""/>
    <s v=""/>
    <m/>
    <d v="2020-08-07T00:00:00"/>
  </r>
  <r>
    <x v="1"/>
    <s v="Haygood"/>
    <s v="V09189"/>
    <n v="11963234"/>
    <s v="CCI - Facility E"/>
    <x v="10"/>
    <s v="SCE229595"/>
    <d v="2024-05-03T00:00:00"/>
    <d v="2019-11-04T00:00:00"/>
    <d v="2019-12-03T00:00:00"/>
    <d v="2019-12-04T00:00:00"/>
    <s v="Declined"/>
    <x v="27"/>
    <m/>
    <m/>
    <m/>
    <m/>
    <s v=""/>
    <s v=""/>
    <m/>
    <m/>
  </r>
  <r>
    <x v="1"/>
    <s v="Fry"/>
    <s v="H72164"/>
    <n v="11690057"/>
    <s v="FOL FAC A"/>
    <x v="9"/>
    <s v="FWV16514"/>
    <d v="2027-07-13T00:00:00"/>
    <d v="2019-07-24T00:00:00"/>
    <d v="2019-07-31T00:00:00"/>
    <d v="2019-07-31T00:00:00"/>
    <s v="Approved"/>
    <x v="186"/>
    <d v="2020-07-27T00:00:00"/>
    <d v="2020-07-16T00:00:00"/>
    <s v="Reduced"/>
    <n v="5478"/>
    <n v="15.008219178082191"/>
    <n v="123952.88219178082"/>
    <s v="Released 7/24/2020"/>
    <d v="2020-07-27T00:00:00"/>
  </r>
  <r>
    <x v="7"/>
    <s v="Noordman"/>
    <s v="X11811"/>
    <n v="11021427"/>
    <s v="CIW - Facility A"/>
    <x v="9"/>
    <s v="FRE006600"/>
    <d v="1941-04-23T00:00:00"/>
    <d v="2019-11-04T00:00:00"/>
    <d v="2019-12-03T00:00:00"/>
    <d v="2019-12-04T00:00:00"/>
    <s v="Approved"/>
    <x v="140"/>
    <d v="2020-01-13T00:00:00"/>
    <d v="2019-12-27T00:00:00"/>
    <s v="No action - reason provided"/>
    <m/>
    <s v=""/>
    <s v=""/>
    <m/>
    <d v="2020-01-13T00:00:00"/>
  </r>
  <r>
    <x v="11"/>
    <s v="Davenport"/>
    <s v="E92903"/>
    <n v="11174508"/>
    <s v="CTF-Facility C"/>
    <x v="0"/>
    <s v="VA131897"/>
    <d v="2030-02-14T00:00:00"/>
    <d v="2019-11-25T00:00:00"/>
    <d v="2019-11-27T00:00:00"/>
    <d v="2020-01-22T00:00:00"/>
    <s v="Declined"/>
    <x v="27"/>
    <m/>
    <m/>
    <m/>
    <m/>
    <s v=""/>
    <s v=""/>
    <m/>
    <m/>
  </r>
  <r>
    <x v="11"/>
    <s v="Tannan"/>
    <s v="E25000"/>
    <n v="11122520"/>
    <s v="CHCF-Facility D"/>
    <x v="40"/>
    <n v="1176446"/>
    <d v="2081-07-08T00:00:00"/>
    <d v="2019-11-25T00:00:00"/>
    <d v="2019-11-27T00:00:00"/>
    <d v="2020-01-22T00:00:00"/>
    <s v="Approved"/>
    <x v="187"/>
    <m/>
    <m/>
    <m/>
    <m/>
    <s v=""/>
    <s v=""/>
    <m/>
    <m/>
  </r>
  <r>
    <x v="11"/>
    <s v="Binns"/>
    <s v="E94600"/>
    <n v="11546133"/>
    <s v="FOL-Fcility A"/>
    <x v="0"/>
    <s v="SA028021"/>
    <d v="2161-09-20T00:00:00"/>
    <d v="2019-11-25T00:00:00"/>
    <d v="2019-11-27T00:00:00"/>
    <d v="2020-01-22T00:00:00"/>
    <s v="Approved"/>
    <x v="187"/>
    <m/>
    <m/>
    <m/>
    <m/>
    <s v=""/>
    <s v=""/>
    <m/>
    <m/>
  </r>
  <r>
    <x v="11"/>
    <s v="Green"/>
    <s v="K83702"/>
    <n v="11147796"/>
    <s v="HDSP-Facility A"/>
    <x v="20"/>
    <n v="157187"/>
    <d v="2022-11-12T00:00:00"/>
    <d v="2019-11-25T00:00:00"/>
    <d v="2019-11-27T00:00:00"/>
    <d v="2020-01-22T00:00:00"/>
    <s v="Declined"/>
    <x v="27"/>
    <m/>
    <m/>
    <m/>
    <m/>
    <s v=""/>
    <s v=""/>
    <m/>
    <m/>
  </r>
  <r>
    <x v="11"/>
    <s v="Sudduth"/>
    <s v="AR3401"/>
    <n v="11452366"/>
    <s v="CCI-Facility D"/>
    <x v="0"/>
    <s v="BA380443"/>
    <d v="2044-02-27T00:00:00"/>
    <d v="2019-11-25T00:00:00"/>
    <d v="2019-11-27T00:00:00"/>
    <d v="2020-01-22T00:00:00"/>
    <s v="Approved"/>
    <x v="187"/>
    <m/>
    <m/>
    <m/>
    <m/>
    <s v=""/>
    <s v=""/>
    <m/>
    <m/>
  </r>
  <r>
    <x v="11"/>
    <s v="Galvan"/>
    <s v="J06002"/>
    <n v="11725849"/>
    <s v="CTF-Facility C"/>
    <x v="0"/>
    <s v="BA124346"/>
    <d v="2047-10-23T00:00:00"/>
    <d v="2019-11-25T00:00:00"/>
    <d v="2019-11-27T00:00:00"/>
    <d v="2020-01-22T00:00:00"/>
    <s v="Declined"/>
    <x v="27"/>
    <m/>
    <m/>
    <m/>
    <m/>
    <s v=""/>
    <s v=""/>
    <m/>
    <m/>
  </r>
  <r>
    <x v="11"/>
    <s v="Liggins"/>
    <s v="G55102"/>
    <n v="11226190"/>
    <s v="SQ-Facility A"/>
    <x v="9"/>
    <s v="FSB047546"/>
    <d v="2076-03-06T00:00:00"/>
    <d v="2019-11-25T00:00:00"/>
    <d v="2019-11-27T00:00:00"/>
    <d v="2020-01-22T00:00:00"/>
    <s v="Approved"/>
    <x v="187"/>
    <d v="2020-03-09T00:00:00"/>
    <d v="2020-02-27T00:00:00"/>
    <s v="No action - no reason specified"/>
    <m/>
    <s v=""/>
    <s v=""/>
    <m/>
    <d v="2020-03-09T00:00:00"/>
  </r>
  <r>
    <x v="1"/>
    <s v="Fue"/>
    <s v="F82860"/>
    <n v="11210505"/>
    <s v="RJD - Facility C"/>
    <x v="0"/>
    <s v="TA086440"/>
    <d v="2028-08-12T00:00:00"/>
    <d v="2020-03-19T00:00:00"/>
    <d v="2020-09-08T00:00:00"/>
    <d v="2020-09-08T00:00:00"/>
    <s v="Approved"/>
    <x v="71"/>
    <m/>
    <m/>
    <m/>
    <m/>
    <s v=""/>
    <s v=""/>
    <m/>
    <m/>
  </r>
  <r>
    <x v="1"/>
    <s v="Gamaza"/>
    <s v="AL6175"/>
    <n v="11297534"/>
    <s v="CCC-Delta Camp"/>
    <x v="12"/>
    <s v="C1101471"/>
    <d v="2022-11-25T00:00:00"/>
    <d v="2021-03-22T00:00:00"/>
    <d v="2021-03-24T00:00:00"/>
    <d v="2021-03-24T00:00:00"/>
    <s v="Approved"/>
    <x v="174"/>
    <m/>
    <m/>
    <m/>
    <m/>
    <s v=""/>
    <s v=""/>
    <m/>
    <m/>
  </r>
  <r>
    <x v="11"/>
    <s v="Lopez"/>
    <s v="AZ2594"/>
    <n v="12008856"/>
    <s v="PUMCCF - Delano"/>
    <x v="8"/>
    <s v="INF1301370"/>
    <d v="2021-11-06T00:00:00"/>
    <d v="2019-10-16T00:00:00"/>
    <d v="2019-10-16T00:00:00"/>
    <d v="2019-11-19T00:00:00"/>
    <s v="Approved"/>
    <x v="175"/>
    <d v="2020-01-07T00:00:00"/>
    <d v="2019-01-07T00:00:00"/>
    <s v="No action - no reason specified"/>
    <m/>
    <s v=""/>
    <s v=""/>
    <m/>
    <d v="2020-01-07T00:00:00"/>
  </r>
  <r>
    <x v="11"/>
    <s v="Thompson"/>
    <s v="AX3025"/>
    <n v="12136278"/>
    <s v="PUMCCF-Taft"/>
    <x v="17"/>
    <s v="13F02974"/>
    <d v="2023-04-27T00:00:00"/>
    <d v="2019-11-25T00:00:00"/>
    <d v="2019-11-26T00:00:00"/>
    <d v="2020-01-07T00:00:00"/>
    <s v="Approved"/>
    <x v="143"/>
    <m/>
    <m/>
    <m/>
    <m/>
    <s v=""/>
    <s v=""/>
    <m/>
    <m/>
  </r>
  <r>
    <x v="11"/>
    <s v="Frazier"/>
    <s v="AA4730"/>
    <n v="11047041"/>
    <s v="SQ-Facility B"/>
    <x v="20"/>
    <n v="156851"/>
    <d v="2024-01-26T00:00:00"/>
    <d v="2019-11-25T00:00:00"/>
    <d v="2019-11-26T00:00:00"/>
    <d v="2020-01-07T00:00:00"/>
    <s v="Approved"/>
    <x v="143"/>
    <m/>
    <m/>
    <m/>
    <m/>
    <s v=""/>
    <s v=""/>
    <m/>
    <m/>
  </r>
  <r>
    <x v="11"/>
    <s v="Hurlburt"/>
    <s v="AA2825"/>
    <n v="11323096"/>
    <s v="VSP-Facility C"/>
    <x v="10"/>
    <s v="SCE312391"/>
    <d v="2024-11-04T00:00:00"/>
    <d v="2019-11-25T00:00:00"/>
    <d v="2019-11-26T00:00:00"/>
    <d v="2020-01-07T00:00:00"/>
    <s v="Approved"/>
    <x v="143"/>
    <m/>
    <m/>
    <m/>
    <m/>
    <s v=""/>
    <s v=""/>
    <m/>
    <m/>
  </r>
  <r>
    <x v="11"/>
    <s v="Castro"/>
    <s v="AY0838"/>
    <n v="12141053"/>
    <s v="RJD-Facility D"/>
    <x v="8"/>
    <s v="INF1301833"/>
    <d v="2025-08-19T00:00:00"/>
    <d v="2019-11-25T00:00:00"/>
    <d v="2019-11-26T00:00:00"/>
    <d v="2020-01-07T00:00:00"/>
    <s v="Declined"/>
    <x v="27"/>
    <m/>
    <m/>
    <m/>
    <m/>
    <s v=""/>
    <s v=""/>
    <m/>
    <m/>
  </r>
  <r>
    <x v="11"/>
    <s v="Houston"/>
    <s v="AZ0527"/>
    <n v="12146907"/>
    <s v="CIM-Facility D"/>
    <x v="2"/>
    <s v="12WF1958"/>
    <d v="2024-04-18T00:00:00"/>
    <d v="2019-11-25T00:00:00"/>
    <d v="2019-11-26T00:00:00"/>
    <d v="2020-01-07T00:00:00"/>
    <s v="Approved"/>
    <x v="143"/>
    <m/>
    <m/>
    <m/>
    <m/>
    <s v=""/>
    <s v=""/>
    <m/>
    <m/>
  </r>
  <r>
    <x v="7"/>
    <s v="Heyberger"/>
    <s v="P15399"/>
    <n v="11116672"/>
    <s v="FOL Facility A"/>
    <x v="12"/>
    <n v="204279"/>
    <d v="2045-07-26T00:00:00"/>
    <d v="2019-10-09T00:00:00"/>
    <d v="2019-11-14T00:00:00"/>
    <d v="2019-11-14T00:00:00"/>
    <s v="Approved"/>
    <x v="96"/>
    <d v="2020-01-08T00:00:00"/>
    <d v="2019-12-30T00:00:00"/>
    <s v="No action - reason provided"/>
    <m/>
    <s v=""/>
    <s v=""/>
    <s v="PER Santa Clara County DA case is still being reviewed"/>
    <d v="2020-01-08T00:00:00"/>
  </r>
  <r>
    <x v="11"/>
    <s v="Faulk"/>
    <s v="V33325"/>
    <n v="11977221"/>
    <s v="PRMCCF-Desert View"/>
    <x v="0"/>
    <s v="NA094254"/>
    <d v="2023-06-08T00:00:00"/>
    <d v="2019-11-25T00:00:00"/>
    <d v="2019-11-26T00:00:00"/>
    <d v="2020-01-07T00:00:00"/>
    <s v="Approved"/>
    <x v="143"/>
    <d v="2020-04-29T00:00:00"/>
    <d v="2020-04-10T00:00:00"/>
    <s v="No action - due to plea"/>
    <m/>
    <s v=""/>
    <s v=""/>
    <m/>
    <d v="2020-04-29T00:00:00"/>
  </r>
  <r>
    <x v="11"/>
    <s v="Bibbs"/>
    <s v="F73131"/>
    <n v="11175882"/>
    <s v="PRMCCF-Desert View"/>
    <x v="0"/>
    <s v="SA059521"/>
    <d v="2023-06-21T00:00:00"/>
    <d v="2019-11-25T00:00:00"/>
    <d v="2019-11-26T00:00:00"/>
    <d v="2020-01-07T00:00:00"/>
    <s v="Approved"/>
    <x v="143"/>
    <d v="2020-04-08T00:00:00"/>
    <d v="2020-03-27T00:00:00"/>
    <s v="No action - reason provided"/>
    <m/>
    <s v=""/>
    <s v=""/>
    <m/>
    <d v="2020-04-08T00:00:00"/>
  </r>
  <r>
    <x v="11"/>
    <s v="McAlpine"/>
    <s v="D77125"/>
    <n v="11487447"/>
    <s v="CTF-Facility D"/>
    <x v="0"/>
    <s v="MA055863"/>
    <d v="2027-09-20T00:00:00"/>
    <d v="2019-11-25T00:00:00"/>
    <d v="2019-11-26T00:00:00"/>
    <d v="2020-01-07T00:00:00"/>
    <s v="Approved"/>
    <x v="143"/>
    <m/>
    <m/>
    <m/>
    <m/>
    <s v=""/>
    <s v=""/>
    <m/>
    <m/>
  </r>
  <r>
    <x v="1"/>
    <s v="Garcia"/>
    <s v="AD1276"/>
    <n v="11341118"/>
    <s v="CIM-Facility D"/>
    <x v="0"/>
    <s v="VA111382"/>
    <d v="2022-02-25T00:00:00"/>
    <d v="2019-01-09T00:00:00"/>
    <d v="2019-01-22T00:00:00"/>
    <d v="2019-01-23T00:00:00"/>
    <s v="Approved"/>
    <x v="106"/>
    <d v="2019-03-29T00:00:00"/>
    <d v="2019-03-11T00:00:00"/>
    <s v="No action - no reason specified"/>
    <m/>
    <s v=""/>
    <s v=""/>
    <m/>
    <d v="2019-03-29T00:00:00"/>
  </r>
  <r>
    <x v="1"/>
    <s v="Garcia"/>
    <s v="F53707"/>
    <n v="11581375"/>
    <s v="PRMCCF - Desert View"/>
    <x v="2"/>
    <s v="11CF2209"/>
    <d v="2025-05-22T00:00:00"/>
    <d v="2020-01-14T00:00:00"/>
    <d v="2020-02-18T00:00:00"/>
    <d v="2020-02-18T00:00:00"/>
    <s v="Approved"/>
    <x v="188"/>
    <m/>
    <d v="2021-09-27T00:00:00"/>
    <s v="Pending Court (Date in Notes)"/>
    <m/>
    <s v=""/>
    <s v=""/>
    <m/>
    <m/>
  </r>
  <r>
    <x v="7"/>
    <s v="Carter"/>
    <s v="X32287"/>
    <n v="11035187"/>
    <s v="CIW - Facility A"/>
    <x v="0"/>
    <s v="PA054745"/>
    <d v="2027-04-07T00:00:00"/>
    <d v="2019-12-03T00:00:00"/>
    <d v="2020-01-03T00:00:00"/>
    <d v="2020-01-06T00:00:00"/>
    <s v="Approved"/>
    <x v="189"/>
    <d v="2020-03-09T00:00:00"/>
    <d v="2020-02-28T00:00:00"/>
    <s v="No action - no reason specified"/>
    <m/>
    <s v=""/>
    <s v=""/>
    <m/>
    <d v="2020-03-11T00:00:00"/>
  </r>
  <r>
    <x v="7"/>
    <s v="Cross"/>
    <s v="G29793"/>
    <n v="11628616"/>
    <s v="CMF - Facility B"/>
    <x v="17"/>
    <s v="04F08966"/>
    <d v="2029-01-13T00:00:00"/>
    <d v="2019-12-03T00:00:00"/>
    <d v="2020-01-16T00:00:00"/>
    <d v="2020-01-16T00:00:00"/>
    <s v="Approved"/>
    <x v="190"/>
    <d v="2020-03-12T00:00:00"/>
    <d v="2020-02-25T00:00:00"/>
    <s v="No action - reason provided"/>
    <m/>
    <s v=""/>
    <s v=""/>
    <m/>
    <d v="2020-03-12T00:00:00"/>
  </r>
  <r>
    <x v="1"/>
    <s v="Garcia"/>
    <s v="AV9798"/>
    <n v="12128524"/>
    <s v="NKSP-Facility D"/>
    <x v="12"/>
    <s v="C1226110"/>
    <d v="2027-07-05T00:00:00"/>
    <d v="2021-03-22T00:00:00"/>
    <d v="2021-03-24T00:00:00"/>
    <d v="2021-03-24T00:00:00"/>
    <s v="Approved"/>
    <x v="174"/>
    <m/>
    <m/>
    <m/>
    <m/>
    <s v=""/>
    <s v=""/>
    <m/>
    <m/>
  </r>
  <r>
    <x v="7"/>
    <s v="Roberson"/>
    <s v="T06032"/>
    <n v="11904834"/>
    <s v="SQ - Facility A"/>
    <x v="18"/>
    <n v="9910738"/>
    <d v="2042-10-19T00:00:00"/>
    <d v="2019-12-03T00:00:00"/>
    <d v="2020-01-16T00:00:00"/>
    <d v="2020-01-16T00:00:00"/>
    <s v="Approved"/>
    <x v="190"/>
    <m/>
    <d v="2020-11-06T00:00:00"/>
    <s v="No action - no reason specified"/>
    <m/>
    <s v=""/>
    <s v=""/>
    <s v="Released on Commutation "/>
    <d v="2021-02-19T00:00:00"/>
  </r>
  <r>
    <x v="1"/>
    <s v="Garrett"/>
    <s v="AG4987"/>
    <n v="11068622"/>
    <s v="CIM FAC D"/>
    <x v="20"/>
    <n v="164361"/>
    <d v="2025-04-05T00:00:00"/>
    <d v="2019-06-20T00:00:00"/>
    <d v="2019-06-24T00:00:00"/>
    <d v="2019-07-01T00:00:00"/>
    <s v="Approved"/>
    <x v="54"/>
    <d v="2021-03-12T00:00:00"/>
    <d v="2020-11-04T00:00:00"/>
    <s v="Released"/>
    <n v="1542"/>
    <n v="4.2246575342465755"/>
    <n v="34891.446575342467"/>
    <s v="released 1/14/2021"/>
    <d v="2021-03-12T00:00:00"/>
  </r>
  <r>
    <x v="1"/>
    <s v="Glover"/>
    <s v="AW1700"/>
    <n v="12129665"/>
    <s v="CMC - Facility D"/>
    <x v="0"/>
    <s v="BA366923"/>
    <d v="2035-05-18T00:00:00"/>
    <d v="2020-12-08T00:00:00"/>
    <d v="2020-12-15T00:00:00"/>
    <d v="2020-12-08T00:00:00"/>
    <s v="Approved"/>
    <x v="144"/>
    <m/>
    <m/>
    <m/>
    <m/>
    <s v=""/>
    <s v=""/>
    <m/>
    <m/>
  </r>
  <r>
    <x v="11"/>
    <s v="Francis"/>
    <s v="G11573"/>
    <n v="11213785"/>
    <s v="SHS-Atascadero "/>
    <x v="5"/>
    <s v="SCR606018"/>
    <d v="2022-01-27T00:00:00"/>
    <d v="2019-11-07T00:00:00"/>
    <d v="2019-11-07T00:00:00"/>
    <d v="2020-01-09T00:00:00"/>
    <s v="Approved"/>
    <x v="181"/>
    <m/>
    <m/>
    <m/>
    <m/>
    <s v=""/>
    <s v=""/>
    <m/>
    <m/>
  </r>
  <r>
    <x v="11"/>
    <s v="Jones"/>
    <s v="AV7331"/>
    <n v="12127049"/>
    <s v="SCC-Facility C"/>
    <x v="24"/>
    <n v="1468807"/>
    <d v="2026-03-29T00:00:00"/>
    <d v="2019-12-04T00:00:00"/>
    <d v="2019-12-05T00:00:00"/>
    <d v="2020-01-09T00:00:00"/>
    <s v="Approved"/>
    <x v="76"/>
    <m/>
    <m/>
    <m/>
    <m/>
    <s v=""/>
    <s v=""/>
    <m/>
    <m/>
  </r>
  <r>
    <x v="11"/>
    <s v="Radcliffe"/>
    <s v="T86131"/>
    <n v="11117321"/>
    <s v="SQ-Facility A"/>
    <x v="32"/>
    <s v="CR1371256"/>
    <d v="2028-02-05T00:00:00"/>
    <d v="2019-12-04T00:00:00"/>
    <d v="2019-12-05T00:00:00"/>
    <d v="2020-01-09T00:00:00"/>
    <s v="Approved"/>
    <x v="76"/>
    <d v="2020-02-20T00:00:00"/>
    <d v="2020-01-30T00:00:00"/>
    <s v="No action - reason provided"/>
    <m/>
    <s v=""/>
    <s v=""/>
    <m/>
    <d v="2020-02-20T00:00:00"/>
  </r>
  <r>
    <x v="11"/>
    <s v="Lane"/>
    <s v="AS5331"/>
    <n v="11210792"/>
    <s v="CRC-Facility B"/>
    <x v="9"/>
    <s v="FVI1201521"/>
    <d v="2027-12-20T00:00:00"/>
    <d v="2019-12-04T00:00:00"/>
    <d v="2019-12-05T00:00:00"/>
    <d v="2020-01-09T00:00:00"/>
    <s v="Approved"/>
    <x v="76"/>
    <m/>
    <m/>
    <m/>
    <m/>
    <s v=""/>
    <s v=""/>
    <m/>
    <m/>
  </r>
  <r>
    <x v="11"/>
    <s v="Oliphant"/>
    <s v="AU8328"/>
    <n v="11060977"/>
    <s v="CIM-Facility C"/>
    <x v="0"/>
    <s v="YA085420"/>
    <d v="2026-02-10T00:00:00"/>
    <d v="2019-12-04T00:00:00"/>
    <d v="2019-12-05T00:00:00"/>
    <d v="2020-01-09T00:00:00"/>
    <s v="Approved"/>
    <x v="76"/>
    <d v="2020-03-09T00:00:00"/>
    <d v="2020-02-18T00:00:00"/>
    <s v="No action - reason provided"/>
    <m/>
    <s v=""/>
    <s v=""/>
    <m/>
    <d v="2020-03-11T00:00:00"/>
  </r>
  <r>
    <x v="11"/>
    <s v="Gadlin"/>
    <s v="C23429"/>
    <n v="11416283"/>
    <s v="SCC-Facility B"/>
    <x v="0"/>
    <s v="BA165439"/>
    <d v="2026-09-27T00:00:00"/>
    <d v="2019-12-04T00:00:00"/>
    <d v="2019-12-05T00:00:00"/>
    <d v="2020-01-09T00:00:00"/>
    <s v="Approved"/>
    <x v="76"/>
    <m/>
    <m/>
    <m/>
    <m/>
    <s v=""/>
    <s v=""/>
    <m/>
    <m/>
  </r>
  <r>
    <x v="1"/>
    <s v="Goines"/>
    <s v="AI3086"/>
    <n v="11373164"/>
    <s v="CIM-Facility D"/>
    <x v="10"/>
    <s v="SCD218439"/>
    <d v="2023-08-23T00:00:00"/>
    <d v="2019-02-28T00:00:00"/>
    <d v="2019-04-05T00:00:00"/>
    <d v="2019-04-08T00:00:00"/>
    <s v="Approved"/>
    <x v="83"/>
    <d v="2021-03-12T00:00:00"/>
    <d v="2020-12-27T00:00:00"/>
    <s v="Released"/>
    <n v="969"/>
    <n v="2.6547945205479451"/>
    <n v="21925.94794520548"/>
    <s v="Released on 12/27/2020"/>
    <d v="2021-03-12T00:00:00"/>
  </r>
  <r>
    <x v="11"/>
    <s v="Braggs"/>
    <s v="AU2092"/>
    <n v="11703387"/>
    <s v="SQ-Facility B"/>
    <x v="12"/>
    <s v="C1353512"/>
    <d v="2023-11-08T00:00:00"/>
    <d v="2019-12-05T00:00:00"/>
    <d v="2019-12-06T00:00:00"/>
    <d v="2020-02-14T00:00:00"/>
    <s v="Approved"/>
    <x v="163"/>
    <m/>
    <m/>
    <m/>
    <m/>
    <s v=""/>
    <s v=""/>
    <m/>
    <m/>
  </r>
  <r>
    <x v="11"/>
    <s v="Nepolis"/>
    <s v="F66297"/>
    <n v="11190761"/>
    <s v="CRC-Facility D"/>
    <x v="8"/>
    <s v="RIF129726"/>
    <d v="2022-09-09T00:00:00"/>
    <d v="2019-12-05T00:00:00"/>
    <d v="2019-12-06T00:00:00"/>
    <d v="2020-02-14T00:00:00"/>
    <s v="Approved"/>
    <x v="163"/>
    <d v="2020-09-25T00:00:00"/>
    <d v="2020-09-15T00:00:00"/>
    <s v="Released"/>
    <n v="636"/>
    <n v="1.7424657534246575"/>
    <n v="14391.024657534246"/>
    <s v="Released on 11/07/2020"/>
    <d v="2020-11-10T00:00:00"/>
  </r>
  <r>
    <x v="1"/>
    <s v="Goins"/>
    <s v="P54383"/>
    <n v="11875103"/>
    <s v="COR - Facility 03A"/>
    <x v="12"/>
    <s v="CC595165"/>
    <d v="2029-02-15T00:00:00"/>
    <d v="2021-04-05T00:00:00"/>
    <d v="2021-04-20T00:00:00"/>
    <d v="2021-04-21T00:00:00"/>
    <s v="Approved"/>
    <x v="123"/>
    <m/>
    <m/>
    <m/>
    <m/>
    <s v=""/>
    <s v=""/>
    <m/>
    <m/>
  </r>
  <r>
    <x v="11"/>
    <s v="Tovar"/>
    <s v="AT6883"/>
    <n v="11535418"/>
    <s v="CMC-Facility F"/>
    <x v="3"/>
    <s v="F12908404"/>
    <d v="2024-01-03T00:00:00"/>
    <d v="2019-12-05T00:00:00"/>
    <d v="2019-12-06T00:00:00"/>
    <d v="2020-02-14T00:00:00"/>
    <s v="Approved"/>
    <x v="163"/>
    <m/>
    <m/>
    <m/>
    <m/>
    <s v=""/>
    <s v=""/>
    <m/>
    <m/>
  </r>
  <r>
    <x v="11"/>
    <s v="Broadus"/>
    <s v="AT0681"/>
    <n v="11585556"/>
    <s v="SCC-Owens Valley Camp"/>
    <x v="0"/>
    <s v="VA131839"/>
    <d v="2022-01-03T00:00:00"/>
    <d v="2019-12-05T00:00:00"/>
    <d v="2019-12-06T00:00:00"/>
    <d v="2020-02-14T00:00:00"/>
    <s v="Approved"/>
    <x v="163"/>
    <d v="2020-04-15T00:00:00"/>
    <d v="2020-04-09T00:00:00"/>
    <s v="No action - due to plea"/>
    <m/>
    <s v=""/>
    <s v=""/>
    <m/>
    <d v="2020-04-15T00:00:00"/>
  </r>
  <r>
    <x v="11"/>
    <s v="Amado"/>
    <s v="T86785"/>
    <n v="11950363"/>
    <s v="MCSP-Facility E"/>
    <x v="10"/>
    <s v="SCD170740"/>
    <d v="2024-04-14T00:00:00"/>
    <d v="2019-12-05T00:00:00"/>
    <d v="2019-12-06T00:00:00"/>
    <d v="2020-02-14T00:00:00"/>
    <s v="Approved"/>
    <x v="163"/>
    <m/>
    <m/>
    <m/>
    <m/>
    <s v=""/>
    <s v=""/>
    <m/>
    <m/>
  </r>
  <r>
    <x v="11"/>
    <s v="Stillwell"/>
    <s v="AX2494"/>
    <n v="11200584"/>
    <s v="Scc-Facility B"/>
    <x v="17"/>
    <s v="09F04639"/>
    <d v="2024-05-31T00:00:00"/>
    <d v="2019-12-05T00:00:00"/>
    <d v="2019-12-06T00:00:00"/>
    <d v="2020-02-14T00:00:00"/>
    <s v="Approved"/>
    <x v="163"/>
    <d v="2021-03-01T00:00:00"/>
    <d v="2021-02-19T00:00:00"/>
    <s v="Reduced"/>
    <n v="730"/>
    <n v="2"/>
    <n v="16518"/>
    <s v="reduced by 2 years"/>
    <d v="2021-03-03T00:00:00"/>
  </r>
  <r>
    <x v="11"/>
    <s v="Brooks"/>
    <s v="AU6698"/>
    <n v="12120795"/>
    <s v="SQ-Facility B"/>
    <x v="42"/>
    <n v="213138"/>
    <d v="2024-09-24T00:00:00"/>
    <d v="2019-12-05T00:00:00"/>
    <d v="2019-12-06T00:00:00"/>
    <d v="2020-02-14T00:00:00"/>
    <s v="Approved"/>
    <x v="163"/>
    <m/>
    <m/>
    <m/>
    <m/>
    <s v=""/>
    <s v=""/>
    <m/>
    <m/>
  </r>
  <r>
    <x v="1"/>
    <s v="Gonzales"/>
    <s v="AR4644"/>
    <n v="11050919"/>
    <s v="WSP - Facility D"/>
    <x v="12"/>
    <s v="C1228543"/>
    <d v="2025-07-26T00:00:00"/>
    <d v="2021-03-01T00:00:00"/>
    <d v="2021-03-12T00:00:00"/>
    <d v="2021-03-16T00:00:00"/>
    <s v="Approved"/>
    <x v="119"/>
    <m/>
    <m/>
    <m/>
    <m/>
    <s v=""/>
    <s v=""/>
    <m/>
    <m/>
  </r>
  <r>
    <x v="1"/>
    <s v="Gonzales"/>
    <s v="AS8375"/>
    <n v="12110387"/>
    <s v="COR-Facility 03A"/>
    <x v="12"/>
    <s v="CC818758"/>
    <d v="2038-10-25T00:00:00"/>
    <d v="2021-03-22T00:00:00"/>
    <d v="2021-03-24T00:00:00"/>
    <d v="2021-03-24T00:00:00"/>
    <s v="Approved"/>
    <x v="167"/>
    <d v="2021-05-06T00:00:00"/>
    <d v="2021-04-26T00:00:00"/>
    <s v="No action - reason provided"/>
    <m/>
    <s v=""/>
    <s v=""/>
    <s v="not in the interest of Justice"/>
    <d v="2021-05-06T00:00:00"/>
  </r>
  <r>
    <x v="5"/>
    <s v="FA'AVESI"/>
    <s v="G66641"/>
    <n v="11651732"/>
    <s v="CAC-Facility B"/>
    <x v="17"/>
    <s v="06F07307"/>
    <d v="2035-12-18T00:00:00"/>
    <d v="2018-07-23T00:00:00"/>
    <d v="2018-07-23T00:00:00"/>
    <d v="2018-07-25T00:00:00"/>
    <s v="Approved"/>
    <x v="40"/>
    <d v="2021-05-26T00:00:00"/>
    <d v="2021-03-19T00:00:00"/>
    <s v="Reduced"/>
    <n v="1216"/>
    <n v="3.3315068493150686"/>
    <n v="27514.915068493152"/>
    <m/>
    <d v="2021-05-26T00:00:00"/>
  </r>
  <r>
    <x v="11"/>
    <s v="Shears"/>
    <s v="AT3023"/>
    <n v="12113018"/>
    <s v="CAC Facility C"/>
    <x v="6"/>
    <s v="13F05047"/>
    <d v="2027-06-28T00:00:00"/>
    <d v="2019-12-04T00:00:00"/>
    <d v="2019-12-09T00:00:00"/>
    <d v="2020-01-22T00:00:00"/>
    <s v="Approved"/>
    <x v="187"/>
    <m/>
    <m/>
    <m/>
    <m/>
    <s v=""/>
    <s v=""/>
    <m/>
    <m/>
  </r>
  <r>
    <x v="11"/>
    <s v="Ram "/>
    <s v="AC5424"/>
    <n v="11054302"/>
    <s v="SQ-Facility A"/>
    <x v="8"/>
    <s v="RIF144491"/>
    <d v="2069-01-25T00:00:00"/>
    <d v="2019-12-04T00:00:00"/>
    <d v="2019-12-09T00:00:00"/>
    <d v="2020-01-22T00:00:00"/>
    <s v="Approved"/>
    <x v="187"/>
    <m/>
    <m/>
    <m/>
    <m/>
    <s v=""/>
    <s v=""/>
    <m/>
    <m/>
  </r>
  <r>
    <x v="11"/>
    <s v="Mattos"/>
    <s v="AT9822"/>
    <n v="12116965"/>
    <s v="SQ-Facility A"/>
    <x v="6"/>
    <s v="CRF124426"/>
    <d v="2046-03-16T00:00:00"/>
    <d v="2019-12-04T00:00:00"/>
    <d v="2019-12-09T00:00:00"/>
    <d v="2020-01-22T00:00:00"/>
    <s v="Approved"/>
    <x v="187"/>
    <m/>
    <m/>
    <m/>
    <m/>
    <s v=""/>
    <s v=""/>
    <m/>
    <m/>
  </r>
  <r>
    <x v="11"/>
    <s v="Esmay"/>
    <s v="D86924"/>
    <n v="11492218"/>
    <s v="CAL-Facility D"/>
    <x v="12"/>
    <s v="CC113124"/>
    <d v="2040-10-31T00:00:00"/>
    <d v="2019-12-04T00:00:00"/>
    <d v="2019-12-09T00:00:00"/>
    <d v="2020-01-22T00:00:00"/>
    <s v="Declined"/>
    <x v="27"/>
    <m/>
    <m/>
    <m/>
    <m/>
    <s v=""/>
    <s v=""/>
    <m/>
    <m/>
  </r>
  <r>
    <x v="11"/>
    <s v="Sayres"/>
    <s v="F10824"/>
    <n v="11194169"/>
    <s v="SQ-Facility A"/>
    <x v="0"/>
    <s v="MA031220"/>
    <d v="2073-11-22T00:00:00"/>
    <d v="2019-12-04T00:00:00"/>
    <d v="2019-12-09T00:00:00"/>
    <d v="2020-01-22T00:00:00"/>
    <s v="Approved"/>
    <x v="187"/>
    <d v="2020-03-02T00:00:00"/>
    <d v="2020-02-11T00:00:00"/>
    <s v="No action - reason provided"/>
    <m/>
    <s v=""/>
    <s v=""/>
    <m/>
    <d v="2020-03-11T00:00:00"/>
  </r>
  <r>
    <x v="11"/>
    <s v="Bledsoe"/>
    <s v="AK7524"/>
    <n v="12002159"/>
    <s v="ISP-Facility A"/>
    <x v="2"/>
    <s v="08WF0033"/>
    <d v="2110-09-03T00:00:00"/>
    <d v="2019-12-04T00:00:00"/>
    <d v="2019-12-09T00:00:00"/>
    <d v="2020-01-22T00:00:00"/>
    <s v="Approved"/>
    <x v="187"/>
    <d v="2020-02-27T00:00:00"/>
    <d v="2020-02-04T00:00:00"/>
    <s v="No action - no reason specified"/>
    <m/>
    <s v=""/>
    <s v=""/>
    <m/>
    <d v="2020-02-27T00:00:00"/>
  </r>
  <r>
    <x v="11"/>
    <s v="Chhuoun"/>
    <s v="AK9424"/>
    <n v="11864228"/>
    <s v="FOL-Facility A"/>
    <x v="0"/>
    <s v="KA093016"/>
    <d v="2061-05-14T00:00:00"/>
    <d v="2019-12-04T00:00:00"/>
    <d v="2019-12-09T00:00:00"/>
    <d v="2020-01-22T00:00:00"/>
    <s v="Approved"/>
    <x v="187"/>
    <d v="2020-03-03T00:00:00"/>
    <d v="2020-02-24T00:00:00"/>
    <s v="No action - no reason specified"/>
    <m/>
    <s v=""/>
    <s v=""/>
    <m/>
    <d v="2020-03-11T00:00:00"/>
  </r>
  <r>
    <x v="11"/>
    <s v="Williams"/>
    <s v="AL4024"/>
    <n v="11779750"/>
    <s v="CHCF-Facility E"/>
    <x v="0"/>
    <s v="SA0735548"/>
    <d v="2030-12-23T00:00:00"/>
    <d v="2019-12-04T00:00:00"/>
    <d v="2019-12-09T00:00:00"/>
    <d v="2020-01-22T00:00:00"/>
    <s v="Approved"/>
    <x v="187"/>
    <d v="2020-03-13T00:00:00"/>
    <d v="2020-02-27T00:00:00"/>
    <s v="No action - no reason specified"/>
    <m/>
    <s v=""/>
    <s v=""/>
    <m/>
    <d v="2020-03-18T00:00:00"/>
  </r>
  <r>
    <x v="11"/>
    <s v="Craft"/>
    <s v="C51824"/>
    <n v="11428126"/>
    <s v="MCSP-Facility E"/>
    <x v="21"/>
    <s v="SF089235"/>
    <d v="2033-04-15T00:00:00"/>
    <d v="2019-12-04T00:00:00"/>
    <d v="2019-12-09T00:00:00"/>
    <d v="2020-01-22T00:00:00"/>
    <s v="Approved"/>
    <x v="187"/>
    <m/>
    <m/>
    <m/>
    <m/>
    <s v=""/>
    <s v=""/>
    <m/>
    <m/>
  </r>
  <r>
    <x v="11"/>
    <s v="McGinnis"/>
    <s v="AF4123"/>
    <n v="11355353"/>
    <s v="SOL-Facility C"/>
    <x v="18"/>
    <s v="05-090979"/>
    <d v="2039-11-13T00:00:00"/>
    <d v="2019-12-04T00:00:00"/>
    <d v="2019-12-09T00:00:00"/>
    <d v="2020-01-22T00:00:00"/>
    <s v="Declined"/>
    <x v="27"/>
    <m/>
    <m/>
    <m/>
    <m/>
    <s v=""/>
    <s v=""/>
    <m/>
    <m/>
  </r>
  <r>
    <x v="7"/>
    <s v="Cruz"/>
    <s v="E80400"/>
    <n v="11539025"/>
    <s v="CMF Facility A"/>
    <x v="0"/>
    <s v="GA020271"/>
    <d v="2055-08-05T00:00:00"/>
    <d v="2019-11-14T00:00:00"/>
    <d v="2019-12-16T00:00:00"/>
    <d v="2019-12-16T00:00:00"/>
    <s v="Approved"/>
    <x v="165"/>
    <m/>
    <m/>
    <m/>
    <m/>
    <s v=""/>
    <s v=""/>
    <s v="Released per BPH"/>
    <d v="2021-05-20T00:00:00"/>
  </r>
  <r>
    <x v="11"/>
    <s v="Do "/>
    <s v="F01527"/>
    <n v="11192032"/>
    <s v="CRC-Facility D"/>
    <x v="2"/>
    <s v="09HF1009"/>
    <d v="2028-05-02T00:00:00"/>
    <d v="2019-12-11T00:00:00"/>
    <d v="2019-12-12T00:00:00"/>
    <d v="2020-02-14T00:00:00"/>
    <s v="Approved"/>
    <x v="191"/>
    <m/>
    <m/>
    <m/>
    <m/>
    <s v=""/>
    <s v=""/>
    <m/>
    <m/>
  </r>
  <r>
    <x v="11"/>
    <s v="Salas"/>
    <s v="AP2032"/>
    <n v="11313996"/>
    <s v="CAC-Facility B"/>
    <x v="10"/>
    <s v="SCN151391"/>
    <d v="2028-01-09T00:00:00"/>
    <d v="2019-12-11T00:00:00"/>
    <d v="2019-12-12T00:00:00"/>
    <d v="2020-02-14T00:00:00"/>
    <s v="Approved"/>
    <x v="191"/>
    <m/>
    <m/>
    <m/>
    <m/>
    <s v=""/>
    <s v=""/>
    <m/>
    <m/>
  </r>
  <r>
    <x v="11"/>
    <s v="Adams"/>
    <s v="J65431"/>
    <n v="11157989"/>
    <s v="SOL-Facility D"/>
    <x v="0"/>
    <s v="TA053032"/>
    <d v="2029-06-30T00:00:00"/>
    <d v="2019-12-11T00:00:00"/>
    <d v="2019-12-12T00:00:00"/>
    <d v="2020-02-14T00:00:00"/>
    <s v="Approved"/>
    <x v="191"/>
    <d v="2020-03-16T00:00:00"/>
    <d v="2020-03-13T00:00:00"/>
    <s v="No action - no reason specified"/>
    <m/>
    <s v=""/>
    <s v=""/>
    <m/>
    <d v="2020-04-01T00:00:00"/>
  </r>
  <r>
    <x v="11"/>
    <s v="Pasillas"/>
    <s v="H49926"/>
    <n v="11066385"/>
    <s v="CAL-Facility B"/>
    <x v="0"/>
    <s v="VA108712"/>
    <d v="2029-07-21T00:00:00"/>
    <d v="2019-12-11T00:00:00"/>
    <d v="2019-12-12T00:00:00"/>
    <d v="2020-02-14T00:00:00"/>
    <s v="Declined"/>
    <x v="27"/>
    <m/>
    <m/>
    <m/>
    <m/>
    <s v=""/>
    <s v=""/>
    <m/>
    <m/>
  </r>
  <r>
    <x v="11"/>
    <s v="Balderaz"/>
    <s v="AZ6327"/>
    <n v="11680145"/>
    <s v="CCI-Facility C"/>
    <x v="40"/>
    <n v="1294110"/>
    <d v="2030-10-14T00:00:00"/>
    <d v="2019-12-11T00:00:00"/>
    <d v="2019-12-12T00:00:00"/>
    <d v="2020-02-14T00:00:00"/>
    <s v="Approved"/>
    <x v="191"/>
    <m/>
    <m/>
    <m/>
    <m/>
    <s v=""/>
    <s v=""/>
    <m/>
    <m/>
  </r>
  <r>
    <x v="11"/>
    <s v="Feaster"/>
    <s v="AS2731"/>
    <n v="11448400"/>
    <s v="CMC-Facility D"/>
    <x v="0"/>
    <s v="BA394866"/>
    <d v="2030-11-29T00:00:00"/>
    <d v="2019-12-11T00:00:00"/>
    <d v="2019-12-12T00:00:00"/>
    <d v="2020-02-14T00:00:00"/>
    <s v="Approved"/>
    <x v="191"/>
    <m/>
    <m/>
    <m/>
    <m/>
    <s v=""/>
    <s v=""/>
    <m/>
    <m/>
  </r>
  <r>
    <x v="11"/>
    <s v="Salone"/>
    <s v="AM5925"/>
    <n v="11260765"/>
    <s v="CMC-Facility D"/>
    <x v="8"/>
    <s v="RIF1202138"/>
    <d v="2031-05-30T00:00:00"/>
    <d v="2019-12-11T00:00:00"/>
    <d v="2019-12-12T00:00:00"/>
    <d v="2020-02-14T00:00:00"/>
    <s v="Approved"/>
    <x v="191"/>
    <m/>
    <m/>
    <m/>
    <m/>
    <s v=""/>
    <s v=""/>
    <m/>
    <m/>
  </r>
  <r>
    <x v="11"/>
    <s v="Davis"/>
    <s v="AS3628"/>
    <n v="12107672"/>
    <s v="CMC-Facility C"/>
    <x v="0"/>
    <s v="MA060481"/>
    <d v="2035-04-25T00:00:00"/>
    <d v="2019-12-11T00:00:00"/>
    <d v="2019-12-12T00:00:00"/>
    <d v="2020-02-14T00:00:00"/>
    <s v="Approved"/>
    <x v="191"/>
    <d v="2020-04-03T00:00:00"/>
    <d v="2020-03-19T00:00:00"/>
    <s v="No action - reason provided"/>
    <m/>
    <s v=""/>
    <s v=""/>
    <m/>
    <d v="2020-04-15T00:00:00"/>
  </r>
  <r>
    <x v="11"/>
    <s v="Alcala"/>
    <s v="P93231"/>
    <n v="11896284"/>
    <s v="FOL-Facility A"/>
    <x v="29"/>
    <s v="CR102974"/>
    <d v="2035-12-25T00:00:00"/>
    <d v="2019-12-11T00:00:00"/>
    <d v="2019-12-12T00:00:00"/>
    <d v="2020-02-14T00:00:00"/>
    <s v="Approved"/>
    <x v="191"/>
    <m/>
    <m/>
    <m/>
    <m/>
    <s v=""/>
    <s v=""/>
    <m/>
    <m/>
  </r>
  <r>
    <x v="6"/>
    <s v="Rivera"/>
    <s v="E22007"/>
    <n v="11509635"/>
    <s v="FOL-Facility A"/>
    <x v="8"/>
    <s v="BLF004994"/>
    <d v="2001-08-01T00:00:00"/>
    <d v="2019-12-16T00:00:00"/>
    <d v="2019-12-16T00:00:00"/>
    <d v="2019-12-16T00:00:00"/>
    <s v="Approved"/>
    <x v="165"/>
    <m/>
    <m/>
    <m/>
    <m/>
    <s v=""/>
    <s v=""/>
    <m/>
    <m/>
  </r>
  <r>
    <x v="11"/>
    <s v="Liggins"/>
    <s v="AK1122"/>
    <n v="11871617"/>
    <s v="CMC-Facility A"/>
    <x v="0"/>
    <s v="SA068628"/>
    <d v="2033-04-24T00:00:00"/>
    <d v="2019-12-13T00:00:00"/>
    <d v="2020-01-06T00:00:00"/>
    <d v="2020-03-04T00:00:00"/>
    <s v="Declined"/>
    <x v="27"/>
    <m/>
    <m/>
    <m/>
    <m/>
    <s v=""/>
    <s v=""/>
    <m/>
    <m/>
  </r>
  <r>
    <x v="11"/>
    <s v="Fagan"/>
    <s v="K79911"/>
    <n v="11231512"/>
    <s v="RJD-Facility A"/>
    <x v="13"/>
    <s v="SF011641A"/>
    <d v="2062-09-08T00:00:00"/>
    <d v="2019-12-13T00:00:00"/>
    <d v="2020-01-06T00:00:00"/>
    <d v="2020-03-04T00:00:00"/>
    <s v="Declined"/>
    <x v="27"/>
    <m/>
    <m/>
    <m/>
    <m/>
    <s v=""/>
    <s v=""/>
    <m/>
    <m/>
  </r>
  <r>
    <x v="11"/>
    <s v="Obannon"/>
    <s v="T93321"/>
    <n v="11250440"/>
    <s v="CTF-Facility A"/>
    <x v="9"/>
    <s v="FSB031994"/>
    <d v="2606-09-10T00:00:00"/>
    <d v="2019-12-13T00:00:00"/>
    <d v="2020-01-06T00:00:00"/>
    <d v="2020-03-04T00:00:00"/>
    <s v="Declined"/>
    <x v="27"/>
    <m/>
    <m/>
    <m/>
    <m/>
    <s v=""/>
    <s v=""/>
    <m/>
    <m/>
  </r>
  <r>
    <x v="7"/>
    <s v="Archuleta"/>
    <s v="T26012"/>
    <n v="11915972"/>
    <s v="LAC Facility C"/>
    <x v="0"/>
    <s v="VA059556"/>
    <d v="2024-04-03T00:00:00"/>
    <d v="2019-12-16T00:00:00"/>
    <d v="2020-01-06T00:00:00"/>
    <m/>
    <m/>
    <x v="27"/>
    <m/>
    <m/>
    <m/>
    <m/>
    <s v=""/>
    <s v=""/>
    <s v=" Court has no jurisdiction to reduce term. "/>
    <m/>
  </r>
  <r>
    <x v="1"/>
    <s v="Gonzalez "/>
    <s v="AS3964"/>
    <n v="121107935"/>
    <s v="ASP - Facility B"/>
    <x v="41"/>
    <s v="13223 &amp; 13364"/>
    <d v="2026-06-20T00:00:00"/>
    <d v="2020-07-21T00:00:00"/>
    <d v="2020-08-21T00:00:00"/>
    <d v="2020-08-27T00:00:00"/>
    <s v="Approved"/>
    <x v="71"/>
    <m/>
    <m/>
    <m/>
    <m/>
    <s v=""/>
    <s v=""/>
    <m/>
    <m/>
  </r>
  <r>
    <x v="1"/>
    <s v="Gonzalez "/>
    <s v="AL5761"/>
    <n v="11297256"/>
    <s v="CSP - Solano Facility A"/>
    <x v="0"/>
    <s v="MA050991"/>
    <d v="2024-08-16T00:00:00"/>
    <d v="2020-07-14T00:00:00"/>
    <d v="2020-08-21T00:00:00"/>
    <d v="2020-08-27T00:00:00"/>
    <s v="Approved"/>
    <x v="71"/>
    <m/>
    <m/>
    <m/>
    <m/>
    <s v=""/>
    <s v=""/>
    <m/>
    <m/>
  </r>
  <r>
    <x v="11"/>
    <s v="Thomas"/>
    <s v="F72087"/>
    <n v="11208117"/>
    <s v="CMC-Facility D"/>
    <x v="0"/>
    <s v="VA093059"/>
    <d v="2025-07-16T00:00:00"/>
    <d v="2019-12-17T00:00:00"/>
    <d v="2019-12-09T00:00:00"/>
    <d v="2020-03-09T00:00:00"/>
    <s v="Approved"/>
    <x v="116"/>
    <d v="2020-07-06T00:00:00"/>
    <d v="2020-04-20T00:00:00"/>
    <s v="No action - no reason specified"/>
    <m/>
    <s v=""/>
    <s v=""/>
    <m/>
    <d v="2020-07-06T00:00:00"/>
  </r>
  <r>
    <x v="11"/>
    <s v="Hicks"/>
    <s v="AS9897"/>
    <n v="112111262"/>
    <s v="CCI-Facility D"/>
    <x v="0"/>
    <s v="BA370760"/>
    <d v="2026-02-20T00:00:00"/>
    <d v="2019-12-17T00:00:00"/>
    <d v="2019-12-09T00:00:00"/>
    <d v="2020-03-09T00:00:00"/>
    <s v="Approved"/>
    <x v="116"/>
    <m/>
    <m/>
    <m/>
    <m/>
    <s v=""/>
    <s v=""/>
    <m/>
    <m/>
  </r>
  <r>
    <x v="11"/>
    <s v="Arthur"/>
    <s v="AN9174"/>
    <n v="11457350"/>
    <s v="CIM-Facility A"/>
    <x v="0"/>
    <s v="TA126662"/>
    <d v="2025-12-16T00:00:00"/>
    <d v="2019-12-17T00:00:00"/>
    <d v="2019-12-09T00:00:00"/>
    <d v="2020-03-09T00:00:00"/>
    <s v="Approved"/>
    <x v="116"/>
    <d v="2020-07-01T00:00:00"/>
    <d v="2020-06-18T00:00:00"/>
    <s v="No action - reason provided"/>
    <m/>
    <s v=""/>
    <s v=""/>
    <s v="&quot;Mr Arthur is a repeat offender who contiunes to burglarize houses when released from prison/jail"/>
    <d v="2020-07-01T00:00:00"/>
  </r>
  <r>
    <x v="11"/>
    <s v="Edwards"/>
    <s v="AD1398"/>
    <n v="11341195"/>
    <s v="RJD-Facility B"/>
    <x v="0"/>
    <s v="NA093463"/>
    <d v="2025-11-24T00:00:00"/>
    <d v="2019-12-17T00:00:00"/>
    <d v="2019-12-09T00:00:00"/>
    <d v="2020-03-09T00:00:00"/>
    <s v="Declined"/>
    <x v="27"/>
    <m/>
    <m/>
    <m/>
    <m/>
    <s v=""/>
    <s v=""/>
    <m/>
    <m/>
  </r>
  <r>
    <x v="11"/>
    <s v="Cavness"/>
    <s v="AN5878"/>
    <n v="11199436"/>
    <s v="SQ-Facility B"/>
    <x v="42"/>
    <n v="2413057"/>
    <d v="2025-04-01T00:00:00"/>
    <d v="2019-12-17T00:00:00"/>
    <d v="2019-12-09T00:00:00"/>
    <d v="2020-03-09T00:00:00"/>
    <s v="Approved"/>
    <x v="116"/>
    <d v="2020-11-16T00:00:00"/>
    <d v="2020-11-06T00:00:00"/>
    <s v="Reduced"/>
    <n v="1553"/>
    <n v="4.2547945205479456"/>
    <n v="35140.347945205482"/>
    <s v="Reduced "/>
    <d v="2020-11-20T00:00:00"/>
  </r>
  <r>
    <x v="11"/>
    <s v="Martinez"/>
    <s v="E16085"/>
    <n v="11506633"/>
    <s v="VSP-Facility A"/>
    <x v="0"/>
    <s v="NA030592"/>
    <d v="2025-02-03T00:00:00"/>
    <d v="2019-12-17T00:00:00"/>
    <d v="2019-12-09T00:00:00"/>
    <d v="2020-03-09T00:00:00"/>
    <s v="Approved"/>
    <x v="116"/>
    <d v="2020-07-07T00:00:00"/>
    <d v="2020-06-22T00:00:00"/>
    <s v="No action - no reason specified"/>
    <m/>
    <s v=""/>
    <s v=""/>
    <m/>
    <d v="2020-07-08T00:00:00"/>
  </r>
  <r>
    <x v="11"/>
    <s v="Glosson"/>
    <s v="G39679"/>
    <n v="11146273"/>
    <s v="CRC-Facility C"/>
    <x v="0"/>
    <s v="BA387614"/>
    <d v="2025-08-27T00:00:00"/>
    <d v="2019-12-17T00:00:00"/>
    <d v="2019-12-09T00:00:00"/>
    <d v="2020-03-09T00:00:00"/>
    <s v="Approved"/>
    <x v="116"/>
    <m/>
    <m/>
    <m/>
    <m/>
    <s v=""/>
    <s v=""/>
    <m/>
    <m/>
  </r>
  <r>
    <x v="11"/>
    <s v="Speech"/>
    <s v="T73649"/>
    <n v="11095448"/>
    <s v="CMF-Facility B"/>
    <x v="0"/>
    <s v="NA052804"/>
    <d v="2036-04-02T00:00:00"/>
    <d v="2019-12-10T00:00:00"/>
    <d v="2019-12-11T00:00:00"/>
    <d v="2019-01-30T00:00:00"/>
    <s v="Approved"/>
    <x v="183"/>
    <d v="2020-02-27T00:00:00"/>
    <d v="2020-02-18T00:00:00"/>
    <s v="No action - reason provided"/>
    <m/>
    <s v=""/>
    <s v=""/>
    <m/>
    <d v="2020-03-30T00:00:00"/>
  </r>
  <r>
    <x v="11"/>
    <s v="Shull"/>
    <s v="P48349"/>
    <n v="11093122"/>
    <s v="CTF-Facility A"/>
    <x v="2"/>
    <s v="99CF0369"/>
    <d v="2024-06-05T00:00:00"/>
    <d v="2019-12-10T00:00:00"/>
    <d v="2019-12-11T00:00:00"/>
    <d v="2019-01-30T00:00:00"/>
    <s v="Approved"/>
    <x v="183"/>
    <m/>
    <m/>
    <m/>
    <m/>
    <s v=""/>
    <s v=""/>
    <m/>
    <m/>
  </r>
  <r>
    <x v="11"/>
    <s v="Goode"/>
    <s v="AF2349"/>
    <n v="11063903"/>
    <s v="RJD-Facility E"/>
    <x v="3"/>
    <s v="F08900831"/>
    <d v="2089-04-02T00:00:00"/>
    <d v="2019-12-10T00:00:00"/>
    <d v="2019-12-11T00:00:00"/>
    <d v="2019-01-30T00:00:00"/>
    <s v="Declined"/>
    <x v="27"/>
    <m/>
    <m/>
    <m/>
    <m/>
    <s v=""/>
    <s v=""/>
    <m/>
    <m/>
  </r>
  <r>
    <x v="11"/>
    <s v="Pitts"/>
    <s v="AD8949"/>
    <n v="11059073"/>
    <s v="CMC-Facility G"/>
    <x v="0"/>
    <s v="TA111515"/>
    <d v="2028-01-03T00:00:00"/>
    <d v="2019-12-10T00:00:00"/>
    <d v="2019-12-11T00:00:00"/>
    <d v="2019-01-30T00:00:00"/>
    <s v="Approved"/>
    <x v="183"/>
    <m/>
    <m/>
    <m/>
    <m/>
    <s v=""/>
    <s v=""/>
    <m/>
    <m/>
  </r>
  <r>
    <x v="11"/>
    <s v="Johnson "/>
    <s v="V40168"/>
    <n v="11180231"/>
    <s v="CEN-Facility C"/>
    <x v="10"/>
    <s v="SCD229956"/>
    <d v="2029-09-16T00:00:00"/>
    <d v="2019-12-10T00:00:00"/>
    <d v="2019-12-11T00:00:00"/>
    <d v="2019-01-30T00:00:00"/>
    <s v="Declined"/>
    <x v="27"/>
    <m/>
    <m/>
    <m/>
    <m/>
    <s v=""/>
    <s v=""/>
    <m/>
    <m/>
  </r>
  <r>
    <x v="11"/>
    <s v="Stewart"/>
    <s v="D22949"/>
    <n v="11110542"/>
    <s v="SQ-Facility A"/>
    <x v="0"/>
    <s v="BA153344"/>
    <d v="2059-09-06T00:00:00"/>
    <d v="2019-12-10T00:00:00"/>
    <d v="2019-12-11T00:00:00"/>
    <d v="2019-01-30T00:00:00"/>
    <s v="Approved"/>
    <x v="183"/>
    <d v="2020-03-11T00:00:00"/>
    <d v="2020-02-26T00:00:00"/>
    <s v="No action - no reason specified"/>
    <m/>
    <s v=""/>
    <s v=""/>
    <m/>
    <d v="2020-03-13T00:00:00"/>
  </r>
  <r>
    <x v="11"/>
    <s v="Robinson"/>
    <s v="P27949"/>
    <n v="11102975"/>
    <s v="SQ-Facility A"/>
    <x v="2"/>
    <s v="97CF3602"/>
    <d v="2031-07-25T00:00:00"/>
    <d v="2019-12-10T00:00:00"/>
    <d v="2019-12-11T00:00:00"/>
    <d v="2019-01-30T00:00:00"/>
    <s v="Approved"/>
    <x v="183"/>
    <m/>
    <m/>
    <m/>
    <m/>
    <s v=""/>
    <s v=""/>
    <m/>
    <m/>
  </r>
  <r>
    <x v="11"/>
    <s v="Venzor"/>
    <s v="F08549"/>
    <n v="11112604"/>
    <s v="CTF-Faiclity A"/>
    <x v="40"/>
    <n v="1085298"/>
    <d v="2086-08-31T00:00:00"/>
    <d v="2019-12-10T00:00:00"/>
    <d v="2019-12-11T00:00:00"/>
    <d v="2019-01-30T00:00:00"/>
    <s v="Approved"/>
    <x v="183"/>
    <m/>
    <m/>
    <m/>
    <m/>
    <s v=""/>
    <s v=""/>
    <m/>
    <m/>
  </r>
  <r>
    <x v="11"/>
    <s v="Cortez"/>
    <s v="AT7244"/>
    <n v="12115495"/>
    <s v="HDSP-Facility A"/>
    <x v="40"/>
    <n v="1434614"/>
    <d v="2031-07-24T00:00:00"/>
    <d v="2019-10-28T00:00:00"/>
    <d v="2019-10-29T00:00:00"/>
    <d v="2019-12-19T00:00:00"/>
    <s v="Approved"/>
    <x v="177"/>
    <m/>
    <m/>
    <m/>
    <m/>
    <s v=""/>
    <s v=""/>
    <m/>
    <m/>
  </r>
  <r>
    <x v="11"/>
    <s v="Mora"/>
    <s v="P84040"/>
    <n v="11241440"/>
    <s v="SQ-Facility B"/>
    <x v="0"/>
    <s v="KA048398"/>
    <d v="2022-06-13T00:00:00"/>
    <d v="2019-12-18T00:00:00"/>
    <d v="2019-12-19T00:00:00"/>
    <d v="2020-02-14T00:00:00"/>
    <s v="Approved"/>
    <x v="191"/>
    <d v="2020-04-22T00:00:00"/>
    <d v="2020-04-16T00:00:00"/>
    <s v="No action - due to plea"/>
    <m/>
    <s v=""/>
    <s v=""/>
    <m/>
    <d v="2020-04-29T00:00:00"/>
  </r>
  <r>
    <x v="11"/>
    <s v="Alfred"/>
    <s v="C96343"/>
    <n v="11448334"/>
    <s v="PBSP-Facility D"/>
    <x v="0"/>
    <s v="BA217329"/>
    <d v="2022-07-28T00:00:00"/>
    <d v="2019-12-18T00:00:00"/>
    <d v="2019-12-19T00:00:00"/>
    <d v="2020-02-14T00:00:00"/>
    <s v="Approved"/>
    <x v="191"/>
    <d v="2021-02-23T00:00:00"/>
    <d v="2021-01-08T00:00:00"/>
    <s v="Released"/>
    <n v="286"/>
    <n v="0.78356164383561644"/>
    <n v="6471.4356164383562"/>
    <s v="Released on 2/26/21"/>
    <d v="2021-02-24T00:00:00"/>
  </r>
  <r>
    <x v="11"/>
    <s v="White"/>
    <s v="T27825"/>
    <n v="11275321"/>
    <s v="SATF-Facility A"/>
    <x v="17"/>
    <s v="01F02375"/>
    <d v="2023-01-16T00:00:00"/>
    <d v="2019-12-18T00:00:00"/>
    <d v="2019-12-19T00:00:00"/>
    <d v="2020-02-14T00:00:00"/>
    <s v="Approved"/>
    <x v="191"/>
    <d v="2020-07-20T00:00:00"/>
    <d v="2020-05-22T00:00:00"/>
    <s v="No action - reason provided"/>
    <m/>
    <s v=""/>
    <s v=""/>
    <m/>
    <d v="2020-08-13T00:00:00"/>
  </r>
  <r>
    <x v="11"/>
    <s v="Balderrama"/>
    <s v="V08237"/>
    <n v="11088530"/>
    <s v="RJD-Facility A"/>
    <x v="12"/>
    <s v="CC244958"/>
    <d v="2023-03-24T00:00:00"/>
    <d v="2019-12-18T00:00:00"/>
    <d v="2019-12-19T00:00:00"/>
    <d v="2020-02-14T00:00:00"/>
    <s v="Approved"/>
    <x v="191"/>
    <d v="2021-04-22T00:00:00"/>
    <d v="2021-02-18T00:00:00"/>
    <s v="Reduced"/>
    <n v="647"/>
    <n v="1.7726027397260273"/>
    <n v="14639.926027397261"/>
    <m/>
    <d v="2021-04-23T00:00:00"/>
  </r>
  <r>
    <x v="11"/>
    <s v="Sandoval"/>
    <s v="F24932"/>
    <n v="11197401"/>
    <s v="CRC-Facility B"/>
    <x v="0"/>
    <s v="TA082654"/>
    <d v="2023-07-26T00:00:00"/>
    <d v="2019-12-18T00:00:00"/>
    <d v="2019-12-19T00:00:00"/>
    <d v="2020-02-14T00:00:00"/>
    <s v="Approved"/>
    <x v="191"/>
    <d v="2020-04-03T00:00:00"/>
    <d v="2020-03-25T00:00:00"/>
    <s v="No action - reason provided"/>
    <m/>
    <s v=""/>
    <s v=""/>
    <m/>
    <d v="2020-04-15T00:00:00"/>
  </r>
  <r>
    <x v="11"/>
    <s v="Dang"/>
    <s v="AN5429"/>
    <n v="11568396"/>
    <s v="RJD-Facility B"/>
    <x v="0"/>
    <s v="GA086087"/>
    <d v="2023-09-12T00:00:00"/>
    <d v="2019-12-18T00:00:00"/>
    <d v="2019-12-19T00:00:00"/>
    <d v="2020-02-14T00:00:00"/>
    <s v="Approved"/>
    <x v="191"/>
    <m/>
    <m/>
    <m/>
    <m/>
    <s v=""/>
    <s v=""/>
    <m/>
    <m/>
  </r>
  <r>
    <x v="11"/>
    <s v="Salazar"/>
    <s v="K50730"/>
    <n v="11229597"/>
    <s v="SATF-Facility F"/>
    <x v="10"/>
    <s v="ECR12411"/>
    <d v="2024-01-10T00:00:00"/>
    <d v="2019-12-18T00:00:00"/>
    <d v="2019-12-19T00:00:00"/>
    <d v="2020-02-14T00:00:00"/>
    <s v="Approved"/>
    <x v="191"/>
    <m/>
    <m/>
    <m/>
    <m/>
    <s v=""/>
    <s v=""/>
    <m/>
    <m/>
  </r>
  <r>
    <x v="11"/>
    <s v="Reliford"/>
    <s v="H45837"/>
    <n v="11146763"/>
    <s v="VSP-Facility C"/>
    <x v="9"/>
    <s v="FVI07304"/>
    <d v="2024-02-19T00:00:00"/>
    <d v="2019-12-18T00:00:00"/>
    <d v="2019-12-19T00:00:00"/>
    <d v="2020-02-14T00:00:00"/>
    <s v="Approved"/>
    <x v="191"/>
    <m/>
    <m/>
    <m/>
    <m/>
    <s v=""/>
    <s v=""/>
    <m/>
    <m/>
  </r>
  <r>
    <x v="11"/>
    <s v="McDaniels"/>
    <s v="T14036"/>
    <n v="11909346"/>
    <s v="SVSP-Facility A"/>
    <x v="20"/>
    <n v="156878"/>
    <d v="2024-02-21T00:00:00"/>
    <d v="2019-12-18T00:00:00"/>
    <d v="2019-12-19T00:00:00"/>
    <d v="2020-02-14T00:00:00"/>
    <s v="Approved"/>
    <x v="191"/>
    <d v="2020-08-31T00:00:00"/>
    <d v="2020-07-23T00:00:00"/>
    <s v="No action - no reason specified"/>
    <m/>
    <s v=""/>
    <s v=""/>
    <m/>
    <d v="2020-08-31T00:00:00"/>
  </r>
  <r>
    <x v="7"/>
    <s v="Mitchell"/>
    <s v="X07241"/>
    <n v="11018500"/>
    <s v="CCWF Facility C"/>
    <x v="7"/>
    <s v="CM019029"/>
    <d v="2046-01-12T00:00:00"/>
    <d v="2019-11-14T00:00:00"/>
    <d v="2019-12-24T00:00:00"/>
    <d v="2019-12-26T00:00:00"/>
    <s v="Approved"/>
    <x v="126"/>
    <m/>
    <m/>
    <m/>
    <m/>
    <s v=""/>
    <s v=""/>
    <m/>
    <m/>
  </r>
  <r>
    <x v="11"/>
    <s v="Garcia"/>
    <s v="T18046"/>
    <n v="11911561"/>
    <s v="PBSP-Facility D"/>
    <x v="0"/>
    <s v="VA060260"/>
    <d v="2024-03-31T00:00:00"/>
    <d v="2019-12-23T00:00:00"/>
    <d v="2019-12-23T00:00:00"/>
    <d v="2020-02-14T00:00:00"/>
    <s v="Approved"/>
    <x v="191"/>
    <d v="2020-04-03T00:00:00"/>
    <d v="2020-03-10T00:00:00"/>
    <s v="No action - reason provided"/>
    <m/>
    <s v=""/>
    <s v=""/>
    <m/>
    <d v="2020-04-15T00:00:00"/>
  </r>
  <r>
    <x v="11"/>
    <s v="Layton"/>
    <s v="F88701"/>
    <n v="11603053"/>
    <s v="VSP-Facility B"/>
    <x v="9"/>
    <s v="FVI700123"/>
    <d v="2107-12-01T00:00:00"/>
    <d v="2019-12-23T00:00:00"/>
    <d v="2020-01-06T00:00:00"/>
    <d v="2020-03-09T00:00:00"/>
    <s v="Declined"/>
    <x v="27"/>
    <m/>
    <m/>
    <m/>
    <m/>
    <s v=""/>
    <s v=""/>
    <m/>
    <m/>
  </r>
  <r>
    <x v="11"/>
    <s v="Howard"/>
    <s v="F55321"/>
    <n v="11204373"/>
    <s v="MCSP-Facility B"/>
    <x v="0"/>
    <s v="BA293581"/>
    <d v="2136-04-08T00:00:00"/>
    <d v="2019-12-23T00:00:00"/>
    <d v="2020-01-06T00:00:00"/>
    <d v="2020-03-09T00:00:00"/>
    <s v="Declined"/>
    <x v="27"/>
    <m/>
    <m/>
    <m/>
    <m/>
    <s v=""/>
    <s v=""/>
    <m/>
    <m/>
  </r>
  <r>
    <x v="11"/>
    <s v="Burt"/>
    <s v="H29001"/>
    <n v="11667811"/>
    <s v="LAC-Facility B"/>
    <x v="0"/>
    <s v="TA036348"/>
    <d v="2103-09-01T00:00:00"/>
    <d v="2019-12-23T00:00:00"/>
    <d v="2020-01-06T00:00:00"/>
    <d v="2020-03-09T00:00:00"/>
    <s v="Approved"/>
    <x v="192"/>
    <d v="2021-02-11T00:00:00"/>
    <d v="2020-12-18T00:00:00"/>
    <s v="Released"/>
    <n v="3837"/>
    <n v="10.512328767123288"/>
    <n v="86821.323287671228"/>
    <s v="Released 12/29/2020"/>
    <d v="2021-02-19T00:00:00"/>
  </r>
  <r>
    <x v="11"/>
    <s v="Nelson"/>
    <s v="AK3301"/>
    <n v="11043889"/>
    <s v="RJD-Facility C"/>
    <x v="10"/>
    <s v="SCD220276"/>
    <d v="2157-12-14T00:00:00"/>
    <d v="2019-12-23T00:00:00"/>
    <d v="2020-01-06T00:00:00"/>
    <d v="2020-03-09T00:00:00"/>
    <s v="Declined"/>
    <x v="27"/>
    <m/>
    <m/>
    <m/>
    <m/>
    <s v=""/>
    <s v=""/>
    <m/>
    <m/>
  </r>
  <r>
    <x v="1"/>
    <s v="Gonzalez "/>
    <s v="AU3782"/>
    <n v="11564615"/>
    <s v="HDSP - Facility C"/>
    <x v="0"/>
    <s v="BA413907"/>
    <d v="2040-11-27T00:00:00"/>
    <d v="2020-10-08T00:00:00"/>
    <d v="2020-10-15T00:00:00"/>
    <d v="2020-10-16T00:00:00"/>
    <s v="Approved"/>
    <x v="134"/>
    <d v="2021-03-09T00:00:00"/>
    <d v="2021-02-25T00:00:00"/>
    <s v="No action - reason provided"/>
    <m/>
    <s v=""/>
    <s v=""/>
    <m/>
    <d v="2021-03-09T00:00:00"/>
  </r>
  <r>
    <x v="11"/>
    <s v="Hempe"/>
    <s v="AH7560"/>
    <n v="11369765"/>
    <s v="LAC-Facility A"/>
    <x v="9"/>
    <s v="FWV1002625"/>
    <d v="2037-02-02T00:00:00"/>
    <d v="2019-12-13T00:00:00"/>
    <d v="2019-12-14T00:00:00"/>
    <d v="2020-03-09T00:00:00"/>
    <s v="Declined"/>
    <x v="27"/>
    <m/>
    <m/>
    <m/>
    <m/>
    <s v=""/>
    <s v=""/>
    <m/>
    <m/>
  </r>
  <r>
    <x v="11"/>
    <s v="Thompson"/>
    <s v="D51749"/>
    <n v="11144535"/>
    <s v="FOL-Facility A"/>
    <x v="3"/>
    <s v="571402-7"/>
    <d v="2026-02-10T00:00:00"/>
    <d v="2019-12-13T00:00:00"/>
    <d v="2019-12-14T00:00:00"/>
    <d v="2020-03-09T00:00:00"/>
    <s v="Approved"/>
    <x v="116"/>
    <d v="2020-07-20T00:00:00"/>
    <d v="2020-05-19T00:00:00"/>
    <s v="No action - reason provided"/>
    <m/>
    <s v=""/>
    <s v=""/>
    <m/>
    <d v="2020-08-13T00:00:00"/>
  </r>
  <r>
    <x v="11"/>
    <s v="Stowers"/>
    <s v="T36649"/>
    <n v="11150051"/>
    <s v="CMC-MSF"/>
    <x v="11"/>
    <s v="01-74352"/>
    <d v="2022-04-09T00:00:00"/>
    <d v="2019-12-13T00:00:00"/>
    <d v="2019-12-14T00:00:00"/>
    <d v="2020-03-09T00:00:00"/>
    <s v="Approved"/>
    <x v="116"/>
    <m/>
    <m/>
    <m/>
    <m/>
    <s v=""/>
    <s v=""/>
    <m/>
    <m/>
  </r>
  <r>
    <x v="11"/>
    <s v="Vega"/>
    <s v="AZ2271"/>
    <n v="11884641"/>
    <s v="HDSP-Facility D"/>
    <x v="12"/>
    <s v="C1229580"/>
    <d v="2036-11-29T00:00:00"/>
    <d v="2019-12-13T00:00:00"/>
    <d v="2019-12-14T00:00:00"/>
    <d v="2020-03-09T00:00:00"/>
    <s v="Declined"/>
    <x v="27"/>
    <m/>
    <m/>
    <m/>
    <m/>
    <s v=""/>
    <s v=""/>
    <m/>
    <m/>
  </r>
  <r>
    <x v="11"/>
    <s v="Lopez"/>
    <s v="AR3267"/>
    <n v="12101147"/>
    <s v="SATF-Facility D"/>
    <x v="20"/>
    <n v="171235"/>
    <d v="2037-08-04T00:00:00"/>
    <d v="2019-12-13T00:00:00"/>
    <d v="2019-12-14T00:00:00"/>
    <d v="2020-03-09T00:00:00"/>
    <s v="Declined"/>
    <x v="27"/>
    <m/>
    <m/>
    <m/>
    <m/>
    <s v=""/>
    <s v=""/>
    <m/>
    <m/>
  </r>
  <r>
    <x v="11"/>
    <s v="Robinson"/>
    <s v="P26668"/>
    <n v="11230074"/>
    <s v="SATF-Facility B"/>
    <x v="2"/>
    <s v="05NF0391"/>
    <d v="2024-06-08T00:00:00"/>
    <d v="2019-06-21T00:00:00"/>
    <d v="2019-06-24T00:00:00"/>
    <d v="2019-08-19T00:00:00"/>
    <s v="Approved"/>
    <x v="128"/>
    <d v="2021-03-01T00:00:00"/>
    <d v="2020-11-13T00:00:00"/>
    <s v="Reduced"/>
    <n v="1826"/>
    <n v="5.0027397260273974"/>
    <n v="41317.627397260272"/>
    <s v="Reduced by 5 years"/>
    <d v="2021-03-01T00:00:00"/>
  </r>
  <r>
    <x v="2"/>
    <s v="Urbano"/>
    <s v="P17695"/>
    <n v="11855040"/>
    <s v="PVSP-Facility C"/>
    <x v="3"/>
    <s v="F03901113-1"/>
    <d v="2021-02-24T00:00:00"/>
    <d v="2018-06-19T00:00:00"/>
    <d v="2018-06-19T00:00:00"/>
    <d v="2018-07-11T00:00:00"/>
    <s v="Approved"/>
    <x v="19"/>
    <d v="2018-09-25T00:00:00"/>
    <m/>
    <s v="No action - reason provided"/>
    <m/>
    <s v=""/>
    <s v=""/>
    <s v="No retro active applicability/also Jury"/>
    <d v="2018-10-01T00:00:00"/>
  </r>
  <r>
    <x v="6"/>
    <s v="House"/>
    <s v="P51855"/>
    <n v="11242736"/>
    <s v="LAC-Facility A"/>
    <x v="14"/>
    <s v="SS020934"/>
    <d v="2021-04-06T00:00:00"/>
    <d v="2020-01-08T00:00:00"/>
    <d v="2020-01-08T00:00:00"/>
    <d v="2020-01-10T00:00:00"/>
    <s v="Approved"/>
    <x v="108"/>
    <m/>
    <m/>
    <m/>
    <m/>
    <s v=""/>
    <s v=""/>
    <m/>
    <m/>
  </r>
  <r>
    <x v="11"/>
    <s v="Lyons"/>
    <s v="T58826"/>
    <n v="11934356"/>
    <s v="CAL-Facility C"/>
    <x v="0"/>
    <s v="SA043612"/>
    <d v="2024-04-11T00:00:00"/>
    <d v="2020-01-08T00:00:00"/>
    <d v="2020-01-14T00:00:00"/>
    <d v="2020-03-04T00:00:00"/>
    <s v="Declined"/>
    <x v="27"/>
    <m/>
    <m/>
    <m/>
    <m/>
    <s v=""/>
    <s v=""/>
    <m/>
    <m/>
  </r>
  <r>
    <x v="11"/>
    <s v="Patterson"/>
    <s v="D39831"/>
    <n v="11469363"/>
    <s v="MCSP-Facility C"/>
    <x v="0"/>
    <s v="BA111254"/>
    <d v="2024-09-03T00:00:00"/>
    <d v="2020-01-08T00:00:00"/>
    <d v="2020-01-14T00:00:00"/>
    <d v="2020-03-04T00:00:00"/>
    <s v="Declined"/>
    <x v="27"/>
    <m/>
    <m/>
    <m/>
    <m/>
    <s v=""/>
    <s v=""/>
    <m/>
    <m/>
  </r>
  <r>
    <x v="11"/>
    <s v="Peatrowski"/>
    <s v="D06045"/>
    <n v="11452929"/>
    <s v="CCC-Facility C"/>
    <x v="36"/>
    <s v="SCR45651"/>
    <d v="2025-05-23T00:00:00"/>
    <d v="2020-01-08T00:00:00"/>
    <d v="2020-01-14T00:00:00"/>
    <d v="2020-03-04T00:00:00"/>
    <s v="Declined"/>
    <x v="27"/>
    <m/>
    <m/>
    <m/>
    <m/>
    <s v=""/>
    <s v=""/>
    <m/>
    <m/>
  </r>
  <r>
    <x v="11"/>
    <s v="Davis"/>
    <s v="H35629"/>
    <n v="11671157"/>
    <s v="CHCF-Facility E"/>
    <x v="37"/>
    <s v="SC071812"/>
    <d v="2025-06-19T00:00:00"/>
    <d v="2020-01-08T00:00:00"/>
    <d v="2020-01-14T00:00:00"/>
    <d v="2020-03-04T00:00:00"/>
    <s v="Declined"/>
    <x v="27"/>
    <m/>
    <m/>
    <m/>
    <m/>
    <s v=""/>
    <s v=""/>
    <m/>
    <m/>
  </r>
  <r>
    <x v="11"/>
    <s v="Williams"/>
    <s v="C16107"/>
    <n v="11413215"/>
    <s v="SQ-Facility A"/>
    <x v="2"/>
    <s v="04NF1628"/>
    <d v="2056-09-01T00:00:00"/>
    <d v="2020-01-08T00:00:00"/>
    <d v="2020-01-10T00:00:00"/>
    <d v="2020-03-16T00:00:00"/>
    <s v="Declined"/>
    <x v="27"/>
    <m/>
    <m/>
    <m/>
    <m/>
    <s v=""/>
    <s v=""/>
    <m/>
    <m/>
  </r>
  <r>
    <x v="11"/>
    <s v="Styles"/>
    <s v="D41915"/>
    <n v="11470391"/>
    <s v="PVSP-STRH"/>
    <x v="13"/>
    <s v="BF114746"/>
    <d v="2185-02-23T00:00:00"/>
    <d v="2020-01-08T00:00:00"/>
    <d v="2020-01-10T00:00:00"/>
    <d v="2020-03-16T00:00:00"/>
    <s v="Declined"/>
    <x v="27"/>
    <m/>
    <m/>
    <m/>
    <m/>
    <s v=""/>
    <s v=""/>
    <m/>
    <m/>
  </r>
  <r>
    <x v="11"/>
    <s v="Hubbard"/>
    <s v="AI4216"/>
    <n v="11075027"/>
    <s v="CCI-Facility D"/>
    <x v="0"/>
    <s v="PA067328"/>
    <d v="2022-08-04T00:00:00"/>
    <d v="2020-01-08T00:00:00"/>
    <d v="2020-01-13T00:00:00"/>
    <d v="2020-03-16T00:00:00"/>
    <s v="Declined"/>
    <x v="27"/>
    <m/>
    <m/>
    <m/>
    <m/>
    <s v=""/>
    <s v=""/>
    <m/>
    <m/>
  </r>
  <r>
    <x v="11"/>
    <s v="Burnor"/>
    <s v="F29617"/>
    <n v="11181048"/>
    <s v="VSP-Facility C"/>
    <x v="10"/>
    <s v="SCN191483"/>
    <d v="2039-04-28T00:00:00"/>
    <d v="2020-01-08T00:00:00"/>
    <d v="2020-01-13T00:00:00"/>
    <d v="2020-03-16T00:00:00"/>
    <s v="Declined"/>
    <x v="27"/>
    <m/>
    <m/>
    <m/>
    <m/>
    <s v=""/>
    <s v=""/>
    <m/>
    <m/>
  </r>
  <r>
    <x v="1"/>
    <s v="Gordon"/>
    <s v="AH5538"/>
    <n v="11368492"/>
    <s v="CVSP - Facility C"/>
    <x v="9"/>
    <s v="FSB1002877"/>
    <d v="2034-06-28T00:00:00"/>
    <d v="2020-10-14T00:00:00"/>
    <d v="2020-10-23T00:00:00"/>
    <d v="2020-11-02T00:00:00"/>
    <s v="Approved"/>
    <x v="134"/>
    <m/>
    <m/>
    <m/>
    <m/>
    <s v=""/>
    <s v=""/>
    <m/>
    <m/>
  </r>
  <r>
    <x v="1"/>
    <s v="Gosal"/>
    <s v="AR1724"/>
    <n v="12100451"/>
    <s v="VSP-Facility D"/>
    <x v="17"/>
    <s v="08F07142"/>
    <d v="2037-05-24T00:00:00"/>
    <d v="2020-07-22T00:00:00"/>
    <d v="2020-08-21T00:00:00"/>
    <d v="2020-08-27T00:00:00"/>
    <s v="Approved"/>
    <x v="71"/>
    <d v="2020-11-18T00:00:00"/>
    <d v="2020-11-09T00:00:00"/>
    <s v="No action - no reason specified"/>
    <m/>
    <s v=""/>
    <s v=""/>
    <m/>
    <d v="2020-11-18T00:00:00"/>
  </r>
  <r>
    <x v="1"/>
    <s v="Grajeda "/>
    <s v="AX2386"/>
    <n v="12135925"/>
    <s v="VSP - Facility B"/>
    <x v="12"/>
    <s v="C1479534"/>
    <d v="2025-04-16T00:00:00"/>
    <d v="2020-11-05T00:00:00"/>
    <d v="2020-12-09T00:00:00"/>
    <d v="2020-11-17T00:00:00"/>
    <s v="Approved"/>
    <x v="173"/>
    <d v="2021-07-12T00:00:00"/>
    <d v="2021-07-06T00:00:00"/>
    <s v="No action - reason provided"/>
    <m/>
    <s v=""/>
    <s v=""/>
    <s v="not in the interest of Justice"/>
    <d v="2021-07-12T00:00:00"/>
  </r>
  <r>
    <x v="1"/>
    <s v="Grant"/>
    <s v="P42833"/>
    <n v="11868804"/>
    <s v="COR Facility 3A"/>
    <x v="17"/>
    <s v="04F03408"/>
    <d v="2026-06-26T00:00:00"/>
    <d v="2019-10-23T00:00:00"/>
    <d v="2019-11-13T00:00:00"/>
    <d v="2019-11-14T00:00:00"/>
    <s v="Approved"/>
    <x v="96"/>
    <d v="2020-08-07T00:00:00"/>
    <d v="2020-08-04T00:00:00"/>
    <s v="Released"/>
    <n v="1957"/>
    <n v="5.3616438356164382"/>
    <n v="44281.816438356167"/>
    <s v="Released 8/13/2020"/>
    <d v="2020-08-11T00:00:00"/>
  </r>
  <r>
    <x v="1"/>
    <s v="Green"/>
    <s v="WE4354"/>
    <n v="11296024"/>
    <s v="SACCO San Diego"/>
    <x v="0"/>
    <s v="VA122256"/>
    <d v="2020-11-09T00:00:00"/>
    <d v="2019-03-13T00:00:00"/>
    <d v="2019-03-21T00:00:00"/>
    <d v="2019-03-21T00:00:00"/>
    <s v="Approved"/>
    <x v="82"/>
    <d v="2019-07-23T00:00:00"/>
    <d v="2019-07-12T00:00:00"/>
    <s v="No action - reason provided"/>
    <m/>
    <s v=""/>
    <s v=""/>
    <s v="Negotitated plea"/>
    <d v="2019-07-23T00:00:00"/>
  </r>
  <r>
    <x v="11"/>
    <s v="Pryor"/>
    <s v="T81119"/>
    <n v="11141695"/>
    <s v="LAC-Facility A"/>
    <x v="0"/>
    <s v="BA375576"/>
    <d v="2023-01-23T00:00:00"/>
    <d v="2020-01-15T00:00:00"/>
    <d v="2020-01-22T00:00:00"/>
    <d v="2020-03-16T00:00:00"/>
    <s v="Declined"/>
    <x v="27"/>
    <m/>
    <m/>
    <m/>
    <m/>
    <s v=""/>
    <s v=""/>
    <m/>
    <m/>
  </r>
  <r>
    <x v="11"/>
    <s v="Moreno"/>
    <s v="AB9220"/>
    <n v="11052101"/>
    <s v="MCSP-Facility B"/>
    <x v="8"/>
    <s v="SWF008909"/>
    <d v="2063-06-28T00:00:00"/>
    <d v="2020-01-15T00:00:00"/>
    <d v="2020-01-22T00:00:00"/>
    <d v="2020-03-16T00:00:00"/>
    <s v="Declined"/>
    <x v="27"/>
    <m/>
    <m/>
    <m/>
    <m/>
    <s v=""/>
    <s v=""/>
    <m/>
    <m/>
  </r>
  <r>
    <x v="11"/>
    <s v="Hernandez"/>
    <s v="G46924"/>
    <n v="11131029"/>
    <s v="CTF-Facility C"/>
    <x v="8"/>
    <s v="RIF129735"/>
    <d v="2099-02-20T00:00:00"/>
    <d v="2020-01-15T00:00:00"/>
    <d v="2020-01-22T00:00:00"/>
    <d v="2020-03-16T00:00:00"/>
    <s v="Declined"/>
    <x v="27"/>
    <m/>
    <m/>
    <m/>
    <m/>
    <s v=""/>
    <s v=""/>
    <m/>
    <m/>
  </r>
  <r>
    <x v="11"/>
    <s v="Perez"/>
    <s v="AN1629"/>
    <n v="11206234"/>
    <s v="WSP-Facility A"/>
    <x v="0"/>
    <s v="KA097388"/>
    <d v="2023-12-14T00:00:00"/>
    <d v="2020-01-21T00:00:00"/>
    <d v="2020-01-22T00:00:00"/>
    <d v="2020-03-04T00:00:00"/>
    <s v="Declined"/>
    <x v="27"/>
    <m/>
    <m/>
    <m/>
    <m/>
    <s v=""/>
    <s v=""/>
    <m/>
    <m/>
  </r>
  <r>
    <x v="11"/>
    <s v="Ramirez"/>
    <s v="H79944"/>
    <n v="11245068"/>
    <s v="PUMCCF-SHAFTER"/>
    <x v="0"/>
    <s v="BA330814A"/>
    <d v="2024-03-22T00:00:00"/>
    <d v="2020-01-21T00:00:00"/>
    <d v="2020-01-22T00:00:00"/>
    <d v="2020-03-04T00:00:00"/>
    <s v="Declined"/>
    <x v="27"/>
    <m/>
    <m/>
    <m/>
    <m/>
    <s v=""/>
    <s v=""/>
    <m/>
    <m/>
  </r>
  <r>
    <x v="11"/>
    <s v="Eleby"/>
    <s v="AW2469"/>
    <n v="11966249"/>
    <s v="CEN-Facility A"/>
    <x v="0"/>
    <s v="BA394931"/>
    <d v="2040-07-16T00:00:00"/>
    <d v="2020-01-21T00:00:00"/>
    <d v="2020-01-22T00:00:00"/>
    <d v="2020-03-04T00:00:00"/>
    <s v="Declined"/>
    <x v="27"/>
    <m/>
    <m/>
    <m/>
    <m/>
    <s v=""/>
    <s v=""/>
    <m/>
    <m/>
  </r>
  <r>
    <x v="11"/>
    <s v="Banks"/>
    <s v="AR7533"/>
    <n v="11730613"/>
    <s v="CMC-Facility C"/>
    <x v="0"/>
    <s v="NA095650"/>
    <d v="2028-10-29T00:00:00"/>
    <d v="2020-01-21T00:00:00"/>
    <d v="2020-01-22T00:00:00"/>
    <d v="2020-03-04T00:00:00"/>
    <s v="Declined"/>
    <x v="27"/>
    <m/>
    <m/>
    <m/>
    <m/>
    <s v=""/>
    <s v=""/>
    <m/>
    <m/>
  </r>
  <r>
    <x v="11"/>
    <s v="Reed"/>
    <s v="J45735"/>
    <n v="11746312"/>
    <s v="HDSP-Facility C"/>
    <x v="0"/>
    <s v="KA055415"/>
    <d v="2021-09-27T00:00:00"/>
    <d v="2020-01-21T00:00:00"/>
    <d v="2020-01-22T00:00:00"/>
    <d v="2020-03-04T00:00:00"/>
    <s v="Declined"/>
    <x v="27"/>
    <m/>
    <m/>
    <m/>
    <m/>
    <s v=""/>
    <s v=""/>
    <m/>
    <m/>
  </r>
  <r>
    <x v="11"/>
    <s v="Morris"/>
    <s v="AP6842"/>
    <n v="11911116"/>
    <s v="SATF-Facility D"/>
    <x v="8"/>
    <s v="SWF1301636"/>
    <d v="2023-04-28T00:00:00"/>
    <d v="2020-01-21T00:00:00"/>
    <d v="2020-01-22T00:00:00"/>
    <d v="2020-03-04T00:00:00"/>
    <s v="Declined"/>
    <x v="27"/>
    <m/>
    <m/>
    <m/>
    <m/>
    <s v=""/>
    <s v=""/>
    <m/>
    <m/>
  </r>
  <r>
    <x v="11"/>
    <s v="Devine"/>
    <s v="J58047"/>
    <n v="11150138"/>
    <s v="KVSP-Central Service"/>
    <x v="19"/>
    <s v="07CM7394"/>
    <d v="2025-07-14T00:00:00"/>
    <d v="2020-01-21T00:00:00"/>
    <d v="2020-01-22T00:00:00"/>
    <d v="2020-03-04T00:00:00"/>
    <s v="Declined"/>
    <x v="27"/>
    <m/>
    <m/>
    <m/>
    <m/>
    <s v=""/>
    <s v=""/>
    <m/>
    <m/>
  </r>
  <r>
    <x v="11"/>
    <s v="Bernal"/>
    <s v="V32239"/>
    <n v="11976577"/>
    <s v="KVSP-Facility A"/>
    <x v="8"/>
    <s v="RIF123334"/>
    <d v="2022-05-18T00:00:00"/>
    <d v="2020-01-21T00:00:00"/>
    <d v="2020-01-22T00:00:00"/>
    <d v="2020-03-04T00:00:00"/>
    <s v="Declined"/>
    <x v="27"/>
    <m/>
    <m/>
    <m/>
    <m/>
    <s v=""/>
    <s v=""/>
    <m/>
    <m/>
  </r>
  <r>
    <x v="1"/>
    <s v="Grier"/>
    <s v="F94982"/>
    <n v="11606821"/>
    <s v="PRMCCF-Central Valley"/>
    <x v="17"/>
    <s v="04F10185"/>
    <d v="2022-05-26T00:00:00"/>
    <d v="2019-07-17T00:00:00"/>
    <d v="2019-07-19T00:00:00"/>
    <d v="2019-07-29T00:00:00"/>
    <s v="Approved"/>
    <x v="193"/>
    <d v="2019-08-22T00:00:00"/>
    <d v="2019-08-14T00:00:00"/>
    <s v="No action - no reason specified"/>
    <m/>
    <s v=""/>
    <s v=""/>
    <m/>
    <d v="2019-08-22T00:00:00"/>
  </r>
  <r>
    <x v="1"/>
    <s v="Griffin "/>
    <s v="AH4404"/>
    <n v="11367732"/>
    <s v="HDSP-Facility A "/>
    <x v="17"/>
    <s v="08F08762"/>
    <d v="2025-02-05T00:00:00"/>
    <d v="2019-01-29T00:00:00"/>
    <d v="2019-02-06T00:00:00"/>
    <d v="2019-02-08T00:00:00"/>
    <s v="Approved"/>
    <x v="73"/>
    <d v="2019-12-10T00:00:00"/>
    <d v="2019-12-06T00:00:00"/>
    <s v="Reduced"/>
    <n v="1826.25"/>
    <n v="5.0034246575342465"/>
    <n v="41323.284246575342"/>
    <s v="Release 1/22/2020"/>
    <d v="2019-12-10T00:00:00"/>
  </r>
  <r>
    <x v="1"/>
    <s v="Grogan"/>
    <s v="AU6905"/>
    <n v="11136183"/>
    <s v="CCI - Facility D"/>
    <x v="0"/>
    <s v="GA086514-02"/>
    <d v="2032-09-24T00:00:00"/>
    <d v="2021-01-12T00:00:00"/>
    <d v="2021-01-28T00:00:00"/>
    <d v="2021-01-29T00:00:00"/>
    <s v="Approved"/>
    <x v="166"/>
    <m/>
    <d v="2021-04-19T00:00:00"/>
    <s v="Pending Court (Date in Notes)"/>
    <m/>
    <s v=""/>
    <s v=""/>
    <s v="Court documents have been requested on 05/3/21"/>
    <m/>
  </r>
  <r>
    <x v="11"/>
    <s v="Lozano"/>
    <s v="AS1093"/>
    <n v="11525490"/>
    <s v="ASP-Facility F"/>
    <x v="0"/>
    <s v="BA416163"/>
    <d v="2025-02-04T00:00:00"/>
    <d v="2019-07-12T00:00:00"/>
    <d v="2019-07-15T00:00:00"/>
    <d v="2019-09-26T00:00:00"/>
    <s v="Approved"/>
    <x v="141"/>
    <d v="2021-03-01T00:00:00"/>
    <d v="2020-11-13T00:00:00"/>
    <s v="Released"/>
    <n v="1492"/>
    <n v="4.087671232876712"/>
    <n v="33760.076712328766"/>
    <s v="Released 1/4/21"/>
    <d v="2021-03-01T00:00:00"/>
  </r>
  <r>
    <x v="7"/>
    <s v="Cypert"/>
    <s v="P15294"/>
    <n v="11168613"/>
    <s v="ISP - Facility D "/>
    <x v="8"/>
    <s v="RIF72410"/>
    <d v="2046-03-05T00:00:00"/>
    <d v="2020-01-17T00:00:00"/>
    <d v="2020-02-18T00:00:00"/>
    <d v="2020-02-18T00:00:00"/>
    <s v="Approved"/>
    <x v="188"/>
    <m/>
    <m/>
    <m/>
    <m/>
    <s v=""/>
    <s v=""/>
    <m/>
    <m/>
  </r>
  <r>
    <x v="1"/>
    <s v="Guenthard"/>
    <s v="AL4417"/>
    <n v="11296254"/>
    <s v="SCC Oak Glen Camp"/>
    <x v="0"/>
    <s v="KA096787"/>
    <d v="2021-01-29T00:00:00"/>
    <d v="2019-05-01T00:00:00"/>
    <d v="2019-05-06T00:00:00"/>
    <d v="2019-05-06T00:00:00"/>
    <s v="Approved"/>
    <x v="70"/>
    <d v="2019-06-20T00:00:00"/>
    <d v="2019-06-07T00:00:00"/>
    <s v="No action - no reason specified"/>
    <m/>
    <s v=""/>
    <s v=""/>
    <m/>
    <d v="2019-06-27T00:00:00"/>
  </r>
  <r>
    <x v="1"/>
    <s v="Guerrero "/>
    <s v="AX8401"/>
    <n v="12139593"/>
    <s v="CAL - Facility D"/>
    <x v="3"/>
    <s v="F13910236"/>
    <d v="2023-01-13T00:00:00"/>
    <d v="2020-09-29T00:00:00"/>
    <d v="2020-10-07T00:00:00"/>
    <d v="2020-10-08T00:00:00"/>
    <s v="Approved"/>
    <x v="134"/>
    <m/>
    <m/>
    <m/>
    <m/>
    <s v=""/>
    <s v=""/>
    <m/>
    <m/>
  </r>
  <r>
    <x v="1"/>
    <s v="Gutierrez"/>
    <s v="AK6642"/>
    <n v="11277557"/>
    <s v="KVSP - Facility B"/>
    <x v="12"/>
    <s v="C1109799"/>
    <d v="2023-11-19T00:00:00"/>
    <d v="2020-01-22T00:00:00"/>
    <d v="2020-02-03T00:00:00"/>
    <d v="2020-02-18T00:00:00"/>
    <s v="Approved"/>
    <x v="188"/>
    <d v="2021-06-03T00:00:00"/>
    <d v="2021-05-24T00:00:00"/>
    <s v="No action - reason provided"/>
    <m/>
    <s v=""/>
    <s v=""/>
    <s v="not in the interest of Justice"/>
    <d v="2021-06-17T00:00:00"/>
  </r>
  <r>
    <x v="7"/>
    <s v="Xiong"/>
    <s v="AA5155"/>
    <n v="11324593"/>
    <s v="VSP - Facillity D "/>
    <x v="3"/>
    <s v="F07908923"/>
    <d v="2024-10-31T00:00:00"/>
    <d v="2020-01-29T00:00:00"/>
    <d v="2020-03-03T00:00:00"/>
    <d v="2020-03-03T00:00:00"/>
    <s v="Approved"/>
    <x v="137"/>
    <m/>
    <m/>
    <m/>
    <m/>
    <s v=""/>
    <s v=""/>
    <m/>
    <m/>
  </r>
  <r>
    <x v="7"/>
    <s v="Sandher"/>
    <s v="T36218"/>
    <n v="11921719"/>
    <s v="SQ-Fac A"/>
    <x v="18"/>
    <n v="3947"/>
    <d v="2043-04-23T00:00:00"/>
    <d v="2020-02-11T00:00:00"/>
    <d v="2020-03-03T00:00:00"/>
    <d v="2020-03-03T00:00:00"/>
    <s v="Approved"/>
    <x v="137"/>
    <m/>
    <m/>
    <m/>
    <m/>
    <s v=""/>
    <s v=""/>
    <m/>
    <m/>
  </r>
  <r>
    <x v="12"/>
    <s v="Cox"/>
    <s v="V73527"/>
    <n v="11275601"/>
    <s v="CTF-Facility C"/>
    <x v="0"/>
    <s v="MA038466"/>
    <d v="2037-05-20T00:00:00"/>
    <d v="2020-02-10T00:00:00"/>
    <d v="2020-02-14T00:00:00"/>
    <m/>
    <m/>
    <x v="27"/>
    <m/>
    <m/>
    <m/>
    <m/>
    <s v=""/>
    <s v=""/>
    <m/>
    <m/>
  </r>
  <r>
    <x v="12"/>
    <s v="Santos"/>
    <s v="F68128"/>
    <n v="11163554"/>
    <s v="PBSP-Facility D"/>
    <x v="31"/>
    <s v="03F6857"/>
    <d v="2030-07-16T00:00:00"/>
    <d v="2020-02-10T00:00:00"/>
    <d v="2020-02-14T00:00:00"/>
    <m/>
    <m/>
    <x v="27"/>
    <m/>
    <m/>
    <m/>
    <m/>
    <s v=""/>
    <s v=""/>
    <m/>
    <m/>
  </r>
  <r>
    <x v="12"/>
    <s v="Garcia"/>
    <s v="H39631"/>
    <n v="11673073"/>
    <s v="SQ-Facility A"/>
    <x v="40"/>
    <n v="1286928"/>
    <d v="2067-06-05T00:00:00"/>
    <d v="2020-02-10T00:00:00"/>
    <d v="2020-02-14T00:00:00"/>
    <m/>
    <m/>
    <x v="27"/>
    <m/>
    <m/>
    <m/>
    <m/>
    <s v=""/>
    <s v=""/>
    <m/>
    <m/>
  </r>
  <r>
    <x v="12"/>
    <s v="Camacho"/>
    <s v="AM1032"/>
    <n v="11236313"/>
    <s v="MCSP-Facility C"/>
    <x v="16"/>
    <s v="CR1101069"/>
    <d v="2035-08-10T00:00:00"/>
    <d v="2020-02-10T00:00:00"/>
    <d v="2020-02-14T00:00:00"/>
    <m/>
    <m/>
    <x v="27"/>
    <m/>
    <m/>
    <m/>
    <m/>
    <s v=""/>
    <s v=""/>
    <m/>
    <m/>
  </r>
  <r>
    <x v="12"/>
    <s v="Easley"/>
    <s v="F14636"/>
    <n v="11195067"/>
    <s v="SATF-Facility A"/>
    <x v="20"/>
    <n v="147392"/>
    <d v="2049-10-23T00:00:00"/>
    <d v="2020-02-10T00:00:00"/>
    <d v="2020-02-14T00:00:00"/>
    <m/>
    <m/>
    <x v="27"/>
    <m/>
    <m/>
    <m/>
    <m/>
    <s v=""/>
    <s v=""/>
    <m/>
    <m/>
  </r>
  <r>
    <x v="12"/>
    <s v="Baker"/>
    <s v="H22437"/>
    <n v="11119410"/>
    <s v="CIM-Facility A"/>
    <x v="13"/>
    <s v="SC077324"/>
    <d v="2058-03-18T00:00:00"/>
    <d v="2020-02-10T00:00:00"/>
    <d v="2020-02-14T00:00:00"/>
    <m/>
    <m/>
    <x v="27"/>
    <m/>
    <m/>
    <m/>
    <m/>
    <s v=""/>
    <s v=""/>
    <m/>
    <m/>
  </r>
  <r>
    <x v="12"/>
    <s v="Matos"/>
    <s v="AL9638"/>
    <n v="11131401"/>
    <s v="CHCF-Facility C"/>
    <x v="15"/>
    <n v="2010009351"/>
    <d v="2024-02-28T00:00:00"/>
    <d v="2020-02-10T00:00:00"/>
    <d v="2020-02-14T00:00:00"/>
    <m/>
    <m/>
    <x v="27"/>
    <m/>
    <m/>
    <m/>
    <m/>
    <s v=""/>
    <s v=""/>
    <m/>
    <m/>
  </r>
  <r>
    <x v="12"/>
    <s v="Canela"/>
    <s v="BA5838"/>
    <n v="11978408"/>
    <s v="CAL-Facility B"/>
    <x v="10"/>
    <s v="SCD251838"/>
    <d v="2057-11-18T00:00:00"/>
    <d v="2020-02-10T00:00:00"/>
    <d v="2020-02-14T00:00:00"/>
    <m/>
    <m/>
    <x v="27"/>
    <m/>
    <m/>
    <m/>
    <m/>
    <s v=""/>
    <s v=""/>
    <m/>
    <m/>
  </r>
  <r>
    <x v="12"/>
    <s v="Anderson"/>
    <s v="H02642"/>
    <n v="11654376"/>
    <s v="CTF-Facility C"/>
    <x v="10"/>
    <s v="SCD114427"/>
    <d v="2028-08-28T00:00:00"/>
    <d v="2020-02-10T00:00:00"/>
    <d v="2020-02-14T00:00:00"/>
    <m/>
    <m/>
    <x v="27"/>
    <m/>
    <m/>
    <m/>
    <m/>
    <s v=""/>
    <s v=""/>
    <m/>
    <m/>
  </r>
  <r>
    <x v="6"/>
    <s v="Berumen"/>
    <s v="D42890"/>
    <n v="11470895"/>
    <s v="MCSP-Facility A"/>
    <x v="26"/>
    <s v="12CR19850"/>
    <d v="1999-04-16T00:00:00"/>
    <d v="2020-02-12T00:00:00"/>
    <d v="2020-02-12T00:00:00"/>
    <d v="2020-02-12T00:00:00"/>
    <s v="Approved"/>
    <x v="194"/>
    <m/>
    <m/>
    <m/>
    <m/>
    <s v=""/>
    <s v=""/>
    <m/>
    <m/>
  </r>
  <r>
    <x v="1"/>
    <s v="Gutierrez"/>
    <s v="T06055"/>
    <n v="11904848"/>
    <s v="CAC - Facility C"/>
    <x v="12"/>
    <s v="CC069243"/>
    <d v="2028-02-03T00:00:00"/>
    <d v="2021-03-22T00:00:00"/>
    <d v="2021-03-24T00:00:00"/>
    <d v="2021-03-24T00:00:00"/>
    <s v="Approved"/>
    <x v="174"/>
    <m/>
    <m/>
    <m/>
    <m/>
    <s v=""/>
    <s v=""/>
    <m/>
    <m/>
  </r>
  <r>
    <x v="12"/>
    <s v="Vaira"/>
    <s v="AN0809"/>
    <n v="11573622"/>
    <s v="CCC-Facility A"/>
    <x v="31"/>
    <s v="11F4173"/>
    <d v="2022-08-16T00:00:00"/>
    <d v="2020-02-13T00:00:00"/>
    <d v="2020-02-25T00:00:00"/>
    <m/>
    <m/>
    <x v="27"/>
    <m/>
    <m/>
    <m/>
    <m/>
    <s v=""/>
    <s v=""/>
    <m/>
    <m/>
  </r>
  <r>
    <x v="12"/>
    <s v="Horner"/>
    <s v="AU9411"/>
    <n v="11184275"/>
    <s v="SOL-Facility C"/>
    <x v="31"/>
    <s v="13F7375"/>
    <d v="2024-06-25T00:00:00"/>
    <d v="2020-02-13T00:00:00"/>
    <d v="2020-02-25T00:00:00"/>
    <m/>
    <m/>
    <x v="27"/>
    <m/>
    <m/>
    <m/>
    <m/>
    <s v=""/>
    <s v=""/>
    <m/>
    <m/>
  </r>
  <r>
    <x v="12"/>
    <s v="Campbell"/>
    <s v="AP1212"/>
    <n v="11513299"/>
    <s v="CHCF-Facility C"/>
    <x v="36"/>
    <n v="62097495"/>
    <d v="2031-01-15T00:00:00"/>
    <d v="2020-02-13T00:00:00"/>
    <d v="2020-02-25T00:00:00"/>
    <m/>
    <m/>
    <x v="27"/>
    <m/>
    <m/>
    <m/>
    <m/>
    <s v=""/>
    <s v=""/>
    <m/>
    <m/>
  </r>
  <r>
    <x v="12"/>
    <s v="Collier"/>
    <s v="AG1613"/>
    <n v="11067342"/>
    <s v="SATF-Facility F"/>
    <x v="33"/>
    <s v="CRF091144"/>
    <d v="2025-05-11T00:00:00"/>
    <d v="2020-02-13T00:00:00"/>
    <d v="2020-02-25T00:00:00"/>
    <m/>
    <m/>
    <x v="27"/>
    <m/>
    <m/>
    <m/>
    <m/>
    <s v=""/>
    <s v=""/>
    <m/>
    <m/>
  </r>
  <r>
    <x v="12"/>
    <s v="Guice"/>
    <s v="AY3813"/>
    <n v="11776820"/>
    <s v="CMC-Facility E"/>
    <x v="14"/>
    <s v="SS100975A"/>
    <d v="2028-01-21T00:00:00"/>
    <d v="2020-02-13T00:00:00"/>
    <d v="2020-02-25T00:00:00"/>
    <m/>
    <m/>
    <x v="27"/>
    <m/>
    <m/>
    <m/>
    <m/>
    <s v=""/>
    <s v=""/>
    <m/>
    <m/>
  </r>
  <r>
    <x v="12"/>
    <s v="Dominguez"/>
    <s v="AX5517"/>
    <n v="11046529"/>
    <s v="CAC-Facility C"/>
    <x v="0"/>
    <s v="KA098757"/>
    <d v="2023-08-24T00:00:00"/>
    <d v="2020-02-13T00:00:00"/>
    <d v="2020-02-25T00:00:00"/>
    <m/>
    <m/>
    <x v="27"/>
    <m/>
    <m/>
    <m/>
    <m/>
    <s v=""/>
    <s v=""/>
    <m/>
    <m/>
  </r>
  <r>
    <x v="12"/>
    <s v="Robinson"/>
    <s v="P15418"/>
    <n v="11853805"/>
    <s v="SQ-Facility A"/>
    <x v="18"/>
    <n v="50507467"/>
    <d v="2032-05-27T00:00:00"/>
    <d v="2020-02-13T00:00:00"/>
    <d v="2020-02-25T00:00:00"/>
    <m/>
    <m/>
    <x v="27"/>
    <m/>
    <m/>
    <m/>
    <m/>
    <s v=""/>
    <s v=""/>
    <m/>
    <m/>
  </r>
  <r>
    <x v="12"/>
    <s v="Chavez"/>
    <s v="F80024"/>
    <n v="11853805"/>
    <s v="SOL-Facility C"/>
    <x v="11"/>
    <s v="VCF178133"/>
    <d v="2023-05-18T00:00:00"/>
    <d v="2020-02-13T00:00:00"/>
    <d v="2020-02-25T00:00:00"/>
    <m/>
    <m/>
    <x v="27"/>
    <m/>
    <m/>
    <m/>
    <m/>
    <s v=""/>
    <s v=""/>
    <m/>
    <m/>
  </r>
  <r>
    <x v="6"/>
    <s v="Garza"/>
    <s v="X37410"/>
    <n v="1103872"/>
    <s v="CIW-Facility A"/>
    <x v="9"/>
    <s v="FWV19003494 FWV17000134"/>
    <d v="2030-05-06T00:00:00"/>
    <d v="2020-02-13T00:00:00"/>
    <d v="2020-02-13T00:00:00"/>
    <d v="2020-02-14T00:00:00"/>
    <s v="Approved"/>
    <x v="195"/>
    <d v="2020-03-18T00:00:00"/>
    <d v="2020-03-05T00:00:00"/>
    <s v="Reduced"/>
    <n v="730.5"/>
    <n v="2.0013698630136987"/>
    <n v="16529.313698630136"/>
    <m/>
    <d v="2020-03-18T00:00:00"/>
  </r>
  <r>
    <x v="11"/>
    <s v="Ilacqua"/>
    <s v="V50945"/>
    <n v="11987713"/>
    <s v="SOL-Facility A"/>
    <x v="10"/>
    <s v="SCD169242"/>
    <d v="2021-11-18T00:00:00"/>
    <d v="2020-02-20T00:00:00"/>
    <d v="2020-02-21T00:00:00"/>
    <d v="2020-03-16T00:00:00"/>
    <s v="Declined"/>
    <x v="27"/>
    <m/>
    <m/>
    <m/>
    <m/>
    <s v=""/>
    <s v=""/>
    <m/>
    <m/>
  </r>
  <r>
    <x v="11"/>
    <s v="Hill"/>
    <s v="V49040"/>
    <n v="11117161"/>
    <s v="FOL-Facility A"/>
    <x v="3"/>
    <s v="F02671386"/>
    <d v="2025-08-29T00:00:00"/>
    <d v="2020-02-20T00:00:00"/>
    <d v="2020-02-21T00:00:00"/>
    <d v="2020-03-16T00:00:00"/>
    <s v="Declined"/>
    <x v="27"/>
    <m/>
    <m/>
    <m/>
    <m/>
    <s v=""/>
    <s v=""/>
    <m/>
    <m/>
  </r>
  <r>
    <x v="11"/>
    <s v="Reyna Jr"/>
    <s v="V57825"/>
    <n v="11991860"/>
    <s v="KVSP-Facility C"/>
    <x v="0"/>
    <s v="BA367209"/>
    <d v="2026-06-07T00:00:00"/>
    <d v="2020-02-20T00:00:00"/>
    <d v="2020-02-21T00:00:00"/>
    <d v="2020-03-16T00:00:00"/>
    <s v="Declined"/>
    <x v="27"/>
    <m/>
    <m/>
    <m/>
    <m/>
    <s v=""/>
    <s v=""/>
    <m/>
    <m/>
  </r>
  <r>
    <x v="11"/>
    <s v="Ransom"/>
    <s v="H71641"/>
    <n v="11097246"/>
    <s v="SOL-Facility C"/>
    <x v="0"/>
    <s v="NA027990"/>
    <d v="2026-06-09T00:00:00"/>
    <d v="2020-02-20T00:00:00"/>
    <d v="2020-02-21T00:00:00"/>
    <d v="2020-03-16T00:00:00"/>
    <s v="Declined"/>
    <x v="27"/>
    <m/>
    <m/>
    <m/>
    <m/>
    <s v=""/>
    <s v=""/>
    <m/>
    <m/>
  </r>
  <r>
    <x v="11"/>
    <s v="Bell"/>
    <s v="J88431"/>
    <n v="11173078"/>
    <s v="RJD-Facility B"/>
    <x v="0"/>
    <s v="BA223756"/>
    <d v="2026-06-26T00:00:00"/>
    <d v="2020-02-20T00:00:00"/>
    <d v="2020-02-21T00:00:00"/>
    <d v="2020-03-16T00:00:00"/>
    <s v="Declined"/>
    <x v="27"/>
    <m/>
    <m/>
    <m/>
    <m/>
    <s v=""/>
    <s v=""/>
    <m/>
    <m/>
  </r>
  <r>
    <x v="11"/>
    <s v="West"/>
    <s v="P67027"/>
    <n v="11881981"/>
    <s v="PVSP-Facility D"/>
    <x v="12"/>
    <s v="C9926598"/>
    <d v="2026-05-20T00:00:00"/>
    <d v="2020-02-20T00:00:00"/>
    <d v="2020-02-21T00:00:00"/>
    <d v="2020-03-16T00:00:00"/>
    <s v="Declined"/>
    <x v="27"/>
    <m/>
    <m/>
    <m/>
    <m/>
    <s v=""/>
    <s v=""/>
    <m/>
    <m/>
  </r>
  <r>
    <x v="6"/>
    <s v="Browning"/>
    <s v="T35294"/>
    <n v="11921175"/>
    <s v="KVSP-Facility Z"/>
    <x v="19"/>
    <s v="09CM7015"/>
    <d v="2060-06-30T00:00:00"/>
    <d v="2019-08-29T00:00:00"/>
    <d v="2019-08-29T00:00:00"/>
    <d v="2019-08-29T00:00:00"/>
    <s v="Approved"/>
    <x v="162"/>
    <d v="2020-02-20T00:00:00"/>
    <d v="2020-01-28T00:00:00"/>
    <s v="Reduced"/>
    <n v="731"/>
    <n v="2.0027397260273974"/>
    <n v="16540.627397260276"/>
    <m/>
    <d v="2020-02-20T00:00:00"/>
  </r>
  <r>
    <x v="7"/>
    <s v="Bravo"/>
    <s v="X36697"/>
    <n v="11038231"/>
    <s v="CCWF - Facility C"/>
    <x v="0"/>
    <s v="GA063991"/>
    <d v="2024-10-31T00:00:00"/>
    <d v="2020-01-22T00:00:00"/>
    <d v="2020-03-05T00:00:00"/>
    <d v="2020-03-09T00:00:00"/>
    <s v="Approved"/>
    <x v="137"/>
    <m/>
    <m/>
    <m/>
    <m/>
    <s v=""/>
    <s v=""/>
    <m/>
    <m/>
  </r>
  <r>
    <x v="1"/>
    <s v="Ha"/>
    <s v="AN9616"/>
    <n v="11942043"/>
    <s v="CAC- Facility A"/>
    <x v="0"/>
    <s v="GA085549"/>
    <d v="2029-03-29T00:00:00"/>
    <d v="2019-11-18T00:00:00"/>
    <d v="2019-11-26T00:00:00"/>
    <d v="2019-11-27T00:00:00"/>
    <s v="Approved"/>
    <x v="140"/>
    <m/>
    <m/>
    <m/>
    <m/>
    <s v=""/>
    <s v=""/>
    <m/>
    <m/>
  </r>
  <r>
    <x v="1"/>
    <s v="Hall"/>
    <s v="T04048"/>
    <n v="11903718"/>
    <s v="PRMCCF - Desert View"/>
    <x v="1"/>
    <s v="VCR148727"/>
    <d v="2023-08-19T00:00:00"/>
    <d v="2019-09-27T00:00:00"/>
    <d v="2019-10-14T00:00:00"/>
    <d v="2019-10-15T00:00:00"/>
    <s v="Approved"/>
    <x v="172"/>
    <d v="2019-12-05T00:00:00"/>
    <d v="2019-11-15T00:00:00"/>
    <s v="No action - no reason specified"/>
    <m/>
    <s v=""/>
    <s v=""/>
    <m/>
    <d v="2019-12-05T00:00:00"/>
  </r>
  <r>
    <x v="1"/>
    <s v="Halpin "/>
    <s v="AW5262"/>
    <n v="12131566"/>
    <s v="CCI - Facility C"/>
    <x v="0"/>
    <s v="MA062393"/>
    <d v="2039-04-04T00:00:00"/>
    <d v="2020-11-07T00:00:00"/>
    <d v="2020-12-20T00:00:00"/>
    <d v="2021-01-11T00:00:00"/>
    <s v="Approved"/>
    <x v="144"/>
    <d v="2021-03-25T00:00:00"/>
    <d v="2021-02-09T00:00:00"/>
    <s v="No action - no reason specified"/>
    <m/>
    <s v=""/>
    <s v=""/>
    <m/>
    <d v="2021-03-25T00:00:00"/>
  </r>
  <r>
    <x v="12"/>
    <s v="Parra"/>
    <s v="T78849"/>
    <n v="11945927"/>
    <s v="PUMCCF-Delano"/>
    <x v="0"/>
    <s v="VA096413"/>
    <d v="2022-02-19T00:00:00"/>
    <d v="2020-02-17T00:00:00"/>
    <d v="2020-02-24T00:00:00"/>
    <m/>
    <m/>
    <x v="27"/>
    <m/>
    <m/>
    <m/>
    <m/>
    <s v=""/>
    <s v=""/>
    <m/>
    <m/>
  </r>
  <r>
    <x v="12"/>
    <s v="Knox"/>
    <s v="K71363"/>
    <n v="11117198"/>
    <s v="SAC-Facility A"/>
    <x v="0"/>
    <s v="TA116606"/>
    <d v="2023-10-30T00:00:00"/>
    <d v="2020-02-17T00:00:00"/>
    <d v="2020-02-24T00:00:00"/>
    <m/>
    <m/>
    <x v="27"/>
    <m/>
    <m/>
    <m/>
    <m/>
    <s v=""/>
    <s v=""/>
    <m/>
    <m/>
  </r>
  <r>
    <x v="12"/>
    <s v="Luker"/>
    <s v="AU0251"/>
    <n v="11235605"/>
    <s v="CMF-Facility A"/>
    <x v="2"/>
    <s v="12NF0641"/>
    <d v="2096-03-04T00:00:00"/>
    <d v="2020-02-17T00:00:00"/>
    <d v="2020-02-24T00:00:00"/>
    <m/>
    <m/>
    <x v="27"/>
    <m/>
    <m/>
    <m/>
    <m/>
    <s v=""/>
    <s v=""/>
    <m/>
    <m/>
  </r>
  <r>
    <x v="12"/>
    <s v="Hicks"/>
    <s v="K94761"/>
    <n v="11134370"/>
    <s v="CTF-Facility C"/>
    <x v="10"/>
    <s v="SCE184229"/>
    <d v="2028-05-31T00:00:00"/>
    <d v="2020-02-17T00:00:00"/>
    <d v="2020-02-24T00:00:00"/>
    <m/>
    <m/>
    <x v="27"/>
    <m/>
    <m/>
    <m/>
    <m/>
    <s v=""/>
    <s v=""/>
    <m/>
    <m/>
  </r>
  <r>
    <x v="12"/>
    <s v="Patron"/>
    <s v="AP9662"/>
    <n v="11947193"/>
    <s v="CRC-Facility C"/>
    <x v="0"/>
    <s v="LA067935"/>
    <d v="2026-10-09T00:00:00"/>
    <d v="2020-02-17T00:00:00"/>
    <d v="2020-02-24T00:00:00"/>
    <m/>
    <m/>
    <x v="27"/>
    <m/>
    <m/>
    <m/>
    <m/>
    <s v=""/>
    <s v=""/>
    <m/>
    <m/>
  </r>
  <r>
    <x v="12"/>
    <s v="Garcia"/>
    <s v="AP0366"/>
    <n v="11148169"/>
    <s v="CTF-Facility C"/>
    <x v="8"/>
    <s v="RIF1201390"/>
    <d v="2025-04-26T00:00:00"/>
    <d v="2020-02-17T00:00:00"/>
    <d v="2020-02-24T00:00:00"/>
    <m/>
    <m/>
    <x v="27"/>
    <m/>
    <m/>
    <m/>
    <m/>
    <s v=""/>
    <s v=""/>
    <m/>
    <m/>
  </r>
  <r>
    <x v="12"/>
    <s v="Nero "/>
    <s v="F89572"/>
    <n v="11603512"/>
    <s v="KVSP-Facility A"/>
    <x v="0"/>
    <s v="PA057012"/>
    <d v="2042-06-28T00:00:00"/>
    <d v="2020-02-17T00:00:00"/>
    <d v="2020-02-24T00:00:00"/>
    <m/>
    <m/>
    <x v="27"/>
    <m/>
    <m/>
    <m/>
    <m/>
    <s v=""/>
    <s v=""/>
    <m/>
    <m/>
  </r>
  <r>
    <x v="12"/>
    <s v="Haynes"/>
    <s v="J13372"/>
    <n v="11229159"/>
    <s v="SATF-Facility B"/>
    <x v="11"/>
    <s v="VF37228-a"/>
    <d v="2024-04-09T00:00:00"/>
    <d v="2020-02-17T00:00:00"/>
    <d v="2020-02-24T00:00:00"/>
    <m/>
    <m/>
    <x v="27"/>
    <m/>
    <m/>
    <m/>
    <m/>
    <s v=""/>
    <s v=""/>
    <m/>
    <m/>
  </r>
  <r>
    <x v="12"/>
    <s v="Johns"/>
    <s v="AP9667"/>
    <n v="11142040"/>
    <s v="PVSP-Facility D"/>
    <x v="31"/>
    <s v="12F4915"/>
    <d v="2021-10-10T00:00:00"/>
    <d v="2020-02-17T00:00:00"/>
    <d v="2020-02-24T00:00:00"/>
    <m/>
    <m/>
    <x v="27"/>
    <m/>
    <m/>
    <m/>
    <m/>
    <s v=""/>
    <s v=""/>
    <m/>
    <m/>
  </r>
  <r>
    <x v="12"/>
    <s v="Mason"/>
    <s v="AE0771"/>
    <n v="11059710"/>
    <s v="SCC-Facility C"/>
    <x v="17"/>
    <s v="07F00933"/>
    <d v="2032-01-17T00:00:00"/>
    <d v="2020-02-17T00:00:00"/>
    <d v="2020-02-24T00:00:00"/>
    <m/>
    <m/>
    <x v="27"/>
    <m/>
    <m/>
    <m/>
    <m/>
    <s v=""/>
    <s v=""/>
    <m/>
    <m/>
  </r>
  <r>
    <x v="1"/>
    <s v="Humphrey"/>
    <s v="AK0695"/>
    <n v="11041987"/>
    <s v="HDSP - Facility B"/>
    <x v="10"/>
    <s v="SCS243881"/>
    <d v="2027-09-12T00:00:00"/>
    <d v="2020-02-19T00:00:00"/>
    <d v="2020-03-05T00:00:00"/>
    <d v="2020-03-09T00:00:00"/>
    <s v="Declined"/>
    <x v="27"/>
    <m/>
    <m/>
    <m/>
    <m/>
    <s v=""/>
    <s v=""/>
    <m/>
    <m/>
  </r>
  <r>
    <x v="1"/>
    <s v="Hayes"/>
    <s v="AI8631"/>
    <n v="11376399"/>
    <s v="FOL - Facility A"/>
    <x v="8"/>
    <s v="RIF10004481"/>
    <d v="2023-07-04T00:00:00"/>
    <d v="2020-11-14T00:00:00"/>
    <d v="2020-11-16T00:00:00"/>
    <d v="2020-11-17T00:00:00"/>
    <s v="Approved"/>
    <x v="196"/>
    <m/>
    <m/>
    <m/>
    <m/>
    <s v=""/>
    <s v=""/>
    <m/>
    <m/>
  </r>
  <r>
    <x v="7"/>
    <s v="Sandoval"/>
    <s v="G11100"/>
    <n v="11216528"/>
    <s v="VSP - Facillity D "/>
    <x v="2"/>
    <s v="06ZF0122"/>
    <d v="2036-02-12T00:00:00"/>
    <d v="2020-02-19T00:00:00"/>
    <d v="2020-03-05T00:00:00"/>
    <d v="2020-03-09T00:00:00"/>
    <s v="Approved"/>
    <x v="137"/>
    <d v="2021-05-04T00:00:00"/>
    <d v="2020-09-16T00:00:00"/>
    <s v="No action - no reason specified"/>
    <m/>
    <s v=""/>
    <s v=""/>
    <m/>
    <d v="2021-05-04T00:00:00"/>
  </r>
  <r>
    <x v="1"/>
    <s v="Harris"/>
    <s v="AI6968"/>
    <n v="11075919"/>
    <s v="PBSP-Facility D"/>
    <x v="17"/>
    <s v="10F05349"/>
    <d v="2030-03-10T00:00:00"/>
    <d v="2018-10-18T00:00:00"/>
    <d v="2018-10-26T00:00:00"/>
    <d v="2018-10-26T00:00:00"/>
    <s v="Approved"/>
    <x v="77"/>
    <d v="2021-03-01T00:00:00"/>
    <d v="2020-12-16T00:00:00"/>
    <s v="Reduced"/>
    <n v="1948"/>
    <n v="5.3369863013698629"/>
    <n v="44078.169863013703"/>
    <s v="Reduced by 5 years"/>
    <d v="2021-03-01T00:00:00"/>
  </r>
  <r>
    <x v="7"/>
    <s v="David"/>
    <s v="G14689"/>
    <n v="11619131"/>
    <s v="VSP - Facillity D "/>
    <x v="0"/>
    <s v="BA315610"/>
    <d v="2029-07-24T00:00:00"/>
    <d v="2020-02-24T00:00:00"/>
    <d v="2020-03-05T00:00:00"/>
    <d v="2020-03-09T00:00:00"/>
    <s v="Approved"/>
    <x v="137"/>
    <d v="2020-11-30T00:00:00"/>
    <d v="2020-11-13T00:00:00"/>
    <s v="No action - due to plea"/>
    <m/>
    <s v=""/>
    <s v=""/>
    <m/>
    <d v="2020-11-30T00:00:00"/>
  </r>
  <r>
    <x v="12"/>
    <s v="Church"/>
    <s v="F19677"/>
    <n v="11101561"/>
    <s v="ASP-Facilty C"/>
    <x v="31"/>
    <s v="05F3849"/>
    <d v="2030-05-26T00:00:00"/>
    <d v="2020-03-02T00:00:00"/>
    <d v="2020-03-02T00:00:00"/>
    <m/>
    <m/>
    <x v="27"/>
    <m/>
    <m/>
    <m/>
    <m/>
    <s v=""/>
    <s v=""/>
    <m/>
    <m/>
  </r>
  <r>
    <x v="12"/>
    <s v="Thomas"/>
    <s v="P89098"/>
    <n v="11157010"/>
    <s v="CMC-Facility C"/>
    <x v="0"/>
    <s v="BA109845"/>
    <d v="2040-04-28T00:00:00"/>
    <d v="2020-03-02T00:00:00"/>
    <d v="2020-03-02T00:00:00"/>
    <m/>
    <m/>
    <x v="27"/>
    <m/>
    <m/>
    <m/>
    <m/>
    <s v=""/>
    <s v=""/>
    <m/>
    <m/>
  </r>
  <r>
    <x v="12"/>
    <s v="Pinkham"/>
    <s v="AU2591"/>
    <n v="11666879"/>
    <s v="PBSP-Facility B"/>
    <x v="0"/>
    <s v="NA094761"/>
    <d v="2054-09-26T00:00:00"/>
    <d v="2020-03-02T00:00:00"/>
    <d v="2020-03-02T00:00:00"/>
    <m/>
    <m/>
    <x v="27"/>
    <m/>
    <m/>
    <m/>
    <m/>
    <s v=""/>
    <s v=""/>
    <m/>
    <m/>
  </r>
  <r>
    <x v="12"/>
    <s v="Reyna "/>
    <s v="AG3393"/>
    <n v="11067989"/>
    <s v="SATF-Facility C"/>
    <x v="17"/>
    <s v="10F0087"/>
    <d v="2024-08-21T00:00:00"/>
    <d v="2020-03-02T00:00:00"/>
    <d v="2020-03-02T00:00:00"/>
    <m/>
    <m/>
    <x v="27"/>
    <m/>
    <m/>
    <m/>
    <m/>
    <s v=""/>
    <s v=""/>
    <m/>
    <m/>
  </r>
  <r>
    <x v="12"/>
    <s v="Terrill"/>
    <s v="BA3192"/>
    <n v="11968938"/>
    <s v="CCI-Facility C"/>
    <x v="9"/>
    <s v="FSB1401267"/>
    <d v="2029-04-24T00:00:00"/>
    <d v="2020-03-02T00:00:00"/>
    <d v="2020-03-02T00:00:00"/>
    <m/>
    <m/>
    <x v="27"/>
    <m/>
    <m/>
    <m/>
    <m/>
    <s v=""/>
    <s v=""/>
    <m/>
    <m/>
  </r>
  <r>
    <x v="12"/>
    <s v="Makanski"/>
    <s v="BC3174"/>
    <n v="11580244"/>
    <s v="HDSP-Facility A"/>
    <x v="18"/>
    <n v="41750447"/>
    <d v="2036-08-28T00:00:00"/>
    <d v="2020-03-02T00:00:00"/>
    <d v="2020-03-02T00:00:00"/>
    <m/>
    <m/>
    <x v="27"/>
    <m/>
    <m/>
    <m/>
    <m/>
    <s v=""/>
    <s v=""/>
    <m/>
    <m/>
  </r>
  <r>
    <x v="12"/>
    <s v="Brown"/>
    <s v="AG9674"/>
    <n v="11070293"/>
    <s v="CTF-Facility C"/>
    <x v="8"/>
    <s v="RIF132673"/>
    <d v="2029-11-08T00:00:00"/>
    <d v="2020-03-02T00:00:00"/>
    <d v="2020-03-02T00:00:00"/>
    <m/>
    <m/>
    <x v="27"/>
    <m/>
    <m/>
    <m/>
    <m/>
    <s v=""/>
    <s v=""/>
    <m/>
    <m/>
  </r>
  <r>
    <x v="12"/>
    <s v="Kemp"/>
    <s v="H31588"/>
    <n v="11669170"/>
    <s v="CTF-Facility C"/>
    <x v="8"/>
    <s v="CR41680"/>
    <d v="2028-11-15T00:00:00"/>
    <d v="2020-03-02T00:00:00"/>
    <d v="2020-03-02T00:00:00"/>
    <m/>
    <m/>
    <x v="27"/>
    <m/>
    <m/>
    <m/>
    <m/>
    <s v=""/>
    <s v=""/>
    <m/>
    <m/>
  </r>
  <r>
    <x v="12"/>
    <s v="Day"/>
    <s v="AP8285"/>
    <n v="11272460"/>
    <s v="HDSP-Facilty C"/>
    <x v="8"/>
    <s v="SWF1301751"/>
    <d v="2026-11-27T00:00:00"/>
    <d v="2020-03-02T00:00:00"/>
    <d v="2020-03-02T00:00:00"/>
    <m/>
    <m/>
    <x v="27"/>
    <m/>
    <m/>
    <m/>
    <m/>
    <s v=""/>
    <s v=""/>
    <m/>
    <m/>
  </r>
  <r>
    <x v="1"/>
    <s v="Heinze"/>
    <s v="AX4124"/>
    <n v="12136981"/>
    <s v="CAC - Facility C"/>
    <x v="1"/>
    <s v="VCR216165"/>
    <d v="2022-03-06T00:00:00"/>
    <d v="2020-08-10T00:00:00"/>
    <d v="2020-09-16T00:00:00"/>
    <d v="2020-09-17T00:00:00"/>
    <s v="Approved"/>
    <x v="139"/>
    <d v="2021-08-25T00:00:00"/>
    <d v="2021-08-13T00:00:00"/>
    <s v="Released"/>
    <n v="188"/>
    <n v="0.51506849315068493"/>
    <n v="4253.9506849315067"/>
    <s v="Scheduled realease 8/30/21"/>
    <d v="2021-08-25T00:00:00"/>
  </r>
  <r>
    <x v="12"/>
    <s v="Willimas"/>
    <s v="H25798"/>
    <n v="11666114"/>
    <s v="CAC-Facility C"/>
    <x v="17"/>
    <n v="92087"/>
    <d v="2029-08-21T00:00:00"/>
    <d v="2020-03-02T00:00:00"/>
    <d v="2020-03-02T00:00:00"/>
    <m/>
    <m/>
    <x v="27"/>
    <m/>
    <m/>
    <m/>
    <m/>
    <s v=""/>
    <s v=""/>
    <m/>
    <m/>
  </r>
  <r>
    <x v="12"/>
    <s v="Melgoza"/>
    <s v="AS4082"/>
    <n v="11617911"/>
    <s v="PBSP-Facility B"/>
    <x v="13"/>
    <s v="BF139276"/>
    <d v="2054-12-19T00:00:00"/>
    <d v="2020-03-02T00:00:00"/>
    <d v="2020-03-02T00:00:00"/>
    <m/>
    <m/>
    <x v="27"/>
    <m/>
    <m/>
    <m/>
    <m/>
    <s v=""/>
    <s v=""/>
    <m/>
    <m/>
  </r>
  <r>
    <x v="12"/>
    <s v="Stanford"/>
    <s v="G14090"/>
    <n v="11190200"/>
    <s v="SATF-Facility E"/>
    <x v="17"/>
    <s v="06F08729"/>
    <d v="2029-12-20T00:00:00"/>
    <d v="2020-03-02T00:00:00"/>
    <d v="2020-03-02T00:00:00"/>
    <m/>
    <m/>
    <x v="27"/>
    <m/>
    <m/>
    <m/>
    <m/>
    <s v=""/>
    <s v=""/>
    <m/>
    <m/>
  </r>
  <r>
    <x v="12"/>
    <s v="Delatorre"/>
    <s v="AX1074"/>
    <n v="12135144"/>
    <s v="PUMCCF-Taft"/>
    <x v="8"/>
    <s v="SWF1303487"/>
    <d v="2023-02-01T00:00:00"/>
    <d v="2020-03-02T00:00:00"/>
    <d v="2020-03-02T00:00:00"/>
    <m/>
    <m/>
    <x v="27"/>
    <m/>
    <m/>
    <m/>
    <m/>
    <s v=""/>
    <s v=""/>
    <m/>
    <m/>
  </r>
  <r>
    <x v="12"/>
    <s v="Mason"/>
    <s v="AE0771"/>
    <n v="11059710"/>
    <s v="SCC-Facility C"/>
    <x v="17"/>
    <s v="07F00933"/>
    <d v="2032-01-17T00:00:00"/>
    <d v="2020-03-02T00:00:00"/>
    <d v="2020-03-02T00:00:00"/>
    <m/>
    <m/>
    <x v="27"/>
    <m/>
    <m/>
    <m/>
    <m/>
    <s v=""/>
    <s v=""/>
    <m/>
    <m/>
  </r>
  <r>
    <x v="12"/>
    <s v="White"/>
    <s v="BC8269"/>
    <n v="12169623"/>
    <s v="ASP-Facility C"/>
    <x v="24"/>
    <n v="1469297"/>
    <d v="2023-03-17T00:00:00"/>
    <d v="2020-03-02T00:00:00"/>
    <d v="2020-03-02T00:00:00"/>
    <m/>
    <m/>
    <x v="27"/>
    <m/>
    <m/>
    <m/>
    <m/>
    <s v=""/>
    <s v=""/>
    <m/>
    <m/>
  </r>
  <r>
    <x v="6"/>
    <s v="Bello"/>
    <s v="T50863"/>
    <n v="11929960"/>
    <s v="PVSP-Facility C"/>
    <x v="3"/>
    <s v="F18906468"/>
    <d v="2033-10-05T00:00:00"/>
    <d v="2020-03-04T00:00:00"/>
    <d v="2020-03-04T00:00:00"/>
    <d v="2020-03-04T00:00:00"/>
    <s v="Approved"/>
    <x v="116"/>
    <m/>
    <m/>
    <m/>
    <m/>
    <s v=""/>
    <s v=""/>
    <m/>
    <m/>
  </r>
  <r>
    <x v="7"/>
    <s v="Williams"/>
    <s v="W91512"/>
    <n v="11002628"/>
    <s v="CCWF - Facility C"/>
    <x v="6"/>
    <n v="981508"/>
    <d v="2065-08-10T00:00:00"/>
    <d v="2020-02-19T00:00:00"/>
    <d v="2020-03-17T00:00:00"/>
    <d v="2020-03-18T00:00:00"/>
    <s v="Approved"/>
    <x v="27"/>
    <m/>
    <m/>
    <s v="No action - reason provided"/>
    <m/>
    <s v=""/>
    <s v=""/>
    <s v=" released per Government Code 8658(COVID)"/>
    <d v="2021-03-19T00:00:00"/>
  </r>
  <r>
    <x v="7"/>
    <s v="Rivera"/>
    <s v="T93188"/>
    <n v="11954029"/>
    <s v="ISP - Facility B"/>
    <x v="0"/>
    <s v="BA216430"/>
    <d v="2030-06-21T00:00:00"/>
    <d v="2020-02-27T00:00:00"/>
    <d v="2020-03-16T00:00:00"/>
    <d v="2020-03-18T00:00:00"/>
    <s v="Approved"/>
    <x v="133"/>
    <d v="2021-06-27T00:00:00"/>
    <d v="2021-06-21T00:00:00"/>
    <s v="Released"/>
    <n v="1286"/>
    <n v="3.5232876712328767"/>
    <n v="29098.832876712331"/>
    <s v="Released on 6/30/2021"/>
    <d v="2021-06-28T00:00:00"/>
  </r>
  <r>
    <x v="1"/>
    <s v="Henderson"/>
    <s v="AM4215"/>
    <n v="11696582"/>
    <s v="CAC  FAC C"/>
    <x v="20"/>
    <s v="H52438"/>
    <d v="2026-12-31T00:00:00"/>
    <d v="2019-08-13T00:00:00"/>
    <d v="2019-08-29T00:00:00"/>
    <d v="2019-08-29T00:00:00"/>
    <s v="Approved"/>
    <x v="100"/>
    <d v="2019-12-02T00:00:00"/>
    <d v="2019-11-20T00:00:00"/>
    <s v="No action - due to plea"/>
    <m/>
    <s v=""/>
    <s v=""/>
    <s v="2nd letter to be sent to Santa Clara Co B1152978"/>
    <d v="2019-12-02T00:00:00"/>
  </r>
  <r>
    <x v="7"/>
    <s v="Banuelos"/>
    <s v="P10937"/>
    <n v="1851354"/>
    <s v="VSP - Facility C"/>
    <x v="17"/>
    <s v="97F05444"/>
    <d v="2039-10-14T00:00:00"/>
    <d v="2020-02-27T00:00:00"/>
    <d v="2020-03-11T00:00:00"/>
    <d v="2020-08-13T00:00:00"/>
    <s v="Approved"/>
    <x v="197"/>
    <m/>
    <d v="2021-05-21T00:00:00"/>
    <s v="Pending Court (Date in Notes)"/>
    <m/>
    <s v=""/>
    <s v=""/>
    <s v="Two other case numbers 94F06369 &amp; 93F02611/court to be held via zoom"/>
    <m/>
  </r>
  <r>
    <x v="7"/>
    <s v="DeJesus"/>
    <s v="F73062"/>
    <n v="11593185"/>
    <s v="HDSP - Facility A"/>
    <x v="11"/>
    <s v="VCF158409"/>
    <d v="2036-01-16T00:00:00"/>
    <d v="2020-02-19T00:00:00"/>
    <d v="2020-08-13T00:00:00"/>
    <d v="2020-08-13T00:00:00"/>
    <s v="Declined"/>
    <x v="27"/>
    <m/>
    <m/>
    <m/>
    <m/>
    <s v=""/>
    <s v=""/>
    <m/>
    <m/>
  </r>
  <r>
    <x v="1"/>
    <s v="Milne"/>
    <s v="AK0928"/>
    <n v="11042070"/>
    <s v="SOL - Facility B"/>
    <x v="0"/>
    <s v="NA086828"/>
    <d v="2024-06-05T00:00:00"/>
    <d v="2020-03-05T00:00:00"/>
    <d v="2020-08-13T00:00:00"/>
    <d v="2020-08-13T00:00:00"/>
    <s v="Declined"/>
    <x v="27"/>
    <m/>
    <m/>
    <m/>
    <m/>
    <s v=""/>
    <s v=""/>
    <m/>
    <m/>
  </r>
  <r>
    <x v="1"/>
    <s v="Henning"/>
    <s v="G36017"/>
    <n v="11632518"/>
    <s v="CHCF FAC E "/>
    <x v="36"/>
    <n v="62071378"/>
    <d v="2021-10-17T00:00:00"/>
    <d v="2019-08-29T00:00:00"/>
    <d v="2019-09-12T00:00:00"/>
    <d v="2019-09-16T00:00:00"/>
    <s v="Approved"/>
    <x v="170"/>
    <m/>
    <m/>
    <m/>
    <m/>
    <s v=""/>
    <s v=""/>
    <m/>
    <m/>
  </r>
  <r>
    <x v="7"/>
    <s v="Davis"/>
    <s v="T69368"/>
    <n v="11234470"/>
    <s v="CIM - Facility D"/>
    <x v="0"/>
    <s v="GA047737"/>
    <d v="2023-11-18T00:00:00"/>
    <d v="2020-03-03T00:00:00"/>
    <d v="2020-08-12T00:00:00"/>
    <d v="2021-08-13T00:00:00"/>
    <s v="Declined"/>
    <x v="27"/>
    <m/>
    <m/>
    <m/>
    <m/>
    <s v=""/>
    <s v=""/>
    <m/>
    <m/>
  </r>
  <r>
    <x v="7"/>
    <s v="Frisch"/>
    <s v="AW2999"/>
    <n v="12130334"/>
    <s v="CTF - Facility C"/>
    <x v="0"/>
    <s v="LA074018"/>
    <d v="2022-10-14T00:00:00"/>
    <d v="2020-03-05T00:00:00"/>
    <d v="2020-08-13T00:00:00"/>
    <d v="2020-08-13T00:00:00"/>
    <s v="Declined"/>
    <x v="27"/>
    <m/>
    <m/>
    <m/>
    <m/>
    <s v=""/>
    <s v=""/>
    <m/>
    <m/>
  </r>
  <r>
    <x v="1"/>
    <s v="Henson"/>
    <s v="AK4962"/>
    <n v="11276281"/>
    <s v="VSP - Facility B"/>
    <x v="3"/>
    <s v="F10905879"/>
    <d v="2026-06-29T00:00:00"/>
    <d v="2020-02-06T00:00:00"/>
    <d v="2020-08-13T00:00:00"/>
    <d v="2020-08-13T00:00:00"/>
    <s v="Approved"/>
    <x v="168"/>
    <m/>
    <m/>
    <m/>
    <m/>
    <s v=""/>
    <s v=""/>
    <m/>
    <m/>
  </r>
  <r>
    <x v="11"/>
    <s v="Hackett"/>
    <s v="AC8601"/>
    <n v="11055434"/>
    <s v="SOL - Facility C"/>
    <x v="17"/>
    <s v="08F04155"/>
    <d v="2198-12-25T00:00:00"/>
    <d v="2019-12-26T00:00:00"/>
    <d v="2019-12-26T00:00:00"/>
    <d v="2020-03-09T00:00:00"/>
    <s v="Declined"/>
    <x v="27"/>
    <m/>
    <m/>
    <m/>
    <m/>
    <s v=""/>
    <s v=""/>
    <m/>
    <m/>
  </r>
  <r>
    <x v="7"/>
    <s v="Hamilton"/>
    <s v="F63386"/>
    <n v="11587190"/>
    <s v="FOL - Facility A"/>
    <x v="20"/>
    <n v="154129"/>
    <d v="2022-09-01T00:00:00"/>
    <d v="2020-02-27T00:00:00"/>
    <d v="2020-03-19T00:00:00"/>
    <d v="2020-07-13T00:00:00"/>
    <s v="Approved"/>
    <x v="133"/>
    <d v="2021-05-04T00:00:00"/>
    <d v="2020-09-23T00:00:00"/>
    <s v="Released"/>
    <n v="701"/>
    <n v="1.9205479452054794"/>
    <n v="15861.805479452056"/>
    <s v="Released on 9/30/2020"/>
    <d v="2021-05-04T00:00:00"/>
  </r>
  <r>
    <x v="7"/>
    <s v="McGinty"/>
    <s v="WE4164"/>
    <n v="11281238"/>
    <s v="SACCO - CTTRP SACRAMENTO"/>
    <x v="32"/>
    <s v="SCUKCRCR116558"/>
    <d v="2021-10-08T00:00:00"/>
    <d v="2020-02-24T00:00:00"/>
    <d v="2020-03-19T00:00:00"/>
    <m/>
    <m/>
    <x v="27"/>
    <m/>
    <m/>
    <m/>
    <m/>
    <s v=""/>
    <s v=""/>
    <s v="Within 10 months of parole after delay. "/>
    <d v="2020-03-09T00:00:00"/>
  </r>
  <r>
    <x v="1"/>
    <s v="Hernandez"/>
    <s v="AN3779"/>
    <n v="11308931"/>
    <s v="ISP - Facility C"/>
    <x v="2"/>
    <s v="08NF1682"/>
    <d v="2032-02-14T00:00:00"/>
    <d v="2020-02-10T00:00:00"/>
    <d v="2020-03-05T00:00:00"/>
    <d v="2020-03-09T00:00:00"/>
    <s v="Approved"/>
    <x v="137"/>
    <d v="2020-10-20T00:00:00"/>
    <d v="2020-08-28T00:00:00"/>
    <s v="No action - no reason specified"/>
    <m/>
    <s v=""/>
    <s v=""/>
    <m/>
    <d v="2020-10-20T00:00:00"/>
  </r>
  <r>
    <x v="7"/>
    <s v="Balbuena"/>
    <s v="X33749"/>
    <n v="11036198"/>
    <s v="CCWF -Facility D"/>
    <x v="17"/>
    <s v="05F11542"/>
    <d v="2032-09-12T00:00:00"/>
    <d v="2020-02-27T00:00:00"/>
    <d v="2020-08-21T00:00:00"/>
    <d v="2020-08-27T00:00:00"/>
    <s v="Approved"/>
    <x v="71"/>
    <m/>
    <m/>
    <m/>
    <m/>
    <s v=""/>
    <s v=""/>
    <m/>
    <m/>
  </r>
  <r>
    <x v="7"/>
    <s v="Prasad"/>
    <s v="F65779"/>
    <n v="11588683"/>
    <s v="FOL - Facility A"/>
    <x v="37"/>
    <s v="SC059800"/>
    <d v="2027-07-17T00:00:00"/>
    <d v="2020-03-09T00:00:00"/>
    <d v="2020-10-02T00:00:00"/>
    <d v="2020-10-02T00:00:00"/>
    <s v="Declined"/>
    <x v="27"/>
    <m/>
    <m/>
    <m/>
    <m/>
    <s v=""/>
    <s v=""/>
    <m/>
    <m/>
  </r>
  <r>
    <x v="7"/>
    <s v="Torres"/>
    <s v="F21260"/>
    <n v="11561624"/>
    <s v="CAC - Facility C"/>
    <x v="0"/>
    <s v="NA062431"/>
    <d v="2024-11-18T00:00:00"/>
    <d v="2020-03-10T00:00:00"/>
    <d v="2020-08-21T00:00:00"/>
    <d v="2020-08-27T00:00:00"/>
    <s v="Approved"/>
    <x v="71"/>
    <d v="2020-11-13T00:00:00"/>
    <d v="2020-10-13T00:00:00"/>
    <s v="No action - no reason specified"/>
    <m/>
    <s v=""/>
    <s v=""/>
    <m/>
    <d v="2020-11-13T00:00:00"/>
  </r>
  <r>
    <x v="7"/>
    <s v="Bowker"/>
    <s v="AB8018"/>
    <n v="11332828"/>
    <s v="CRC-Facility D"/>
    <x v="2"/>
    <s v="07SF0610"/>
    <d v="2022-11-23T00:00:00"/>
    <d v="2020-03-17T00:00:00"/>
    <m/>
    <m/>
    <m/>
    <x v="27"/>
    <m/>
    <m/>
    <m/>
    <m/>
    <s v=""/>
    <s v=""/>
    <s v="Case pulled due to change in EPRD"/>
    <d v="2020-08-27T00:00:00"/>
  </r>
  <r>
    <x v="7"/>
    <s v="Barreto"/>
    <s v="T42556"/>
    <n v="11925254"/>
    <s v="VSP - Facility D"/>
    <x v="9"/>
    <s v="FSB024827"/>
    <d v="2138-08-23T00:00:00"/>
    <d v="2020-03-17T00:00:00"/>
    <d v="2020-09-03T00:00:00"/>
    <d v="2020-09-04T00:00:00"/>
    <s v="Approved"/>
    <x v="198"/>
    <m/>
    <m/>
    <m/>
    <m/>
    <s v=""/>
    <s v=""/>
    <m/>
    <m/>
  </r>
  <r>
    <x v="6"/>
    <s v="Boon"/>
    <s v="T50834"/>
    <n v="11929943"/>
    <s v="LAC-Facility B"/>
    <x v="14"/>
    <s v="MA058234"/>
    <d v="2026-01-27T00:00:00"/>
    <d v="2020-04-09T00:00:00"/>
    <d v="2020-04-09T00:00:00"/>
    <m/>
    <m/>
    <x v="27"/>
    <m/>
    <m/>
    <m/>
    <m/>
    <s v=""/>
    <s v=""/>
    <m/>
    <m/>
  </r>
  <r>
    <x v="6"/>
    <s v="Rodriguez"/>
    <s v="H65925"/>
    <n v="11686853"/>
    <s v="SATF-Facility D"/>
    <x v="19"/>
    <s v="19CM2530D"/>
    <d v="2067-01-14T00:00:00"/>
    <d v="2020-04-30T00:00:00"/>
    <d v="2020-04-30T00:00:00"/>
    <m/>
    <m/>
    <x v="27"/>
    <m/>
    <m/>
    <m/>
    <m/>
    <s v=""/>
    <s v=""/>
    <m/>
    <m/>
  </r>
  <r>
    <x v="6"/>
    <s v="King"/>
    <s v="BB9167"/>
    <n v="11298422"/>
    <s v="KVSP-Facility D"/>
    <x v="13"/>
    <s v="DF014377"/>
    <d v="2034-08-08T00:00:00"/>
    <d v="2020-05-05T00:00:00"/>
    <d v="2020-05-05T00:00:00"/>
    <m/>
    <m/>
    <x v="27"/>
    <m/>
    <m/>
    <m/>
    <m/>
    <s v=""/>
    <s v=""/>
    <m/>
    <m/>
  </r>
  <r>
    <x v="7"/>
    <s v="Waldron"/>
    <s v="K29646"/>
    <n v="11162204"/>
    <s v="CVSP - Facility D"/>
    <x v="8"/>
    <s v="ICR23255"/>
    <d v="2025-02-26T00:00:00"/>
    <d v="2020-06-10T00:00:00"/>
    <d v="2020-08-13T00:00:00"/>
    <d v="2020-08-19T00:00:00"/>
    <s v="Approved"/>
    <x v="168"/>
    <d v="2020-11-05T00:00:00"/>
    <d v="2020-10-15T00:00:00"/>
    <s v="Released"/>
    <n v="1584"/>
    <n v="4.3397260273972602"/>
    <n v="35841.797260273976"/>
    <s v="Released 10/27/2020"/>
    <d v="2020-11-05T00:00:00"/>
  </r>
  <r>
    <x v="7"/>
    <s v="Kamack"/>
    <s v="AA1281"/>
    <n v="11322195"/>
    <s v="CTF - Facility C"/>
    <x v="0"/>
    <s v="YA069698"/>
    <d v="2074-09-27T00:00:00"/>
    <d v="2020-06-10T00:00:00"/>
    <d v="2020-08-13T00:00:00"/>
    <d v="2020-08-19T00:00:00"/>
    <s v="Declined"/>
    <x v="27"/>
    <m/>
    <m/>
    <m/>
    <m/>
    <s v=""/>
    <s v=""/>
    <m/>
    <m/>
  </r>
  <r>
    <x v="7"/>
    <s v="Santos"/>
    <s v="G00143"/>
    <n v="11610125"/>
    <s v="ISP - Facility D "/>
    <x v="0"/>
    <s v="TA087572"/>
    <d v="2037-05-24T00:00:00"/>
    <d v="2020-06-11T00:00:00"/>
    <d v="2020-08-13T00:00:00"/>
    <d v="2020-08-19T00:00:00"/>
    <s v="Approved"/>
    <x v="168"/>
    <d v="2020-12-07T00:00:00"/>
    <d v="2020-09-25T00:00:00"/>
    <s v="No action - reason provided"/>
    <m/>
    <s v=""/>
    <s v=""/>
    <m/>
    <d v="2020-12-07T00:00:00"/>
  </r>
  <r>
    <x v="13"/>
    <s v="Rivasavelar"/>
    <s v="BL8000"/>
    <n v="12225111"/>
    <s v="WSP-Facility D"/>
    <x v="0"/>
    <s v="BA483402"/>
    <d v="2020-12-17T00:00:00"/>
    <d v="2020-06-24T00:00:00"/>
    <d v="2020-06-24T00:00:00"/>
    <m/>
    <m/>
    <x v="27"/>
    <m/>
    <m/>
    <m/>
    <m/>
    <s v=""/>
    <s v=""/>
    <s v="Released 7/30/2020 due to covid"/>
    <d v="2020-11-05T00:00:00"/>
  </r>
  <r>
    <x v="13"/>
    <s v="Bisset"/>
    <s v="BK9342"/>
    <n v="12104710"/>
    <s v="HDSP-MSF"/>
    <x v="30"/>
    <s v="CRF52514"/>
    <d v="2020-11-27T00:00:00"/>
    <d v="2020-06-24T00:00:00"/>
    <d v="2020-06-24T00:00:00"/>
    <m/>
    <m/>
    <x v="27"/>
    <m/>
    <m/>
    <m/>
    <m/>
    <s v=""/>
    <s v=""/>
    <s v="Released 7/18/2020 due to covid"/>
    <d v="2020-11-05T00:00:00"/>
  </r>
  <r>
    <x v="13"/>
    <s v="Haswell"/>
    <s v="BL7947"/>
    <n v="11568068"/>
    <s v="WSP-Facility D"/>
    <x v="0"/>
    <s v="TA150956 TA141698"/>
    <d v="2021-06-10T00:00:00"/>
    <d v="2020-06-24T00:00:00"/>
    <d v="2020-06-24T00:00:00"/>
    <m/>
    <m/>
    <x v="27"/>
    <m/>
    <m/>
    <m/>
    <m/>
    <s v=""/>
    <s v=""/>
    <s v="Released 9/22/2020 due to covid"/>
    <d v="2020-11-05T00:00:00"/>
  </r>
  <r>
    <x v="13"/>
    <s v="Wright"/>
    <s v="BK3946"/>
    <n v="12216423"/>
    <s v="CTF-Facility D"/>
    <x v="0"/>
    <s v="NA112460"/>
    <d v="2021-03-02T00:00:00"/>
    <d v="2020-06-24T00:00:00"/>
    <d v="2020-06-24T00:00:00"/>
    <m/>
    <m/>
    <x v="27"/>
    <m/>
    <m/>
    <m/>
    <m/>
    <s v=""/>
    <s v=""/>
    <s v="Released 8/5/2020 due to covid"/>
    <d v="2020-11-05T00:00:00"/>
  </r>
  <r>
    <x v="7"/>
    <s v="Shelton"/>
    <s v="T22359"/>
    <n v="11913933"/>
    <s v="CTF - Facility C"/>
    <x v="9"/>
    <s v="FV107468"/>
    <d v="2041-06-18T00:00:00"/>
    <d v="2020-06-18T00:00:00"/>
    <d v="2020-08-13T00:00:00"/>
    <d v="2020-08-27T00:00:00"/>
    <s v="Declined"/>
    <x v="27"/>
    <m/>
    <m/>
    <m/>
    <m/>
    <s v=""/>
    <s v=""/>
    <m/>
    <m/>
  </r>
  <r>
    <x v="7"/>
    <s v="Jacobs"/>
    <s v="V68070"/>
    <n v="11997916"/>
    <s v="CTF - Facility C"/>
    <x v="0"/>
    <s v="VA082792"/>
    <d v="2038-06-21T00:00:00"/>
    <d v="2020-05-26T00:00:00"/>
    <d v="2020-08-13T00:00:00"/>
    <d v="2020-08-19T00:00:00"/>
    <s v="Approved"/>
    <x v="168"/>
    <m/>
    <d v="2021-06-10T00:00:00"/>
    <s v="Pending Court (Date in Notes)"/>
    <m/>
    <s v=""/>
    <s v=""/>
    <m/>
    <m/>
  </r>
  <r>
    <x v="7"/>
    <s v="Bryley"/>
    <s v="G63389"/>
    <n v="11153883"/>
    <s v="SATF - Facility G"/>
    <x v="0"/>
    <s v="LA056903"/>
    <d v="2036-08-20T00:00:00"/>
    <d v="2020-08-03T00:00:00"/>
    <d v="2020-09-08T00:00:00"/>
    <d v="2020-09-08T00:00:00"/>
    <s v="Approved"/>
    <x v="71"/>
    <d v="2021-05-25T00:00:00"/>
    <d v="2021-05-13T00:00:00"/>
    <s v="Released"/>
    <n v="4136"/>
    <n v="11.331506849315069"/>
    <n v="93586.915068493152"/>
    <s v="Release on 5/26/21"/>
    <d v="2021-05-25T00:00:00"/>
  </r>
  <r>
    <x v="1"/>
    <s v="Hernandez"/>
    <s v="AF8014"/>
    <n v="11357726"/>
    <s v="KVSP - Facility A"/>
    <x v="0"/>
    <s v="BA366951"/>
    <d v="2025-02-25T00:00:00"/>
    <d v="2020-07-30T00:00:00"/>
    <d v="2020-09-11T00:00:00"/>
    <d v="2020-09-14T00:00:00"/>
    <s v="Approved"/>
    <x v="71"/>
    <m/>
    <d v="2021-05-10T00:00:00"/>
    <s v="Pending Court (Date in Notes)"/>
    <m/>
    <s v=""/>
    <s v=""/>
    <m/>
    <m/>
  </r>
  <r>
    <x v="1"/>
    <s v="Herrera"/>
    <s v="AP8920"/>
    <s v="00AP8920"/>
    <s v="SCC CAMP"/>
    <x v="0"/>
    <s v="VA125738"/>
    <d v="2021-01-19T00:00:00"/>
    <d v="2019-01-17T00:00:00"/>
    <d v="2019-01-22T00:00:00"/>
    <d v="2019-01-22T00:00:00"/>
    <s v="Approved"/>
    <x v="135"/>
    <d v="2021-03-17T00:00:00"/>
    <d v="2019-10-28T00:00:00"/>
    <s v="No action - no reason specified"/>
    <m/>
    <s v=""/>
    <s v=""/>
    <m/>
    <d v="2021-03-17T00:00:00"/>
  </r>
  <r>
    <x v="1"/>
    <s v="Hill"/>
    <s v="AV1613"/>
    <n v="12123520"/>
    <s v="CCC - Facility A"/>
    <x v="0"/>
    <s v="TA134144"/>
    <d v="2023-08-30T00:00:00"/>
    <d v="2020-02-19T00:00:00"/>
    <d v="2020-03-05T00:00:00"/>
    <d v="2020-03-09T00:00:00"/>
    <s v="Approved"/>
    <x v="137"/>
    <m/>
    <m/>
    <m/>
    <m/>
    <s v=""/>
    <s v=""/>
    <m/>
    <m/>
  </r>
  <r>
    <x v="7"/>
    <s v="Daniels"/>
    <s v="AD1395"/>
    <n v="11056445"/>
    <s v="CCI - Facility E"/>
    <x v="0"/>
    <s v="MA046660"/>
    <d v="2025-09-19T00:00:00"/>
    <d v="2020-06-25T00:00:00"/>
    <d v="2020-08-13T00:00:00"/>
    <d v="2020-08-19T00:00:00"/>
    <s v="Approved"/>
    <x v="168"/>
    <m/>
    <m/>
    <m/>
    <m/>
    <s v=""/>
    <s v=""/>
    <m/>
    <m/>
  </r>
  <r>
    <x v="1"/>
    <s v="Hix"/>
    <s v="AD7704"/>
    <n v="11345184"/>
    <s v="HDSP - Facility B"/>
    <x v="21"/>
    <s v="SF129392"/>
    <d v="2023-12-11T00:00:00"/>
    <d v="2021-03-01T00:00:00"/>
    <d v="2021-03-12T00:00:00"/>
    <d v="2021-03-17T00:00:00"/>
    <s v="Approved"/>
    <x v="174"/>
    <d v="2021-05-20T00:00:00"/>
    <d v="2021-04-29T00:00:00"/>
    <s v="No action - no reason specified"/>
    <m/>
    <s v=""/>
    <s v=""/>
    <m/>
    <d v="2021-05-20T00:00:00"/>
  </r>
  <r>
    <x v="1"/>
    <s v="Hoare"/>
    <s v="P87781"/>
    <n v="11893324"/>
    <s v="CIM - Facility D"/>
    <x v="0"/>
    <s v="BA189148"/>
    <d v="2029-01-11T00:00:00"/>
    <d v="2020-07-23T00:00:00"/>
    <d v="2020-08-21T00:00:00"/>
    <d v="2020-08-28T00:00:00"/>
    <s v="Approved"/>
    <x v="71"/>
    <m/>
    <m/>
    <m/>
    <m/>
    <s v=""/>
    <s v=""/>
    <m/>
    <m/>
  </r>
  <r>
    <x v="1"/>
    <s v="Holifield"/>
    <s v="T18773"/>
    <n v="11911968"/>
    <s v="CTF FAC D "/>
    <x v="0"/>
    <s v="LA054598"/>
    <d v="2040-02-22T00:00:00"/>
    <d v="2019-10-02T00:00:00"/>
    <d v="2019-10-31T00:00:00"/>
    <d v="2019-10-31T00:00:00"/>
    <s v="Approved"/>
    <x v="199"/>
    <d v="2021-05-04T00:00:00"/>
    <d v="2020-08-03T00:00:00"/>
    <s v="No action - no reason specified"/>
    <m/>
    <s v=""/>
    <s v=""/>
    <m/>
    <d v="2021-05-04T00:00:00"/>
  </r>
  <r>
    <x v="1"/>
    <s v="Hubbard"/>
    <s v="AT1060"/>
    <n v="121118866"/>
    <s v="CHCF - Facility E"/>
    <x v="17"/>
    <s v="13F04534"/>
    <d v="2026-02-02T00:00:00"/>
    <d v="2020-10-23T00:00:00"/>
    <d v="2020-11-12T00:00:00"/>
    <d v="2020-11-13T00:00:00"/>
    <s v="Approved"/>
    <x v="131"/>
    <m/>
    <m/>
    <m/>
    <m/>
    <s v=""/>
    <s v=""/>
    <m/>
    <m/>
  </r>
  <r>
    <x v="1"/>
    <s v="Hunter"/>
    <s v="AR9297"/>
    <n v="12105162"/>
    <s v="CRC - Facility C"/>
    <x v="0"/>
    <s v="SA082656-01"/>
    <d v="2021-08-04T00:00:00"/>
    <d v="2019-11-19T00:00:00"/>
    <d v="2019-12-11T00:00:00"/>
    <d v="2019-12-11T00:00:00"/>
    <s v="Approved"/>
    <x v="68"/>
    <d v="2020-03-12T00:00:00"/>
    <d v="2020-02-27T00:00:00"/>
    <s v="No action - due to plea"/>
    <m/>
    <s v=""/>
    <s v=""/>
    <m/>
    <d v="2020-03-17T00:00:00"/>
  </r>
  <r>
    <x v="1"/>
    <s v="Iraheta"/>
    <s v="AW1320"/>
    <n v="11222815"/>
    <s v="ISP -Facility B"/>
    <x v="0"/>
    <s v="BA411233-01"/>
    <d v="2030-02-22T00:00:00"/>
    <d v="2020-10-23T00:00:00"/>
    <d v="2020-11-04T00:00:00"/>
    <d v="2020-11-09T00:00:00"/>
    <s v="Approved"/>
    <x v="104"/>
    <m/>
    <m/>
    <m/>
    <m/>
    <s v=""/>
    <s v=""/>
    <m/>
    <m/>
  </r>
  <r>
    <x v="2"/>
    <s v="Estrada"/>
    <s v="AA0079"/>
    <n v="11321521"/>
    <s v="HDSP-Facility D"/>
    <x v="8"/>
    <s v="RIF147867"/>
    <d v="2027-11-10T00:00:00"/>
    <d v="2018-08-27T00:00:00"/>
    <d v="2018-08-27T00:00:00"/>
    <d v="2018-09-05T00:00:00"/>
    <s v="Approved"/>
    <x v="22"/>
    <m/>
    <d v="2021-06-04T00:00:00"/>
    <s v="Pending Court (Date in Notes)"/>
    <m/>
    <s v=""/>
    <s v=""/>
    <m/>
    <m/>
  </r>
  <r>
    <x v="1"/>
    <s v="Jackson"/>
    <s v="T20981"/>
    <n v="11913213"/>
    <s v="CMC Facility G"/>
    <x v="10"/>
    <s v="SCD155301"/>
    <d v="2026-07-14T00:00:00"/>
    <d v="2019-10-09T00:00:00"/>
    <d v="2019-11-13T00:00:00"/>
    <d v="2019-11-14T00:00:00"/>
    <s v="Approved"/>
    <x v="96"/>
    <d v="2021-03-17T00:00:00"/>
    <d v="2021-02-16T00:00:00"/>
    <s v="No action - no reason specified"/>
    <m/>
    <s v=""/>
    <s v=""/>
    <m/>
    <d v="2021-03-17T00:00:00"/>
  </r>
  <r>
    <x v="1"/>
    <s v="Jackson"/>
    <s v="P90230"/>
    <n v="11159409"/>
    <s v="CAC - Facility C"/>
    <x v="9"/>
    <s v="FSB022272"/>
    <d v="2026-10-19T00:00:00"/>
    <d v="2020-06-24T00:00:00"/>
    <d v="2020-08-21T00:00:00"/>
    <d v="2020-08-27T00:00:00"/>
    <s v="Approved"/>
    <x v="69"/>
    <d v="2020-11-09T00:00:00"/>
    <d v="2020-10-14T00:00:00"/>
    <s v="No action - no reason specified"/>
    <m/>
    <s v=""/>
    <s v=""/>
    <m/>
    <d v="2020-11-10T00:00:00"/>
  </r>
  <r>
    <x v="1"/>
    <s v="Jackson"/>
    <s v="AC7902"/>
    <n v="11055179"/>
    <s v="CMF - Facility A"/>
    <x v="9"/>
    <s v="FSB902282"/>
    <d v="2025-12-13T00:00:00"/>
    <d v="2020-11-14T00:00:00"/>
    <d v="2020-12-15T00:00:00"/>
    <d v="2020-12-08T00:00:00"/>
    <s v="Approved"/>
    <x v="144"/>
    <m/>
    <m/>
    <m/>
    <m/>
    <s v=""/>
    <s v=""/>
    <m/>
    <m/>
  </r>
  <r>
    <x v="1"/>
    <s v="Jaimez "/>
    <s v="AP1423"/>
    <n v="11094951"/>
    <s v="CMF - Facility A"/>
    <x v="0"/>
    <s v="BA405174"/>
    <d v="2022-07-18T00:00:00"/>
    <d v="2020-11-12T00:00:00"/>
    <d v="2020-12-14T00:00:00"/>
    <d v="2020-12-08T00:00:00"/>
    <s v="Approved"/>
    <x v="144"/>
    <d v="2021-05-04T00:00:00"/>
    <d v="2021-04-07T00:00:00"/>
    <s v="Released"/>
    <n v="455"/>
    <n v="1.2465753424657535"/>
    <n v="10295.465753424658"/>
    <s v="Rleased on 4/19/21"/>
    <d v="2021-05-04T00:00:00"/>
  </r>
  <r>
    <x v="1"/>
    <s v="Jimenez "/>
    <s v="AX4275"/>
    <n v="12137045"/>
    <s v="SCC - Facility A"/>
    <x v="0"/>
    <s v="BA391412"/>
    <d v="2023-11-21T00:00:00"/>
    <d v="2020-11-08T00:00:00"/>
    <d v="2020-12-15T00:00:00"/>
    <d v="2020-12-08T00:00:00"/>
    <s v="Approved"/>
    <x v="144"/>
    <d v="2021-05-04T00:00:00"/>
    <d v="2021-02-18T00:00:00"/>
    <s v="No action - no reason specified"/>
    <m/>
    <s v=""/>
    <s v=""/>
    <m/>
    <d v="2021-05-04T00:00:00"/>
  </r>
  <r>
    <x v="1"/>
    <s v="Jimenez "/>
    <s v="K14334"/>
    <n v="11781926"/>
    <s v="SCC - Facility A"/>
    <x v="0"/>
    <s v="PA022133"/>
    <d v="2022-11-23T00:00:00"/>
    <d v="2021-04-28T00:00:00"/>
    <d v="2021-04-22T00:00:00"/>
    <d v="2021-04-26T00:00:00"/>
    <s v="Approved"/>
    <x v="167"/>
    <m/>
    <m/>
    <m/>
    <m/>
    <s v=""/>
    <s v=""/>
    <m/>
    <m/>
  </r>
  <r>
    <x v="1"/>
    <s v="Mott"/>
    <s v="WA4209"/>
    <n v="11010576"/>
    <s v="CCWF - Facility D"/>
    <x v="9"/>
    <s v="FBA800761"/>
    <d v="2024-06-08T00:00:00"/>
    <d v="2020-07-13T00:00:00"/>
    <d v="2020-08-21T00:00:00"/>
    <d v="2020-08-27T00:00:00"/>
    <s v="Declined"/>
    <x v="27"/>
    <m/>
    <m/>
    <m/>
    <m/>
    <s v=""/>
    <s v=""/>
    <m/>
    <m/>
  </r>
  <r>
    <x v="1"/>
    <s v="Johnson"/>
    <s v="AS3702"/>
    <n v="11376392"/>
    <s v="CCI - Facility C"/>
    <x v="0"/>
    <s v="MA061557"/>
    <d v="2026-03-24T00:00:00"/>
    <d v="2020-10-28T00:00:00"/>
    <d v="2020-11-16T00:00:00"/>
    <d v="2020-11-13T00:00:00"/>
    <s v="Approved"/>
    <x v="196"/>
    <m/>
    <m/>
    <m/>
    <m/>
    <s v=""/>
    <s v=""/>
    <m/>
    <m/>
  </r>
  <r>
    <x v="7"/>
    <s v="Barajas"/>
    <s v="K92078"/>
    <n v="11823666"/>
    <s v="CMC - Facility B"/>
    <x v="0"/>
    <s v="BA142177 &amp; BA127930"/>
    <d v="2030-05-18T00:00:00"/>
    <d v="2020-08-06T00:00:00"/>
    <d v="2020-09-04T00:00:00"/>
    <d v="2020-09-04T00:00:00"/>
    <s v="Declined"/>
    <x v="27"/>
    <m/>
    <m/>
    <m/>
    <m/>
    <s v=""/>
    <s v=""/>
    <m/>
    <m/>
  </r>
  <r>
    <x v="7"/>
    <s v="Perkins"/>
    <s v="F22266"/>
    <n v="11161761"/>
    <s v="CIM - Facility D"/>
    <x v="42"/>
    <n v="196199"/>
    <d v="2024-04-12T00:00:00"/>
    <d v="2020-08-06T00:00:00"/>
    <d v="2020-10-02T00:00:00"/>
    <d v="2020-10-02T00:00:00"/>
    <s v="Approved"/>
    <x v="134"/>
    <d v="2020-12-10T00:00:00"/>
    <d v="2020-12-07T00:00:00"/>
    <s v="Released"/>
    <n v="1215"/>
    <n v="3.3287671232876712"/>
    <n v="27492.287671232876"/>
    <s v="Released 12/14/2020"/>
    <d v="2020-12-11T00:00:00"/>
  </r>
  <r>
    <x v="7"/>
    <s v="DeGroff"/>
    <s v="G66668"/>
    <n v="11651744"/>
    <s v="SOL - Facility D"/>
    <x v="17"/>
    <s v="07F000393"/>
    <d v="2039-12-12T00:00:00"/>
    <d v="2020-09-03T00:00:00"/>
    <d v="2020-09-11T00:00:00"/>
    <d v="2020-09-14T00:00:00"/>
    <s v="Declined"/>
    <x v="27"/>
    <m/>
    <m/>
    <m/>
    <m/>
    <s v=""/>
    <s v=""/>
    <m/>
    <m/>
  </r>
  <r>
    <x v="7"/>
    <s v="Disandro"/>
    <s v="F53002"/>
    <n v="11203814"/>
    <s v="CMF - Facility B"/>
    <x v="36"/>
    <n v="62061874"/>
    <d v="2023-01-31T00:00:00"/>
    <d v="2020-08-06T00:00:00"/>
    <d v="2020-09-11T00:00:00"/>
    <d v="2020-09-14T00:00:00"/>
    <s v="Approved"/>
    <x v="71"/>
    <d v="2021-05-04T00:00:00"/>
    <d v="2021-02-10T00:00:00"/>
    <s v="Released"/>
    <n v="716"/>
    <n v="1.9616438356164383"/>
    <n v="16201.216438356165"/>
    <s v="Released on 2/14/21"/>
    <d v="2021-05-04T00:00:00"/>
  </r>
  <r>
    <x v="7"/>
    <s v="Dunham"/>
    <s v="F17925"/>
    <n v="11088232"/>
    <s v="FOL - Facility A"/>
    <x v="0"/>
    <s v="BA274152"/>
    <d v="2026-12-23T00:00:00"/>
    <d v="2020-07-30T00:00:00"/>
    <d v="2020-09-11T00:00:00"/>
    <d v="2020-09-14T00:00:00"/>
    <s v="Approved"/>
    <x v="71"/>
    <d v="2020-10-20T00:00:00"/>
    <d v="2020-10-05T00:00:00"/>
    <s v="No action - no reason specified"/>
    <m/>
    <s v=""/>
    <s v=""/>
    <m/>
    <d v="2020-10-20T00:00:00"/>
  </r>
  <r>
    <x v="1"/>
    <s v="Jones"/>
    <s v="F31441"/>
    <n v="11198957"/>
    <s v="SATF FAC B"/>
    <x v="0"/>
    <s v="VA086514"/>
    <d v="2025-08-09T00:00:00"/>
    <d v="2019-07-08T00:00:00"/>
    <d v="2019-07-10T00:00:00"/>
    <d v="2019-07-11T00:00:00"/>
    <s v="Approved"/>
    <x v="122"/>
    <d v="2020-01-21T00:00:00"/>
    <d v="2020-01-13T00:00:00"/>
    <s v="No action - reason provided"/>
    <m/>
    <s v=""/>
    <s v=""/>
    <m/>
    <d v="2020-01-22T00:00:00"/>
  </r>
  <r>
    <x v="1"/>
    <s v="Jones"/>
    <s v="WE7503"/>
    <n v="11025649"/>
    <s v="CIW - Facility A"/>
    <x v="0"/>
    <s v="BA397754"/>
    <d v="2022-05-07T00:00:00"/>
    <d v="2020-08-06T00:00:00"/>
    <d v="2020-08-21T00:00:00"/>
    <d v="2020-08-27T00:00:00"/>
    <s v="Approved"/>
    <x v="71"/>
    <m/>
    <m/>
    <m/>
    <m/>
    <s v=""/>
    <s v=""/>
    <m/>
    <m/>
  </r>
  <r>
    <x v="7"/>
    <s v="Bustos"/>
    <s v="WA2229"/>
    <n v="11009264"/>
    <s v="CIW - Facility A"/>
    <x v="0"/>
    <s v="BA314861"/>
    <d v="2048-08-18T00:00:00"/>
    <d v="2020-07-30T00:00:00"/>
    <d v="2020-09-10T00:00:00"/>
    <d v="2020-09-14T00:00:00"/>
    <s v="Approved"/>
    <x v="71"/>
    <m/>
    <d v="2021-06-23T00:00:00"/>
    <s v="Pending Court (Date in Notes)"/>
    <m/>
    <s v=""/>
    <s v=""/>
    <m/>
    <m/>
  </r>
  <r>
    <x v="7"/>
    <s v="Alaniz "/>
    <s v="WA0134"/>
    <n v="11007866"/>
    <s v="CCWF - Facility D"/>
    <x v="0"/>
    <s v="LA053831"/>
    <d v="2028-09-02T00:00:00"/>
    <d v="2020-09-18T00:00:00"/>
    <d v="2020-09-30T00:00:00"/>
    <d v="2020-10-01T00:00:00"/>
    <s v="Declined"/>
    <x v="27"/>
    <m/>
    <m/>
    <m/>
    <m/>
    <s v=""/>
    <s v=""/>
    <m/>
    <m/>
  </r>
  <r>
    <x v="7"/>
    <s v="Cuevas"/>
    <s v="T92210"/>
    <n v="11953478"/>
    <s v="CMC - Facility G"/>
    <x v="0"/>
    <s v="LA040073"/>
    <d v="2029-08-15T00:00:00"/>
    <d v="2020-07-30T00:00:00"/>
    <d v="2020-09-30T00:00:00"/>
    <d v="2020-10-01T00:00:00"/>
    <s v="Approved"/>
    <x v="124"/>
    <m/>
    <d v="2021-05-18T00:00:00"/>
    <s v="Pending Court (Date in Notes)"/>
    <m/>
    <s v=""/>
    <s v=""/>
    <m/>
    <m/>
  </r>
  <r>
    <x v="7"/>
    <s v="Garcia"/>
    <s v="V29840"/>
    <n v="11288191"/>
    <s v="CCI - Facility D"/>
    <x v="0"/>
    <s v="TA070303"/>
    <d v="2069-09-19T00:00:00"/>
    <d v="2020-07-30T00:00:00"/>
    <d v="2020-09-30T00:00:00"/>
    <d v="2020-10-01T00:00:00"/>
    <s v="Approved"/>
    <x v="124"/>
    <m/>
    <m/>
    <m/>
    <m/>
    <s v=""/>
    <s v=""/>
    <m/>
    <m/>
  </r>
  <r>
    <x v="7"/>
    <s v="McFoy"/>
    <s v="G34444"/>
    <n v="11221628"/>
    <s v="CRC - Facility C"/>
    <x v="9"/>
    <s v="FWV037360"/>
    <d v="2023-04-06T00:00:00"/>
    <d v="2020-07-28T00:00:00"/>
    <d v="2020-10-02T00:00:00"/>
    <d v="2020-10-02T00:00:00"/>
    <s v="Approved"/>
    <x v="124"/>
    <d v="2021-05-20T00:00:00"/>
    <d v="2021-04-30T00:00:00"/>
    <s v="No action - due to plea"/>
    <m/>
    <s v=""/>
    <s v=""/>
    <m/>
    <d v="2021-05-20T00:00:00"/>
  </r>
  <r>
    <x v="7"/>
    <s v="Ortgies"/>
    <s v="X01083"/>
    <n v="11014705"/>
    <s v="CCWF - Facility C"/>
    <x v="9"/>
    <s v="FVI016219"/>
    <d v="2036-12-02T00:00:00"/>
    <d v="2020-05-14T00:00:00"/>
    <d v="2020-10-02T00:00:00"/>
    <d v="2020-10-02T00:00:00"/>
    <s v="Approved"/>
    <x v="124"/>
    <m/>
    <m/>
    <m/>
    <m/>
    <s v=""/>
    <s v=""/>
    <m/>
    <m/>
  </r>
  <r>
    <x v="7"/>
    <s v="Soto"/>
    <s v="W84180"/>
    <n v="10998250"/>
    <s v="CCWF - Facility C"/>
    <x v="15"/>
    <s v="CR45687"/>
    <d v="2044-02-20T00:00:00"/>
    <d v="2020-02-26T00:00:00"/>
    <d v="2020-10-02T00:00:00"/>
    <d v="2020-10-02T00:00:00"/>
    <s v="Declined"/>
    <x v="27"/>
    <m/>
    <m/>
    <m/>
    <m/>
    <s v=""/>
    <s v=""/>
    <m/>
    <m/>
  </r>
  <r>
    <x v="7"/>
    <s v="Summerlin"/>
    <s v="G44802"/>
    <n v="11223884"/>
    <s v="CAC - Facility B"/>
    <x v="9"/>
    <s v="FSB802501"/>
    <d v="2024-04-08T00:00:00"/>
    <d v="2020-07-15T00:00:00"/>
    <d v="2020-10-02T00:00:00"/>
    <d v="2020-10-02T00:00:00"/>
    <s v="Declined"/>
    <x v="27"/>
    <m/>
    <m/>
    <m/>
    <m/>
    <s v=""/>
    <s v=""/>
    <m/>
    <m/>
  </r>
  <r>
    <x v="1"/>
    <s v="Jones"/>
    <s v="G36796"/>
    <n v="11633059"/>
    <s v="RJD - Facility A"/>
    <x v="0"/>
    <s v="YA071600"/>
    <d v="2026-08-16T00:00:00"/>
    <d v="2020-11-12T00:00:00"/>
    <d v="2020-12-09T00:00:00"/>
    <d v="2020-12-10T00:00:00"/>
    <s v="Approved"/>
    <x v="142"/>
    <m/>
    <m/>
    <m/>
    <m/>
    <s v=""/>
    <s v=""/>
    <m/>
    <m/>
  </r>
  <r>
    <x v="1"/>
    <s v="Jusino"/>
    <s v="AT6382"/>
    <n v="11251781"/>
    <s v="CMF - MSF"/>
    <x v="37"/>
    <s v="SC072835A"/>
    <d v="2024-04-22T00:00:00"/>
    <d v="2020-10-27T00:00:00"/>
    <d v="2020-11-02T00:00:00"/>
    <d v="2020-11-03T00:00:00"/>
    <s v="Approved"/>
    <x v="134"/>
    <m/>
    <m/>
    <m/>
    <m/>
    <s v=""/>
    <s v=""/>
    <m/>
    <m/>
  </r>
  <r>
    <x v="1"/>
    <s v="Kamenskiy"/>
    <s v="G52556"/>
    <n v="11643166"/>
    <s v="VSP FAC B"/>
    <x v="17"/>
    <s v="08F10272"/>
    <d v="2024-11-07T00:00:00"/>
    <d v="2019-06-20T00:00:00"/>
    <d v="2019-06-24T00:00:00"/>
    <d v="2019-07-01T00:00:00"/>
    <s v="Approved"/>
    <x v="54"/>
    <d v="2019-10-09T00:00:00"/>
    <d v="2019-07-25T00:00:00"/>
    <s v="No action - no reason specified"/>
    <m/>
    <s v=""/>
    <s v=""/>
    <m/>
    <d v="2019-10-09T00:00:00"/>
  </r>
  <r>
    <x v="1"/>
    <s v="Karcz"/>
    <s v="AI9974"/>
    <n v="11376887"/>
    <s v="CMC FAC E"/>
    <x v="40"/>
    <n v="1361876"/>
    <d v="2023-03-23T00:00:00"/>
    <d v="2019-04-18T00:00:00"/>
    <d v="2019-04-23T00:00:00"/>
    <d v="2019-04-23T00:00:00"/>
    <s v="Approved"/>
    <x v="153"/>
    <d v="2019-07-15T00:00:00"/>
    <d v="2019-06-27T00:00:00"/>
    <s v="No action - due to plea"/>
    <m/>
    <s v=""/>
    <s v=""/>
    <m/>
    <d v="2019-07-15T00:00:00"/>
  </r>
  <r>
    <x v="1"/>
    <s v="Kaufusi"/>
    <s v="AN5271"/>
    <n v="11309934"/>
    <s v="CTF - Facility C"/>
    <x v="12"/>
    <s v="C1196366"/>
    <d v="2026-08-18T00:00:00"/>
    <d v="2021-03-22T00:00:00"/>
    <d v="2021-03-24T00:00:00"/>
    <d v="2021-03-24T00:00:00"/>
    <s v="Approved"/>
    <x v="174"/>
    <m/>
    <m/>
    <m/>
    <m/>
    <s v=""/>
    <s v=""/>
    <m/>
    <m/>
  </r>
  <r>
    <x v="1"/>
    <s v="Keo"/>
    <s v="AU5910"/>
    <n v="11922666"/>
    <s v="ASP - Facility E"/>
    <x v="21"/>
    <s v="SF125968A"/>
    <d v="2031-10-25T00:00:00"/>
    <d v="2021-03-01T00:00:00"/>
    <d v="2021-03-16T00:00:00"/>
    <d v="2021-03-26T00:00:00"/>
    <s v="Approved"/>
    <x v="115"/>
    <d v="2021-05-20T00:00:00"/>
    <d v="2021-04-29T00:00:00"/>
    <s v="No action - no reason specified"/>
    <m/>
    <s v=""/>
    <s v=""/>
    <m/>
    <d v="2021-05-20T00:00:00"/>
  </r>
  <r>
    <x v="1"/>
    <s v="King"/>
    <s v="AP6586"/>
    <n v="11616894"/>
    <s v="CCC EEL River Camp"/>
    <x v="17"/>
    <s v="13F01906"/>
    <d v="2021-07-06T00:00:00"/>
    <d v="2019-04-09T00:00:00"/>
    <d v="2019-04-17T00:00:00"/>
    <d v="2019-04-17T00:00:00"/>
    <s v="Approved"/>
    <x v="103"/>
    <d v="2019-10-07T00:00:00"/>
    <d v="2019-10-04T00:00:00"/>
    <s v="Released"/>
    <n v="3652.5"/>
    <n v="10.006849315068493"/>
    <n v="82646.568493150684"/>
    <s v="released 10/11/2019"/>
    <d v="2019-10-07T00:00:00"/>
  </r>
  <r>
    <x v="1"/>
    <s v="Kutnerian"/>
    <s v="AV1166"/>
    <n v="11592168"/>
    <s v="CCC - Facility B"/>
    <x v="12"/>
    <s v="C1246819"/>
    <d v="2024-05-06T00:00:00"/>
    <d v="2021-03-22T00:00:00"/>
    <d v="2021-03-24T00:00:00"/>
    <d v="2021-03-24T00:00:00"/>
    <s v="Approved"/>
    <x v="174"/>
    <m/>
    <m/>
    <m/>
    <m/>
    <s v=""/>
    <s v=""/>
    <m/>
    <m/>
  </r>
  <r>
    <x v="1"/>
    <s v="Ladd"/>
    <s v="AW8776"/>
    <n v="12133837"/>
    <s v="CCC - Facility A"/>
    <x v="0"/>
    <s v="VA137375"/>
    <d v="2026-02-11T00:00:00"/>
    <d v="2020-10-08T00:00:00"/>
    <d v="2020-10-14T00:00:00"/>
    <d v="2020-10-16T00:00:00"/>
    <s v="Approved"/>
    <x v="134"/>
    <d v="2021-01-14T00:00:00"/>
    <d v="2020-11-18T00:00:00"/>
    <s v="No action - no reason specified"/>
    <m/>
    <s v=""/>
    <s v=""/>
    <m/>
    <d v="2021-01-14T00:00:00"/>
  </r>
  <r>
    <x v="7"/>
    <s v="Wilson"/>
    <s v="F18575"/>
    <n v="11559946"/>
    <s v="DVI - Facility A"/>
    <x v="12"/>
    <s v="CC580641"/>
    <d v="2049-06-02T00:00:00"/>
    <d v="2020-08-19T00:00:00"/>
    <d v="2020-09-10T00:00:00"/>
    <d v="2020-09-14T00:00:00"/>
    <s v="Approved"/>
    <x v="71"/>
    <m/>
    <m/>
    <m/>
    <m/>
    <s v=""/>
    <s v=""/>
    <m/>
    <m/>
  </r>
  <r>
    <x v="1"/>
    <s v="Landeros"/>
    <s v="AT8859"/>
    <n v="12116473"/>
    <s v="CTF - Facility C"/>
    <x v="8"/>
    <s v="INF1302971"/>
    <d v="2023-07-08T00:00:00"/>
    <d v="2020-01-29T00:00:00"/>
    <d v="2020-03-03T00:00:00"/>
    <d v="2020-03-03T00:00:00"/>
    <s v="Approved"/>
    <x v="137"/>
    <m/>
    <d v="2021-03-29T00:00:00"/>
    <s v="Pending Court (Date in Notes)"/>
    <m/>
    <s v=""/>
    <s v=""/>
    <m/>
    <m/>
  </r>
  <r>
    <x v="1"/>
    <s v="Lane"/>
    <s v="P01771"/>
    <n v="11846296"/>
    <s v="VSP FAC C "/>
    <x v="8"/>
    <s v="ROF131018"/>
    <d v="2028-03-11T00:00:00"/>
    <d v="2019-08-14T00:00:00"/>
    <d v="2019-08-27T00:00:00"/>
    <d v="2019-08-27T00:00:00"/>
    <s v="Approved"/>
    <x v="125"/>
    <m/>
    <m/>
    <m/>
    <m/>
    <s v=""/>
    <s v=""/>
    <m/>
    <m/>
  </r>
  <r>
    <x v="1"/>
    <s v="Leahy"/>
    <s v="AU4236"/>
    <n v="12119412"/>
    <s v="FOL - Facility A"/>
    <x v="17"/>
    <s v="13F05866"/>
    <d v="2027-05-28T00:00:00"/>
    <d v="2020-07-21T00:00:00"/>
    <d v="2020-08-21T00:00:00"/>
    <d v="2020-08-27T00:00:00"/>
    <s v="Approved"/>
    <x v="71"/>
    <d v="2021-07-15T00:00:00"/>
    <d v="2021-03-21T00:00:00"/>
    <s v="Reduced"/>
    <n v="1183"/>
    <n v="3.2410958904109588"/>
    <n v="26768.21095890411"/>
    <s v="Two other case numbers in Placer Co 62-125815 &amp; 62-124135/ NCD pending"/>
    <d v="2021-07-30T00:00:00"/>
  </r>
  <r>
    <x v="1"/>
    <s v="Lemaster"/>
    <s v="G00937"/>
    <n v="11610621"/>
    <s v="SCC Facility C"/>
    <x v="7"/>
    <s v="CM027058"/>
    <d v="2021-10-03T00:00:00"/>
    <d v="2019-04-04T00:00:00"/>
    <d v="2019-04-16T00:00:00"/>
    <d v="2019-04-16T00:00:00"/>
    <s v="Approved"/>
    <x v="130"/>
    <m/>
    <m/>
    <m/>
    <m/>
    <s v=""/>
    <s v=""/>
    <s v="Released 11/02/2020"/>
    <d v="2020-11-05T00:00:00"/>
  </r>
  <r>
    <x v="7"/>
    <s v="Holmes"/>
    <s v="T88939"/>
    <n v="11951630"/>
    <s v="SQ  - Facility A"/>
    <x v="3"/>
    <n v="6711477"/>
    <d v="2044-01-23T00:00:00"/>
    <d v="2020-09-15T00:00:00"/>
    <d v="2020-11-09T00:00:00"/>
    <d v="2020-11-13T00:00:00"/>
    <s v="Declined"/>
    <x v="27"/>
    <m/>
    <m/>
    <m/>
    <m/>
    <s v=""/>
    <s v=""/>
    <m/>
    <m/>
  </r>
  <r>
    <x v="1"/>
    <s v="Little"/>
    <s v="H84076"/>
    <n v="116906070"/>
    <s v="CTF - Facility D"/>
    <x v="12"/>
    <n v="187781"/>
    <d v="2023-05-09T00:00:00"/>
    <d v="2020-01-22T00:00:00"/>
    <d v="2020-02-18T00:00:00"/>
    <d v="2020-02-18T00:00:00"/>
    <s v="Approved"/>
    <x v="188"/>
    <d v="2021-06-15T00:00:00"/>
    <d v="2021-04-22T00:00:00"/>
    <s v="Released"/>
    <n v="692"/>
    <n v="1.8958904109589041"/>
    <n v="15658.15890410959"/>
    <s v="Released 7/1/21"/>
    <d v="2021-07-01T00:00:00"/>
  </r>
  <r>
    <x v="7"/>
    <s v="Corcoran"/>
    <s v="V65912"/>
    <n v="11996627"/>
    <s v="CVSP - Facility B"/>
    <x v="0"/>
    <s v="MA025979"/>
    <d v="2056-09-14T00:00:00"/>
    <d v="2020-09-15T00:00:00"/>
    <d v="2020-11-09T00:00:00"/>
    <d v="2020-11-13T00:00:00"/>
    <s v="Approved"/>
    <x v="160"/>
    <d v="2021-08-05T00:00:00"/>
    <d v="2021-07-27T00:00:00"/>
    <s v="No action - reason provided"/>
    <m/>
    <s v=""/>
    <s v=""/>
    <s v="denied without prejudice"/>
    <d v="2021-08-05T00:00:00"/>
  </r>
  <r>
    <x v="1"/>
    <s v="Lopez"/>
    <s v="AL2355"/>
    <n v="11281589"/>
    <s v="CTF-Facility D"/>
    <x v="44"/>
    <s v="NCR83218"/>
    <d v="2021-12-06T00:00:00"/>
    <d v="2019-01-11T00:00:00"/>
    <d v="2019-01-31T00:00:00"/>
    <d v="2019-01-31T00:00:00"/>
    <s v="Approved"/>
    <x v="135"/>
    <d v="2021-03-19T00:00:00"/>
    <d v="2019-07-01T00:00:00"/>
    <s v="No action - no reason specified"/>
    <m/>
    <s v=""/>
    <s v=""/>
    <m/>
    <d v="2021-03-19T00:00:00"/>
  </r>
  <r>
    <x v="1"/>
    <s v="Lopez"/>
    <s v="AT3718"/>
    <n v="12113488"/>
    <s v="SOL - Facility A"/>
    <x v="17"/>
    <s v="13F04174"/>
    <d v="2031-08-12T00:00:00"/>
    <d v="2020-01-22T00:00:00"/>
    <d v="2020-02-03T00:00:00"/>
    <d v="2020-02-18T00:00:00"/>
    <s v="Approved"/>
    <x v="188"/>
    <d v="2020-08-03T00:00:00"/>
    <d v="2020-07-29T00:00:00"/>
    <s v="No action - reason provided"/>
    <m/>
    <s v=""/>
    <s v=""/>
    <m/>
    <d v="2020-08-03T00:00:00"/>
  </r>
  <r>
    <x v="1"/>
    <s v="Loun"/>
    <s v="AS8557"/>
    <n v="12110212"/>
    <s v="CCI Facility E"/>
    <x v="20"/>
    <n v="171826"/>
    <d v="2023-08-12T00:00:00"/>
    <d v="2019-12-16T00:00:00"/>
    <d v="2019-12-24T00:00:00"/>
    <d v="2019-12-26T00:00:00"/>
    <s v="Approved"/>
    <x v="126"/>
    <d v="2020-02-25T00:00:00"/>
    <d v="2020-01-30T00:00:00"/>
    <s v="No action - no reason specified"/>
    <m/>
    <s v=""/>
    <s v=""/>
    <m/>
    <d v="2020-02-26T00:00:00"/>
  </r>
  <r>
    <x v="1"/>
    <s v="Lovelace"/>
    <s v="G53161"/>
    <n v="11643550"/>
    <s v="SQ - Facility B"/>
    <x v="12"/>
    <s v="CC453391"/>
    <d v="2025-06-05T00:00:00"/>
    <d v="2020-09-17T00:00:00"/>
    <d v="2020-09-30T00:00:00"/>
    <d v="2020-09-30T00:00:00"/>
    <s v="Approved"/>
    <x v="146"/>
    <m/>
    <d v="2020-12-31T00:00:00"/>
    <s v="Pending Court (Date in Notes)"/>
    <m/>
    <s v=""/>
    <s v=""/>
    <s v="Declined untill further hearing. "/>
    <m/>
  </r>
  <r>
    <x v="1"/>
    <s v="Maetta"/>
    <s v="G19236"/>
    <n v="11622024"/>
    <s v="CIM FAC D "/>
    <x v="2"/>
    <s v="07WF2473FA 07NF2428"/>
    <d v="2032-04-14T00:00:00"/>
    <d v="2019-08-08T00:00:00"/>
    <d v="2019-08-27T00:00:00"/>
    <d v="2019-08-27T00:00:00"/>
    <s v="Approved"/>
    <x v="100"/>
    <d v="2021-05-04T00:00:00"/>
    <d v="2020-01-03T00:00:00"/>
    <s v="No reduction - AOJ corrected"/>
    <m/>
    <s v=""/>
    <s v=""/>
    <s v="sentence restructrured"/>
    <d v="2021-05-04T00:00:00"/>
  </r>
  <r>
    <x v="7"/>
    <s v="Bullette"/>
    <s v="X19057"/>
    <n v="11026175"/>
    <s v="CCWF - Facility B"/>
    <x v="8"/>
    <s v="RIF112496"/>
    <d v="2031-09-06T00:00:00"/>
    <d v="2020-09-18T00:00:00"/>
    <d v="2020-11-07T00:00:00"/>
    <d v="2020-11-13T00:00:00"/>
    <s v="Approved"/>
    <x v="131"/>
    <m/>
    <m/>
    <m/>
    <m/>
    <s v=""/>
    <s v=""/>
    <m/>
    <m/>
  </r>
  <r>
    <x v="7"/>
    <s v="Parada"/>
    <s v="V24893"/>
    <n v="11972282"/>
    <s v="CTF - Facility C"/>
    <x v="8"/>
    <s v="INF040712"/>
    <d v="2025-07-21T00:00:00"/>
    <d v="2020-09-09T00:00:00"/>
    <d v="2020-11-07T00:00:00"/>
    <d v="2020-11-13T00:00:00"/>
    <s v="Approved"/>
    <x v="131"/>
    <d v="2021-08-25T00:00:00"/>
    <d v="2021-08-10T00:00:00"/>
    <s v="Reduced"/>
    <n v="19"/>
    <n v="5.2054794520547946E-2"/>
    <n v="429.9205479452055"/>
    <m/>
    <d v="2021-08-26T00:00:00"/>
  </r>
  <r>
    <x v="1"/>
    <s v="Manafov"/>
    <s v="AK1169"/>
    <n v="11042065"/>
    <s v="SOL - Facility A"/>
    <x v="36"/>
    <n v="62100706"/>
    <d v="2027-11-25T00:00:00"/>
    <d v="2020-10-23T00:00:00"/>
    <d v="2020-11-12T00:00:00"/>
    <d v="2020-11-13T00:00:00"/>
    <s v="Approved"/>
    <x v="173"/>
    <m/>
    <m/>
    <m/>
    <m/>
    <s v=""/>
    <s v=""/>
    <s v="Second Case Number Yolo Co CRF11-3827"/>
    <m/>
  </r>
  <r>
    <x v="1"/>
    <s v="Marquez"/>
    <s v="AF0558"/>
    <s v="00AF0558"/>
    <s v="CAC"/>
    <x v="0"/>
    <s v="VA102974"/>
    <d v="2035-11-17T00:00:00"/>
    <d v="2019-01-29T00:00:00"/>
    <d v="2019-02-06T00:00:00"/>
    <d v="2019-02-11T00:00:00"/>
    <s v="Approved"/>
    <x v="73"/>
    <d v="2019-03-12T00:00:00"/>
    <d v="2019-03-04T00:00:00"/>
    <s v="No action - no reason specified"/>
    <m/>
    <s v=""/>
    <s v=""/>
    <s v="Court declines to take action"/>
    <d v="2019-03-12T00:00:00"/>
  </r>
  <r>
    <x v="1"/>
    <s v="Ardery"/>
    <s v="AN8051"/>
    <n v="11878049"/>
    <s v="SHS-Atascadero "/>
    <x v="0"/>
    <s v="BA386458"/>
    <d v="2040-12-31T00:00:00"/>
    <d v="2020-09-30T00:00:00"/>
    <m/>
    <m/>
    <m/>
    <x v="27"/>
    <m/>
    <m/>
    <m/>
    <m/>
    <s v=""/>
    <s v=""/>
    <s v="On hold - I/M is at ASH"/>
    <m/>
  </r>
  <r>
    <x v="1"/>
    <s v="Martinez"/>
    <s v="AK7877"/>
    <n v="11389226"/>
    <s v="CIM-Facility D"/>
    <x v="0"/>
    <s v="VA121299"/>
    <d v="2021-11-15T00:00:00"/>
    <d v="2019-01-29T00:00:00"/>
    <d v="2019-02-11T00:00:00"/>
    <d v="2019-02-11T00:00:00"/>
    <s v="Approved"/>
    <x v="73"/>
    <d v="2019-04-10T00:00:00"/>
    <d v="2019-03-28T00:00:00"/>
    <s v="No action - no reason specified"/>
    <m/>
    <s v=""/>
    <s v=""/>
    <m/>
    <d v="2019-04-10T00:00:00"/>
  </r>
  <r>
    <x v="1"/>
    <s v="Martinez"/>
    <s v="AI3250"/>
    <n v="11373306"/>
    <s v="CVSP MSF"/>
    <x v="10"/>
    <s v="SCD228494 SCS222767"/>
    <d v="2020-08-05T00:00:00"/>
    <d v="2019-04-04T00:00:00"/>
    <d v="2019-04-16T00:00:00"/>
    <d v="2019-04-16T00:00:00"/>
    <s v="Approved"/>
    <x v="130"/>
    <d v="2019-10-11T00:00:00"/>
    <d v="2019-09-13T00:00:00"/>
    <s v="Released"/>
    <n v="2191.5"/>
    <n v="6.0041095890410956"/>
    <n v="49587.941095890412"/>
    <s v="Released on 10/18/2019"/>
    <d v="2020-03-03T00:00:00"/>
  </r>
  <r>
    <x v="1"/>
    <s v="Martinez"/>
    <s v="H47101"/>
    <n v="11676918"/>
    <s v="LAC Facility A"/>
    <x v="0"/>
    <s v="PA032263"/>
    <d v="2025-09-11T00:00:00"/>
    <d v="2019-04-23T00:00:00"/>
    <d v="2019-04-30T00:00:00"/>
    <d v="2019-04-30T00:00:00"/>
    <s v="Approved"/>
    <x v="70"/>
    <m/>
    <m/>
    <m/>
    <m/>
    <s v=""/>
    <s v=""/>
    <m/>
    <m/>
  </r>
  <r>
    <x v="1"/>
    <s v="Martinez"/>
    <s v="G23311"/>
    <n v="11624659"/>
    <s v="CCI FAC E"/>
    <x v="0"/>
    <s v="BA323642"/>
    <d v="2045-11-18T00:00:00"/>
    <d v="2019-07-30T00:00:00"/>
    <d v="2019-07-30T00:00:00"/>
    <d v="2019-08-12T00:00:00"/>
    <s v="Approved"/>
    <x v="21"/>
    <d v="2019-11-13T00:00:00"/>
    <d v="2019-11-12T00:00:00"/>
    <s v="Released"/>
    <n v="11887"/>
    <n v="32.56712328767123"/>
    <n v="268971.87123287673"/>
    <s v="released on Own Recognizance on 11/05/2019/Discharged 11/12/2019 - Exonerated on all charges"/>
    <d v="2019-11-13T00:00:00"/>
  </r>
  <r>
    <x v="1"/>
    <s v="Martinez "/>
    <s v="AW0479"/>
    <n v="11914153"/>
    <s v="CEN - Facility A"/>
    <x v="0"/>
    <s v="VA131679"/>
    <d v="2033-06-19T00:00:00"/>
    <d v="2020-10-08T00:00:00"/>
    <d v="2020-10-15T00:00:00"/>
    <d v="2021-02-26T00:00:00"/>
    <s v="Approved"/>
    <x v="174"/>
    <m/>
    <d v="2021-05-17T00:00:00"/>
    <s v="Pending Court (Date in Notes)"/>
    <m/>
    <s v=""/>
    <s v=""/>
    <m/>
    <m/>
  </r>
  <r>
    <x v="1"/>
    <s v="Martinez "/>
    <s v="WE0656"/>
    <n v="11039827"/>
    <s v="CCWF - Facility D"/>
    <x v="0"/>
    <s v="MA055871"/>
    <d v="2029-06-07T00:00:00"/>
    <d v="2020-10-23T00:00:00"/>
    <d v="2020-11-12T00:00:00"/>
    <d v="2021-02-26T00:00:00"/>
    <s v="Approved"/>
    <x v="174"/>
    <m/>
    <m/>
    <m/>
    <m/>
    <s v=""/>
    <s v=""/>
    <m/>
    <m/>
  </r>
  <r>
    <x v="1"/>
    <s v="McMurray"/>
    <s v="K31514"/>
    <n v="11791111"/>
    <s v="CMC FAC B"/>
    <x v="21"/>
    <s v="SF106921"/>
    <d v="2028-08-05T00:00:00"/>
    <d v="2019-09-12T00:00:00"/>
    <d v="2019-10-01T00:00:00"/>
    <d v="2019-10-03T00:00:00"/>
    <s v="Approved"/>
    <x v="156"/>
    <d v="2019-11-06T00:00:00"/>
    <d v="2019-10-22T00:00:00"/>
    <s v="No action - reason provided"/>
    <m/>
    <s v=""/>
    <s v=""/>
    <m/>
    <d v="2019-11-06T00:00:00"/>
  </r>
  <r>
    <x v="1"/>
    <s v="Zamora"/>
    <s v="T81347"/>
    <n v="11947316"/>
    <s v="KVSP - MSF"/>
    <x v="0"/>
    <s v="BA235313"/>
    <d v="2023-07-19T00:00:00"/>
    <d v="2020-10-08T00:00:00"/>
    <m/>
    <m/>
    <m/>
    <x v="27"/>
    <m/>
    <m/>
    <m/>
    <m/>
    <s v=""/>
    <s v=""/>
    <s v="On hold - Guility RVR finding"/>
    <m/>
  </r>
  <r>
    <x v="1"/>
    <s v="Menchaca"/>
    <s v="J76690"/>
    <n v="11762124"/>
    <s v="CTF FAC C "/>
    <x v="0"/>
    <s v="BA263890"/>
    <d v="2051-03-21T00:00:00"/>
    <d v="2019-08-29T00:00:00"/>
    <d v="2019-09-13T00:00:00"/>
    <d v="2019-09-16T00:00:00"/>
    <s v="Approved"/>
    <x v="170"/>
    <d v="2021-02-26T00:00:00"/>
    <d v="2020-03-16T00:00:00"/>
    <s v="Reduced"/>
    <n v="3652"/>
    <n v="10.005479452054795"/>
    <n v="82635.254794520544"/>
    <s v="Reduced by 10 years"/>
    <m/>
  </r>
  <r>
    <x v="1"/>
    <s v="Kelley"/>
    <s v="AL6581"/>
    <n v="11939252"/>
    <s v="SOL - Facility D"/>
    <x v="21"/>
    <s v="SF107969"/>
    <d v="2028-04-26T00:00:00"/>
    <d v="2020-10-08T00:00:00"/>
    <d v="2020-10-14T00:00:00"/>
    <d v="2020-10-15T00:00:00"/>
    <s v="Declined"/>
    <x v="27"/>
    <m/>
    <m/>
    <m/>
    <m/>
    <s v=""/>
    <s v=""/>
    <m/>
    <m/>
  </r>
  <r>
    <x v="2"/>
    <s v="Phothirath"/>
    <s v="V17856"/>
    <n v="11968279"/>
    <s v="FOL-Facility A"/>
    <x v="17"/>
    <s v="01F06798"/>
    <d v="2035-07-29T00:00:00"/>
    <d v="2018-09-05T00:00:00"/>
    <d v="2018-09-05T00:00:00"/>
    <d v="2018-09-26T00:00:00"/>
    <s v="Approved"/>
    <x v="46"/>
    <m/>
    <d v="2021-06-25T00:00:00"/>
    <s v="Pending Court (Date in Notes)"/>
    <m/>
    <s v=""/>
    <s v=""/>
    <m/>
    <m/>
  </r>
  <r>
    <x v="1"/>
    <s v="Mendez"/>
    <s v="G52117"/>
    <n v="11642869"/>
    <s v="CTF FAC C"/>
    <x v="0"/>
    <s v="PA058263  PA045521"/>
    <d v="2055-12-21T00:00:00"/>
    <d v="2019-08-02T00:00:00"/>
    <d v="2019-08-12T00:00:00"/>
    <d v="2019-08-12T00:00:00"/>
    <s v="Approved"/>
    <x v="21"/>
    <d v="2019-11-12T00:00:00"/>
    <d v="2019-10-16T00:00:00"/>
    <s v="No action - reason provided"/>
    <m/>
    <s v=""/>
    <s v=""/>
    <m/>
    <d v="2019-11-13T00:00:00"/>
  </r>
  <r>
    <x v="1"/>
    <s v="Minjarez"/>
    <s v="AY5468"/>
    <n v="11630396"/>
    <s v="COR FAC 03A"/>
    <x v="21"/>
    <s v="CRFE20157154"/>
    <d v="2038-09-29T00:00:00"/>
    <d v="2019-07-31T00:00:00"/>
    <d v="2019-08-12T00:00:00"/>
    <d v="2019-08-12T00:00:00"/>
    <s v="Approved"/>
    <x v="21"/>
    <d v="2019-09-17T00:00:00"/>
    <d v="2019-09-09T00:00:00"/>
    <s v="No action - due to plea"/>
    <m/>
    <s v=""/>
    <s v=""/>
    <m/>
    <d v="2020-03-09T00:00:00"/>
  </r>
  <r>
    <x v="7"/>
    <s v="Varghese"/>
    <s v="F22424"/>
    <n v="11562326"/>
    <s v="CTF - Facility C"/>
    <x v="10"/>
    <s v="SCD187180"/>
    <d v="2026-04-17T00:00:00"/>
    <d v="2020-10-08T00:00:00"/>
    <d v="2020-10-14T00:00:00"/>
    <d v="2020-11-13T00:00:00"/>
    <s v="Declined"/>
    <x v="27"/>
    <m/>
    <m/>
    <m/>
    <m/>
    <s v=""/>
    <s v=""/>
    <m/>
    <m/>
  </r>
  <r>
    <x v="1"/>
    <s v="Montufar"/>
    <s v="BA0571"/>
    <n v="11624468"/>
    <s v="RJD FAC D"/>
    <x v="10"/>
    <s v="SCS279746"/>
    <d v="2034-08-14T00:00:00"/>
    <d v="2019-08-07T00:00:00"/>
    <d v="2019-08-08T00:00:00"/>
    <d v="2019-08-16T00:00:00"/>
    <s v="Approved"/>
    <x v="162"/>
    <d v="2019-12-11T00:00:00"/>
    <d v="2019-11-20T00:00:00"/>
    <s v="No action - no reason specified"/>
    <m/>
    <s v=""/>
    <s v=""/>
    <m/>
    <d v="2019-12-11T00:00:00"/>
  </r>
  <r>
    <x v="1"/>
    <s v="Mora"/>
    <s v="F14278"/>
    <n v="11194957"/>
    <s v="CIM - Facility D"/>
    <x v="0"/>
    <s v="KA069377"/>
    <d v="2030-05-22T00:00:00"/>
    <d v="2019-12-24T00:00:00"/>
    <d v="2020-01-17T00:00:00"/>
    <d v="2020-01-22T00:00:00"/>
    <s v="Approved"/>
    <x v="200"/>
    <d v="2020-03-09T00:00:00"/>
    <d v="2020-02-26T00:00:00"/>
    <s v="No action - no reason specified"/>
    <m/>
    <s v=""/>
    <s v=""/>
    <m/>
    <m/>
  </r>
  <r>
    <x v="1"/>
    <s v="Barahona"/>
    <s v="AH9763"/>
    <n v="11371106"/>
    <s v="SOL - Facility C"/>
    <x v="6"/>
    <n v="100002"/>
    <d v="2033-05-27T00:00:00"/>
    <d v="2020-10-12T00:00:00"/>
    <d v="2020-10-23T00:00:00"/>
    <d v="2020-10-16T00:00:00"/>
    <s v="Declined"/>
    <x v="27"/>
    <m/>
    <m/>
    <m/>
    <m/>
    <s v=""/>
    <s v=""/>
    <m/>
    <m/>
  </r>
  <r>
    <x v="1"/>
    <s v="Moreland"/>
    <s v="V28666"/>
    <n v="11133402"/>
    <s v="SCC - Facility A"/>
    <x v="0"/>
    <s v="TA072402"/>
    <d v="2026-03-31T00:00:00"/>
    <d v="2020-10-23T00:00:00"/>
    <d v="2020-11-12T00:00:00"/>
    <d v="2020-11-13T00:00:00"/>
    <s v="Approved"/>
    <x v="160"/>
    <d v="2021-02-25T00:00:00"/>
    <d v="2021-01-29T00:00:00"/>
    <s v="Released"/>
    <n v="1859"/>
    <n v="5.0931506849315067"/>
    <n v="42064.331506849318"/>
    <s v="Released on 2/26/20201"/>
    <d v="2021-02-25T00:00:00"/>
  </r>
  <r>
    <x v="7"/>
    <s v="Reese"/>
    <s v="W72019"/>
    <n v="10250370"/>
    <s v="CIW - Facility A"/>
    <x v="0"/>
    <s v="GA073706"/>
    <d v="2036-05-21T00:00:00"/>
    <d v="2020-10-12T00:00:00"/>
    <d v="2020-11-16T00:00:00"/>
    <d v="2020-11-17T00:00:00"/>
    <s v="Approved"/>
    <x v="196"/>
    <m/>
    <m/>
    <m/>
    <m/>
    <s v=""/>
    <s v=""/>
    <s v="4/12/21 pending resentece Atty req C-file"/>
    <m/>
  </r>
  <r>
    <x v="1"/>
    <s v="Moriwaki"/>
    <s v="P75866"/>
    <n v="11886830"/>
    <s v="SVSP - Facility D"/>
    <x v="0"/>
    <s v="BA174739"/>
    <d v="2037-04-14T00:00:00"/>
    <d v="2020-12-08T00:00:00"/>
    <d v="2020-12-15T00:00:00"/>
    <d v="2020-12-10T00:00:00"/>
    <s v="Approved"/>
    <x v="144"/>
    <d v="2021-05-04T00:00:00"/>
    <d v="2021-02-08T00:00:00"/>
    <s v="No action - no reason specified"/>
    <m/>
    <s v=""/>
    <s v=""/>
    <m/>
    <d v="2021-05-04T00:00:00"/>
  </r>
  <r>
    <x v="1"/>
    <s v="Moss"/>
    <s v="V63161"/>
    <n v="11234703"/>
    <s v="SQ - Facility B"/>
    <x v="0"/>
    <s v="PA048045"/>
    <d v="2025-01-25T00:00:00"/>
    <d v="2020-09-15T00:00:00"/>
    <d v="2020-10-02T00:00:00"/>
    <d v="2020-10-02T00:00:00"/>
    <s v="Approved"/>
    <x v="124"/>
    <d v="2020-11-09T00:00:00"/>
    <d v="2020-10-29T00:00:00"/>
    <s v="No action - reason provided"/>
    <m/>
    <s v=""/>
    <s v=""/>
    <s v="Resentencing is not warranted"/>
    <d v="2020-11-10T00:00:00"/>
  </r>
  <r>
    <x v="1"/>
    <s v="Murphy"/>
    <s v="F15807"/>
    <n v="11558335"/>
    <s v="CIM FAC D "/>
    <x v="11"/>
    <s v="VCF140598"/>
    <d v="2022-11-18T00:00:00"/>
    <d v="2019-02-25T00:00:00"/>
    <d v="2019-08-19T00:00:00"/>
    <d v="2019-08-21T00:00:00"/>
    <s v="Approved"/>
    <x v="162"/>
    <d v="2020-07-09T00:00:00"/>
    <m/>
    <s v="No action - reason provided"/>
    <m/>
    <s v=""/>
    <s v=""/>
    <m/>
    <m/>
  </r>
  <r>
    <x v="7"/>
    <s v="Lacheppelle"/>
    <s v="V68441"/>
    <n v="11998135"/>
    <s v="FOL - Facility A"/>
    <x v="6"/>
    <n v="42459"/>
    <d v="2029-02-11T00:00:00"/>
    <d v="2020-05-28T00:00:00"/>
    <d v="2020-06-24T00:00:00"/>
    <d v="2020-07-28T00:00:00"/>
    <s v="Approved"/>
    <x v="133"/>
    <d v="2020-10-21T00:00:00"/>
    <d v="2020-10-09T00:00:00"/>
    <s v="Released"/>
    <n v="3029"/>
    <n v="8.2986301369863007"/>
    <n v="68538.386301369872"/>
    <s v="Released on 10/27/2020"/>
    <d v="2020-10-30T00:00:00"/>
  </r>
  <r>
    <x v="1"/>
    <s v="Gutierrez"/>
    <s v="AR7383"/>
    <n v="12103319"/>
    <s v="SQ - Facility A"/>
    <x v="20"/>
    <s v="H53160"/>
    <d v="2032-03-17T00:00:00"/>
    <d v="2020-10-22T00:00:00"/>
    <d v="2020-12-09T00:00:00"/>
    <d v="2020-11-17T00:00:00"/>
    <s v="Declined"/>
    <x v="27"/>
    <m/>
    <m/>
    <m/>
    <m/>
    <s v=""/>
    <s v=""/>
    <m/>
    <m/>
  </r>
  <r>
    <x v="7"/>
    <s v="Young"/>
    <s v="F60010"/>
    <n v="11585081"/>
    <s v="MCSP - Facility D"/>
    <x v="0"/>
    <s v="MA028244"/>
    <d v="2032-04-26T00:00:00"/>
    <d v="2020-10-19T00:00:00"/>
    <d v="2020-11-16T00:00:00"/>
    <d v="2020-11-17T00:00:00"/>
    <s v="Approved"/>
    <x v="196"/>
    <m/>
    <d v="2021-07-09T00:00:00"/>
    <s v="Pending Court (Date in Notes)"/>
    <m/>
    <s v=""/>
    <s v=""/>
    <m/>
    <m/>
  </r>
  <r>
    <x v="1"/>
    <s v="Nash"/>
    <s v="V78627"/>
    <n v="12004153"/>
    <s v="MCSP - MSF"/>
    <x v="0"/>
    <s v="SA052135"/>
    <d v="2023-08-22T00:00:00"/>
    <d v="2019-11-14T00:00:00"/>
    <d v="2019-11-26T00:00:00"/>
    <d v="2019-11-27T00:00:00"/>
    <s v="Approved"/>
    <x v="140"/>
    <d v="2020-02-20T00:00:00"/>
    <d v="2020-01-31T00:00:00"/>
    <s v="No action - reason provided"/>
    <m/>
    <s v=""/>
    <s v=""/>
    <m/>
    <d v="2020-02-20T00:00:00"/>
  </r>
  <r>
    <x v="1"/>
    <s v="Nelson"/>
    <s v="AS4776"/>
    <n v="12108306"/>
    <s v="CCC - Devils Garden Camp"/>
    <x v="17"/>
    <s v="13F04523"/>
    <d v="2022-12-27T00:00:00"/>
    <d v="2020-10-23T00:00:00"/>
    <d v="2020-11-12T00:00:00"/>
    <d v="2020-11-13T00:00:00"/>
    <s v="Approved"/>
    <x v="131"/>
    <m/>
    <m/>
    <m/>
    <m/>
    <s v=""/>
    <s v=""/>
    <m/>
    <m/>
  </r>
  <r>
    <x v="1"/>
    <s v="Nickerson"/>
    <s v="G49529"/>
    <n v="11143719"/>
    <s v="CMC - Facility A"/>
    <x v="0"/>
    <s v="LA051175"/>
    <d v="2028-10-09T00:00:00"/>
    <d v="2020-12-15T00:00:00"/>
    <d v="2020-12-18T00:00:00"/>
    <d v="2020-12-16T00:00:00"/>
    <s v="Approved"/>
    <x v="144"/>
    <m/>
    <m/>
    <m/>
    <m/>
    <s v=""/>
    <s v=""/>
    <m/>
    <m/>
  </r>
  <r>
    <x v="7"/>
    <s v="Pimental"/>
    <s v="F85094"/>
    <n v="11109387"/>
    <s v="CCI - Facility E"/>
    <x v="0"/>
    <s v="PA055206"/>
    <d v="2030-02-28T00:00:00"/>
    <d v="2020-10-16T00:00:00"/>
    <m/>
    <m/>
    <m/>
    <x v="27"/>
    <m/>
    <m/>
    <m/>
    <m/>
    <s v=""/>
    <s v=""/>
    <m/>
    <m/>
  </r>
  <r>
    <x v="7"/>
    <s v="Vargas"/>
    <s v="G45197"/>
    <n v="11119037"/>
    <s v="RJD - Faclity D"/>
    <x v="8"/>
    <s v="SWF022463"/>
    <d v="2036-01-06T00:00:00"/>
    <d v="2020-10-14T00:00:00"/>
    <d v="2020-11-09T00:00:00"/>
    <d v="2020-11-09T00:00:00"/>
    <s v="Approved"/>
    <x v="131"/>
    <m/>
    <m/>
    <m/>
    <m/>
    <s v=""/>
    <s v=""/>
    <m/>
    <m/>
  </r>
  <r>
    <x v="1"/>
    <s v="Artavia"/>
    <s v="AK1109"/>
    <n v="11480644"/>
    <s v="PVSP - Facility C"/>
    <x v="0"/>
    <s v="GA073083"/>
    <d v="2029-09-22T00:00:00"/>
    <d v="2020-10-14T00:00:00"/>
    <d v="2020-10-23T00:00:00"/>
    <d v="2020-11-09T00:00:00"/>
    <s v="Declined"/>
    <x v="27"/>
    <m/>
    <m/>
    <m/>
    <m/>
    <s v=""/>
    <s v=""/>
    <m/>
    <m/>
  </r>
  <r>
    <x v="1"/>
    <s v="Nunez"/>
    <s v="AP5657"/>
    <n v="11603975"/>
    <s v="PVSP - Facility A"/>
    <x v="0"/>
    <s v="VA126717"/>
    <d v="2028-04-18T00:00:00"/>
    <d v="2020-09-14T00:00:00"/>
    <d v="2020-10-02T00:00:00"/>
    <d v="2020-10-02T00:00:00"/>
    <s v="Approved"/>
    <x v="124"/>
    <d v="2021-05-04T00:00:00"/>
    <d v="2021-03-29T00:00:00"/>
    <s v="Reduced"/>
    <n v="1462"/>
    <n v="4.0054794520547947"/>
    <n v="33081.254794520552"/>
    <m/>
    <d v="2021-05-04T00:00:00"/>
  </r>
  <r>
    <x v="1"/>
    <s v="O'Bryan"/>
    <s v="T23270"/>
    <n v="11243152"/>
    <s v="SOL- Facility C"/>
    <x v="18"/>
    <n v="101709"/>
    <d v="2023-10-10T00:00:00"/>
    <d v="2019-06-18T00:00:00"/>
    <d v="2019-07-09T00:00:00"/>
    <d v="2019-07-09T00:00:00"/>
    <s v="Approved"/>
    <x v="79"/>
    <m/>
    <m/>
    <m/>
    <m/>
    <s v=""/>
    <s v=""/>
    <m/>
    <m/>
  </r>
  <r>
    <x v="7"/>
    <s v="Rocha"/>
    <s v="K76347"/>
    <n v="11815230"/>
    <s v="RJD - Facility E"/>
    <x v="0"/>
    <s v="SA029332"/>
    <d v="2028-12-09T00:00:00"/>
    <d v="2020-10-30T00:00:00"/>
    <d v="2020-12-09T00:00:00"/>
    <d v="2020-12-10T00:00:00"/>
    <s v="Approved"/>
    <x v="173"/>
    <m/>
    <m/>
    <m/>
    <m/>
    <s v=""/>
    <s v=""/>
    <m/>
    <m/>
  </r>
  <r>
    <x v="1"/>
    <s v="Ochoa"/>
    <s v="G15006"/>
    <n v="11154657"/>
    <s v="CCC-Facility B"/>
    <x v="21"/>
    <s v="SF101736"/>
    <d v="2031-06-25T00:00:00"/>
    <d v="2020-02-13T00:00:00"/>
    <d v="2020-02-25T00:00:00"/>
    <d v="2021-03-26T00:00:00"/>
    <s v="Approved"/>
    <x v="115"/>
    <m/>
    <m/>
    <m/>
    <m/>
    <s v=""/>
    <s v=""/>
    <m/>
    <m/>
  </r>
  <r>
    <x v="1"/>
    <s v="Olmos"/>
    <s v="AI0579"/>
    <n v="11371598"/>
    <s v="CCC - Facility B"/>
    <x v="11"/>
    <s v="VCF240284"/>
    <d v="2027-02-23T00:00:00"/>
    <d v="2020-07-30T00:00:00"/>
    <d v="2020-09-11T00:00:00"/>
    <d v="2020-09-14T00:00:00"/>
    <s v="Approved"/>
    <x v="71"/>
    <m/>
    <m/>
    <m/>
    <m/>
    <s v=""/>
    <s v=""/>
    <m/>
    <m/>
  </r>
  <r>
    <x v="1"/>
    <s v="Orozco "/>
    <s v="AH8279"/>
    <n v="11370232"/>
    <s v="MCCF-Desert View "/>
    <x v="2"/>
    <s v="10CF2445"/>
    <d v="2021-11-10T00:00:00"/>
    <d v="2019-01-28T00:00:00"/>
    <d v="2019-02-06T00:00:00"/>
    <d v="2019-02-08T00:00:00"/>
    <s v="Approved"/>
    <x v="73"/>
    <d v="2019-12-17T00:00:00"/>
    <d v="2019-12-06T00:00:00"/>
    <s v="Released"/>
    <n v="974"/>
    <n v="2.6684931506849314"/>
    <n v="22039.084931506852"/>
    <s v="Per notes inmate should be released NLT 12/20/2019"/>
    <d v="2019-12-17T00:00:00"/>
  </r>
  <r>
    <x v="1"/>
    <s v="Ortiz"/>
    <s v="AP3311"/>
    <n v="11583987"/>
    <s v="CEN - MSF "/>
    <x v="0"/>
    <s v="VA127594"/>
    <d v="2022-05-20T00:00:00"/>
    <d v="2020-11-04T00:00:00"/>
    <d v="2020-12-09T00:00:00"/>
    <d v="2020-12-10T00:00:00"/>
    <s v="Approved"/>
    <x v="142"/>
    <d v="2021-03-18T00:00:00"/>
    <d v="2021-03-08T00:00:00"/>
    <s v="No action - no reason specified"/>
    <m/>
    <s v=""/>
    <s v=""/>
    <m/>
    <d v="2021-03-18T00:00:00"/>
  </r>
  <r>
    <x v="1"/>
    <s v="Oveido"/>
    <s v="AW5946"/>
    <n v="12132198"/>
    <s v="CRC - Facility C"/>
    <x v="11"/>
    <s v="VCF304048B"/>
    <d v="2024-04-26T00:00:00"/>
    <d v="2020-09-29T00:00:00"/>
    <d v="2020-10-07T00:00:00"/>
    <d v="2020-10-08T00:00:00"/>
    <s v="Approved"/>
    <x v="134"/>
    <m/>
    <m/>
    <m/>
    <m/>
    <s v=""/>
    <s v=""/>
    <m/>
    <m/>
  </r>
  <r>
    <x v="1"/>
    <s v="Palafox"/>
    <s v="AT6621"/>
    <n v="11982885"/>
    <s v="CAC - Facility C"/>
    <x v="9"/>
    <s v="FSB1202115"/>
    <d v="2026-11-29T00:00:00"/>
    <d v="2020-10-05T00:00:00"/>
    <d v="2020-11-04T00:00:00"/>
    <d v="2020-11-09T00:00:00"/>
    <s v="Approved"/>
    <x v="104"/>
    <d v="2020-12-16T00:00:00"/>
    <d v="2020-11-23T00:00:00"/>
    <s v="No action - reason provided"/>
    <m/>
    <s v=""/>
    <s v=""/>
    <m/>
    <d v="2020-12-16T00:00:00"/>
  </r>
  <r>
    <x v="1"/>
    <s v="Parker"/>
    <s v="V02420"/>
    <n v="11959250"/>
    <s v="LAC - Facility A"/>
    <x v="0"/>
    <s v="BA248693"/>
    <d v="2022-05-24T00:00:00"/>
    <d v="2020-09-08T00:00:00"/>
    <d v="2020-10-02T00:00:00"/>
    <d v="2020-10-02T00:00:00"/>
    <s v="Approved"/>
    <x v="134"/>
    <m/>
    <m/>
    <m/>
    <m/>
    <s v=""/>
    <s v=""/>
    <m/>
    <m/>
  </r>
  <r>
    <x v="1"/>
    <s v="Pena "/>
    <s v="AW8083"/>
    <n v="12133395"/>
    <s v="CRC - Facility C"/>
    <x v="12"/>
    <s v="C1227699"/>
    <d v="2026-09-14T00:00:00"/>
    <d v="2021-03-22T00:00:00"/>
    <d v="2021-03-24T00:00:00"/>
    <d v="2021-03-24T00:00:00"/>
    <s v="Approved"/>
    <x v="72"/>
    <m/>
    <m/>
    <m/>
    <m/>
    <s v=""/>
    <s v=""/>
    <m/>
    <m/>
  </r>
  <r>
    <x v="1"/>
    <s v="Penn"/>
    <s v="J31254"/>
    <n v="11738813"/>
    <s v="CCI FAC E"/>
    <x v="0"/>
    <s v="YA057360  YA058153"/>
    <d v="2034-11-29T00:00:00"/>
    <d v="2019-07-25T00:00:00"/>
    <d v="2019-07-31T00:00:00"/>
    <d v="2019-07-31T00:00:00"/>
    <s v="Approved"/>
    <x v="186"/>
    <d v="2019-09-04T00:00:00"/>
    <d v="2019-08-21T00:00:00"/>
    <s v="No action - reason provided"/>
    <m/>
    <s v=""/>
    <s v=""/>
    <s v="Current Commitment Violent/Serious &amp; History of Serios offenses"/>
    <d v="2019-09-04T00:00:00"/>
  </r>
  <r>
    <x v="1"/>
    <s v="Pennell"/>
    <s v="F90206"/>
    <n v="11603720"/>
    <s v="SVSP - Facility A"/>
    <x v="21"/>
    <s v="SF111573"/>
    <d v="2029-10-21T00:00:00"/>
    <d v="2021-03-22T00:00:00"/>
    <d v="2021-03-24T00:00:00"/>
    <d v="2021-03-26T00:00:00"/>
    <s v="Approved"/>
    <x v="115"/>
    <d v="2021-05-20T00:00:00"/>
    <d v="2021-05-03T00:00:00"/>
    <s v="No action - no reason specified"/>
    <m/>
    <s v=""/>
    <s v=""/>
    <m/>
    <d v="2021-05-20T00:00:00"/>
  </r>
  <r>
    <x v="1"/>
    <s v="Perez"/>
    <s v="WF0095"/>
    <n v="12118711"/>
    <s v="FOL Facility B"/>
    <x v="17"/>
    <s v="13F02966"/>
    <d v="2023-04-20T00:00:00"/>
    <d v="2019-11-21T00:00:00"/>
    <d v="2019-12-11T00:00:00"/>
    <d v="2019-12-11T00:00:00"/>
    <s v="Approved"/>
    <x v="68"/>
    <m/>
    <d v="2020-04-29T00:00:00"/>
    <s v="Pending Court (Date in Notes)"/>
    <m/>
    <s v=""/>
    <s v=""/>
    <s v="NCD - 04/29/2020"/>
    <m/>
  </r>
  <r>
    <x v="1"/>
    <s v="Perez"/>
    <s v="T21543"/>
    <n v="11913496"/>
    <s v="VSP FAC B"/>
    <x v="24"/>
    <n v="1017612"/>
    <d v="2024-09-05T00:00:00"/>
    <d v="2019-09-18T00:00:00"/>
    <d v="2019-10-03T00:00:00"/>
    <d v="2019-10-15T00:00:00"/>
    <s v="Approved"/>
    <x v="172"/>
    <d v="2020-02-27T00:00:00"/>
    <d v="2020-02-18T00:00:00"/>
    <s v="No action - no reason specified"/>
    <m/>
    <s v=""/>
    <s v=""/>
    <s v="2nd letter to be sent to Sacramento C0 - 07F08409"/>
    <d v="2020-02-27T00:00:00"/>
  </r>
  <r>
    <x v="1"/>
    <s v="Quintero"/>
    <s v="AS7667"/>
    <n v="12109968"/>
    <s v="ASP - Facility E"/>
    <x v="0"/>
    <s v="BA399859"/>
    <d v="2029-09-14T00:00:00"/>
    <d v="2020-10-23T00:00:00"/>
    <d v="2020-11-12T00:00:00"/>
    <d v="2020-11-13T00:00:00"/>
    <s v="Declined"/>
    <x v="27"/>
    <m/>
    <m/>
    <m/>
    <m/>
    <s v=""/>
    <s v=""/>
    <m/>
    <m/>
  </r>
  <r>
    <x v="1"/>
    <s v="Perez"/>
    <s v="H49005"/>
    <n v="11677876"/>
    <s v="ISP - Facility A"/>
    <x v="0"/>
    <s v="BA184992"/>
    <d v="2025-01-11T00:00:00"/>
    <d v="2021-03-01T00:00:00"/>
    <d v="2021-03-12T00:00:00"/>
    <d v="2021-03-16T00:00:00"/>
    <s v="Approved"/>
    <x v="119"/>
    <m/>
    <m/>
    <m/>
    <m/>
    <s v=""/>
    <s v=""/>
    <m/>
    <m/>
  </r>
  <r>
    <x v="7"/>
    <s v="Vargas"/>
    <s v="AB0197"/>
    <n v="11327845"/>
    <s v="LAC - Facility A"/>
    <x v="0"/>
    <s v="BA357550"/>
    <d v="2033-07-22T00:00:00"/>
    <d v="2020-10-23T00:00:00"/>
    <d v="2020-11-19T00:00:00"/>
    <d v="2020-11-19T00:00:00"/>
    <s v="Approved"/>
    <x v="201"/>
    <m/>
    <m/>
    <m/>
    <m/>
    <s v=""/>
    <s v=""/>
    <m/>
    <m/>
  </r>
  <r>
    <x v="1"/>
    <s v="Perkins"/>
    <s v="AU8232"/>
    <n v="12121530"/>
    <s v="CCC - Facility A"/>
    <x v="17"/>
    <s v="13F03965"/>
    <d v="2022-08-25T00:00:00"/>
    <d v="2019-12-03T00:00:00"/>
    <d v="2019-12-16T00:00:00"/>
    <d v="2019-12-16T00:00:00"/>
    <s v="Approved"/>
    <x v="165"/>
    <d v="2020-09-17T00:00:00"/>
    <d v="2020-08-14T00:00:00"/>
    <s v="Released"/>
    <n v="701"/>
    <n v="1.9205479452054794"/>
    <n v="15861.805479452056"/>
    <s v="Release on 9/23/2020"/>
    <d v="2020-09-18T00:00:00"/>
  </r>
  <r>
    <x v="1"/>
    <s v="Perry"/>
    <s v="AW1313"/>
    <n v="12129414"/>
    <s v="CCI - Facility E"/>
    <x v="8"/>
    <s v="RIF1300496"/>
    <d v="2036-12-05T00:00:00"/>
    <d v="2020-10-27T00:00:00"/>
    <d v="2020-11-12T00:00:00"/>
    <d v="2020-11-13T00:00:00"/>
    <s v="Approved"/>
    <x v="131"/>
    <d v="2021-06-03T00:00:00"/>
    <d v="2021-05-20T00:00:00"/>
    <s v="Reduced"/>
    <n v="5454"/>
    <n v="14.942465753424658"/>
    <n v="123409.82465753425"/>
    <m/>
    <d v="2021-06-07T00:00:00"/>
  </r>
  <r>
    <x v="1"/>
    <s v="Pickins"/>
    <s v="AI8168"/>
    <n v="11376234"/>
    <s v="CMF - Facility A"/>
    <x v="10"/>
    <s v="SCE300962"/>
    <d v="2027-12-06T00:00:00"/>
    <d v="2020-11-10T00:00:00"/>
    <d v="2020-12-09T00:00:00"/>
    <d v="2020-12-10T00:00:00"/>
    <s v="Approved"/>
    <x v="142"/>
    <m/>
    <m/>
    <m/>
    <m/>
    <s v=""/>
    <s v=""/>
    <m/>
    <m/>
  </r>
  <r>
    <x v="7"/>
    <s v="Goodall"/>
    <s v="P42773"/>
    <n v="11248239"/>
    <s v="SQ - Facility A"/>
    <x v="0"/>
    <s v="NA039473"/>
    <d v="2027-03-25T00:00:00"/>
    <d v="2020-11-12T00:00:00"/>
    <d v="2020-12-15T00:00:00"/>
    <d v="2020-12-12T00:00:00"/>
    <s v="Declined"/>
    <x v="27"/>
    <m/>
    <m/>
    <m/>
    <m/>
    <s v=""/>
    <s v=""/>
    <m/>
    <m/>
  </r>
  <r>
    <x v="1"/>
    <s v="Pierce"/>
    <s v="AI0299"/>
    <n v="11073784"/>
    <s v="CRC - Facility C"/>
    <x v="3"/>
    <s v="F10903822"/>
    <d v="2025-07-19T00:00:00"/>
    <d v="2020-01-21T00:00:00"/>
    <d v="2020-03-05T00:00:00"/>
    <d v="2020-03-09T00:00:00"/>
    <s v="Approved"/>
    <x v="137"/>
    <m/>
    <m/>
    <m/>
    <m/>
    <s v=""/>
    <s v=""/>
    <m/>
    <m/>
  </r>
  <r>
    <x v="1"/>
    <s v="Posadas"/>
    <s v="V91955"/>
    <n v="12011476"/>
    <s v="SQ Facility B"/>
    <x v="12"/>
    <s v="FF300396"/>
    <d v="2023-05-24T00:00:00"/>
    <d v="2019-12-16T00:00:00"/>
    <d v="2019-12-24T00:00:00"/>
    <d v="2019-12-26T00:00:00"/>
    <s v="Approved"/>
    <x v="126"/>
    <d v="2020-02-20T00:00:00"/>
    <d v="2020-01-28T00:00:00"/>
    <s v="No action - no reason specified"/>
    <m/>
    <s v=""/>
    <s v=""/>
    <s v="2nd Letter going to San Mateo County, Case Number SC046486A"/>
    <d v="2020-02-20T00:00:00"/>
  </r>
  <r>
    <x v="1"/>
    <s v="Pradia"/>
    <s v="AS1566"/>
    <n v="11352964"/>
    <s v="RJD - Facility C"/>
    <x v="21"/>
    <s v="SF123037"/>
    <d v="2026-09-16T00:00:00"/>
    <d v="2021-03-01T00:00:00"/>
    <d v="2021-03-24T00:00:00"/>
    <d v="2021-03-26T00:00:00"/>
    <s v="Approved"/>
    <x v="115"/>
    <d v="2021-05-20T00:00:00"/>
    <d v="2021-04-29T00:00:00"/>
    <s v="No action - no reason specified"/>
    <m/>
    <s v=""/>
    <s v=""/>
    <m/>
    <d v="2021-05-20T00:00:00"/>
  </r>
  <r>
    <x v="1"/>
    <s v="Purvis"/>
    <s v="T91908"/>
    <n v="11953305"/>
    <s v="CAC - Facility B"/>
    <x v="0"/>
    <s v="NA052535"/>
    <d v="2026-10-28T00:00:00"/>
    <d v="2020-11-08T00:00:00"/>
    <d v="2020-11-12T00:00:00"/>
    <d v="2020-11-19T00:00:00"/>
    <s v="Approved"/>
    <x v="160"/>
    <m/>
    <m/>
    <m/>
    <m/>
    <s v=""/>
    <s v=""/>
    <m/>
    <m/>
  </r>
  <r>
    <x v="1"/>
    <s v="Raines"/>
    <s v="AN9886"/>
    <n v="11312644"/>
    <s v="VSP - Facility B"/>
    <x v="34"/>
    <s v="F17755"/>
    <d v="2028-03-26T00:00:00"/>
    <d v="2020-08-13T00:00:00"/>
    <d v="2020-09-14T00:00:00"/>
    <d v="2020-09-14T00:00:00"/>
    <s v="Approved"/>
    <x v="71"/>
    <m/>
    <m/>
    <m/>
    <m/>
    <s v=""/>
    <s v=""/>
    <m/>
    <m/>
  </r>
  <r>
    <x v="1"/>
    <s v="Ramirez"/>
    <s v="G43051"/>
    <n v="11637093"/>
    <s v="CCI Facility E"/>
    <x v="2"/>
    <s v="06WF3312"/>
    <d v="2021-05-02T00:00:00"/>
    <d v="2019-04-22T00:00:00"/>
    <d v="2019-04-30T00:00:00"/>
    <d v="2019-04-30T00:00:00"/>
    <s v="Approved"/>
    <x v="70"/>
    <d v="2020-08-05T00:00:00"/>
    <d v="2020-07-30T00:00:00"/>
    <s v="Released"/>
    <n v="365"/>
    <n v="1"/>
    <n v="8259"/>
    <s v=" Released on 8/12/2020"/>
    <d v="2020-08-11T00:00:00"/>
  </r>
  <r>
    <x v="1"/>
    <s v="Ramirez"/>
    <s v="AH9366"/>
    <n v="11370919"/>
    <s v="CEN - Facility A"/>
    <x v="0"/>
    <s v="MA048641"/>
    <d v="2024-10-01T00:00:00"/>
    <d v="2020-10-26T00:00:00"/>
    <d v="2020-11-12T00:00:00"/>
    <d v="2020-11-13T00:00:00"/>
    <s v="Approved"/>
    <x v="160"/>
    <m/>
    <m/>
    <m/>
    <m/>
    <s v=""/>
    <s v=""/>
    <m/>
    <m/>
  </r>
  <r>
    <x v="1"/>
    <s v="Rangel"/>
    <s v="AX7068"/>
    <n v="12138755"/>
    <s v="CMC - Facility A"/>
    <x v="21"/>
    <s v="SF130853"/>
    <d v="2025-02-17T00:00:00"/>
    <d v="2021-03-01T00:00:00"/>
    <d v="2021-03-24T00:00:00"/>
    <d v="2021-03-26T00:00:00"/>
    <s v="Approved"/>
    <x v="115"/>
    <d v="2021-05-20T00:00:00"/>
    <d v="2021-05-03T00:00:00"/>
    <s v="No action - no reason specified"/>
    <m/>
    <s v=""/>
    <s v=""/>
    <m/>
    <d v="2021-05-01T00:00:00"/>
  </r>
  <r>
    <x v="1"/>
    <s v="Rayford"/>
    <s v="AM3875"/>
    <n v="11767485"/>
    <s v="CCI FAC E"/>
    <x v="0"/>
    <s v="YA083080"/>
    <d v="2027-08-10T00:00:00"/>
    <d v="2019-07-24T00:00:00"/>
    <d v="2019-07-31T00:00:00"/>
    <d v="2019-07-31T00:00:00"/>
    <s v="Approved"/>
    <x v="186"/>
    <d v="2019-12-10T00:00:00"/>
    <d v="2019-11-01T00:00:00"/>
    <s v="Reduced"/>
    <n v="1582.75"/>
    <n v="4.3363013698630137"/>
    <n v="35813.513013698634"/>
    <m/>
    <d v="2019-12-11T00:00:00"/>
  </r>
  <r>
    <x v="1"/>
    <s v="Reece"/>
    <s v="AT8187"/>
    <n v="11174362"/>
    <s v="CMF - Facility A"/>
    <x v="20"/>
    <n v="172680"/>
    <d v="2025-08-02T00:00:00"/>
    <d v="2020-12-15T00:00:00"/>
    <d v="2020-12-18T00:00:00"/>
    <d v="2020-12-16T00:00:00"/>
    <s v="Approved"/>
    <x v="144"/>
    <m/>
    <m/>
    <m/>
    <m/>
    <s v=""/>
    <s v=""/>
    <m/>
    <m/>
  </r>
  <r>
    <x v="1"/>
    <s v="Retano"/>
    <s v="G52037"/>
    <n v="11642815"/>
    <s v="DVI - Facility A"/>
    <x v="0"/>
    <s v="NA079813"/>
    <d v="2022-05-25T00:00:00"/>
    <d v="2020-11-09T00:00:00"/>
    <d v="2020-12-09T00:00:00"/>
    <d v="2020-12-10T00:00:00"/>
    <s v="Approved"/>
    <x v="142"/>
    <m/>
    <m/>
    <m/>
    <m/>
    <s v=""/>
    <s v=""/>
    <m/>
    <m/>
  </r>
  <r>
    <x v="11"/>
    <s v="Ellis"/>
    <s v="P75174"/>
    <n v="11886444"/>
    <s v="CTF-Facility C"/>
    <x v="18"/>
    <n v="51316645"/>
    <d v="2024-12-07T00:00:00"/>
    <d v="2019-07-05T00:00:00"/>
    <d v="2019-07-08T00:00:00"/>
    <d v="2019-09-26T00:00:00"/>
    <s v="Approved"/>
    <x v="148"/>
    <m/>
    <d v="2021-07-02T00:00:00"/>
    <s v="Pending Court (Date in Notes)"/>
    <m/>
    <s v=""/>
    <s v=""/>
    <s v="Court documents have been requested on 04/06/2020"/>
    <m/>
  </r>
  <r>
    <x v="7"/>
    <s v="Dickens"/>
    <s v="H22267"/>
    <n v="11230783"/>
    <s v="DVI - Facility A"/>
    <x v="17"/>
    <s v="03F11006"/>
    <d v="2029-04-06T00:00:00"/>
    <d v="2020-11-14T00:00:00"/>
    <d v="2020-11-16T00:00:00"/>
    <d v="2020-11-17T00:00:00"/>
    <s v="Approved"/>
    <x v="196"/>
    <m/>
    <m/>
    <m/>
    <m/>
    <s v=""/>
    <s v=""/>
    <m/>
    <m/>
  </r>
  <r>
    <x v="1"/>
    <s v="Rickett"/>
    <s v="F98196"/>
    <n v="11608886"/>
    <s v="CIM-Facility D"/>
    <x v="2"/>
    <s v="07CF3322/SCD209963"/>
    <d v="2027-03-13T00:00:00"/>
    <d v="2019-03-28T00:00:00"/>
    <d v="2019-04-05T00:00:00"/>
    <d v="2019-04-17T00:00:00"/>
    <s v="Approved"/>
    <x v="85"/>
    <d v="2020-01-06T00:00:00"/>
    <d v="2019-10-25T00:00:00"/>
    <s v="Reduced"/>
    <n v="1582.75"/>
    <n v="4.3363013698630137"/>
    <n v="35813.513013698634"/>
    <s v="reduced by 4 years and 4 months, released 09/3/2023"/>
    <d v="2020-01-06T00:00:00"/>
  </r>
  <r>
    <x v="1"/>
    <s v="Riddle"/>
    <s v="AG8014"/>
    <n v="11363815"/>
    <s v="SAC -MSF"/>
    <x v="1"/>
    <s v="FCR240955"/>
    <d v="2021-01-21T00:00:00"/>
    <d v="2019-01-19T00:00:00"/>
    <d v="2019-01-31T00:00:00"/>
    <d v="2019-01-31T00:00:00"/>
    <s v="Approved"/>
    <x v="135"/>
    <d v="2021-03-17T00:00:00"/>
    <d v="2019-02-26T00:00:00"/>
    <s v="No action - no reason specified"/>
    <m/>
    <s v=""/>
    <s v=""/>
    <m/>
    <d v="2021-03-17T00:00:00"/>
  </r>
  <r>
    <x v="1"/>
    <s v="Riggs"/>
    <s v="AX2071"/>
    <n v="12135441"/>
    <s v="SCC -Facility C"/>
    <x v="21"/>
    <s v="SF129907"/>
    <d v="2023-07-15T00:00:00"/>
    <d v="2020-09-29T00:00:00"/>
    <d v="2020-10-16T00:00:00"/>
    <d v="2020-10-17T00:00:00"/>
    <s v="Approved"/>
    <x v="134"/>
    <d v="2021-06-08T00:00:00"/>
    <d v="2021-05-03T00:00:00"/>
    <s v="Released"/>
    <n v="767"/>
    <n v="2.1013698630136988"/>
    <n v="17355.213698630138"/>
    <s v="Released 6/15/21"/>
    <d v="2021-06-08T00:00:00"/>
  </r>
  <r>
    <x v="1"/>
    <s v="Roberts"/>
    <s v="AU1773"/>
    <n v="11688373"/>
    <s v="CMC FAC F "/>
    <x v="0"/>
    <s v="BA405335"/>
    <d v="2033-10-09T00:00:00"/>
    <d v="2019-08-08T00:00:00"/>
    <d v="2019-08-19T00:00:00"/>
    <d v="2019-08-21T00:00:00"/>
    <s v="Approved"/>
    <x v="162"/>
    <d v="2019-09-17T00:00:00"/>
    <d v="2019-09-10T00:00:00"/>
    <s v="No action - reason provided"/>
    <m/>
    <s v=""/>
    <s v=""/>
    <m/>
    <d v="2020-03-09T00:00:00"/>
  </r>
  <r>
    <x v="1"/>
    <s v="Rodriguez"/>
    <s v="J10432"/>
    <n v="11728088"/>
    <s v="CTF FAC C "/>
    <x v="2"/>
    <s v="08NF3676"/>
    <d v="2049-07-06T00:00:00"/>
    <d v="2019-09-05T00:00:00"/>
    <d v="2019-09-17T00:00:00"/>
    <d v="2019-09-20T00:00:00"/>
    <s v="Approved"/>
    <x v="132"/>
    <d v="2019-10-28T00:00:00"/>
    <d v="2019-10-11T00:00:00"/>
    <s v="No action - no reason specified"/>
    <m/>
    <s v=""/>
    <s v=""/>
    <m/>
    <d v="2019-10-29T00:00:00"/>
  </r>
  <r>
    <x v="14"/>
    <s v="Philpott"/>
    <s v="Al9559"/>
    <n v="11376797"/>
    <s v="CIM - Facility C"/>
    <x v="0"/>
    <s v="NA089063  BA388927-01"/>
    <d v="2023-01-17T00:00:00"/>
    <d v="2020-12-08T00:00:00"/>
    <d v="2020-12-08T00:00:00"/>
    <d v="2020-12-08T00:00:00"/>
    <s v="Approved"/>
    <x v="202"/>
    <d v="2021-03-10T00:00:00"/>
    <d v="2021-03-08T00:00:00"/>
    <s v="Released"/>
    <n v="675"/>
    <n v="1.8493150684931507"/>
    <n v="15273.493150684932"/>
    <s v="Release due to covid"/>
    <d v="2021-03-11T00:00:00"/>
  </r>
  <r>
    <x v="14"/>
    <s v="Bernal"/>
    <s v="F40098"/>
    <n v="11146495"/>
    <s v="SQ - Facility A"/>
    <x v="0"/>
    <s v="KA075499"/>
    <d v="2024-02-26T00:00:00"/>
    <d v="2020-12-03T00:00:00"/>
    <d v="2020-12-07T00:00:00"/>
    <d v="2020-12-07T00:00:00"/>
    <s v="Approved"/>
    <x v="203"/>
    <m/>
    <m/>
    <m/>
    <m/>
    <s v=""/>
    <s v=""/>
    <m/>
    <m/>
  </r>
  <r>
    <x v="14"/>
    <s v="Campbell"/>
    <s v="AG4227"/>
    <n v="11068331"/>
    <s v="COR - Facility 03B"/>
    <x v="2"/>
    <s v="10WF0737"/>
    <d v="2025-10-01T00:00:00"/>
    <d v="2020-12-08T00:00:00"/>
    <d v="2020-12-08T00:00:00"/>
    <d v="2020-12-08T00:00:00"/>
    <s v="Approved"/>
    <x v="202"/>
    <d v="2021-02-03T00:00:00"/>
    <d v="2021-01-21T00:00:00"/>
    <s v="Released"/>
    <n v="1784"/>
    <n v="4.8876712328767127"/>
    <n v="40367.27671232877"/>
    <s v="Released 2/4/2021"/>
    <d v="2021-02-03T00:00:00"/>
  </r>
  <r>
    <x v="14"/>
    <s v="Garcia"/>
    <s v="D83108"/>
    <n v="11077330"/>
    <s v="SQ-Facility A"/>
    <x v="46"/>
    <s v="SF05002"/>
    <d v="2048-08-27T00:00:00"/>
    <d v="2020-12-03T00:00:00"/>
    <d v="2020-12-07T00:00:00"/>
    <d v="2020-12-07T00:00:00"/>
    <s v="Approved"/>
    <x v="144"/>
    <m/>
    <m/>
    <m/>
    <m/>
    <s v=""/>
    <s v=""/>
    <m/>
    <m/>
  </r>
  <r>
    <x v="14"/>
    <s v="McDuffie"/>
    <s v="AV2099"/>
    <n v="11379493"/>
    <s v="CHCF-Facility E"/>
    <x v="0"/>
    <s v="MA062873"/>
    <d v="2021-06-16T00:00:00"/>
    <d v="2020-12-08T00:00:00"/>
    <d v="2020-12-08T00:00:00"/>
    <d v="2020-12-08T00:00:00"/>
    <s v="Approved"/>
    <x v="202"/>
    <m/>
    <m/>
    <m/>
    <m/>
    <s v=""/>
    <s v=""/>
    <s v="Inmate Deseased as of 1/9/2021"/>
    <d v="2021-07-30T00:00:00"/>
  </r>
  <r>
    <x v="14"/>
    <s v="Murua"/>
    <s v="T64577"/>
    <n v="11169801"/>
    <s v="SQ-Facility A"/>
    <x v="8"/>
    <s v="RIF100892"/>
    <d v="2022-02-15T00:00:00"/>
    <d v="2020-12-07T00:00:00"/>
    <d v="2020-12-07T00:00:00"/>
    <d v="2020-12-07T00:00:00"/>
    <s v="Approved"/>
    <x v="144"/>
    <m/>
    <m/>
    <m/>
    <m/>
    <s v=""/>
    <s v=""/>
    <m/>
    <m/>
  </r>
  <r>
    <x v="14"/>
    <s v="Wiley"/>
    <s v="BL0560"/>
    <n v="11243607"/>
    <s v="CIM-Facility B"/>
    <x v="29"/>
    <s v="17CR000130"/>
    <d v="2021-07-15T00:00:00"/>
    <d v="2020-12-08T00:00:00"/>
    <d v="2020-12-08T00:00:00"/>
    <d v="2020-12-08T00:00:00"/>
    <s v="Approved"/>
    <x v="202"/>
    <d v="2021-03-12T00:00:00"/>
    <d v="2021-01-12T00:00:00"/>
    <s v="Released"/>
    <n v="183"/>
    <n v="0.50136986301369868"/>
    <n v="4140.813698630137"/>
    <s v="Released 1/13/2021"/>
    <d v="2021-03-12T00:00:00"/>
  </r>
  <r>
    <x v="14"/>
    <s v="Williams"/>
    <s v="AL2123"/>
    <n v="11087383"/>
    <s v="CIM-Facility A"/>
    <x v="9"/>
    <s v="FSB903886"/>
    <d v="2022-11-16T00:00:00"/>
    <d v="2020-12-08T00:00:00"/>
    <d v="2020-12-08T00:00:00"/>
    <d v="2020-12-08T00:00:00"/>
    <s v="Approved"/>
    <x v="202"/>
    <m/>
    <m/>
    <m/>
    <m/>
    <s v=""/>
    <s v=""/>
    <s v="Paroled per BPH"/>
    <d v="2021-05-04T00:00:00"/>
  </r>
  <r>
    <x v="7"/>
    <s v="Stewart"/>
    <s v="K11810"/>
    <n v="11780584"/>
    <s v="SOL - Facility A"/>
    <x v="20"/>
    <n v="22752"/>
    <d v="2042-05-01T00:00:00"/>
    <d v="2020-12-08T00:00:00"/>
    <d v="2020-11-28T00:00:00"/>
    <d v="2020-11-29T00:00:00"/>
    <s v="Declined"/>
    <x v="27"/>
    <m/>
    <m/>
    <m/>
    <m/>
    <s v=""/>
    <s v=""/>
    <m/>
    <m/>
  </r>
  <r>
    <x v="7"/>
    <s v="Maldonado"/>
    <s v="H11234"/>
    <n v="11142747"/>
    <s v="CRC - Facility B"/>
    <x v="0"/>
    <s v="KA053742"/>
    <d v="2024-10-17T00:00:00"/>
    <d v="2020-12-08T00:00:00"/>
    <d v="2020-11-13T00:00:00"/>
    <d v="2020-11-17T00:00:00"/>
    <s v="Approved"/>
    <x v="196"/>
    <m/>
    <m/>
    <m/>
    <m/>
    <s v=""/>
    <s v=""/>
    <m/>
    <m/>
  </r>
  <r>
    <x v="7"/>
    <s v="Crabtree"/>
    <s v="W88649"/>
    <n v="11000892"/>
    <s v="CIW - Facility A"/>
    <x v="9"/>
    <s v="FCF1291"/>
    <d v="2024-04-17T00:00:00"/>
    <d v="2020-12-08T00:00:00"/>
    <d v="2021-12-09T00:00:00"/>
    <d v="2020-12-15T00:00:00"/>
    <s v="Declined"/>
    <x v="27"/>
    <m/>
    <m/>
    <m/>
    <m/>
    <s v=""/>
    <s v=""/>
    <m/>
    <m/>
  </r>
  <r>
    <x v="7"/>
    <s v="Vela"/>
    <s v="T04738"/>
    <n v="11904106"/>
    <s v="ASP - Facility E"/>
    <x v="3"/>
    <n v="6497622"/>
    <d v="2029-05-26T00:00:00"/>
    <d v="2020-12-08T00:00:00"/>
    <d v="2021-01-22T00:00:00"/>
    <d v="2021-01-29T00:00:00"/>
    <s v="Approved"/>
    <x v="166"/>
    <m/>
    <m/>
    <m/>
    <m/>
    <s v=""/>
    <s v=""/>
    <m/>
    <m/>
  </r>
  <r>
    <x v="7"/>
    <s v="Topete"/>
    <s v="WE3186"/>
    <n v="11041464"/>
    <s v="CIW - Facility A"/>
    <x v="21"/>
    <s v="SF116374"/>
    <d v="2023-07-19T00:00:00"/>
    <d v="2020-12-08T00:00:00"/>
    <d v="2021-01-22T00:00:00"/>
    <d v="2021-01-28T00:00:00"/>
    <s v="Approved"/>
    <x v="166"/>
    <m/>
    <m/>
    <m/>
    <m/>
    <s v=""/>
    <s v=""/>
    <m/>
    <m/>
  </r>
  <r>
    <x v="7"/>
    <s v="McNair"/>
    <s v="P91662"/>
    <n v="11895406"/>
    <s v="FOL - Facility A"/>
    <x v="0"/>
    <s v="MA019020"/>
    <d v="2024-01-20T00:00:00"/>
    <d v="2020-11-18T00:00:00"/>
    <d v="2021-01-22T00:00:00"/>
    <d v="2021-01-22T00:00:00"/>
    <s v="Approved"/>
    <x v="166"/>
    <d v="2021-03-08T00:00:00"/>
    <d v="2021-02-18T00:00:00"/>
    <s v="No action - reason provided"/>
    <m/>
    <s v=""/>
    <s v=""/>
    <m/>
    <d v="2021-03-08T00:00:00"/>
  </r>
  <r>
    <x v="7"/>
    <s v="McClendon"/>
    <s v="E50335"/>
    <n v="11523614"/>
    <s v="CMF - Facility B"/>
    <x v="0"/>
    <s v="BA206393"/>
    <d v="2038-02-23T00:00:00"/>
    <d v="2020-12-08T00:00:00"/>
    <m/>
    <d v="2021-04-06T00:00:00"/>
    <s v="Declined"/>
    <x v="27"/>
    <m/>
    <m/>
    <m/>
    <m/>
    <s v=""/>
    <s v=""/>
    <s v="On hold"/>
    <m/>
  </r>
  <r>
    <x v="7"/>
    <s v="Malone"/>
    <s v="T36094"/>
    <n v="11921660"/>
    <s v="CMF - Facility B"/>
    <x v="24"/>
    <n v="200034"/>
    <d v="2031-12-26T00:00:00"/>
    <d v="2020-12-08T00:00:00"/>
    <d v="2021-01-22T00:00:00"/>
    <d v="2021-01-28T00:00:00"/>
    <s v="Approved"/>
    <x v="166"/>
    <m/>
    <m/>
    <m/>
    <m/>
    <s v=""/>
    <s v=""/>
    <m/>
    <m/>
  </r>
  <r>
    <x v="1"/>
    <s v="Wilson"/>
    <s v="E38362"/>
    <n v="11517549"/>
    <s v="SVSP - Central Service"/>
    <x v="0"/>
    <s v="TA035712"/>
    <d v="2034-02-02T00:00:00"/>
    <d v="2020-12-08T00:00:00"/>
    <d v="2020-12-15T00:00:00"/>
    <d v="2020-12-13T00:00:00"/>
    <s v="Declined"/>
    <x v="27"/>
    <m/>
    <m/>
    <m/>
    <m/>
    <s v=""/>
    <s v=""/>
    <m/>
    <m/>
  </r>
  <r>
    <x v="1"/>
    <s v="Padilla"/>
    <s v="D51964"/>
    <n v="11475302"/>
    <s v="COR - Central Service"/>
    <x v="0"/>
    <s v="YA027934"/>
    <d v="2092-09-16T00:00:00"/>
    <d v="2020-12-08T00:00:00"/>
    <d v="2020-12-15T00:00:00"/>
    <d v="2021-02-26T00:00:00"/>
    <m/>
    <x v="27"/>
    <m/>
    <m/>
    <m/>
    <m/>
    <s v=""/>
    <s v=""/>
    <s v="Hold per Secretary Allison 3/17/21"/>
    <m/>
  </r>
  <r>
    <x v="1"/>
    <s v="Rodriguez"/>
    <s v="AX3730"/>
    <n v="12136701"/>
    <s v="VSP - Facility D"/>
    <x v="12"/>
    <s v="B1369383"/>
    <d v="2026-10-26T00:00:00"/>
    <d v="2020-10-08T00:00:00"/>
    <d v="2020-10-15T00:00:00"/>
    <d v="2020-10-16T00:00:00"/>
    <s v="Approved"/>
    <x v="134"/>
    <m/>
    <d v="2021-04-02T00:00:00"/>
    <s v="Pending Court (Date in Notes)"/>
    <m/>
    <s v=""/>
    <s v=""/>
    <m/>
    <m/>
  </r>
  <r>
    <x v="7"/>
    <s v="Broglia"/>
    <s v="WA6103"/>
    <n v="11011687"/>
    <s v="CIW - Facility A"/>
    <x v="0"/>
    <s v="BA362037"/>
    <d v="2024-01-31T00:00:00"/>
    <d v="2020-12-08T00:00:00"/>
    <d v="2021-01-28T00:00:00"/>
    <d v="2021-01-29T00:00:00"/>
    <s v="Approved"/>
    <x v="166"/>
    <m/>
    <m/>
    <m/>
    <m/>
    <s v=""/>
    <s v=""/>
    <m/>
    <m/>
  </r>
  <r>
    <x v="7"/>
    <s v="Cano"/>
    <s v="WA5683"/>
    <n v="11011542"/>
    <s v="CIW - Facility A"/>
    <x v="22"/>
    <s v="JCF19024"/>
    <d v="2040-01-29T00:00:00"/>
    <d v="2020-12-08T00:00:00"/>
    <d v="2020-12-15T00:00:00"/>
    <d v="2020-12-21T00:00:00"/>
    <s v="Approved"/>
    <x v="27"/>
    <m/>
    <m/>
    <m/>
    <m/>
    <s v=""/>
    <s v=""/>
    <s v="Hold per Secretary Allison 1/12/2021"/>
    <m/>
  </r>
  <r>
    <x v="1"/>
    <s v="Rodriguez"/>
    <s v="F67622"/>
    <n v="11589840"/>
    <s v="SQ - Facility A"/>
    <x v="12"/>
    <s v="CC640296"/>
    <d v="2026-10-10T00:00:00"/>
    <d v="2020-11-09T00:00:00"/>
    <d v="2020-12-09T00:00:00"/>
    <d v="2020-12-10T00:00:00"/>
    <s v="Approved"/>
    <x v="142"/>
    <d v="2021-02-11T00:00:00"/>
    <d v="2021-01-07T00:00:00"/>
    <s v="No action - no reason specified"/>
    <m/>
    <s v=""/>
    <s v=""/>
    <m/>
    <d v="2021-02-12T00:00:00"/>
  </r>
  <r>
    <x v="1"/>
    <s v="Rodriguez"/>
    <s v="F94749"/>
    <n v="11606668"/>
    <s v="SQ - Facility A"/>
    <x v="0"/>
    <s v="VA098946"/>
    <d v="2036-04-05T00:00:00"/>
    <d v="2020-11-04T00:00:00"/>
    <d v="2020-12-09T00:00:00"/>
    <d v="2020-12-10T00:00:00"/>
    <s v="Approved"/>
    <x v="142"/>
    <d v="2021-02-25T00:00:00"/>
    <d v="2021-02-08T00:00:00"/>
    <s v="No action - no reason specified"/>
    <m/>
    <s v=""/>
    <s v=""/>
    <m/>
    <d v="2021-02-26T00:00:00"/>
  </r>
  <r>
    <x v="9"/>
    <s v="Watts"/>
    <s v="F78495"/>
    <n v="11106686"/>
    <s v="SOL-Facility C"/>
    <x v="47"/>
    <s v="CR50607"/>
    <s v="07/07/20207"/>
    <d v="2020-12-11T00:00:00"/>
    <d v="2020-12-11T00:00:00"/>
    <d v="2020-12-11T00:00:00"/>
    <s v="Approved"/>
    <x v="202"/>
    <m/>
    <m/>
    <m/>
    <m/>
    <s v=""/>
    <s v=""/>
    <m/>
    <m/>
  </r>
  <r>
    <x v="9"/>
    <s v="White"/>
    <s v="G33734"/>
    <n v="11631052"/>
    <s v="PVSP-Facility A"/>
    <x v="15"/>
    <n v="2007048268"/>
    <d v="2021-08-31T00:00:00"/>
    <d v="2020-12-11T00:00:00"/>
    <d v="2020-12-11T00:00:00"/>
    <d v="2020-12-11T00:00:00"/>
    <s v="Approved"/>
    <x v="202"/>
    <m/>
    <m/>
    <m/>
    <m/>
    <s v=""/>
    <s v=""/>
    <m/>
    <m/>
  </r>
  <r>
    <x v="14"/>
    <s v="Harris"/>
    <s v="BD5064"/>
    <n v="11067802"/>
    <s v="CMC-Facility E"/>
    <x v="8"/>
    <s v="RIF1506439"/>
    <d v="2024-10-12T00:00:00"/>
    <d v="2020-12-08T00:00:00"/>
    <d v="2020-12-08T00:00:00"/>
    <d v="2020-12-08T00:00:00"/>
    <s v="Approved"/>
    <x v="202"/>
    <m/>
    <m/>
    <m/>
    <m/>
    <s v=""/>
    <s v=""/>
    <s v="Released per BPH 5/4/21"/>
    <d v="2021-07-30T00:00:00"/>
  </r>
  <r>
    <x v="14"/>
    <s v="Nguyen"/>
    <s v="G51062"/>
    <n v="11187471"/>
    <s v="SOL-Facility D"/>
    <x v="10"/>
    <s v="SCD211655  SCD206972"/>
    <d v="2025-05-19T00:00:00"/>
    <d v="2020-12-08T00:00:00"/>
    <d v="2020-12-08T00:00:00"/>
    <d v="2020-12-08T00:00:00"/>
    <s v="Approved"/>
    <x v="202"/>
    <d v="2021-05-04T00:00:00"/>
    <d v="2021-04-12T00:00:00"/>
    <s v="Reduced"/>
    <n v="1826"/>
    <n v="5.0027397260273974"/>
    <n v="41317.627397260272"/>
    <m/>
    <d v="2021-05-04T00:00:00"/>
  </r>
  <r>
    <x v="14"/>
    <s v="Robison"/>
    <s v="T43662"/>
    <n v="11149154"/>
    <s v="CIM-Facility D"/>
    <x v="24"/>
    <s v="1026946    1095062"/>
    <d v="2025-12-14T00:00:00"/>
    <d v="2020-12-08T00:00:00"/>
    <d v="2020-12-08T00:00:00"/>
    <d v="2020-12-08T00:00:00"/>
    <s v="Approved"/>
    <x v="202"/>
    <m/>
    <m/>
    <m/>
    <m/>
    <s v=""/>
    <s v=""/>
    <m/>
    <m/>
  </r>
  <r>
    <x v="14"/>
    <s v="Waller"/>
    <s v="C59139"/>
    <n v="11080766"/>
    <s v="CHCF-Facility E"/>
    <x v="3"/>
    <s v="F08907009"/>
    <d v="2024-10-23T00:00:00"/>
    <d v="2020-12-03T00:00:00"/>
    <d v="2020-12-03T00:00:00"/>
    <d v="2020-12-03T00:00:00"/>
    <s v="Approved"/>
    <x v="202"/>
    <d v="2021-05-04T00:00:00"/>
    <d v="2021-03-23T00:00:00"/>
    <s v="No action - reason provided"/>
    <m/>
    <s v=""/>
    <s v=""/>
    <s v="Health conditions pre existing"/>
    <d v="2021-05-04T00:00:00"/>
  </r>
  <r>
    <x v="14"/>
    <s v="Copp"/>
    <s v="AR9139"/>
    <n v="11474154"/>
    <s v="RJD- Facility C"/>
    <x v="0"/>
    <s v="SA079307"/>
    <d v="2026-08-23T00:00:00"/>
    <d v="2020-12-15T00:00:00"/>
    <d v="2020-12-15T00:00:00"/>
    <d v="2020-12-15T00:00:00"/>
    <s v="Approved"/>
    <x v="204"/>
    <d v="2021-03-12T00:00:00"/>
    <d v="2021-02-02T00:00:00"/>
    <s v="Released"/>
    <n v="2019"/>
    <n v="5.5315068493150683"/>
    <n v="45684.715068493155"/>
    <s v="Released on 2/11/2021"/>
    <d v="2021-03-12T00:00:00"/>
  </r>
  <r>
    <x v="14"/>
    <s v="Ward"/>
    <s v="V71757"/>
    <n v="11094849"/>
    <s v="CMF-Facility A"/>
    <x v="0"/>
    <s v="GA057598"/>
    <d v="2028-01-03T00:00:00"/>
    <d v="2020-12-15T00:00:00"/>
    <d v="2020-12-15T00:00:00"/>
    <d v="2020-12-15T00:00:00"/>
    <s v="Approved"/>
    <x v="204"/>
    <d v="2021-02-19T00:00:00"/>
    <d v="2021-02-02T00:00:00"/>
    <s v="Released"/>
    <n v="2515"/>
    <n v="6.8904109589041092"/>
    <n v="56907.904109589042"/>
    <s v="Released on 2/13/2021"/>
    <d v="2021-02-19T00:00:00"/>
  </r>
  <r>
    <x v="14"/>
    <s v="Aguilar"/>
    <s v="AM0128"/>
    <n v="11213738"/>
    <s v="CIM-Facility D"/>
    <x v="15"/>
    <s v="2011045136  2011016334"/>
    <d v="2022-04-07T00:00:00"/>
    <d v="2020-12-15T00:00:00"/>
    <d v="2020-12-15T00:00:00"/>
    <d v="2020-12-15T00:00:00"/>
    <s v="Approved"/>
    <x v="204"/>
    <m/>
    <m/>
    <m/>
    <m/>
    <s v=""/>
    <s v=""/>
    <s v="Inmate Deseased as of 2/1/2021"/>
    <d v="2021-05-04T00:00:00"/>
  </r>
  <r>
    <x v="14"/>
    <s v="Jenkins"/>
    <s v="C45451"/>
    <n v="11089328"/>
    <s v="RJD-Facility C"/>
    <x v="3"/>
    <s v="F14905982"/>
    <d v="2023-10-16T00:00:00"/>
    <d v="2020-12-15T00:00:00"/>
    <d v="2020-12-15T00:00:00"/>
    <d v="2020-12-15T00:00:00"/>
    <s v="Approved"/>
    <x v="204"/>
    <m/>
    <m/>
    <m/>
    <m/>
    <s v=""/>
    <s v=""/>
    <m/>
    <m/>
  </r>
  <r>
    <x v="14"/>
    <s v="Montoya"/>
    <s v="AG8817"/>
    <n v="11069979"/>
    <s v="MCSP-Facility D"/>
    <x v="0"/>
    <s v="KA91542"/>
    <d v="2026-06-29T00:00:00"/>
    <d v="2020-12-15T00:00:00"/>
    <d v="2020-12-15T00:00:00"/>
    <d v="2020-12-15T00:00:00"/>
    <s v="Approved"/>
    <x v="204"/>
    <d v="2021-02-10T00:00:00"/>
    <d v="2021-02-02T00:00:00"/>
    <s v="Released"/>
    <n v="1958"/>
    <n v="5.3643835616438356"/>
    <n v="44304.443835616439"/>
    <s v="Released on 02/17/2021"/>
    <d v="2021-02-10T00:00:00"/>
  </r>
  <r>
    <x v="1"/>
    <s v="Roldan"/>
    <s v="G12162"/>
    <n v="11617510"/>
    <s v="CEN FAC C"/>
    <x v="8"/>
    <s v="RIF116523"/>
    <d v="2035-04-06T00:00:00"/>
    <d v="2019-06-05T00:00:00"/>
    <d v="2019-06-06T00:00:00"/>
    <d v="2019-06-06T00:00:00"/>
    <s v="Approved"/>
    <x v="57"/>
    <d v="2020-01-29T00:00:00"/>
    <d v="2019-12-19T00:00:00"/>
    <s v="Reduced"/>
    <n v="3043"/>
    <n v="8.3369863013698637"/>
    <n v="68855.169863013696"/>
    <m/>
    <d v="2020-01-30T00:00:00"/>
  </r>
  <r>
    <x v="1"/>
    <s v="Romero"/>
    <s v="V98058"/>
    <n v="12015056"/>
    <s v="CHCF FAC C"/>
    <x v="3"/>
    <s v="F05902077"/>
    <d v="2025-12-11T00:00:00"/>
    <d v="2020-01-09T00:00:00"/>
    <d v="2020-01-16T00:00:00"/>
    <d v="2020-01-16T00:00:00"/>
    <s v="Approved"/>
    <x v="190"/>
    <m/>
    <m/>
    <m/>
    <m/>
    <s v=""/>
    <s v=""/>
    <m/>
    <m/>
  </r>
  <r>
    <x v="1"/>
    <s v="Romo"/>
    <s v="AM5770"/>
    <n v="113030857"/>
    <s v="CCC MSF"/>
    <x v="0"/>
    <s v="NA085849"/>
    <d v="2022-05-23T00:00:00"/>
    <d v="2020-01-09T00:00:00"/>
    <d v="2020-01-16T00:00:00"/>
    <d v="2020-01-16T00:00:00"/>
    <s v="Approved"/>
    <x v="205"/>
    <d v="2020-02-24T00:00:00"/>
    <d v="2020-02-05T00:00:00"/>
    <s v="No action - due to plea"/>
    <m/>
    <s v=""/>
    <s v=""/>
    <m/>
    <d v="2020-02-24T00:00:00"/>
  </r>
  <r>
    <x v="1"/>
    <s v="Woods"/>
    <s v="AP4141"/>
    <n v="11315207"/>
    <s v="MCSP - Facility B"/>
    <x v="20"/>
    <s v="H52075"/>
    <d v="2033-10-28T00:00:00"/>
    <d v="2020-12-15T00:00:00"/>
    <d v="2020-12-18T00:00:00"/>
    <d v="2020-12-16T00:00:00"/>
    <s v="Declined"/>
    <x v="27"/>
    <m/>
    <m/>
    <m/>
    <m/>
    <s v=""/>
    <s v=""/>
    <m/>
    <m/>
  </r>
  <r>
    <x v="14"/>
    <s v="Denney"/>
    <s v="E20201"/>
    <n v="11508678"/>
    <s v="SOL - Facility C"/>
    <x v="42"/>
    <n v="161220"/>
    <d v="2033-03-07T00:00:00"/>
    <d v="2020-12-15T00:00:00"/>
    <d v="2020-12-31T00:00:00"/>
    <d v="2021-01-04T00:00:00"/>
    <s v="Approved"/>
    <x v="144"/>
    <m/>
    <m/>
    <m/>
    <m/>
    <s v=""/>
    <s v=""/>
    <m/>
    <m/>
  </r>
  <r>
    <x v="14"/>
    <s v="Schmidt"/>
    <s v="AU0496"/>
    <n v="11480988"/>
    <s v="CIM - Facility D"/>
    <x v="0"/>
    <s v="VA134836"/>
    <d v="2023-06-08T00:00:00"/>
    <d v="2020-12-15T00:00:00"/>
    <d v="2020-12-31T00:00:00"/>
    <d v="2021-01-04T00:00:00"/>
    <s v="Approved"/>
    <x v="144"/>
    <m/>
    <m/>
    <m/>
    <m/>
    <s v=""/>
    <s v=""/>
    <m/>
    <m/>
  </r>
  <r>
    <x v="14"/>
    <s v="Patterson"/>
    <s v="G30681"/>
    <n v="11220804"/>
    <s v="COR - Facility 04B"/>
    <x v="10"/>
    <s v="SCS205684"/>
    <d v="2026-04-14T00:00:00"/>
    <d v="2020-12-15T00:00:00"/>
    <d v="2020-12-31T00:00:00"/>
    <d v="2021-01-04T00:00:00"/>
    <s v="Approved"/>
    <x v="144"/>
    <d v="2021-08-02T00:00:00"/>
    <d v="2021-06-30T00:00:00"/>
    <s v="Released"/>
    <n v="1741"/>
    <n v="4.7698630136986298"/>
    <n v="39394.298630136989"/>
    <s v="Released 7/8/21"/>
    <d v="2021-08-02T00:00:00"/>
  </r>
  <r>
    <x v="14"/>
    <s v="Kennedy "/>
    <s v="C74840"/>
    <n v="11121904"/>
    <s v="CIM - Facility D"/>
    <x v="2"/>
    <s v="01HF1194"/>
    <d v="2026-10-15T00:00:00"/>
    <d v="2020-12-15T00:00:00"/>
    <d v="2020-12-31T00:00:00"/>
    <d v="2021-01-04T00:00:00"/>
    <s v="Approved"/>
    <x v="144"/>
    <m/>
    <m/>
    <m/>
    <m/>
    <s v=""/>
    <s v=""/>
    <m/>
    <m/>
  </r>
  <r>
    <x v="14"/>
    <s v="Simpson"/>
    <s v="F41875"/>
    <n v="11143596"/>
    <s v="SQ - Facility A"/>
    <x v="0"/>
    <s v="GA048148"/>
    <d v="2026-10-07T00:00:00"/>
    <d v="2020-12-15T00:00:00"/>
    <d v="2020-12-31T00:00:00"/>
    <d v="2021-01-04T00:00:00"/>
    <s v="Approved"/>
    <x v="203"/>
    <m/>
    <m/>
    <m/>
    <m/>
    <s v=""/>
    <s v=""/>
    <m/>
    <m/>
  </r>
  <r>
    <x v="14"/>
    <s v="Jones"/>
    <s v="P73061"/>
    <n v="11147332"/>
    <s v="CIM - Facility B"/>
    <x v="0"/>
    <s v="NA102540"/>
    <d v="2029-05-25T00:00:00"/>
    <d v="2020-12-15T00:00:00"/>
    <d v="2020-12-31T00:00:00"/>
    <d v="2021-01-04T00:00:00"/>
    <s v="Approved"/>
    <x v="203"/>
    <m/>
    <m/>
    <m/>
    <m/>
    <s v=""/>
    <s v=""/>
    <m/>
    <m/>
  </r>
  <r>
    <x v="14"/>
    <s v="Burks"/>
    <s v="BA3356"/>
    <n v="11106151"/>
    <s v="CHCF - Facility E"/>
    <x v="0"/>
    <s v="BA436040"/>
    <d v="2022-05-06T00:00:00"/>
    <d v="2020-12-15T00:00:00"/>
    <d v="2020-12-31T00:00:00"/>
    <d v="2021-01-04T00:00:00"/>
    <s v="Approved"/>
    <x v="203"/>
    <d v="2021-05-04T00:00:00"/>
    <d v="2021-04-07T00:00:00"/>
    <s v="Reduced"/>
    <n v="344"/>
    <n v="0.94246575342465755"/>
    <n v="7783.8246575342464"/>
    <s v="Set to release on 5/27/2021"/>
    <d v="2021-05-04T00:00:00"/>
  </r>
  <r>
    <x v="14"/>
    <s v="Birge"/>
    <s v="D90787"/>
    <n v="11494141"/>
    <s v="RJD - Facility C"/>
    <x v="9"/>
    <s v="FWV028748"/>
    <d v="2028-01-28T00:00:00"/>
    <d v="2020-12-15T00:00:00"/>
    <d v="2021-01-07T00:00:00"/>
    <d v="2021-01-20T00:00:00"/>
    <s v="Approved"/>
    <x v="203"/>
    <m/>
    <m/>
    <m/>
    <m/>
    <s v=""/>
    <s v=""/>
    <m/>
    <m/>
  </r>
  <r>
    <x v="14"/>
    <s v="Buchanan"/>
    <s v="F74265"/>
    <n v="11593952"/>
    <s v="RJD - Facility A"/>
    <x v="8"/>
    <s v="RIF1606162"/>
    <d v="2026-06-03T00:00:00"/>
    <d v="2020-12-15T00:00:00"/>
    <d v="2021-01-07T00:00:00"/>
    <d v="2021-01-08T00:00:00"/>
    <s v="Approved"/>
    <x v="144"/>
    <m/>
    <m/>
    <m/>
    <m/>
    <s v=""/>
    <s v=""/>
    <s v="Paroled per BPH"/>
    <d v="2021-05-04T00:00:00"/>
  </r>
  <r>
    <x v="14"/>
    <s v="Carlon"/>
    <s v="E66630"/>
    <n v="11532002"/>
    <s v="MCSP - Facility A"/>
    <x v="8"/>
    <s v="RIF1004142"/>
    <d v="2024-10-04T00:00:00"/>
    <d v="2020-12-15T00:00:00"/>
    <d v="2021-01-07T00:00:00"/>
    <d v="2021-01-27T00:00:00"/>
    <s v="Approved"/>
    <x v="203"/>
    <m/>
    <m/>
    <m/>
    <m/>
    <s v=""/>
    <s v=""/>
    <m/>
    <m/>
  </r>
  <r>
    <x v="14"/>
    <s v="Foster"/>
    <s v="T75763"/>
    <n v="11100627"/>
    <s v="CMF - Facility A"/>
    <x v="0"/>
    <s v="BA233127"/>
    <d v="2028-02-26T00:00:00"/>
    <d v="2020-12-15T00:00:00"/>
    <d v="2021-01-07T00:00:00"/>
    <d v="2021-01-27T00:00:00"/>
    <s v="Approved"/>
    <x v="203"/>
    <d v="2021-05-04T00:00:00"/>
    <d v="2021-04-07T00:00:00"/>
    <s v="Released"/>
    <n v="2509"/>
    <n v="6.8739726027397259"/>
    <n v="56772.139726027403"/>
    <s v="released 4/14/2021"/>
    <d v="2021-05-04T00:00:00"/>
  </r>
  <r>
    <x v="14"/>
    <s v="Grate"/>
    <s v="AS2278"/>
    <n v="11085487"/>
    <s v="SQ - Faciity A"/>
    <x v="37"/>
    <s v="SC076517"/>
    <d v="2022-07-11T00:00:00"/>
    <d v="2020-12-15T00:00:00"/>
    <d v="2021-01-07T00:00:00"/>
    <d v="2021-01-27T00:00:00"/>
    <s v="Approved"/>
    <x v="203"/>
    <m/>
    <m/>
    <m/>
    <m/>
    <s v=""/>
    <s v=""/>
    <m/>
    <m/>
  </r>
  <r>
    <x v="14"/>
    <s v="Williams"/>
    <s v="BD5799"/>
    <n v="11156678"/>
    <s v="SOL - Facility C"/>
    <x v="20"/>
    <n v="619110"/>
    <d v="2023-11-28T00:00:00"/>
    <d v="2020-12-15T00:00:00"/>
    <d v="2021-01-07T00:00:00"/>
    <d v="2021-01-27T00:00:00"/>
    <s v="Approved"/>
    <x v="203"/>
    <m/>
    <m/>
    <m/>
    <m/>
    <s v=""/>
    <s v=""/>
    <m/>
    <m/>
  </r>
  <r>
    <x v="14"/>
    <s v="Woolf"/>
    <s v="BB3064"/>
    <n v="11159861"/>
    <s v="CIM - Facility D"/>
    <x v="0"/>
    <s v="BA441438"/>
    <d v="2022-09-16T00:00:00"/>
    <d v="2020-12-15T00:00:00"/>
    <d v="2021-01-07T00:00:00"/>
    <d v="2021-01-27T00:00:00"/>
    <s v="Approved"/>
    <x v="203"/>
    <m/>
    <m/>
    <m/>
    <m/>
    <s v=""/>
    <s v=""/>
    <m/>
    <m/>
  </r>
  <r>
    <x v="14"/>
    <s v="Cisneros"/>
    <s v="WE7745"/>
    <n v="10226758"/>
    <s v="CCWF - Facility C"/>
    <x v="0"/>
    <s v="BA412721"/>
    <d v="2022-07-25T00:00:00"/>
    <d v="2020-12-16T00:00:00"/>
    <d v="2020-12-16T00:00:00"/>
    <d v="2020-12-17T00:00:00"/>
    <s v="Declined"/>
    <x v="27"/>
    <m/>
    <m/>
    <m/>
    <m/>
    <s v=""/>
    <s v=""/>
    <m/>
    <m/>
  </r>
  <r>
    <x v="14"/>
    <s v="Crowder"/>
    <s v="V61882"/>
    <n v="11099444"/>
    <s v="RJD - Facility E"/>
    <x v="0"/>
    <s v="BA235523"/>
    <d v="2023-03-16T00:00:00"/>
    <d v="2020-12-16T00:00:00"/>
    <d v="2020-12-16T00:00:00"/>
    <d v="2020-12-17T00:00:00"/>
    <s v="Declined"/>
    <x v="27"/>
    <m/>
    <m/>
    <m/>
    <m/>
    <s v=""/>
    <s v=""/>
    <m/>
    <m/>
  </r>
  <r>
    <x v="7"/>
    <s v="Hurtado"/>
    <s v="AA4741"/>
    <n v="11324296"/>
    <s v="SVSP - Faility A"/>
    <x v="20"/>
    <n v="152831"/>
    <d v="2028-11-17T00:00:00"/>
    <d v="2020-11-09T00:00:00"/>
    <d v="2021-01-22T00:00:00"/>
    <d v="2021-01-23T00:00:00"/>
    <s v="Approved"/>
    <x v="166"/>
    <m/>
    <m/>
    <m/>
    <m/>
    <s v=""/>
    <s v=""/>
    <m/>
    <m/>
  </r>
  <r>
    <x v="14"/>
    <s v="Schwentke"/>
    <s v="AZ4458"/>
    <n v="11143410"/>
    <s v="SATF - Facility A"/>
    <x v="8"/>
    <s v="RIF1506087"/>
    <d v="2026-10-14T00:00:00"/>
    <d v="2021-01-12T00:00:00"/>
    <d v="2021-01-13T00:00:00"/>
    <d v="2021-01-18T00:00:00"/>
    <s v="Approved"/>
    <x v="203"/>
    <d v="2021-05-07T00:00:00"/>
    <d v="2021-03-24T00:00:00"/>
    <s v="No action - no reason specified"/>
    <m/>
    <s v=""/>
    <s v=""/>
    <s v="not in the interest of Justice"/>
    <d v="2021-05-07T00:00:00"/>
  </r>
  <r>
    <x v="14"/>
    <s v="Thomas "/>
    <s v="AF6493"/>
    <n v="11065379"/>
    <s v="RJD - Facility C"/>
    <x v="0"/>
    <s v="BA287334"/>
    <d v="2024-10-26T00:00:00"/>
    <d v="2021-01-12T00:00:00"/>
    <d v="2021-01-27T00:00:00"/>
    <d v="2021-02-01T00:00:00"/>
    <s v="Approved"/>
    <x v="166"/>
    <m/>
    <m/>
    <m/>
    <m/>
    <s v=""/>
    <s v=""/>
    <m/>
    <m/>
  </r>
  <r>
    <x v="14"/>
    <s v="Daniels"/>
    <s v="F84408"/>
    <n v="11158837"/>
    <s v="CIM - Facility B"/>
    <x v="0"/>
    <s v="BA310476"/>
    <d v="2025-09-30T00:00:00"/>
    <d v="2021-01-12T00:00:00"/>
    <d v="2021-01-27T00:00:00"/>
    <d v="2021-02-01T00:00:00"/>
    <s v="Declined"/>
    <x v="27"/>
    <m/>
    <m/>
    <m/>
    <m/>
    <s v=""/>
    <s v=""/>
    <m/>
    <m/>
  </r>
  <r>
    <x v="14"/>
    <s v="Chapman"/>
    <s v="G37753"/>
    <n v="11125389"/>
    <s v="FOL - Facility A"/>
    <x v="37"/>
    <s v="SC080019"/>
    <d v="2022-04-30T00:00:00"/>
    <d v="2021-01-12T00:00:00"/>
    <d v="2021-01-28T00:00:00"/>
    <d v="2021-01-29T00:00:00"/>
    <s v="Approved"/>
    <x v="166"/>
    <m/>
    <m/>
    <m/>
    <m/>
    <s v=""/>
    <s v=""/>
    <m/>
    <m/>
  </r>
  <r>
    <x v="14"/>
    <s v="Brewer"/>
    <s v="J37127"/>
    <n v="11741841"/>
    <s v="RJD - Facility C"/>
    <x v="18"/>
    <n v="50103556"/>
    <d v="2022-05-14T00:00:00"/>
    <d v="2021-01-12T00:00:00"/>
    <d v="2021-01-27T00:00:00"/>
    <d v="2021-01-29T00:00:00"/>
    <s v="Declined"/>
    <x v="27"/>
    <m/>
    <m/>
    <m/>
    <m/>
    <s v=""/>
    <s v=""/>
    <m/>
    <m/>
  </r>
  <r>
    <x v="14"/>
    <s v="Scott "/>
    <s v="T82253"/>
    <n v="11172060"/>
    <s v="CIM - Facility D"/>
    <x v="0"/>
    <s v="GA048192"/>
    <d v="2027-05-30T00:00:00"/>
    <d v="2021-01-12T00:00:00"/>
    <d v="2021-01-17T00:00:00"/>
    <d v="2021-01-21T00:00:00"/>
    <s v="Approved"/>
    <x v="166"/>
    <m/>
    <m/>
    <m/>
    <m/>
    <s v=""/>
    <s v=""/>
    <m/>
    <m/>
  </r>
  <r>
    <x v="14"/>
    <s v="Pimental"/>
    <s v="F85094"/>
    <n v="11109387"/>
    <s v="CCI - Facility E"/>
    <x v="0"/>
    <s v="PA055206"/>
    <d v="2030-02-28T00:00:00"/>
    <d v="2021-01-12T00:00:00"/>
    <d v="2021-01-27T00:00:00"/>
    <d v="2021-01-28T00:00:00"/>
    <s v="Approved"/>
    <x v="166"/>
    <m/>
    <m/>
    <m/>
    <m/>
    <s v=""/>
    <s v=""/>
    <m/>
    <m/>
  </r>
  <r>
    <x v="14"/>
    <s v="Jackson"/>
    <s v="P95221"/>
    <n v="11897375"/>
    <s v="SQ - Facility B"/>
    <x v="0"/>
    <s v="SA070741"/>
    <d v="2023-08-07T00:00:00"/>
    <d v="2021-01-12T00:00:00"/>
    <d v="2021-01-27T00:00:00"/>
    <d v="2021-01-28T00:00:00"/>
    <s v="Approved"/>
    <x v="203"/>
    <d v="2021-05-04T00:00:00"/>
    <d v="2021-04-06T00:00:00"/>
    <s v="Released"/>
    <n v="844"/>
    <n v="2.3123287671232875"/>
    <n v="19097.523287671233"/>
    <s v="release 4/15/21"/>
    <d v="2021-05-04T00:00:00"/>
  </r>
  <r>
    <x v="14"/>
    <s v="Bateman"/>
    <s v="D83985"/>
    <n v="11490727"/>
    <s v="CIM - Facility A"/>
    <x v="0"/>
    <s v="YA064741"/>
    <d v="2027-02-07T00:00:00"/>
    <d v="2021-01-12T00:00:00"/>
    <d v="2021-01-27T00:00:00"/>
    <d v="2021-01-28T00:00:00"/>
    <s v="Approved"/>
    <x v="203"/>
    <m/>
    <m/>
    <m/>
    <m/>
    <s v=""/>
    <s v=""/>
    <m/>
    <m/>
  </r>
  <r>
    <x v="14"/>
    <s v="Boston"/>
    <s v="D51060"/>
    <n v="11474868"/>
    <s v="SQ - Facility B"/>
    <x v="0"/>
    <s v="SA068062"/>
    <d v="2024-01-10T00:00:00"/>
    <d v="2021-01-12T00:00:00"/>
    <d v="2021-01-27T00:00:00"/>
    <d v="2021-01-28T00:00:00"/>
    <s v="Approved"/>
    <x v="203"/>
    <d v="2021-05-04T00:00:00"/>
    <d v="2021-04-06T00:00:00"/>
    <s v="Released"/>
    <n v="995"/>
    <n v="2.7260273972602738"/>
    <n v="22514.260273972603"/>
    <s v="released 4/20/21"/>
    <d v="2021-05-04T00:00:00"/>
  </r>
  <r>
    <x v="14"/>
    <s v="Perez"/>
    <s v="D24079"/>
    <n v="11461602"/>
    <s v="PVSP - MSF"/>
    <x v="0"/>
    <s v="GA046927"/>
    <d v="2023-03-06T00:00:00"/>
    <d v="2021-01-12T00:00:00"/>
    <d v="2021-01-25T00:00:00"/>
    <d v="2021-01-26T00:00:00"/>
    <s v="Approved"/>
    <x v="203"/>
    <d v="2021-08-02T00:00:00"/>
    <d v="2021-06-29T00:00:00"/>
    <s v="Released"/>
    <n v="606"/>
    <n v="1.6602739726027398"/>
    <n v="13712.202739726028"/>
    <s v="Released 7/8/21"/>
    <d v="2021-08-02T00:00:00"/>
  </r>
  <r>
    <x v="14"/>
    <s v="Flores"/>
    <s v="WF8177"/>
    <n v="10996812"/>
    <s v="CIW - Facility A"/>
    <x v="9"/>
    <s v="FSB1504352"/>
    <d v="2022-07-20T00:00:00"/>
    <d v="2021-01-12T00:00:00"/>
    <d v="2021-01-25T00:00:00"/>
    <d v="2021-01-26T00:00:00"/>
    <s v="Approved"/>
    <x v="206"/>
    <d v="2021-05-06T00:00:00"/>
    <d v="2021-03-15T00:00:00"/>
    <s v="No action - no reason specified"/>
    <m/>
    <s v=""/>
    <s v=""/>
    <m/>
    <d v="2021-05-07T00:00:00"/>
  </r>
  <r>
    <x v="14"/>
    <s v="Lee"/>
    <s v="AT5083"/>
    <n v="11693256"/>
    <s v="CMC - Facility D"/>
    <x v="2"/>
    <s v="12WF1633"/>
    <d v="2028-10-19T00:00:00"/>
    <d v="2021-01-12T00:00:00"/>
    <d v="2021-01-25T00:00:00"/>
    <d v="2021-01-26T00:00:00"/>
    <s v="Approved"/>
    <x v="206"/>
    <m/>
    <m/>
    <m/>
    <m/>
    <s v=""/>
    <s v=""/>
    <m/>
    <m/>
  </r>
  <r>
    <x v="14"/>
    <s v="Swait"/>
    <s v="D59113"/>
    <n v="11092448"/>
    <s v="SATF - Facility F"/>
    <x v="0"/>
    <s v="SA044542"/>
    <d v="2022-05-13T00:00:00"/>
    <d v="2021-01-12T00:00:00"/>
    <d v="2021-01-25T00:00:00"/>
    <d v="2021-01-26T00:00:00"/>
    <s v="Approved"/>
    <x v="206"/>
    <d v="2021-06-15T00:00:00"/>
    <d v="2021-06-10T00:00:00"/>
    <s v="Released"/>
    <n v="325"/>
    <n v="0.8904109589041096"/>
    <n v="7353.9041095890416"/>
    <s v="Released 6/22/21"/>
    <d v="2021-07-01T00:00:00"/>
  </r>
  <r>
    <x v="14"/>
    <s v="Quinn"/>
    <s v="AP2431"/>
    <n v="11314182"/>
    <s v="CHCF - Facility A"/>
    <x v="31"/>
    <s v="12F8539"/>
    <d v="2023-01-22T00:00:00"/>
    <d v="2021-01-12T00:00:00"/>
    <d v="2021-01-25T00:00:00"/>
    <d v="2021-01-26T00:00:00"/>
    <s v="Approved"/>
    <x v="206"/>
    <m/>
    <m/>
    <m/>
    <m/>
    <s v=""/>
    <s v=""/>
    <m/>
    <m/>
  </r>
  <r>
    <x v="14"/>
    <s v="Bolton"/>
    <s v="AT9424"/>
    <n v="11774185"/>
    <s v="CTF - Facility C"/>
    <x v="0"/>
    <s v="BA421353"/>
    <d v="2026-04-17T00:00:00"/>
    <d v="2021-01-12T00:00:00"/>
    <d v="2021-01-25T00:00:00"/>
    <d v="2021-01-26T00:00:00"/>
    <s v="Approved"/>
    <x v="206"/>
    <d v="2021-08-02T00:00:00"/>
    <d v="2021-07-13T00:00:00"/>
    <s v="Reduced"/>
    <n v="1678"/>
    <n v="4.5972602739726032"/>
    <n v="37968.772602739729"/>
    <m/>
    <d v="2021-08-02T00:00:00"/>
  </r>
  <r>
    <x v="14"/>
    <s v="Ochoa"/>
    <s v="BE7016"/>
    <n v="11806628"/>
    <s v="SCC - Faciliy C"/>
    <x v="12"/>
    <s v="C1474079"/>
    <d v="2028-09-06T00:00:00"/>
    <d v="2021-01-12T00:00:00"/>
    <d v="2021-01-25T00:00:00"/>
    <d v="2021-01-26T00:00:00"/>
    <s v="Approved"/>
    <x v="206"/>
    <m/>
    <d v="2021-09-17T00:00:00"/>
    <s v="Pending Court (Date in Notes)"/>
    <m/>
    <s v=""/>
    <s v=""/>
    <m/>
    <m/>
  </r>
  <r>
    <x v="14"/>
    <s v="Cavanas "/>
    <s v="BD5762"/>
    <n v="11514481"/>
    <s v="CIM - Facility D"/>
    <x v="10"/>
    <s v="SCD271546"/>
    <d v="2022-06-14T00:00:00"/>
    <d v="2021-01-12T00:00:00"/>
    <d v="2021-01-28T00:00:00"/>
    <d v="2021-01-29T00:00:00"/>
    <s v="Approved"/>
    <x v="166"/>
    <d v="2021-05-04T00:00:00"/>
    <d v="2021-03-08T00:00:00"/>
    <s v="Released"/>
    <n v="448"/>
    <n v="1.2273972602739727"/>
    <n v="10137.07397260274"/>
    <s v="Released on 3/23/21"/>
    <d v="2021-05-04T00:00:00"/>
  </r>
  <r>
    <x v="14"/>
    <s v="Velasquez "/>
    <s v="AK7230"/>
    <n v="11124812"/>
    <s v="CIM - Faciltiy D"/>
    <x v="13"/>
    <s v="BF137599"/>
    <d v="2027-08-27T00:00:00"/>
    <d v="2021-01-12T00:00:00"/>
    <d v="2021-01-25T00:00:00"/>
    <d v="2021-01-26T00:00:00"/>
    <s v="Approved"/>
    <x v="206"/>
    <m/>
    <m/>
    <m/>
    <m/>
    <s v=""/>
    <s v=""/>
    <m/>
    <m/>
  </r>
  <r>
    <x v="14"/>
    <s v="Quezada "/>
    <s v="AC1166"/>
    <n v="11334772"/>
    <s v="SQ - Facility A"/>
    <x v="20"/>
    <s v="H47623"/>
    <d v="2028-05-06T00:00:00"/>
    <d v="2021-01-12T00:00:00"/>
    <d v="2021-01-25T00:00:00"/>
    <d v="2021-01-26T00:00:00"/>
    <s v="Approved"/>
    <x v="206"/>
    <m/>
    <d v="2021-06-16T00:00:00"/>
    <s v="Pending Court (Date in Notes)"/>
    <m/>
    <s v=""/>
    <s v=""/>
    <m/>
    <m/>
  </r>
  <r>
    <x v="14"/>
    <s v="Sanders"/>
    <s v="AV0912"/>
    <n v="11134708"/>
    <s v="MCSP - Facility C"/>
    <x v="13"/>
    <s v="RF005885A"/>
    <d v="2022-04-14T00:00:00"/>
    <d v="2021-01-12T00:00:00"/>
    <d v="2021-01-13T00:00:00"/>
    <d v="2021-01-14T00:00:00"/>
    <s v="Declined"/>
    <x v="27"/>
    <m/>
    <m/>
    <m/>
    <m/>
    <s v=""/>
    <s v=""/>
    <m/>
    <m/>
  </r>
  <r>
    <x v="14"/>
    <s v="Scott "/>
    <s v="F02475"/>
    <n v="11192247"/>
    <s v="MCSP - Facility D"/>
    <x v="0"/>
    <s v="YA067477"/>
    <d v="2027-12-31T00:00:00"/>
    <d v="2021-01-12T00:00:00"/>
    <d v="2021-01-25T00:00:00"/>
    <d v="2021-01-26T00:00:00"/>
    <s v="Approved"/>
    <x v="206"/>
    <d v="2021-06-17T00:00:00"/>
    <d v="2021-06-03T00:00:00"/>
    <s v="Released"/>
    <n v="2383"/>
    <n v="6.5287671232876709"/>
    <n v="53921.087671232875"/>
    <s v="released 6/22/21"/>
    <d v="2021-07-01T00:00:00"/>
  </r>
  <r>
    <x v="14"/>
    <s v="Pruitt"/>
    <s v="E24795"/>
    <n v="11511085"/>
    <s v="MCSP - Facility D"/>
    <x v="17"/>
    <s v="10F06215"/>
    <d v="2034-06-24T00:00:00"/>
    <d v="2021-01-12T00:00:00"/>
    <d v="2021-01-28T00:00:00"/>
    <d v="2021-01-29T00:00:00"/>
    <s v="Approved"/>
    <x v="166"/>
    <d v="2021-06-17T00:00:00"/>
    <d v="2021-03-09T00:00:00"/>
    <s v="No action - reason provided"/>
    <m/>
    <s v=""/>
    <s v=""/>
    <s v="criminal history "/>
    <d v="2021-06-17T00:00:00"/>
  </r>
  <r>
    <x v="14"/>
    <s v="Bryant"/>
    <s v="H52664"/>
    <n v="11679829"/>
    <s v="CHCF - Facility D"/>
    <x v="0"/>
    <s v="BA394355"/>
    <d v="2024-01-08T00:00:00"/>
    <d v="2021-01-12T00:00:00"/>
    <d v="2021-01-27T00:00:00"/>
    <d v="2021-01-28T00:00:00"/>
    <s v="Approved"/>
    <x v="166"/>
    <m/>
    <m/>
    <m/>
    <m/>
    <s v=""/>
    <s v=""/>
    <m/>
    <m/>
  </r>
  <r>
    <x v="14"/>
    <s v="Polk"/>
    <s v="H01542"/>
    <n v="11653833"/>
    <s v="RJD - Facility B"/>
    <x v="0"/>
    <s v="LA025137"/>
    <d v="2025-05-08T00:00:00"/>
    <d v="2021-01-12T00:00:00"/>
    <d v="2021-01-13T00:00:00"/>
    <d v="2021-01-14T00:00:00"/>
    <s v="Approved"/>
    <x v="206"/>
    <m/>
    <m/>
    <m/>
    <m/>
    <s v=""/>
    <s v=""/>
    <m/>
    <m/>
  </r>
  <r>
    <x v="1"/>
    <s v="Roots"/>
    <s v="AC5553"/>
    <n v="11054345"/>
    <s v="CMF - Facility A"/>
    <x v="17"/>
    <s v="08F04879"/>
    <d v="2023-06-07T00:00:00"/>
    <d v="2020-12-15T00:00:00"/>
    <d v="2020-12-18T00:00:00"/>
    <d v="2020-12-16T00:00:00"/>
    <s v="Approved"/>
    <x v="207"/>
    <m/>
    <m/>
    <m/>
    <m/>
    <s v=""/>
    <s v=""/>
    <m/>
    <m/>
  </r>
  <r>
    <x v="1"/>
    <s v="Royzman"/>
    <s v="AM6676"/>
    <n v="11998053"/>
    <s v="RJD - Facility A"/>
    <x v="0"/>
    <s v="LA064769"/>
    <d v="2025-08-01T00:00:00"/>
    <d v="2020-10-13T00:00:00"/>
    <d v="2020-11-04T00:00:00"/>
    <d v="2020-11-09T00:00:00"/>
    <s v="Approved"/>
    <x v="104"/>
    <m/>
    <m/>
    <m/>
    <m/>
    <s v=""/>
    <s v=""/>
    <m/>
    <m/>
  </r>
  <r>
    <x v="14"/>
    <s v="Clark"/>
    <s v="V37262"/>
    <n v="11117687"/>
    <s v="VSP - Facility D"/>
    <x v="8"/>
    <s v="RIF112169"/>
    <d v="2024-03-20T00:00:00"/>
    <d v="2021-01-12T00:00:00"/>
    <d v="2021-01-25T00:00:00"/>
    <d v="2021-01-26T00:00:00"/>
    <s v="Approved"/>
    <x v="206"/>
    <m/>
    <m/>
    <m/>
    <m/>
    <s v=""/>
    <s v=""/>
    <m/>
    <m/>
  </r>
  <r>
    <x v="14"/>
    <s v="Todd "/>
    <s v="WF5262"/>
    <n v="10246654"/>
    <s v="CCWF - Facility B"/>
    <x v="0"/>
    <s v="NA101096"/>
    <d v="2030-04-09T00:00:00"/>
    <d v="2021-01-12T00:00:00"/>
    <d v="2021-01-25T00:00:00"/>
    <d v="2021-01-26T00:00:00"/>
    <s v="Approved"/>
    <x v="206"/>
    <m/>
    <m/>
    <m/>
    <m/>
    <s v=""/>
    <s v=""/>
    <m/>
    <m/>
  </r>
  <r>
    <x v="14"/>
    <s v="Sulkey"/>
    <s v="V93706"/>
    <n v="11130327"/>
    <s v="COR - Central Service"/>
    <x v="0"/>
    <s v="KA071397"/>
    <d v="2023-12-21T00:00:00"/>
    <d v="2021-01-12T00:00:00"/>
    <d v="2021-01-25T00:00:00"/>
    <d v="2021-01-26T00:00:00"/>
    <s v="Approved"/>
    <x v="206"/>
    <m/>
    <m/>
    <m/>
    <m/>
    <s v=""/>
    <s v=""/>
    <m/>
    <m/>
  </r>
  <r>
    <x v="7"/>
    <s v="Hernandez "/>
    <s v="J86435"/>
    <n v="11767182"/>
    <s v="CTF - Facility C"/>
    <x v="2"/>
    <s v="94WF1745"/>
    <d v="2126-01-02T00:00:00"/>
    <d v="2021-01-12T00:00:00"/>
    <d v="2021-02-15T00:00:00"/>
    <d v="2021-03-03T00:00:00"/>
    <s v="Approved"/>
    <x v="174"/>
    <d v="2021-06-28T00:00:00"/>
    <d v="2021-05-04T00:00:00"/>
    <s v="No action - no reason specified"/>
    <m/>
    <s v=""/>
    <s v=""/>
    <m/>
    <d v="2021-06-28T00:00:00"/>
  </r>
  <r>
    <x v="1"/>
    <s v="Rubio"/>
    <s v="AI9319"/>
    <s v="00AI9319"/>
    <s v="CIM-Facility D"/>
    <x v="2"/>
    <s v="09WF0015"/>
    <d v="2024-07-31T00:00:00"/>
    <d v="2019-01-29T00:00:00"/>
    <d v="2019-02-12T00:00:00"/>
    <d v="2019-02-19T00:00:00"/>
    <s v="Approved"/>
    <x v="120"/>
    <d v="2019-10-04T00:00:00"/>
    <d v="2019-09-17T00:00:00"/>
    <s v="No action - no reason specified"/>
    <m/>
    <s v=""/>
    <s v=""/>
    <m/>
    <d v="2019-10-07T00:00:00"/>
  </r>
  <r>
    <x v="7"/>
    <s v="Crowell"/>
    <s v="K24042"/>
    <n v="11787069"/>
    <s v="PBSP - Facility D"/>
    <x v="31"/>
    <s v="06F715"/>
    <d v="2031-05-06T00:00:00"/>
    <d v="2021-01-12T00:00:00"/>
    <d v="2021-02-24T00:00:00"/>
    <d v="2021-03-03T00:00:00"/>
    <s v="Approved"/>
    <x v="174"/>
    <m/>
    <m/>
    <m/>
    <m/>
    <s v=""/>
    <s v=""/>
    <m/>
    <m/>
  </r>
  <r>
    <x v="7"/>
    <s v="Trevizo "/>
    <s v="V53598"/>
    <n v="11989320"/>
    <s v="CMF - Facility A"/>
    <x v="11"/>
    <s v="DCF128659"/>
    <d v="2028-06-29T00:00:00"/>
    <d v="2021-01-12T00:00:00"/>
    <d v="2021-02-15T00:00:00"/>
    <d v="2021-03-03T00:00:00"/>
    <s v="Approved"/>
    <x v="174"/>
    <m/>
    <m/>
    <m/>
    <m/>
    <s v=""/>
    <s v=""/>
    <m/>
    <m/>
  </r>
  <r>
    <x v="7"/>
    <s v="Wash"/>
    <s v="T68036"/>
    <n v="11120428"/>
    <s v="FOL - Facility A"/>
    <x v="20"/>
    <s v="H31435"/>
    <d v="2035-09-29T00:00:00"/>
    <d v="2021-01-12T00:00:00"/>
    <m/>
    <m/>
    <m/>
    <x v="27"/>
    <m/>
    <m/>
    <m/>
    <m/>
    <s v=""/>
    <s v=""/>
    <s v="On Hold - Potential EDD Fraud Case"/>
    <m/>
  </r>
  <r>
    <x v="7"/>
    <s v="Lugo"/>
    <s v="T94501"/>
    <n v="11954790"/>
    <s v="ASP - Facility E"/>
    <x v="0"/>
    <s v="TA102418"/>
    <d v="2023-12-29T00:00:00"/>
    <d v="2021-01-12T00:00:00"/>
    <d v="2021-03-01T00:00:00"/>
    <d v="2021-03-03T00:00:00"/>
    <s v="Approved"/>
    <x v="174"/>
    <m/>
    <m/>
    <m/>
    <m/>
    <s v=""/>
    <s v=""/>
    <m/>
    <m/>
  </r>
  <r>
    <x v="14"/>
    <s v="Cassidy"/>
    <s v="B97737"/>
    <n v="11094936"/>
    <s v="CHCF - Facility E"/>
    <x v="42"/>
    <n v="195758"/>
    <d v="2026-04-27T00:00:00"/>
    <d v="2021-01-12T00:00:00"/>
    <d v="2020-12-15T00:00:00"/>
    <d v="2021-02-11T00:00:00"/>
    <s v="Approved"/>
    <x v="84"/>
    <m/>
    <m/>
    <m/>
    <m/>
    <s v=""/>
    <s v=""/>
    <m/>
    <m/>
  </r>
  <r>
    <x v="14"/>
    <s v="Wisecarver"/>
    <s v="D60119"/>
    <n v="11479194"/>
    <s v="SHS - Coalinga State Hospital "/>
    <x v="0"/>
    <s v="LA066620"/>
    <d v="2023-11-06T00:00:00"/>
    <d v="2021-01-12T00:00:00"/>
    <d v="2020-12-15T00:00:00"/>
    <d v="2020-12-15T00:00:00"/>
    <s v="Approved"/>
    <x v="208"/>
    <m/>
    <m/>
    <m/>
    <m/>
    <s v=""/>
    <s v=""/>
    <m/>
    <m/>
  </r>
  <r>
    <x v="14"/>
    <s v="Amaya"/>
    <s v="G34455"/>
    <n v="11631500"/>
    <s v="CEN - Central Service"/>
    <x v="0"/>
    <s v="KA095613"/>
    <d v="2024-08-20T00:00:00"/>
    <d v="2021-01-12T00:00:00"/>
    <d v="2020-12-15T00:00:00"/>
    <d v="2020-12-15T00:00:00"/>
    <s v="Approved"/>
    <x v="208"/>
    <d v="2021-02-16T00:00:00"/>
    <d v="2021-02-04T00:00:00"/>
    <s v="Released"/>
    <n v="1278"/>
    <n v="3.5013698630136987"/>
    <n v="28917.813698630136"/>
    <s v="Released 2/19/2021"/>
    <d v="2021-02-19T00:00:00"/>
  </r>
  <r>
    <x v="14"/>
    <s v="Garner"/>
    <s v="V28171"/>
    <n v="11286013"/>
    <s v="SHS - Atascadero State Hospital"/>
    <x v="3"/>
    <s v="F03907076"/>
    <d v="2022-01-29T00:00:00"/>
    <d v="2021-01-12T00:00:00"/>
    <d v="2020-12-15T00:00:00"/>
    <d v="2020-12-15T00:00:00"/>
    <s v="Approved"/>
    <x v="208"/>
    <m/>
    <m/>
    <m/>
    <m/>
    <s v=""/>
    <s v=""/>
    <m/>
    <m/>
  </r>
  <r>
    <x v="14"/>
    <s v="Jefferson"/>
    <s v="AL4767"/>
    <n v="11296564"/>
    <s v="CIM - Facility D"/>
    <x v="0"/>
    <s v="YA076403"/>
    <d v="2030-10-26T00:00:00"/>
    <d v="2021-01-12T00:00:00"/>
    <d v="2020-12-15T00:00:00"/>
    <d v="2020-12-15T00:00:00"/>
    <s v="Approved"/>
    <x v="208"/>
    <d v="2021-03-24T00:00:00"/>
    <d v="2021-03-04T00:00:00"/>
    <s v="Released"/>
    <n v="3514"/>
    <n v="9.6273972602739732"/>
    <n v="79512.673972602744"/>
    <s v="Released 3/13/2021"/>
    <d v="2021-03-25T00:00:00"/>
  </r>
  <r>
    <x v="14"/>
    <s v="Aguilar "/>
    <s v="T90107"/>
    <n v="11229744"/>
    <s v="SATF - Facility A"/>
    <x v="3"/>
    <n v="6714828"/>
    <d v="2022-02-08T00:00:00"/>
    <d v="2021-01-12T00:00:00"/>
    <d v="2020-12-15T00:00:00"/>
    <d v="2020-12-15T00:00:00"/>
    <s v="Approved"/>
    <x v="208"/>
    <m/>
    <m/>
    <m/>
    <m/>
    <s v=""/>
    <s v=""/>
    <m/>
    <m/>
  </r>
  <r>
    <x v="14"/>
    <s v="Fairley"/>
    <s v="J12733"/>
    <n v="11102529"/>
    <s v="PBSP - Facility B"/>
    <x v="0"/>
    <s v="GA047819"/>
    <d v="2027-04-21T00:00:00"/>
    <d v="2021-01-12T00:00:00"/>
    <d v="2020-12-15T00:00:00"/>
    <d v="2020-12-15T00:00:00"/>
    <s v="Approved"/>
    <x v="208"/>
    <d v="2021-02-05T00:00:00"/>
    <d v="2021-02-04T00:00:00"/>
    <s v="Released"/>
    <n v="5478.75"/>
    <n v="15.010273972602739"/>
    <n v="123969.85273972603"/>
    <s v="Released 02/08/2021"/>
    <d v="2021-02-05T00:00:00"/>
  </r>
  <r>
    <x v="14"/>
    <s v="Day"/>
    <s v="AB8854"/>
    <n v="11051991"/>
    <s v="SOL - Facility C"/>
    <x v="0"/>
    <s v="GA076835"/>
    <d v="2033-08-22T00:00:00"/>
    <d v="2021-01-12T00:00:00"/>
    <d v="2020-12-15T00:00:00"/>
    <d v="2020-12-15T00:00:00"/>
    <s v="Approved"/>
    <x v="208"/>
    <d v="2021-03-08T00:00:00"/>
    <d v="2021-03-04T00:00:00"/>
    <s v="Released"/>
    <n v="4546"/>
    <n v="12.454794520547946"/>
    <n v="102864.14794520548"/>
    <s v="Release on 3/12/2021 due to covid"/>
    <d v="2021-03-08T00:00:00"/>
  </r>
  <r>
    <x v="14"/>
    <s v="Santoyo"/>
    <s v="AG1805"/>
    <n v="11360016"/>
    <s v="MCSP - Facility E"/>
    <x v="15"/>
    <n v="2008012962"/>
    <d v="2023-12-18T00:00:00"/>
    <d v="2021-01-12T00:00:00"/>
    <d v="2020-12-15T00:00:00"/>
    <d v="2020-12-15T00:00:00"/>
    <s v="Approved"/>
    <x v="208"/>
    <d v="2021-03-08T00:00:00"/>
    <d v="2021-02-02T00:00:00"/>
    <s v="No action - reason provided"/>
    <m/>
    <s v=""/>
    <s v=""/>
    <m/>
    <d v="2021-03-08T00:00:00"/>
  </r>
  <r>
    <x v="14"/>
    <s v="Ha"/>
    <s v="BE2851"/>
    <n v="11937922"/>
    <s v="MCSP - Facility D"/>
    <x v="10"/>
    <s v="SCD268930"/>
    <d v="2022-11-04T00:00:00"/>
    <d v="2021-01-12T00:00:00"/>
    <d v="2020-12-15T00:00:00"/>
    <d v="2020-12-15T00:00:00"/>
    <s v="Approved"/>
    <x v="208"/>
    <m/>
    <m/>
    <m/>
    <m/>
    <s v=""/>
    <s v=""/>
    <m/>
    <m/>
  </r>
  <r>
    <x v="14"/>
    <s v="Washington"/>
    <s v="T28238"/>
    <n v="11129417"/>
    <s v="SOL - Facility C"/>
    <x v="3"/>
    <s v="F05905147"/>
    <d v="2027-02-15T00:00:00"/>
    <d v="2021-01-12T00:00:00"/>
    <d v="2020-12-15T00:00:00"/>
    <d v="2020-12-15T00:00:00"/>
    <s v="Approved"/>
    <x v="208"/>
    <m/>
    <m/>
    <m/>
    <m/>
    <s v=""/>
    <s v=""/>
    <m/>
    <m/>
  </r>
  <r>
    <x v="14"/>
    <s v="Debouver"/>
    <s v="AW1696"/>
    <n v="11150651"/>
    <s v="CMF - Facility A"/>
    <x v="0"/>
    <s v="BA420698"/>
    <d v="2024-04-25T00:00:00"/>
    <d v="2021-01-12T00:00:00"/>
    <d v="2020-12-15T00:00:00"/>
    <d v="2020-12-15T00:00:00"/>
    <s v="Approved"/>
    <x v="208"/>
    <d v="2021-03-12T00:00:00"/>
    <d v="2021-02-03T00:00:00"/>
    <s v="Released"/>
    <n v="1167"/>
    <n v="3.1972602739726028"/>
    <n v="26406.172602739727"/>
    <s v="Released on 2/13/2021"/>
    <d v="2021-03-12T00:00:00"/>
  </r>
  <r>
    <x v="14"/>
    <s v="Clark"/>
    <s v="F78947"/>
    <n v="11100115"/>
    <s v="CHCF - Facility E"/>
    <x v="13"/>
    <s v="RF005116"/>
    <d v="2024-05-30T00:00:00"/>
    <d v="2021-01-12T00:00:00"/>
    <d v="2020-12-15T00:00:00"/>
    <d v="2020-12-15T00:00:00"/>
    <s v="Approved"/>
    <x v="208"/>
    <d v="2021-02-11T00:00:00"/>
    <d v="2021-01-26T00:00:00"/>
    <s v="No action - no reason specified"/>
    <m/>
    <s v=""/>
    <s v=""/>
    <m/>
    <d v="2021-02-12T00:00:00"/>
  </r>
  <r>
    <x v="14"/>
    <s v="Figueroa"/>
    <s v="AY6402"/>
    <n v="11075171"/>
    <s v="MCSP - Facility C"/>
    <x v="37"/>
    <s v="SC083544"/>
    <d v="2024-11-03T00:00:00"/>
    <d v="2021-01-12T00:00:00"/>
    <d v="2020-12-15T00:00:00"/>
    <d v="2020-12-15T00:00:00"/>
    <s v="Approved"/>
    <x v="208"/>
    <m/>
    <m/>
    <m/>
    <m/>
    <s v=""/>
    <s v=""/>
    <m/>
    <m/>
  </r>
  <r>
    <x v="14"/>
    <s v="Schaffer"/>
    <s v="V66262"/>
    <n v="11138542"/>
    <s v="CHCF - Facility E"/>
    <x v="10"/>
    <s v="SCD187239"/>
    <d v="2022-10-23T00:00:00"/>
    <d v="2021-01-12T00:00:00"/>
    <d v="2020-12-15T00:00:00"/>
    <d v="2020-12-15T00:00:00"/>
    <s v="Approved"/>
    <x v="208"/>
    <d v="2021-08-16T00:00:00"/>
    <d v="2021-07-19T00:00:00"/>
    <s v="Released"/>
    <n v="432"/>
    <n v="1.1835616438356165"/>
    <n v="9775.0356164383556"/>
    <s v="Released on 8/17/2021"/>
    <d v="2021-08-16T00:00:00"/>
  </r>
  <r>
    <x v="14"/>
    <s v="Whittington"/>
    <s v="P55331"/>
    <n v="11133273"/>
    <s v="MCSP - Facility D"/>
    <x v="43"/>
    <s v="CR974622"/>
    <d v="2029-12-04T00:00:00"/>
    <d v="2021-01-12T00:00:00"/>
    <d v="2020-12-15T00:00:00"/>
    <d v="2020-12-15T00:00:00"/>
    <s v="Approved"/>
    <x v="208"/>
    <d v="2021-05-04T00:00:00"/>
    <d v="2021-02-05T00:00:00"/>
    <s v="No action - no reason specified"/>
    <m/>
    <s v=""/>
    <s v=""/>
    <m/>
    <d v="2021-05-04T00:00:00"/>
  </r>
  <r>
    <x v="14"/>
    <s v="Thomas "/>
    <s v="BG8182"/>
    <n v="11167069"/>
    <s v="CIM - Facility D"/>
    <x v="0"/>
    <s v="MA071391"/>
    <d v="2022-10-23T00:00:00"/>
    <d v="2021-01-12T00:00:00"/>
    <d v="2020-12-15T00:00:00"/>
    <d v="2020-12-15T00:00:00"/>
    <s v="Approved"/>
    <x v="208"/>
    <d v="2021-04-16T00:00:00"/>
    <d v="2021-04-06T00:00:00"/>
    <s v="Released"/>
    <n v="555"/>
    <n v="1.5205479452054795"/>
    <n v="12558.205479452055"/>
    <s v="Released on 4/16/2021"/>
    <d v="2021-04-16T00:00:00"/>
  </r>
  <r>
    <x v="14"/>
    <s v="Wilson"/>
    <s v="F09925"/>
    <n v="11092634"/>
    <s v="CMF - Facility A"/>
    <x v="3"/>
    <s v="F05905147"/>
    <d v="2037-09-03T00:00:00"/>
    <d v="2021-01-12T00:00:00"/>
    <d v="2020-12-15T00:00:00"/>
    <d v="2020-12-15T00:00:00"/>
    <s v="Approved"/>
    <x v="208"/>
    <d v="2021-06-03T00:00:00"/>
    <d v="2021-05-05T00:00:00"/>
    <s v="Released"/>
    <n v="320"/>
    <n v="0.87671232876712324"/>
    <n v="7240.767123287671"/>
    <m/>
    <d v="2021-06-07T00:00:00"/>
  </r>
  <r>
    <x v="14"/>
    <s v="McDaniel"/>
    <s v="AV7099"/>
    <n v="11097852"/>
    <s v="MCSP - Facility D"/>
    <x v="3"/>
    <s v="F14908459"/>
    <d v="2022-10-10T00:00:00"/>
    <d v="2021-01-12T00:00:00"/>
    <d v="2020-12-15T00:00:00"/>
    <d v="2020-12-15T00:00:00"/>
    <s v="Approved"/>
    <x v="208"/>
    <d v="2021-04-23T00:00:00"/>
    <d v="2021-04-02T00:00:00"/>
    <s v="No action - reason provided"/>
    <m/>
    <s v=""/>
    <s v=""/>
    <s v="not in the interest of Justice"/>
    <d v="2021-04-23T00:00:00"/>
  </r>
  <r>
    <x v="14"/>
    <s v="Allread"/>
    <s v="AA1630"/>
    <n v="11322390"/>
    <s v="CIM - Facility D"/>
    <x v="0"/>
    <s v="PA063555"/>
    <d v="2024-06-01T00:00:00"/>
    <d v="2021-01-12T00:00:00"/>
    <d v="2020-12-15T00:00:00"/>
    <d v="2020-12-15T00:00:00"/>
    <s v="Approved"/>
    <x v="208"/>
    <d v="2021-04-14T00:00:00"/>
    <d v="2021-04-06T00:00:00"/>
    <s v="Released"/>
    <n v="1144"/>
    <n v="3.1342465753424658"/>
    <n v="25885.742465753425"/>
    <s v="Released on 4/14/2021 "/>
    <d v="2021-04-14T00:00:00"/>
  </r>
  <r>
    <x v="14"/>
    <s v="Garcia"/>
    <s v="BF0766"/>
    <n v="11108993"/>
    <s v="CTF - Facility B"/>
    <x v="0"/>
    <s v="TA144450"/>
    <d v="2027-12-10T00:00:00"/>
    <d v="2021-01-12T00:00:00"/>
    <d v="2020-12-15T00:00:00"/>
    <d v="2020-12-15T00:00:00"/>
    <s v="Approved"/>
    <x v="208"/>
    <d v="2021-03-22T00:00:00"/>
    <d v="2021-03-04T00:00:00"/>
    <s v="Released"/>
    <n v="2461"/>
    <n v="6.7424657534246579"/>
    <n v="55686.024657534246"/>
    <s v="Released 03/15/21"/>
    <d v="2021-03-24T00:00:00"/>
  </r>
  <r>
    <x v="14"/>
    <s v="Taylor"/>
    <s v="AW2226"/>
    <n v="11490675"/>
    <s v="CMF - Facility A"/>
    <x v="0"/>
    <s v="BA423181-01"/>
    <d v="2029-12-31T00:00:00"/>
    <d v="2021-01-12T00:00:00"/>
    <d v="2020-12-15T00:00:00"/>
    <d v="2020-12-15T00:00:00"/>
    <s v="Approved"/>
    <x v="208"/>
    <d v="2021-04-14T00:00:00"/>
    <d v="2021-04-01T00:00:00"/>
    <s v="Reduced"/>
    <n v="3146"/>
    <n v="8.6191780821917803"/>
    <n v="71185.791780821921"/>
    <s v="New release date 05/21/2021"/>
    <d v="2021-04-14T00:00:00"/>
  </r>
  <r>
    <x v="14"/>
    <s v="Caldero"/>
    <s v="H68189"/>
    <n v="11079565"/>
    <s v="CIM - Facility D"/>
    <x v="10"/>
    <s v="SF74365"/>
    <d v="2034-12-14T00:00:00"/>
    <d v="2021-01-12T00:00:00"/>
    <d v="2020-12-15T00:00:00"/>
    <d v="2020-12-15T00:00:00"/>
    <s v="Approved"/>
    <x v="208"/>
    <m/>
    <m/>
    <m/>
    <m/>
    <s v=""/>
    <s v=""/>
    <m/>
    <m/>
  </r>
  <r>
    <x v="14"/>
    <s v="Bevins"/>
    <s v="BF1147"/>
    <n v="11099424"/>
    <s v="VSP - Facility B"/>
    <x v="3"/>
    <s v="F17902882"/>
    <d v="2022-10-13T00:00:00"/>
    <d v="2021-01-12T00:00:00"/>
    <d v="2020-12-15T00:00:00"/>
    <d v="2020-12-15T00:00:00"/>
    <s v="Approved"/>
    <x v="208"/>
    <m/>
    <m/>
    <m/>
    <m/>
    <s v=""/>
    <s v=""/>
    <m/>
    <m/>
  </r>
  <r>
    <x v="14"/>
    <s v="Parra"/>
    <s v="BC4330"/>
    <n v="11176210"/>
    <s v="CMC - Facility F"/>
    <x v="0"/>
    <s v="YA094120"/>
    <d v="2029-03-29T00:00:00"/>
    <d v="2021-01-12T00:00:00"/>
    <d v="2020-12-15T00:00:00"/>
    <d v="2020-12-15T00:00:00"/>
    <s v="Approved"/>
    <x v="208"/>
    <d v="2021-05-04T00:00:00"/>
    <d v="2021-04-12T00:00:00"/>
    <s v="Released"/>
    <n v="2904"/>
    <n v="7.956164383561644"/>
    <n v="65709.961643835617"/>
    <s v="released 4/16/21"/>
    <d v="2021-05-04T00:00:00"/>
  </r>
  <r>
    <x v="1"/>
    <s v="Ruvalcava"/>
    <s v="AG1105"/>
    <n v="11359580"/>
    <s v="CAC - Facility C"/>
    <x v="2"/>
    <s v="10NF1758"/>
    <d v="2024-05-01T00:00:00"/>
    <d v="2020-08-10T00:00:00"/>
    <d v="2020-09-10T00:00:00"/>
    <d v="2020-09-14T00:00:00"/>
    <s v="Approved"/>
    <x v="71"/>
    <m/>
    <m/>
    <m/>
    <m/>
    <s v=""/>
    <s v=""/>
    <m/>
    <m/>
  </r>
  <r>
    <x v="1"/>
    <s v="Saafir"/>
    <s v="F40409"/>
    <n v="11573299"/>
    <s v="SATF - Facility G"/>
    <x v="0"/>
    <s v="GA061637"/>
    <d v="2030-11-23T00:00:00"/>
    <d v="2021-01-20T00:00:00"/>
    <d v="2021-01-28T00:00:00"/>
    <d v="2021-01-29T00:00:00"/>
    <s v="Approved"/>
    <x v="166"/>
    <m/>
    <m/>
    <m/>
    <m/>
    <s v=""/>
    <s v=""/>
    <m/>
    <m/>
  </r>
  <r>
    <x v="14"/>
    <s v="Garcia"/>
    <s v="AU1454"/>
    <n v="11052680"/>
    <s v="FOL - Facility A"/>
    <x v="0"/>
    <s v="GA089508"/>
    <d v="2023-01-07T00:00:00"/>
    <d v="2021-01-12T00:00:00"/>
    <d v="2021-01-27T00:00:00"/>
    <d v="2021-01-28T00:00:00"/>
    <s v="Approved"/>
    <x v="166"/>
    <d v="2021-08-02T00:00:00"/>
    <d v="2021-06-29T00:00:00"/>
    <s v="Released"/>
    <n v="541"/>
    <n v="1.4821917808219178"/>
    <n v="12241.42191780822"/>
    <s v="Released 7/15/2021"/>
    <d v="2021-08-02T00:00:00"/>
  </r>
  <r>
    <x v="14"/>
    <s v="Sierra"/>
    <s v="AW7848"/>
    <n v="11118696"/>
    <s v="FOL - Facility A"/>
    <x v="0"/>
    <s v="BA429871"/>
    <d v="2023-07-05T00:00:00"/>
    <d v="2021-01-12T00:00:00"/>
    <d v="2021-01-27T00:00:00"/>
    <d v="2021-01-28T00:00:00"/>
    <s v="Approved"/>
    <x v="166"/>
    <m/>
    <m/>
    <m/>
    <m/>
    <s v=""/>
    <s v=""/>
    <m/>
    <m/>
  </r>
  <r>
    <x v="14"/>
    <s v="Moore"/>
    <s v="F27413"/>
    <n v="11105456"/>
    <s v="MCSP - Facility B"/>
    <x v="14"/>
    <s v="SS033247"/>
    <d v="2022-04-24T00:00:00"/>
    <d v="2021-01-12T00:00:00"/>
    <d v="2021-01-28T00:00:00"/>
    <d v="2021-01-29T00:00:00"/>
    <s v="Approved"/>
    <x v="166"/>
    <m/>
    <d v="2021-03-18T00:00:00"/>
    <s v="Pending Court (Date in Notes)"/>
    <m/>
    <s v=""/>
    <s v=""/>
    <m/>
    <m/>
  </r>
  <r>
    <x v="14"/>
    <s v="Gonzales"/>
    <s v="AG0024"/>
    <n v="11066732"/>
    <s v="SATF -Facility G"/>
    <x v="9"/>
    <s v="FWV1000920"/>
    <d v="2026-06-01T00:00:00"/>
    <d v="2021-01-28T00:00:00"/>
    <d v="2021-01-28T00:00:00"/>
    <d v="2021-01-29T00:00:00"/>
    <s v="Approved"/>
    <x v="166"/>
    <m/>
    <m/>
    <m/>
    <m/>
    <s v=""/>
    <s v=""/>
    <m/>
    <m/>
  </r>
  <r>
    <x v="14"/>
    <s v="Gates"/>
    <s v="T74123"/>
    <n v="11238897"/>
    <s v="MCSP - Facility A"/>
    <x v="9"/>
    <s v="FWV16807"/>
    <d v="2028-01-09T00:00:00"/>
    <d v="2021-01-27T00:00:00"/>
    <d v="2021-01-28T00:00:00"/>
    <d v="2021-01-29T00:00:00"/>
    <s v="Approved"/>
    <x v="166"/>
    <m/>
    <m/>
    <m/>
    <m/>
    <s v=""/>
    <s v=""/>
    <m/>
    <m/>
  </r>
  <r>
    <x v="14"/>
    <s v="Lebron"/>
    <s v="AV3913"/>
    <n v="11189858"/>
    <s v="PBSP - Facility D"/>
    <x v="3"/>
    <s v="F12907337"/>
    <d v="2032-07-14T00:00:00"/>
    <d v="2021-01-28T00:00:00"/>
    <d v="2021-01-29T00:00:00"/>
    <d v="2021-01-29T00:00:00"/>
    <s v="Approved"/>
    <x v="166"/>
    <m/>
    <m/>
    <m/>
    <m/>
    <s v=""/>
    <s v=""/>
    <m/>
    <m/>
  </r>
  <r>
    <x v="7"/>
    <s v="Moreland"/>
    <s v="P14315"/>
    <n v="11853179"/>
    <s v="CTF - Faciltiy C"/>
    <x v="0"/>
    <s v="NA045898"/>
    <d v="2027-10-01T00:00:00"/>
    <d v="2020-11-08T00:00:00"/>
    <d v="2020-11-09T00:00:00"/>
    <d v="2020-11-18T00:00:00"/>
    <s v="Approved"/>
    <x v="160"/>
    <d v="2021-02-11T00:00:00"/>
    <d v="2020-12-03T00:00:00"/>
    <s v="No action - reason provided"/>
    <m/>
    <s v=""/>
    <s v=""/>
    <s v="convicted of the I/O while on parole "/>
    <d v="2021-02-12T00:00:00"/>
  </r>
  <r>
    <x v="1"/>
    <s v="Salas"/>
    <s v="V58020"/>
    <n v="11991988"/>
    <s v="MCSP Facility D"/>
    <x v="0"/>
    <s v="LA043085-01"/>
    <d v="2049-04-23T00:00:00"/>
    <d v="2019-11-20T00:00:00"/>
    <d v="2019-12-11T00:00:00"/>
    <d v="2019-12-11T00:00:00"/>
    <s v="Approved"/>
    <x v="68"/>
    <d v="2021-03-12T00:00:00"/>
    <d v="2021-01-07T00:00:00"/>
    <s v="Released"/>
    <n v="10326"/>
    <n v="28.290410958904111"/>
    <n v="233650.50410958903"/>
    <s v="released 1/14/2021"/>
    <d v="2021-03-12T00:00:00"/>
  </r>
  <r>
    <x v="7"/>
    <s v="Powers"/>
    <s v="P02764"/>
    <n v="11168416"/>
    <s v="VSP - Facility D"/>
    <x v="0"/>
    <s v="GA066861"/>
    <d v="2023-08-04T00:00:00"/>
    <d v="2020-09-02T00:00:00"/>
    <d v="2021-03-12T00:00:00"/>
    <d v="2021-03-16T00:00:00"/>
    <s v="Approved"/>
    <x v="119"/>
    <m/>
    <m/>
    <m/>
    <m/>
    <s v=""/>
    <s v=""/>
    <m/>
    <m/>
  </r>
  <r>
    <x v="14"/>
    <s v="Brooks"/>
    <s v="AM7312"/>
    <n v="11089046"/>
    <s v="SOL - Facility D"/>
    <x v="17"/>
    <s v="11F08623"/>
    <d v="2036-07-28T00:00:00"/>
    <d v="2020-12-15T00:00:00"/>
    <d v="2020-12-17T00:00:00"/>
    <d v="2021-02-11T00:00:00"/>
    <s v="Approved"/>
    <x v="84"/>
    <m/>
    <m/>
    <m/>
    <m/>
    <s v=""/>
    <s v=""/>
    <m/>
    <m/>
  </r>
  <r>
    <x v="14"/>
    <s v="Canady"/>
    <s v="E03299"/>
    <n v="11500247"/>
    <s v="MCSP - Facility E"/>
    <x v="0"/>
    <s v="BA312860"/>
    <d v="2030-08-31T00:00:00"/>
    <d v="2021-01-18T00:00:00"/>
    <d v="2021-01-20T00:00:00"/>
    <d v="2021-01-27T00:00:00"/>
    <s v="Approved"/>
    <x v="203"/>
    <d v="2021-04-16T00:00:00"/>
    <d v="2021-04-06T00:00:00"/>
    <s v="Released"/>
    <n v="3418"/>
    <n v="9.3643835616438356"/>
    <n v="77340.443835616446"/>
    <s v="Release on 4/22/21"/>
    <d v="2021-04-16T00:00:00"/>
  </r>
  <r>
    <x v="14"/>
    <s v="Carney"/>
    <s v="BA5246"/>
    <n v="11132068"/>
    <s v="SATF - Facility F"/>
    <x v="0"/>
    <s v="MA067001"/>
    <d v="2025-09-03T00:00:00"/>
    <d v="2020-12-15T00:00:00"/>
    <d v="2020-12-18T00:00:00"/>
    <d v="2021-02-11T00:00:00"/>
    <s v="Approved"/>
    <x v="84"/>
    <d v="2021-09-03T00:00:00"/>
    <d v="2021-09-01T00:00:00"/>
    <s v="Reduced"/>
    <n v="1418"/>
    <n v="3.8849315068493149"/>
    <n v="32085.649315068495"/>
    <m/>
    <d v="2021-09-03T00:00:00"/>
  </r>
  <r>
    <x v="14"/>
    <s v="Clark"/>
    <s v="K04152"/>
    <n v="11776470"/>
    <s v="VSP - Facility D"/>
    <x v="10"/>
    <s v="SCD114617"/>
    <d v="2043-04-18T00:00:00"/>
    <d v="2020-12-15T00:00:00"/>
    <d v="2020-12-18T00:00:00"/>
    <d v="2021-02-11T00:00:00"/>
    <s v="Approved"/>
    <x v="84"/>
    <m/>
    <m/>
    <m/>
    <m/>
    <s v=""/>
    <s v=""/>
    <m/>
    <m/>
  </r>
  <r>
    <x v="14"/>
    <s v="Cohens"/>
    <s v="J37749"/>
    <n v="11742167"/>
    <s v="CHCF - Facility C"/>
    <x v="0"/>
    <s v="NA030265"/>
    <d v="2025-09-09T00:00:00"/>
    <d v="2020-12-15T00:00:00"/>
    <d v="2020-12-18T00:00:00"/>
    <d v="2021-02-11T00:00:00"/>
    <s v="Approved"/>
    <x v="84"/>
    <m/>
    <m/>
    <m/>
    <m/>
    <s v=""/>
    <s v=""/>
    <m/>
    <m/>
  </r>
  <r>
    <x v="14"/>
    <s v="Crumb"/>
    <s v="H20376"/>
    <n v="11663356"/>
    <s v="CHCF - Facility B"/>
    <x v="20"/>
    <s v="H44703"/>
    <d v="2030-10-02T00:00:00"/>
    <d v="2021-01-28T00:00:00"/>
    <d v="2021-02-02T00:00:00"/>
    <d v="2021-02-01T00:00:00"/>
    <s v="Approved"/>
    <x v="84"/>
    <m/>
    <m/>
    <m/>
    <m/>
    <s v=""/>
    <s v=""/>
    <m/>
    <m/>
  </r>
  <r>
    <x v="14"/>
    <s v="Delgadillo"/>
    <s v="AL8636"/>
    <n v="11243825"/>
    <s v="KVSP - Facility B"/>
    <x v="2"/>
    <s v="09WF2524"/>
    <d v="2032-03-10T00:00:00"/>
    <d v="2021-01-26T00:00:00"/>
    <d v="2021-01-27T00:00:00"/>
    <d v="2021-01-29T00:00:00"/>
    <s v="Declined"/>
    <x v="27"/>
    <m/>
    <m/>
    <m/>
    <m/>
    <s v=""/>
    <s v=""/>
    <m/>
    <m/>
  </r>
  <r>
    <x v="14"/>
    <s v="Diaz"/>
    <s v="F62885"/>
    <n v="11205948"/>
    <s v="CIM - Facility D"/>
    <x v="8"/>
    <s v="SWF012538"/>
    <d v="2022-02-15T00:00:00"/>
    <d v="2021-01-26T00:00:00"/>
    <d v="2021-01-29T00:00:00"/>
    <d v="2021-02-11T00:00:00"/>
    <s v="Approved"/>
    <x v="209"/>
    <m/>
    <m/>
    <m/>
    <m/>
    <s v=""/>
    <s v=""/>
    <m/>
    <m/>
  </r>
  <r>
    <x v="14"/>
    <s v="Duncan"/>
    <s v="T25225"/>
    <n v="11144725"/>
    <s v="CVSP - Facility B"/>
    <x v="8"/>
    <s v="INF033354"/>
    <d v="2022-06-17T00:00:00"/>
    <d v="2021-01-26T00:00:00"/>
    <d v="2021-01-29T00:00:00"/>
    <d v="2021-02-11T00:00:00"/>
    <s v="Approved"/>
    <x v="84"/>
    <m/>
    <m/>
    <m/>
    <m/>
    <s v=""/>
    <s v=""/>
    <m/>
    <m/>
  </r>
  <r>
    <x v="14"/>
    <s v="Gilliam"/>
    <s v="T60934"/>
    <n v="11935553"/>
    <s v="CHCF - Facility E"/>
    <x v="10"/>
    <s v="SCD201594"/>
    <d v="2025-07-18T00:00:00"/>
    <d v="2021-01-26T00:00:00"/>
    <d v="2021-01-29T00:00:00"/>
    <d v="2021-02-11T00:00:00"/>
    <s v="Approved"/>
    <x v="209"/>
    <d v="2021-06-03T00:00:00"/>
    <d v="2021-05-14T00:00:00"/>
    <s v="No action - no reason specified"/>
    <m/>
    <s v=""/>
    <s v=""/>
    <m/>
    <d v="2021-06-07T00:00:00"/>
  </r>
  <r>
    <x v="14"/>
    <s v="Gupton"/>
    <s v="T61632"/>
    <n v="11143602"/>
    <s v="KVSP - Facility C"/>
    <x v="25"/>
    <s v="F452782"/>
    <d v="2028-06-25T00:00:00"/>
    <d v="2021-01-26T00:00:00"/>
    <d v="2021-01-29T00:00:00"/>
    <d v="2021-02-11T00:00:00"/>
    <s v="Approved"/>
    <x v="84"/>
    <m/>
    <m/>
    <m/>
    <m/>
    <s v=""/>
    <s v=""/>
    <m/>
    <m/>
  </r>
  <r>
    <x v="14"/>
    <s v="Jaimez"/>
    <s v="AP1423"/>
    <n v="11094951"/>
    <s v="CMF - Facility A"/>
    <x v="0"/>
    <s v="BA405174"/>
    <d v="2022-07-18T00:00:00"/>
    <d v="2020-12-15T00:00:00"/>
    <d v="2020-12-22T00:00:00"/>
    <d v="2020-12-24T00:00:00"/>
    <s v="Approved"/>
    <x v="210"/>
    <d v="2021-04-16T00:00:00"/>
    <d v="2021-04-07T00:00:00"/>
    <s v="Released"/>
    <n v="455"/>
    <n v="1.2465753424657535"/>
    <n v="10295.465753424658"/>
    <s v="Release on 4/19/2021"/>
    <d v="2021-04-16T00:00:00"/>
  </r>
  <r>
    <x v="14"/>
    <s v="Johnson"/>
    <s v="C50561"/>
    <n v="11094398"/>
    <s v="CIM - Facility D"/>
    <x v="8"/>
    <s v="SWF10001245"/>
    <d v="2025-12-01T00:00:00"/>
    <d v="2021-01-26T00:00:00"/>
    <d v="2021-01-29T00:00:00"/>
    <d v="2021-02-11T00:00:00"/>
    <s v="Approved"/>
    <x v="84"/>
    <d v="2021-05-04T00:00:00"/>
    <d v="2021-04-02T00:00:00"/>
    <s v="Reduced"/>
    <n v="1168"/>
    <n v="3.2"/>
    <n v="26428.799999999999"/>
    <m/>
    <d v="2021-05-04T00:00:00"/>
  </r>
  <r>
    <x v="14"/>
    <s v="Jones"/>
    <s v="AS7430"/>
    <n v="11510626"/>
    <s v="CMC - Facility E"/>
    <x v="0"/>
    <s v="YA087237"/>
    <d v="2023-02-22T00:00:00"/>
    <d v="2021-01-26T00:00:00"/>
    <d v="2021-02-09T00:00:00"/>
    <d v="2021-02-11T00:00:00"/>
    <s v="Approved"/>
    <x v="84"/>
    <d v="2021-06-16T00:00:00"/>
    <d v="2021-06-07T00:00:00"/>
    <s v="Released"/>
    <n v="615"/>
    <n v="1.6849315068493151"/>
    <n v="13915.849315068494"/>
    <s v="released 6/17/2021"/>
    <d v="2021-07-01T00:00:00"/>
  </r>
  <r>
    <x v="14"/>
    <s v="McKim"/>
    <s v="AK4772"/>
    <n v="11873801"/>
    <s v="MCSP - Facility B"/>
    <x v="6"/>
    <n v="112230"/>
    <d v="2024-10-19T00:00:00"/>
    <d v="2021-01-26T00:00:00"/>
    <d v="2021-02-01T00:00:00"/>
    <d v="2021-02-11T00:00:00"/>
    <s v="Approved"/>
    <x v="84"/>
    <m/>
    <m/>
    <m/>
    <m/>
    <s v=""/>
    <s v=""/>
    <m/>
    <m/>
  </r>
  <r>
    <x v="14"/>
    <s v="Parra"/>
    <s v="P81097"/>
    <n v="11889718"/>
    <s v="CCI - Facility E"/>
    <x v="2"/>
    <s v="05NF4380"/>
    <d v="2028-08-25T00:00:00"/>
    <d v="2021-01-26T00:00:00"/>
    <d v="2021-02-02T00:00:00"/>
    <d v="2021-02-05T00:00:00"/>
    <s v="Approved"/>
    <x v="209"/>
    <m/>
    <m/>
    <m/>
    <m/>
    <s v=""/>
    <s v=""/>
    <m/>
    <m/>
  </r>
  <r>
    <x v="14"/>
    <s v="Penaloza"/>
    <s v="P38465"/>
    <n v="11866358"/>
    <s v="CHCF - Facility D"/>
    <x v="2"/>
    <s v="10CF0027"/>
    <d v="2022-10-25T00:00:00"/>
    <d v="2020-12-12T00:00:00"/>
    <d v="2020-12-14T00:00:00"/>
    <d v="2021-02-11T00:00:00"/>
    <s v="Approved"/>
    <x v="84"/>
    <m/>
    <m/>
    <m/>
    <m/>
    <s v=""/>
    <s v=""/>
    <m/>
    <m/>
  </r>
  <r>
    <x v="14"/>
    <s v="Ramirez"/>
    <s v="K11595"/>
    <n v="11086047"/>
    <s v="COR - Facility 03B"/>
    <x v="0"/>
    <s v="VA034114"/>
    <d v="2027-02-10T00:00:00"/>
    <d v="2020-12-12T00:00:00"/>
    <d v="2020-12-17T00:00:00"/>
    <d v="2021-02-11T00:00:00"/>
    <s v="Approved"/>
    <x v="211"/>
    <d v="2021-08-03T00:00:00"/>
    <d v="2021-07-28T00:00:00"/>
    <s v="Released"/>
    <n v="1962"/>
    <n v="5.375342465753425"/>
    <n v="44394.953424657535"/>
    <s v="Released 8/9/2021"/>
    <d v="2021-08-03T00:00:00"/>
  </r>
  <r>
    <x v="14"/>
    <s v="Robbins"/>
    <s v="E71920"/>
    <n v="11534668"/>
    <s v="COR - Facility 03B"/>
    <x v="10"/>
    <s v="SCE274968"/>
    <d v="2023-10-12T00:00:00"/>
    <d v="2021-01-26T00:00:00"/>
    <d v="2021-02-01T00:00:00"/>
    <d v="2021-02-11T00:00:00"/>
    <s v="Approved"/>
    <x v="84"/>
    <d v="2021-09-10T00:00:00"/>
    <d v="2021-08-18T00:00:00"/>
    <s v="Released"/>
    <n v="601"/>
    <n v="1.6465753424657534"/>
    <n v="13599.065753424658"/>
    <s v="Set to release on 9/16/21"/>
    <d v="2021-09-10T00:00:00"/>
  </r>
  <r>
    <x v="14"/>
    <s v="Rodgers"/>
    <s v="BD6343"/>
    <n v="11474765"/>
    <s v="CMC - Facility A"/>
    <x v="0"/>
    <s v="BA448697"/>
    <d v="2021-11-17T00:00:00"/>
    <d v="2020-12-05T00:00:00"/>
    <d v="2020-12-09T00:00:00"/>
    <d v="2021-02-11T00:00:00"/>
    <s v="Approved"/>
    <x v="80"/>
    <d v="2021-06-17T00:00:00"/>
    <d v="2021-05-21T00:00:00"/>
    <s v="No action - no reason specified"/>
    <m/>
    <s v=""/>
    <s v=""/>
    <s v="Released 5/24/21 ppc credits"/>
    <d v="2021-06-17T00:00:00"/>
  </r>
  <r>
    <x v="14"/>
    <s v="Rodriguez"/>
    <s v="F94749"/>
    <n v="11606668"/>
    <s v="SQ - Facility A"/>
    <x v="0"/>
    <s v="VA098946"/>
    <d v="2036-04-05T00:00:00"/>
    <d v="2020-12-12T00:00:00"/>
    <d v="2020-12-23T00:00:00"/>
    <d v="2020-12-24T00:00:00"/>
    <s v="Approved"/>
    <x v="142"/>
    <m/>
    <m/>
    <m/>
    <m/>
    <s v=""/>
    <s v=""/>
    <m/>
    <m/>
  </r>
  <r>
    <x v="14"/>
    <s v="Sonies"/>
    <s v="F50536"/>
    <n v="11122307"/>
    <s v="COR - Facility 03B"/>
    <x v="2"/>
    <s v="05HF2223"/>
    <d v="2034-06-01T00:00:00"/>
    <d v="2020-12-12T00:00:00"/>
    <d v="2020-12-23T00:00:00"/>
    <d v="2021-02-11T00:00:00"/>
    <s v="Approved"/>
    <x v="84"/>
    <m/>
    <m/>
    <m/>
    <m/>
    <s v=""/>
    <s v=""/>
    <m/>
    <m/>
  </r>
  <r>
    <x v="14"/>
    <s v="Traylor"/>
    <s v="AM0969"/>
    <n v="11129661"/>
    <s v="SQ - Facility A"/>
    <x v="8"/>
    <s v="SWF1100271"/>
    <d v="2023-07-31T00:00:00"/>
    <d v="2020-12-12T00:00:00"/>
    <d v="2020-12-23T00:00:00"/>
    <d v="2021-02-11T00:00:00"/>
    <s v="Approved"/>
    <x v="84"/>
    <m/>
    <m/>
    <m/>
    <m/>
    <s v=""/>
    <s v=""/>
    <m/>
    <m/>
  </r>
  <r>
    <x v="14"/>
    <s v="Wiley"/>
    <s v="J70838"/>
    <n v="11173504"/>
    <s v="CIM - Facility D"/>
    <x v="20"/>
    <n v="153928"/>
    <d v="2022-08-30T00:00:00"/>
    <d v="2021-01-26T00:00:00"/>
    <d v="2021-01-29T00:00:00"/>
    <d v="2021-02-11T00:00:00"/>
    <s v="Approved"/>
    <x v="84"/>
    <d v="2021-05-04T00:00:00"/>
    <d v="2021-04-21T00:00:00"/>
    <s v="Released"/>
    <n v="490"/>
    <n v="1.3424657534246576"/>
    <n v="11087.424657534248"/>
    <m/>
    <d v="2021-05-04T00:00:00"/>
  </r>
  <r>
    <x v="14"/>
    <s v="Wimbley"/>
    <s v="E74507"/>
    <n v="11535982"/>
    <s v="MCSP - Facility E"/>
    <x v="20"/>
    <n v="140444"/>
    <d v="2027-03-15T00:00:00"/>
    <d v="2021-01-26T00:00:00"/>
    <d v="2021-02-02T00:00:00"/>
    <d v="2021-02-11T00:00:00"/>
    <s v="Approved"/>
    <x v="84"/>
    <d v="2021-05-26T00:00:00"/>
    <d v="2021-04-15T00:00:00"/>
    <s v="Released"/>
    <n v="2147"/>
    <n v="5.882191780821918"/>
    <n v="48581.021917808219"/>
    <m/>
    <d v="2021-04-28T00:00:00"/>
  </r>
  <r>
    <x v="1"/>
    <s v="Salas"/>
    <s v="AR9274"/>
    <n v="12105142"/>
    <s v="ASP - Facility A "/>
    <x v="0"/>
    <s v="BA393515"/>
    <d v="2033-01-30T00:00:00"/>
    <d v="2020-01-17T00:00:00"/>
    <d v="2020-02-03T00:00:00"/>
    <d v="2020-02-18T00:00:00"/>
    <s v="Approved"/>
    <x v="188"/>
    <d v="2020-07-06T00:00:00"/>
    <d v="2020-04-08T00:00:00"/>
    <s v="No action - reason provided"/>
    <m/>
    <s v=""/>
    <s v=""/>
    <s v="Plea"/>
    <d v="2020-07-06T00:00:00"/>
  </r>
  <r>
    <x v="7"/>
    <s v="Scholer"/>
    <s v="K59126"/>
    <n v="11806068"/>
    <s v="CCI - Facility D"/>
    <x v="0"/>
    <s v="MA018175"/>
    <d v="2030-09-26T00:00:00"/>
    <d v="2021-01-26T00:00:00"/>
    <d v="2021-02-09T00:00:00"/>
    <d v="2021-02-11T00:00:00"/>
    <s v="Approved"/>
    <x v="209"/>
    <d v="2021-04-08T00:00:00"/>
    <d v="2021-03-11T00:00:00"/>
    <s v="No action - no reason specified"/>
    <m/>
    <s v=""/>
    <s v=""/>
    <m/>
    <d v="2021-04-08T00:00:00"/>
  </r>
  <r>
    <x v="7"/>
    <s v="Romero"/>
    <s v="K39790"/>
    <n v="11795635"/>
    <s v="RJD - Facility D"/>
    <x v="10"/>
    <s v="SCD118333"/>
    <d v="2032-06-02T00:00:00"/>
    <d v="2021-02-16T00:00:00"/>
    <d v="2021-03-12T00:00:00"/>
    <d v="2021-03-16T00:00:00"/>
    <s v="Declined"/>
    <x v="27"/>
    <m/>
    <m/>
    <m/>
    <m/>
    <s v=""/>
    <s v=""/>
    <m/>
    <m/>
  </r>
  <r>
    <x v="7"/>
    <s v="Smith"/>
    <s v="E64303"/>
    <n v="11530795"/>
    <s v="CTF - Facility C"/>
    <x v="8"/>
    <s v="RIF091436"/>
    <d v="2033-09-28T00:00:00"/>
    <d v="2021-02-16T00:00:00"/>
    <d v="2021-03-12T00:00:00"/>
    <d v="2021-03-16T00:00:00"/>
    <s v="Approved"/>
    <x v="119"/>
    <d v="2021-07-15T00:00:00"/>
    <d v="2021-07-08T00:00:00"/>
    <s v="Released"/>
    <n v="4452"/>
    <n v="12.197260273972603"/>
    <n v="100737.17260273972"/>
    <s v="Released 7/21/2021"/>
    <d v="2021-07-30T00:00:00"/>
  </r>
  <r>
    <x v="7"/>
    <s v="Jordan"/>
    <s v="C69626"/>
    <n v="11435837"/>
    <s v="SATF - Facility F"/>
    <x v="0"/>
    <s v="KA035564"/>
    <d v="2026-04-28T00:00:00"/>
    <d v="2021-02-16T00:00:00"/>
    <d v="2021-03-12T00:00:00"/>
    <d v="2021-03-17T00:00:00"/>
    <s v="Declined"/>
    <x v="27"/>
    <m/>
    <m/>
    <m/>
    <m/>
    <s v=""/>
    <s v=""/>
    <m/>
    <m/>
  </r>
  <r>
    <x v="7"/>
    <s v="Crowley"/>
    <s v="H01633"/>
    <n v="11653884"/>
    <s v="CCI - Facility D"/>
    <x v="15"/>
    <n v="2008033525"/>
    <d v="2101-06-24T00:00:00"/>
    <d v="2021-02-15T00:00:00"/>
    <d v="2021-03-12T00:00:00"/>
    <d v="2021-03-16T00:00:00"/>
    <s v="Approved"/>
    <x v="80"/>
    <m/>
    <m/>
    <m/>
    <m/>
    <s v=""/>
    <s v=""/>
    <m/>
    <m/>
  </r>
  <r>
    <x v="7"/>
    <s v="Gonazales"/>
    <s v="F73433"/>
    <n v="11593415"/>
    <s v="CCI - Facility E"/>
    <x v="2"/>
    <s v="06CF0574"/>
    <d v="2024-08-31T00:00:00"/>
    <d v="2021-02-15T00:00:00"/>
    <d v="2021-03-12T00:00:00"/>
    <d v="2021-03-16T00:00:00"/>
    <s v="Declined"/>
    <x v="27"/>
    <m/>
    <m/>
    <m/>
    <m/>
    <s v=""/>
    <s v=""/>
    <m/>
    <m/>
  </r>
  <r>
    <x v="7"/>
    <s v="Mims"/>
    <s v="D95219"/>
    <n v="11115365"/>
    <s v="CCI - Facility E"/>
    <x v="10"/>
    <s v="SCE288531"/>
    <d v="2027-01-12T00:00:00"/>
    <d v="2021-02-15T00:00:00"/>
    <d v="2021-03-12T00:00:00"/>
    <d v="2021-03-16T00:00:00"/>
    <s v="Approved"/>
    <x v="105"/>
    <m/>
    <m/>
    <m/>
    <m/>
    <s v=""/>
    <s v=""/>
    <m/>
    <m/>
  </r>
  <r>
    <x v="1"/>
    <s v="Salcedo"/>
    <s v="AK5312"/>
    <n v="11743607"/>
    <s v="SCC - Miramonte Camp"/>
    <x v="21"/>
    <s v="SF113925"/>
    <d v="2023-05-04T00:00:00"/>
    <d v="2021-03-01T00:00:00"/>
    <d v="2021-03-12T00:00:00"/>
    <d v="2021-03-16T00:00:00"/>
    <s v="Approved"/>
    <x v="119"/>
    <d v="2021-05-20T00:00:00"/>
    <d v="2021-05-03T00:00:00"/>
    <s v="No action - no reason specified"/>
    <m/>
    <s v=""/>
    <s v=""/>
    <m/>
    <d v="2021-05-20T00:00:00"/>
  </r>
  <r>
    <x v="7"/>
    <s v="Taylor"/>
    <s v="V25060"/>
    <n v="11972373"/>
    <s v="CCI - Facility E"/>
    <x v="0"/>
    <s v="VA076824"/>
    <d v="2033-07-02T00:00:00"/>
    <d v="2021-02-15T00:00:00"/>
    <d v="2021-03-12T00:00:00"/>
    <d v="2021-03-16T00:00:00"/>
    <s v="Approved"/>
    <x v="105"/>
    <m/>
    <m/>
    <m/>
    <m/>
    <s v=""/>
    <s v=""/>
    <m/>
    <m/>
  </r>
  <r>
    <x v="7"/>
    <s v="Payne"/>
    <s v="AG1082"/>
    <n v="11067149"/>
    <s v="CCI - Facility E"/>
    <x v="17"/>
    <s v="09F06300"/>
    <d v="2033-04-10T00:00:00"/>
    <d v="2021-02-15T00:00:00"/>
    <m/>
    <m/>
    <s v="Declined"/>
    <x v="27"/>
    <m/>
    <m/>
    <m/>
    <m/>
    <s v=""/>
    <s v=""/>
    <s v="Hold - Special Alert"/>
    <m/>
  </r>
  <r>
    <x v="7"/>
    <s v="Oliphant"/>
    <s v="K71990"/>
    <n v="11132336"/>
    <s v="ASP - Facility F"/>
    <x v="2"/>
    <s v="96NF2090"/>
    <d v="2026-11-22T00:00:00"/>
    <d v="2021-02-15T00:00:00"/>
    <d v="2021-03-12T00:00:00"/>
    <d v="2021-03-16T00:00:00"/>
    <s v="Approved"/>
    <x v="27"/>
    <m/>
    <m/>
    <m/>
    <m/>
    <s v=""/>
    <s v=""/>
    <m/>
    <m/>
  </r>
  <r>
    <x v="7"/>
    <s v="Brooks"/>
    <s v="W91474"/>
    <n v="10227899"/>
    <s v="CCWF - Facility D"/>
    <x v="0"/>
    <s v="BA195570"/>
    <d v="2025-04-18T00:00:00"/>
    <d v="2021-02-15T00:00:00"/>
    <d v="2021-03-12T00:00:00"/>
    <d v="2021-03-16T00:00:00"/>
    <s v="Approved"/>
    <x v="80"/>
    <d v="2021-08-11T00:00:00"/>
    <d v="2021-06-25T00:00:00"/>
    <s v="Released"/>
    <n v="1340"/>
    <n v="3.6712328767123288"/>
    <n v="30320.712328767124"/>
    <s v="Released 8/17/21"/>
    <d v="2021-08-11T00:00:00"/>
  </r>
  <r>
    <x v="7"/>
    <s v="Hardy"/>
    <s v="F87476"/>
    <n v="11211537"/>
    <s v="SQ - Facility A"/>
    <x v="35"/>
    <s v="MCR026551"/>
    <d v="2050-10-17T00:00:00"/>
    <d v="2021-02-19T00:00:00"/>
    <m/>
    <m/>
    <m/>
    <x v="27"/>
    <m/>
    <m/>
    <m/>
    <m/>
    <s v=""/>
    <s v=""/>
    <s v="Hold per Secretary Allison"/>
    <m/>
  </r>
  <r>
    <x v="14"/>
    <s v="Gallagher"/>
    <s v="AM6454"/>
    <n v="11838938"/>
    <s v="SHS - Atascadero State Hospital"/>
    <x v="10"/>
    <s v="SCD269049"/>
    <d v="2021-09-04T00:00:00"/>
    <d v="2020-12-12T00:00:00"/>
    <d v="2020-12-18T00:00:00"/>
    <d v="2020-12-18T00:00:00"/>
    <s v="Approved"/>
    <x v="142"/>
    <d v="2021-02-11T00:00:00"/>
    <d v="2021-01-15T00:00:00"/>
    <s v="No action - no reason specified"/>
    <m/>
    <s v=""/>
    <s v=""/>
    <m/>
    <d v="2021-02-19T00:00:00"/>
  </r>
  <r>
    <x v="11"/>
    <s v="Smith"/>
    <s v="AS8694"/>
    <n v="11233892"/>
    <s v="SOL-Facility C"/>
    <x v="2"/>
    <s v="13WF1141"/>
    <d v="2023-11-26T00:00:00"/>
    <d v="2019-12-05T00:00:00"/>
    <d v="2019-12-06T00:00:00"/>
    <d v="2020-02-14T00:00:00"/>
    <s v="Approved"/>
    <x v="163"/>
    <d v="2021-03-01T00:00:00"/>
    <d v="2020-06-30T00:00:00"/>
    <s v="No action - no reason specified"/>
    <m/>
    <s v=""/>
    <s v=""/>
    <d v="2020-06-30T00:00:00"/>
    <d v="2021-03-01T00:00:00"/>
  </r>
  <r>
    <x v="1"/>
    <s v="Salisbury"/>
    <s v="T55061"/>
    <n v="11256786"/>
    <s v="MCSP - Facility B"/>
    <x v="12"/>
    <s v="CC122966"/>
    <d v="2023-05-03T00:00:00"/>
    <d v="2021-03-01T00:00:00"/>
    <d v="2021-03-12T00:00:00"/>
    <d v="2021-03-17T00:00:00"/>
    <s v="Approved"/>
    <x v="174"/>
    <d v="2021-05-05T00:00:00"/>
    <d v="2021-04-28T00:00:00"/>
    <s v="No action - no reason specified"/>
    <m/>
    <s v=""/>
    <s v=""/>
    <m/>
    <d v="2021-05-06T00:00:00"/>
  </r>
  <r>
    <x v="1"/>
    <s v="Sanchez"/>
    <s v="AA7282"/>
    <n v="110447915"/>
    <s v="SVSP - Facility A"/>
    <x v="34"/>
    <s v="F17254 &amp; F15554"/>
    <d v="2022-10-03T00:00:00"/>
    <d v="2020-07-15T00:00:00"/>
    <d v="2020-08-21T00:00:00"/>
    <d v="2020-08-27T00:00:00"/>
    <s v="Approved"/>
    <x v="71"/>
    <m/>
    <m/>
    <m/>
    <m/>
    <s v=""/>
    <s v=""/>
    <m/>
    <m/>
  </r>
  <r>
    <x v="7"/>
    <s v="Jackson"/>
    <s v="F67571"/>
    <n v="11589806"/>
    <s v="CMF - Facility A"/>
    <x v="17"/>
    <s v="05F02532"/>
    <d v="2050-12-11T00:00:00"/>
    <d v="2021-02-24T00:00:00"/>
    <m/>
    <m/>
    <m/>
    <x v="27"/>
    <m/>
    <m/>
    <m/>
    <m/>
    <s v=""/>
    <s v=""/>
    <s v="On Hold - Unresolved RVR"/>
    <m/>
  </r>
  <r>
    <x v="7"/>
    <s v="Green"/>
    <s v="P22430"/>
    <n v="11234172"/>
    <s v="SCC - Facility A"/>
    <x v="24"/>
    <n v="145370"/>
    <d v="2034-06-22T00:00:00"/>
    <d v="2021-02-24T00:00:00"/>
    <d v="2021-03-12T00:00:00"/>
    <d v="2021-03-12T00:00:00"/>
    <s v="Approved"/>
    <x v="80"/>
    <m/>
    <d v="2021-07-13T00:00:00"/>
    <s v="Pending Court (Date in Notes)"/>
    <m/>
    <s v=""/>
    <s v=""/>
    <m/>
    <m/>
  </r>
  <r>
    <x v="7"/>
    <s v="Gillies"/>
    <s v="G22170"/>
    <n v="11623919"/>
    <s v="SQ - Facility A"/>
    <x v="48"/>
    <s v="CR914507"/>
    <d v="2031-11-05T00:00:00"/>
    <d v="2021-02-24T00:00:00"/>
    <d v="2021-03-12T00:00:00"/>
    <d v="2021-03-12T00:00:00"/>
    <s v="Approved"/>
    <x v="80"/>
    <m/>
    <d v="2021-08-13T00:00:00"/>
    <s v="Pending Court (Date in Notes)"/>
    <m/>
    <s v=""/>
    <s v=""/>
    <m/>
    <m/>
  </r>
  <r>
    <x v="7"/>
    <s v="King"/>
    <s v="F44265"/>
    <n v="11575534"/>
    <s v="CCI - Facility E"/>
    <x v="0"/>
    <s v="KA074891"/>
    <d v="2026-02-10T00:00:00"/>
    <d v="2021-02-24T00:00:00"/>
    <d v="2021-03-12T00:00:00"/>
    <d v="2021-03-12T00:00:00"/>
    <s v="Approved"/>
    <x v="80"/>
    <m/>
    <m/>
    <m/>
    <m/>
    <s v=""/>
    <s v=""/>
    <m/>
    <m/>
  </r>
  <r>
    <x v="7"/>
    <s v="Rucker"/>
    <s v="X00757"/>
    <n v="11014504"/>
    <s v="CIW - Facility A"/>
    <x v="10"/>
    <s v="SCD167667"/>
    <d v="2029-09-21T00:00:00"/>
    <d v="2021-02-24T00:00:00"/>
    <d v="2021-03-12T00:00:00"/>
    <d v="2021-03-16T00:00:00"/>
    <s v="Approved"/>
    <x v="119"/>
    <d v="2021-07-22T00:00:00"/>
    <d v="2021-07-20T00:00:00"/>
    <s v="Released"/>
    <n v="2976"/>
    <n v="8.1534246575342468"/>
    <n v="67339.134246575341"/>
    <s v="Released 7/29/2021"/>
    <d v="2021-07-30T00:00:00"/>
  </r>
  <r>
    <x v="1"/>
    <s v="Sandoval"/>
    <s v="K69724"/>
    <n v="11249659"/>
    <s v="CAC - Facility C"/>
    <x v="9"/>
    <s v="FSB027493"/>
    <d v="2027-10-15T00:00:00"/>
    <d v="2020-10-26T00:00:00"/>
    <d v="2020-11-12T00:00:00"/>
    <d v="2020-11-13T00:00:00"/>
    <s v="Approved"/>
    <x v="160"/>
    <m/>
    <m/>
    <m/>
    <m/>
    <s v=""/>
    <s v=""/>
    <m/>
    <m/>
  </r>
  <r>
    <x v="1"/>
    <s v="Sardina"/>
    <s v="AV1314"/>
    <n v="11361505"/>
    <s v="SATF-Facility A"/>
    <x v="3"/>
    <s v="F13900807"/>
    <d v="2033-05-05T00:00:00"/>
    <d v="2019-01-09T00:00:00"/>
    <d v="2019-01-14T00:00:00"/>
    <d v="2019-01-25T00:00:00"/>
    <s v="Approved"/>
    <x v="106"/>
    <d v="2019-07-23T00:00:00"/>
    <d v="2019-07-11T00:00:00"/>
    <s v="No action - reason provided"/>
    <m/>
    <s v=""/>
    <s v=""/>
    <m/>
    <d v="2019-07-23T00:00:00"/>
  </r>
  <r>
    <x v="1"/>
    <s v="Savino"/>
    <s v="G23472"/>
    <n v="11624766"/>
    <s v="CIM FAC D"/>
    <x v="0"/>
    <s v="PA056882"/>
    <d v="2021-04-19T00:00:00"/>
    <d v="2019-08-07T00:00:00"/>
    <d v="2019-08-08T00:00:00"/>
    <d v="2019-08-16T00:00:00"/>
    <s v="Approved"/>
    <x v="162"/>
    <m/>
    <m/>
    <m/>
    <m/>
    <s v=""/>
    <s v=""/>
    <s v="paroled"/>
    <d v="2021-03-17T00:00:00"/>
  </r>
  <r>
    <x v="1"/>
    <s v="Scales"/>
    <s v="AV5383"/>
    <n v="12125830"/>
    <s v="MCSP - Facility D"/>
    <x v="0"/>
    <s v="SA082546-01"/>
    <d v="2026-03-19T00:00:00"/>
    <d v="2020-09-24T00:00:00"/>
    <d v="2020-10-07T00:00:00"/>
    <d v="2020-10-08T00:00:00"/>
    <s v="Approved"/>
    <x v="124"/>
    <d v="2021-04-21T00:00:00"/>
    <d v="2021-03-30T00:00:00"/>
    <s v="Released"/>
    <n v="1792"/>
    <n v="4.9095890410958907"/>
    <n v="40548.295890410962"/>
    <s v="Released 4/22/2021"/>
    <d v="2021-04-21T00:00:00"/>
  </r>
  <r>
    <x v="7"/>
    <s v="Burks"/>
    <s v="H55852"/>
    <n v="11681512"/>
    <s v="CMF - Facility A"/>
    <x v="3"/>
    <n v="5081716"/>
    <d v="2058-10-04T00:00:00"/>
    <d v="2021-03-01T00:00:00"/>
    <d v="2021-02-15T00:00:00"/>
    <d v="2021-03-03T00:00:00"/>
    <s v="Approved"/>
    <x v="174"/>
    <m/>
    <m/>
    <m/>
    <m/>
    <s v=""/>
    <s v=""/>
    <m/>
    <m/>
  </r>
  <r>
    <x v="7"/>
    <s v="Gradillas"/>
    <s v="V84753"/>
    <n v="12007811"/>
    <s v="SATF-Facility G"/>
    <x v="0"/>
    <s v="KA066132"/>
    <d v="2039-09-27T00:00:00"/>
    <d v="2021-03-01T00:00:00"/>
    <d v="2021-03-12T00:00:00"/>
    <d v="2021-03-12T00:00:00"/>
    <s v="Approved"/>
    <x v="80"/>
    <m/>
    <m/>
    <m/>
    <m/>
    <s v=""/>
    <s v=""/>
    <m/>
    <m/>
  </r>
  <r>
    <x v="1"/>
    <s v="Scott"/>
    <s v="AI4261"/>
    <s v="00AI4261"/>
    <s v="CIM Facility D"/>
    <x v="0"/>
    <s v="BA379282"/>
    <d v="2023-11-18T00:00:00"/>
    <d v="2019-05-01T00:00:00"/>
    <d v="2019-05-07T00:00:00"/>
    <d v="2019-05-07T00:00:00"/>
    <s v="Approved"/>
    <x v="70"/>
    <d v="2019-07-25T00:00:00"/>
    <d v="2019-07-12T00:00:00"/>
    <s v="No action - due to plea"/>
    <m/>
    <s v=""/>
    <s v=""/>
    <m/>
    <d v="2019-07-25T00:00:00"/>
  </r>
  <r>
    <x v="1"/>
    <s v="Sencion"/>
    <s v="AY3426"/>
    <n v="12142575"/>
    <s v="CAL - Facility C"/>
    <x v="12"/>
    <s v="C1362482"/>
    <d v="2029-05-12T00:00:00"/>
    <d v="2021-03-30T00:00:00"/>
    <d v="2021-04-20T00:00:00"/>
    <d v="2021-04-21T00:00:00"/>
    <s v="Approved"/>
    <x v="123"/>
    <m/>
    <m/>
    <m/>
    <m/>
    <s v=""/>
    <s v=""/>
    <m/>
    <m/>
  </r>
  <r>
    <x v="1"/>
    <s v="Seng"/>
    <s v="T63847"/>
    <n v="11264147"/>
    <s v="SATF - Facility"/>
    <x v="21"/>
    <s v="SF05248"/>
    <d v="2025-05-05T00:00:00"/>
    <d v="2020-11-12T00:00:00"/>
    <d v="2020-12-15T00:00:00"/>
    <d v="2020-12-10T00:00:00"/>
    <s v="Approved"/>
    <x v="144"/>
    <d v="2021-06-03T00:00:00"/>
    <d v="2021-05-19T00:00:00"/>
    <s v="No action - reason provided"/>
    <m/>
    <s v=""/>
    <s v=""/>
    <s v="repeated firearms violations"/>
    <m/>
  </r>
  <r>
    <x v="1"/>
    <s v="Shandy"/>
    <s v="G48326"/>
    <n v="11193202"/>
    <s v="CCI - Facility E"/>
    <x v="0"/>
    <s v="KA082805"/>
    <d v="2024-03-29T00:00:00"/>
    <d v="2021-02-15T00:00:00"/>
    <d v="2021-02-22T00:00:00"/>
    <d v="2021-03-01T00:00:00"/>
    <s v="Approved"/>
    <x v="174"/>
    <m/>
    <m/>
    <m/>
    <m/>
    <s v=""/>
    <s v=""/>
    <m/>
    <m/>
  </r>
  <r>
    <x v="1"/>
    <s v="Smith"/>
    <s v="AE8950"/>
    <n v="11352155"/>
    <s v="CCC Ben Lomond Camp"/>
    <x v="8"/>
    <s v="RIF151059/PA068356-LA"/>
    <d v="2020-09-29T00:00:00"/>
    <d v="2019-02-19T00:00:00"/>
    <d v="2019-02-28T00:00:00"/>
    <d v="2019-02-28T00:00:00"/>
    <s v="Approved"/>
    <x v="75"/>
    <m/>
    <m/>
    <m/>
    <m/>
    <s v=""/>
    <s v=""/>
    <s v="paroled"/>
    <d v="2021-03-17T00:00:00"/>
  </r>
  <r>
    <x v="1"/>
    <s v="Sosa"/>
    <s v="AV4912"/>
    <n v="12125054"/>
    <s v="VSP - Facility C"/>
    <x v="47"/>
    <s v="CR55952"/>
    <d v="2023-05-30T00:00:00"/>
    <d v="2020-09-23T00:00:00"/>
    <d v="2020-10-07T00:00:00"/>
    <d v="2020-10-08T00:00:00"/>
    <s v="Approved"/>
    <x v="124"/>
    <m/>
    <m/>
    <m/>
    <m/>
    <s v=""/>
    <s v=""/>
    <m/>
    <m/>
  </r>
  <r>
    <x v="1"/>
    <s v="Aguilar "/>
    <s v="AK4993"/>
    <n v="11276265"/>
    <s v="CMC - Facility D"/>
    <x v="12"/>
    <s v="C1075801"/>
    <d v="2023-10-15T00:00:00"/>
    <d v="2021-03-01T00:00:00"/>
    <d v="2021-03-12T00:00:00"/>
    <d v="2021-03-16T00:00:00"/>
    <s v="Declined"/>
    <x v="27"/>
    <m/>
    <m/>
    <m/>
    <m/>
    <s v=""/>
    <s v=""/>
    <m/>
    <m/>
  </r>
  <r>
    <x v="7"/>
    <s v="Johnson"/>
    <s v="C39197"/>
    <n v="11422961"/>
    <s v="FOL - Facility A"/>
    <x v="14"/>
    <s v="SS052400"/>
    <d v="2038-03-09T00:00:00"/>
    <d v="2021-03-01T00:00:00"/>
    <d v="2021-03-12T00:00:00"/>
    <d v="2021-03-16T00:00:00"/>
    <s v="Approved"/>
    <x v="119"/>
    <m/>
    <m/>
    <m/>
    <m/>
    <s v=""/>
    <s v=""/>
    <m/>
    <m/>
  </r>
  <r>
    <x v="1"/>
    <s v="Stigar"/>
    <s v="AW2071"/>
    <n v="11918455"/>
    <s v="CMC Facility D"/>
    <x v="0"/>
    <s v="BA366923"/>
    <d v="2044-08-09T00:00:00"/>
    <d v="2019-09-30T00:00:00"/>
    <d v="2019-10-31T00:00:00"/>
    <d v="2019-10-31T00:00:00"/>
    <s v="Approved"/>
    <x v="199"/>
    <m/>
    <m/>
    <m/>
    <m/>
    <s v=""/>
    <s v=""/>
    <m/>
    <m/>
  </r>
  <r>
    <x v="1"/>
    <s v="Tanner"/>
    <s v="AL1023"/>
    <n v="11596416"/>
    <s v="CMC"/>
    <x v="0"/>
    <s v="KA095754-01"/>
    <d v="2030-10-28T00:00:00"/>
    <d v="2019-02-28T00:00:00"/>
    <d v="2019-04-05T00:00:00"/>
    <d v="2019-04-08T00:00:00"/>
    <s v="Approved"/>
    <x v="83"/>
    <d v="2019-06-20T00:00:00"/>
    <d v="2019-06-06T00:00:00"/>
    <s v="No action - no reason specified"/>
    <m/>
    <s v=""/>
    <s v=""/>
    <m/>
    <d v="2019-07-03T00:00:00"/>
  </r>
  <r>
    <x v="1"/>
    <s v="Temple"/>
    <s v="AT4277"/>
    <n v="11969384"/>
    <s v="CVSP - Facility A"/>
    <x v="31"/>
    <s v="13F2744"/>
    <d v="2028-05-10T00:00:00"/>
    <d v="2019-11-14T00:00:00"/>
    <d v="2019-12-11T00:00:00"/>
    <d v="2019-12-11T00:00:00"/>
    <s v="Approved"/>
    <x v="68"/>
    <d v="2020-01-16T00:00:00"/>
    <d v="2020-01-10T00:00:00"/>
    <s v="No action - reason provided"/>
    <m/>
    <s v=""/>
    <s v=""/>
    <s v="Several reasons provided in letter"/>
    <d v="2020-01-16T00:00:00"/>
  </r>
  <r>
    <x v="1"/>
    <s v="Thomas"/>
    <s v="AB0395"/>
    <n v="11049002"/>
    <s v="SOL Facility C"/>
    <x v="0"/>
    <s v="BA360124  BA347494"/>
    <d v="2026-10-02T00:00:00"/>
    <d v="2019-04-22T00:00:00"/>
    <d v="2019-04-25T00:00:00"/>
    <d v="2019-04-25T00:00:00"/>
    <s v="Approved"/>
    <x v="70"/>
    <d v="2019-07-01T00:00:00"/>
    <d v="2019-06-21T00:00:00"/>
    <s v="No action - no reason specified"/>
    <m/>
    <s v=""/>
    <s v=""/>
    <m/>
    <d v="2019-07-01T00:00:00"/>
  </r>
  <r>
    <x v="1"/>
    <s v="Martinez "/>
    <s v="AI5062"/>
    <n v="11374440"/>
    <s v="MCSP - Facility E"/>
    <x v="12"/>
    <s v="C1078061"/>
    <d v="2024-04-30T00:00:00"/>
    <d v="2021-03-01T00:00:00"/>
    <d v="2021-03-24T00:00:00"/>
    <d v="2021-03-26T00:00:00"/>
    <s v="Declined"/>
    <x v="27"/>
    <m/>
    <m/>
    <m/>
    <m/>
    <s v=""/>
    <s v=""/>
    <m/>
    <m/>
  </r>
  <r>
    <x v="1"/>
    <s v="Tolento"/>
    <s v="F36978"/>
    <n v="11571178"/>
    <s v="CCI FAC E"/>
    <x v="8"/>
    <s v="INF1301375  INF1302865"/>
    <d v="2026-06-26T00:00:00"/>
    <d v="2019-07-25T00:00:00"/>
    <d v="2019-07-31T00:00:00"/>
    <d v="2019-07-31T00:00:00"/>
    <s v="Approved"/>
    <x v="186"/>
    <m/>
    <m/>
    <m/>
    <m/>
    <s v=""/>
    <s v=""/>
    <m/>
    <m/>
  </r>
  <r>
    <x v="1"/>
    <s v="Torres"/>
    <s v="X23118"/>
    <n v="11028914"/>
    <s v="CIW-Facility A"/>
    <x v="13"/>
    <s v="BF115300"/>
    <d v="2037-02-19T00:00:00"/>
    <d v="2020-03-05T00:00:00"/>
    <d v="2020-08-13T00:00:00"/>
    <d v="2020-08-13T00:00:00"/>
    <s v="Approved"/>
    <x v="168"/>
    <m/>
    <m/>
    <m/>
    <m/>
    <s v=""/>
    <s v=""/>
    <s v="Denied per Judge Bush kern County/Requested Legal Documents"/>
    <m/>
  </r>
  <r>
    <x v="1"/>
    <s v="Trivino"/>
    <s v="AF5455"/>
    <s v="00AF5455"/>
    <s v="PUMCCF-Shafter"/>
    <x v="0"/>
    <s v="PA065266-02"/>
    <d v="2026-10-15T00:00:00"/>
    <d v="2019-01-29T00:00:00"/>
    <d v="2019-02-05T00:00:00"/>
    <d v="2019-02-05T00:00:00"/>
    <s v="Approved"/>
    <x v="135"/>
    <d v="2019-03-13T00:00:00"/>
    <d v="2019-02-27T00:00:00"/>
    <s v="No action - due to plea"/>
    <m/>
    <s v=""/>
    <s v=""/>
    <m/>
    <d v="2019-03-13T00:00:00"/>
  </r>
  <r>
    <x v="1"/>
    <s v="Unciano"/>
    <s v="AX6794"/>
    <n v="12138591"/>
    <s v="MCSP - Facility C"/>
    <x v="12"/>
    <s v="C1503445"/>
    <d v="2024-05-09T00:00:00"/>
    <d v="2021-03-01T00:00:00"/>
    <d v="2021-03-24T00:00:00"/>
    <d v="2021-03-26T00:00:00"/>
    <s v="Approved"/>
    <x v="72"/>
    <m/>
    <m/>
    <m/>
    <m/>
    <s v=""/>
    <s v=""/>
    <m/>
    <m/>
  </r>
  <r>
    <x v="7"/>
    <s v="Macias"/>
    <s v="F38317"/>
    <n v="11572016"/>
    <s v="CAL - Facility D"/>
    <x v="0"/>
    <s v="BA352942"/>
    <d v="2028-12-28T00:00:00"/>
    <d v="2021-03-01T00:00:00"/>
    <d v="2021-03-24T00:00:00"/>
    <d v="2021-03-16T00:00:00"/>
    <s v="Approved"/>
    <x v="119"/>
    <m/>
    <m/>
    <m/>
    <m/>
    <s v=""/>
    <s v=""/>
    <m/>
    <m/>
  </r>
  <r>
    <x v="1"/>
    <s v="Uribe"/>
    <s v="AY0704"/>
    <n v="12140894"/>
    <s v="SQ - Facility B"/>
    <x v="21"/>
    <s v="SF127154"/>
    <d v="2024-12-07T00:00:00"/>
    <d v="2021-03-01T00:00:00"/>
    <d v="2021-03-12T00:00:00"/>
    <d v="2021-03-17T00:00:00"/>
    <s v="Approved"/>
    <x v="174"/>
    <d v="2021-05-20T00:00:00"/>
    <d v="2021-04-29T00:00:00"/>
    <s v="No action - no reason specified"/>
    <m/>
    <s v=""/>
    <s v=""/>
    <m/>
    <d v="2021-05-20T00:00:00"/>
  </r>
  <r>
    <x v="1"/>
    <s v="Suliven"/>
    <s v="AL6582"/>
    <n v="11297915"/>
    <s v="FOL - Facility A"/>
    <x v="21"/>
    <s v="SF115230"/>
    <d v="2026-02-07T00:00:00"/>
    <d v="2021-03-22T00:00:00"/>
    <d v="2021-03-24T00:00:00"/>
    <d v="2021-04-05T00:00:00"/>
    <s v="Declined"/>
    <x v="27"/>
    <m/>
    <m/>
    <m/>
    <m/>
    <s v=""/>
    <s v=""/>
    <m/>
    <m/>
  </r>
  <r>
    <x v="1"/>
    <s v="Vadillo"/>
    <s v="V49531"/>
    <n v="11986865"/>
    <s v="CMF - Facility A"/>
    <x v="0"/>
    <s v="SA048189"/>
    <d v="2037-11-23T00:00:00"/>
    <d v="2020-10-12T00:00:00"/>
    <d v="2020-11-03T00:00:00"/>
    <d v="2020-11-04T00:00:00"/>
    <s v="Approved"/>
    <x v="134"/>
    <m/>
    <m/>
    <m/>
    <m/>
    <s v=""/>
    <s v=""/>
    <m/>
    <m/>
  </r>
  <r>
    <x v="1"/>
    <s v="Valencia"/>
    <s v="T37093"/>
    <n v="11922218"/>
    <s v="PRMCCF - Desert View"/>
    <x v="0"/>
    <s v="BA200184"/>
    <d v="2023-01-29T00:00:00"/>
    <d v="2019-10-11T00:00:00"/>
    <d v="2020-01-03T00:00:00"/>
    <d v="2020-01-06T00:00:00"/>
    <s v="Approved"/>
    <x v="212"/>
    <d v="2020-01-31T00:00:00"/>
    <d v="2020-01-22T00:00:00"/>
    <s v="No action - no reason specified"/>
    <m/>
    <s v=""/>
    <s v=""/>
    <m/>
    <d v="2020-03-30T00:00:00"/>
  </r>
  <r>
    <x v="1"/>
    <s v="Valencia"/>
    <s v="AK9471"/>
    <n v="11279677"/>
    <s v="FOL - Facility A"/>
    <x v="0"/>
    <s v="LA066483"/>
    <d v="2022-11-07T00:00:00"/>
    <d v="2020-10-26T00:00:00"/>
    <d v="2020-11-12T00:00:00"/>
    <d v="2020-11-13T00:00:00"/>
    <s v="Approved"/>
    <x v="160"/>
    <m/>
    <m/>
    <m/>
    <m/>
    <s v=""/>
    <s v=""/>
    <m/>
    <m/>
  </r>
  <r>
    <x v="1"/>
    <s v="Valles"/>
    <s v="AW3171"/>
    <n v="12130470"/>
    <s v="CCC - Facility B"/>
    <x v="21"/>
    <s v="SF124223"/>
    <d v="2026-05-06T00:00:00"/>
    <d v="2021-03-01T00:00:00"/>
    <d v="2021-03-24T00:00:00"/>
    <d v="2021-03-26T00:00:00"/>
    <s v="Approved"/>
    <x v="115"/>
    <m/>
    <m/>
    <m/>
    <m/>
    <s v=""/>
    <s v=""/>
    <m/>
    <m/>
  </r>
  <r>
    <x v="1"/>
    <s v="Varelas"/>
    <s v="AS5679"/>
    <n v="11962468"/>
    <s v="CVSP-Facility B"/>
    <x v="8"/>
    <s v="RIF1300400"/>
    <d v="2026-04-21T00:00:00"/>
    <d v="2020-03-02T00:00:00"/>
    <d v="2020-03-02T00:00:00"/>
    <d v="2020-08-27T00:00:00"/>
    <s v="Approved"/>
    <x v="71"/>
    <m/>
    <m/>
    <m/>
    <m/>
    <s v=""/>
    <s v=""/>
    <m/>
    <m/>
  </r>
  <r>
    <x v="1"/>
    <s v="Vega"/>
    <s v="AG6387"/>
    <n v="11362793"/>
    <s v="CHCF - Facility C"/>
    <x v="0"/>
    <s v="KA088697"/>
    <d v="2033-04-03T00:00:00"/>
    <d v="2021-02-24T00:00:00"/>
    <d v="2021-03-12T00:00:00"/>
    <d v="2021-03-16T00:00:00"/>
    <s v="Approved"/>
    <x v="119"/>
    <m/>
    <m/>
    <m/>
    <m/>
    <s v=""/>
    <s v=""/>
    <m/>
    <m/>
  </r>
  <r>
    <x v="1"/>
    <s v="Velasquez"/>
    <s v="WF1805"/>
    <n v="12130420"/>
    <s v="CCWF - Facility B"/>
    <x v="36"/>
    <n v="62128110"/>
    <d v="2028-05-29T00:00:00"/>
    <d v="2020-10-08T00:00:00"/>
    <d v="2020-10-15T00:00:00"/>
    <d v="2020-10-16T00:00:00"/>
    <s v="Approved"/>
    <x v="134"/>
    <m/>
    <m/>
    <m/>
    <m/>
    <s v=""/>
    <s v=""/>
    <m/>
    <m/>
  </r>
  <r>
    <x v="1"/>
    <s v="Velasquez"/>
    <s v="AX3593"/>
    <n v="12001173"/>
    <s v="CTF - Facility C"/>
    <x v="0"/>
    <s v="BA406570"/>
    <d v="2034-08-20T00:00:00"/>
    <d v="2020-10-13T00:00:00"/>
    <d v="2020-11-04T00:00:00"/>
    <d v="2020-11-09T00:00:00"/>
    <s v="Approved"/>
    <x v="104"/>
    <m/>
    <m/>
    <m/>
    <m/>
    <s v=""/>
    <s v=""/>
    <m/>
    <m/>
  </r>
  <r>
    <x v="1"/>
    <s v="Villagomez"/>
    <s v="AS9231"/>
    <n v="11334940"/>
    <s v="ASP - Facility A "/>
    <x v="3"/>
    <s v="F14900866"/>
    <d v="2024-06-01T00:00:00"/>
    <d v="2020-08-07T00:00:00"/>
    <d v="2020-09-08T00:00:00"/>
    <d v="2020-09-08T00:00:00"/>
    <s v="Approved"/>
    <x v="71"/>
    <m/>
    <m/>
    <m/>
    <m/>
    <s v=""/>
    <s v=""/>
    <m/>
    <m/>
  </r>
  <r>
    <x v="1"/>
    <s v="Depron"/>
    <s v="AE7312"/>
    <n v="11062083"/>
    <s v="MCSP-Facility E"/>
    <x v="21"/>
    <s v="SF107969"/>
    <d v="2024-04-02T00:00:00"/>
    <d v="2021-03-22T00:00:00"/>
    <d v="2021-03-24T00:00:00"/>
    <d v="2021-03-24T00:00:00"/>
    <s v="Declined"/>
    <x v="27"/>
    <m/>
    <m/>
    <m/>
    <m/>
    <s v=""/>
    <s v=""/>
    <s v="Hold per Secretary Allison"/>
    <m/>
  </r>
  <r>
    <x v="1"/>
    <s v="Villasenor"/>
    <s v="AU3331"/>
    <n v="12118888"/>
    <s v="KVSP - Facility C"/>
    <x v="17"/>
    <s v="13F02966"/>
    <d v="2024-04-26T00:00:00"/>
    <d v="2020-10-26T00:00:00"/>
    <d v="2020-11-12T00:00:00"/>
    <d v="2020-11-13T00:00:00"/>
    <s v="Approved"/>
    <x v="131"/>
    <m/>
    <m/>
    <m/>
    <m/>
    <s v=""/>
    <s v=""/>
    <m/>
    <m/>
  </r>
  <r>
    <x v="1"/>
    <s v="Villeda"/>
    <s v="AG4339"/>
    <n v="11361539"/>
    <s v="ISP-Facility D"/>
    <x v="0"/>
    <s v="TA111443"/>
    <d v="2041-05-24T00:00:00"/>
    <d v="2019-01-09T00:00:00"/>
    <d v="2019-01-14T00:00:00"/>
    <d v="2019-02-01T00:00:00"/>
    <s v="Approved"/>
    <x v="135"/>
    <d v="2019-04-09T00:00:00"/>
    <d v="2019-03-28T00:00:00"/>
    <s v="No action - reason provided"/>
    <m/>
    <s v=""/>
    <s v=""/>
    <s v="court finds charges were based on defendants conduct and use of firearms and gang activity"/>
    <d v="2019-04-10T00:00:00"/>
  </r>
  <r>
    <x v="1"/>
    <s v="Villegas "/>
    <s v="AX0425"/>
    <n v="12134777"/>
    <s v="KVSP - MSF"/>
    <x v="11"/>
    <s v="VCF294661"/>
    <d v="2024-02-19T00:00:00"/>
    <d v="2020-11-07T00:00:00"/>
    <d v="2020-12-09T00:00:00"/>
    <d v="2020-12-08T00:00:00"/>
    <s v="Approved"/>
    <x v="142"/>
    <d v="2021-02-11T00:00:00"/>
    <d v="2021-01-12T00:00:00"/>
    <s v="No action - no reason specified"/>
    <m/>
    <s v=""/>
    <s v=""/>
    <m/>
    <d v="2021-02-12T00:00:00"/>
  </r>
  <r>
    <x v="1"/>
    <s v="Wardell"/>
    <s v="V25837"/>
    <n v="11163832"/>
    <s v="CHCF-Facility E"/>
    <x v="12"/>
    <s v="CC302587"/>
    <d v="2022-12-25T00:00:00"/>
    <d v="2019-05-07T00:00:00"/>
    <d v="2019-05-14T00:00:00"/>
    <d v="2019-05-17T00:00:00"/>
    <s v="Approved"/>
    <x v="70"/>
    <d v="2019-12-03T00:00:00"/>
    <d v="2019-11-21T00:00:00"/>
    <s v="No action - reason provided"/>
    <m/>
    <s v=""/>
    <s v=""/>
    <m/>
    <d v="2019-12-04T00:00:00"/>
  </r>
  <r>
    <x v="1"/>
    <s v="Fitz"/>
    <s v="G09084"/>
    <n v="11615543"/>
    <s v="CTF - Facility C"/>
    <x v="12"/>
    <s v="CC753856"/>
    <d v="2033-06-18T00:00:00"/>
    <d v="2021-03-25T00:00:00"/>
    <d v="2021-04-12T00:00:00"/>
    <d v="2021-04-12T00:00:00"/>
    <m/>
    <x v="27"/>
    <m/>
    <m/>
    <m/>
    <m/>
    <s v=""/>
    <s v=""/>
    <m/>
    <m/>
  </r>
  <r>
    <x v="1"/>
    <s v="Warren"/>
    <s v="AY0151"/>
    <n v="12140579"/>
    <s v="CCC - Konockti Camp"/>
    <x v="19"/>
    <s v="15CM0150C"/>
    <d v="2022-11-02T00:00:00"/>
    <d v="2020-11-04T00:00:00"/>
    <d v="2020-12-09T00:00:00"/>
    <d v="2020-12-08T00:00:00"/>
    <s v="Approved"/>
    <x v="142"/>
    <d v="2021-04-19T00:00:00"/>
    <d v="2021-04-12T00:00:00"/>
    <s v="Released"/>
    <n v="648"/>
    <n v="1.7753424657534247"/>
    <n v="14662.553424657535"/>
    <s v="Released on 4/23/2021"/>
    <d v="2021-04-19T00:00:00"/>
  </r>
  <r>
    <x v="7"/>
    <s v="Jackson"/>
    <s v="D94533"/>
    <n v="11495986"/>
    <s v="SCC - Facility C"/>
    <x v="0"/>
    <s v="GA022490"/>
    <d v="2094-04-03T00:00:00"/>
    <d v="2021-03-30T00:00:00"/>
    <d v="2021-04-20T00:00:00"/>
    <d v="2021-04-21T00:00:00"/>
    <s v="Declined"/>
    <x v="27"/>
    <m/>
    <m/>
    <m/>
    <m/>
    <s v=""/>
    <s v=""/>
    <m/>
    <m/>
  </r>
  <r>
    <x v="1"/>
    <s v="Washington"/>
    <s v="V94343"/>
    <n v="12012800"/>
    <s v="VSP-FAC C"/>
    <x v="0"/>
    <s v="SA050791"/>
    <d v="2024-08-07T00:00:00"/>
    <d v="2020-01-07T00:00:00"/>
    <d v="2020-01-16T00:00:00"/>
    <d v="2020-01-16T00:00:00"/>
    <s v="Approved"/>
    <x v="190"/>
    <d v="2020-04-14T00:00:00"/>
    <d v="2020-03-27T00:00:00"/>
    <s v="No action - reason provided"/>
    <m/>
    <s v=""/>
    <s v=""/>
    <m/>
    <d v="2020-04-29T00:00:00"/>
  </r>
  <r>
    <x v="1"/>
    <s v="Munson"/>
    <s v="AR5398"/>
    <n v="12102743"/>
    <s v="CMF - Facility A"/>
    <x v="18"/>
    <n v="51310770"/>
    <d v="2024-03-24T00:00:00"/>
    <d v="2021-04-05T00:00:00"/>
    <d v="2021-04-28T00:00:00"/>
    <m/>
    <m/>
    <x v="27"/>
    <m/>
    <m/>
    <m/>
    <m/>
    <s v=""/>
    <s v=""/>
    <s v="On hold per Secretary Allison"/>
    <m/>
  </r>
  <r>
    <x v="1"/>
    <s v="Garcia"/>
    <s v="AL4804"/>
    <n v="11296586"/>
    <s v="SATF - Facility D"/>
    <x v="18"/>
    <n v="51113273"/>
    <d v="2024-12-27T00:00:00"/>
    <d v="2021-04-05T00:00:00"/>
    <d v="2021-04-28T00:00:00"/>
    <m/>
    <m/>
    <x v="27"/>
    <m/>
    <m/>
    <m/>
    <m/>
    <s v=""/>
    <s v=""/>
    <s v="On hold per Secretary Allison"/>
    <m/>
  </r>
  <r>
    <x v="1"/>
    <s v="Welch"/>
    <s v="K02486"/>
    <n v="11265300"/>
    <s v="CMF - Facility A"/>
    <x v="0"/>
    <s v="VA033945"/>
    <d v="2031-12-02T00:00:00"/>
    <d v="2020-11-17T00:00:00"/>
    <d v="2020-12-15T00:00:00"/>
    <d v="2020-12-10T00:00:00"/>
    <s v="Approved"/>
    <x v="144"/>
    <m/>
    <m/>
    <m/>
    <m/>
    <s v=""/>
    <s v=""/>
    <s v="Second LA Co Case Number, KA037416"/>
    <m/>
  </r>
  <r>
    <x v="1"/>
    <s v="McCall"/>
    <s v="F81883"/>
    <n v="11598721"/>
    <s v="CAC - Facility B"/>
    <x v="12"/>
    <s v="BB620479"/>
    <d v="2027-04-20T00:00:00"/>
    <d v="2021-03-15T00:00:00"/>
    <d v="2021-03-29T00:00:00"/>
    <d v="2021-03-30T00:00:00"/>
    <s v="Declined"/>
    <x v="27"/>
    <m/>
    <m/>
    <m/>
    <m/>
    <s v=""/>
    <s v=""/>
    <m/>
    <m/>
  </r>
  <r>
    <x v="1"/>
    <s v="Williams"/>
    <s v="F91284"/>
    <n v="11604411"/>
    <s v="CEN FAC A"/>
    <x v="10"/>
    <s v="SCD206784  SCD204095"/>
    <d v="2029-07-25T00:00:00"/>
    <d v="2019-07-08T00:00:00"/>
    <d v="2019-07-18T00:00:00"/>
    <d v="2019-07-19T00:00:00"/>
    <s v="Approved"/>
    <x v="164"/>
    <d v="2021-02-25T00:00:00"/>
    <d v="2021-02-21T00:00:00"/>
    <s v="Released"/>
    <n v="2973"/>
    <n v="8.1452054794520556"/>
    <n v="67271.252054794517"/>
    <s v="Will Release on 3/2/2021"/>
    <d v="2021-02-25T00:00:00"/>
  </r>
  <r>
    <x v="1"/>
    <s v="Williams"/>
    <s v="AU7599"/>
    <n v="12121269"/>
    <s v="CAL - Facility C"/>
    <x v="12"/>
    <s v="C1239917"/>
    <d v="2027-06-16T00:00:00"/>
    <d v="2021-03-22T00:00:00"/>
    <d v="2021-03-24T00:00:00"/>
    <d v="2021-03-24T00:00:00"/>
    <s v="Approved"/>
    <x v="72"/>
    <d v="2021-06-03T00:00:00"/>
    <d v="2021-05-14T00:00:00"/>
    <s v="No action - no reason specified"/>
    <m/>
    <s v=""/>
    <s v=""/>
    <m/>
    <d v="2021-06-17T00:00:00"/>
  </r>
  <r>
    <x v="1"/>
    <s v="Ulloa"/>
    <s v="AC9075"/>
    <n v="11339745"/>
    <s v="PBSP - Facility A"/>
    <x v="0"/>
    <s v="KA087570"/>
    <d v="2023-03-01T00:00:00"/>
    <d v="2021-04-28T00:00:00"/>
    <m/>
    <m/>
    <m/>
    <x v="27"/>
    <m/>
    <m/>
    <m/>
    <m/>
    <s v=""/>
    <s v=""/>
    <s v="On hold per Secretary Allison"/>
    <m/>
  </r>
  <r>
    <x v="1"/>
    <s v="Patron"/>
    <s v="H09987"/>
    <n v="11658043"/>
    <s v="CRC - Facility B"/>
    <x v="0"/>
    <s v="VA008717"/>
    <d v="2023-05-27T00:00:00"/>
    <d v="2021-04-28T00:00:00"/>
    <m/>
    <m/>
    <m/>
    <x v="27"/>
    <m/>
    <m/>
    <m/>
    <m/>
    <s v=""/>
    <s v=""/>
    <s v="On hold per Secretary Allison"/>
    <m/>
  </r>
  <r>
    <x v="1"/>
    <s v="Bennett "/>
    <s v="AK7716"/>
    <n v="11278393"/>
    <s v="VSP - Facility B"/>
    <x v="18"/>
    <n v="51000389"/>
    <d v="2028-07-30T00:00:00"/>
    <d v="2021-04-28T00:00:00"/>
    <m/>
    <m/>
    <m/>
    <x v="27"/>
    <m/>
    <m/>
    <m/>
    <m/>
    <s v=""/>
    <s v=""/>
    <s v="On hold per Secretary Allison"/>
    <m/>
  </r>
  <r>
    <x v="1"/>
    <s v="WOODS"/>
    <s v="G38832"/>
    <n v="11634371"/>
    <s v="SQ FAC A"/>
    <x v="0"/>
    <s v="SA045731  SA042339  SA042417"/>
    <d v="2036-04-21T00:00:00"/>
    <d v="2019-08-06T00:00:00"/>
    <d v="2019-08-12T00:00:00"/>
    <d v="2019-08-14T00:00:00"/>
    <s v="Approved"/>
    <x v="21"/>
    <m/>
    <m/>
    <m/>
    <m/>
    <s v=""/>
    <s v=""/>
    <m/>
    <m/>
  </r>
  <r>
    <x v="1"/>
    <s v="Ybiernas"/>
    <s v="AL3472"/>
    <n v="11295626"/>
    <s v="DVI - Facility A"/>
    <x v="21"/>
    <s v="SF119736"/>
    <d v="2024-03-29T00:00:00"/>
    <d v="2021-02-17T00:00:00"/>
    <d v="2021-02-17T00:00:00"/>
    <d v="2021-02-17T00:00:00"/>
    <s v="Approved"/>
    <x v="80"/>
    <d v="2021-04-20T00:00:00"/>
    <d v="2021-03-24T00:00:00"/>
    <s v="No action - due to plea"/>
    <m/>
    <s v=""/>
    <s v=""/>
    <m/>
    <d v="2021-04-21T00:00:00"/>
  </r>
  <r>
    <x v="7"/>
    <s v="Judson"/>
    <s v="G48284"/>
    <n v="11640443"/>
    <s v="CMF - Facility A"/>
    <x v="8"/>
    <s v="RIF127190"/>
    <d v="2057-10-24T00:00:00"/>
    <d v="2021-04-29T00:00:00"/>
    <d v="2021-05-12T00:00:00"/>
    <d v="2021-05-12T00:00:00"/>
    <s v="Declined"/>
    <x v="27"/>
    <m/>
    <m/>
    <m/>
    <m/>
    <s v=""/>
    <s v=""/>
    <m/>
    <m/>
  </r>
  <r>
    <x v="7"/>
    <s v="Lucero"/>
    <s v="J29468"/>
    <n v="11737873"/>
    <s v="CTF - Facility C"/>
    <x v="0"/>
    <s v="YA035205"/>
    <d v="2035-07-09T00:00:00"/>
    <d v="2021-04-30T00:00:00"/>
    <d v="2021-05-12T00:00:00"/>
    <d v="2021-05-12T00:00:00"/>
    <s v="Declined"/>
    <x v="27"/>
    <m/>
    <m/>
    <m/>
    <m/>
    <s v=""/>
    <s v=""/>
    <m/>
    <m/>
  </r>
  <r>
    <x v="7"/>
    <s v="Catalan"/>
    <s v="V45489"/>
    <n v="11984456"/>
    <s v="FOL - Facility A"/>
    <x v="2"/>
    <s v="02NF0517"/>
    <d v="2028-09-20T00:00:00"/>
    <d v="2021-05-06T00:00:00"/>
    <d v="2021-05-25T00:00:00"/>
    <d v="2021-05-27T00:00:00"/>
    <s v="Declined"/>
    <x v="27"/>
    <m/>
    <m/>
    <m/>
    <m/>
    <s v=""/>
    <s v=""/>
    <m/>
    <m/>
  </r>
  <r>
    <x v="7"/>
    <s v="Faulkenberry"/>
    <s v="T11384"/>
    <n v="11089004"/>
    <s v="FOL - Facility A"/>
    <x v="48"/>
    <s v="CR4931"/>
    <d v="2025-07-27T00:00:00"/>
    <d v="2021-05-06T00:00:00"/>
    <d v="2021-05-25T00:00:00"/>
    <d v="2021-05-27T00:00:00"/>
    <s v="Approved"/>
    <x v="213"/>
    <m/>
    <m/>
    <m/>
    <m/>
    <s v=""/>
    <s v=""/>
    <m/>
    <m/>
  </r>
  <r>
    <x v="7"/>
    <s v="Barroso "/>
    <s v="W91305"/>
    <n v="11002498"/>
    <s v="CIW - Facility A"/>
    <x v="8"/>
    <s v="RIF087208"/>
    <d v="2027-07-20T00:00:00"/>
    <d v="2021-05-06T00:00:00"/>
    <d v="2021-05-25T00:00:00"/>
    <d v="2021-05-27T00:00:00"/>
    <s v="Declined"/>
    <x v="27"/>
    <m/>
    <m/>
    <m/>
    <m/>
    <s v=""/>
    <s v=""/>
    <m/>
    <m/>
  </r>
  <r>
    <x v="7"/>
    <s v="Tupper"/>
    <s v="F08732"/>
    <n v="11094904"/>
    <s v="CCI - Facility D"/>
    <x v="7"/>
    <s v="CM021378"/>
    <d v="2025-12-19T00:00:00"/>
    <d v="2021-05-06T00:00:00"/>
    <d v="2021-05-18T00:00:00"/>
    <d v="2021-05-18T00:00:00"/>
    <s v="Declined"/>
    <x v="27"/>
    <m/>
    <m/>
    <m/>
    <m/>
    <s v=""/>
    <s v=""/>
    <m/>
    <m/>
  </r>
  <r>
    <x v="7"/>
    <s v="Lozano"/>
    <s v="V52827"/>
    <n v="11988858"/>
    <s v="SATF - Facility A"/>
    <x v="9"/>
    <s v="FVA015165"/>
    <d v="2037-05-22T00:00:00"/>
    <d v="2021-05-13T00:00:00"/>
    <d v="2021-05-18T00:00:00"/>
    <d v="2021-05-18T00:00:00"/>
    <s v="Declined"/>
    <x v="27"/>
    <m/>
    <m/>
    <m/>
    <m/>
    <s v=""/>
    <s v=""/>
    <m/>
    <m/>
  </r>
  <r>
    <x v="7"/>
    <s v="Gutierrez"/>
    <s v="G55429"/>
    <n v="11644999"/>
    <s v="CCI - Facility D"/>
    <x v="0"/>
    <s v="SA066690"/>
    <d v="2027-12-15T00:00:00"/>
    <d v="2021-05-13T00:00:00"/>
    <d v="2021-05-27T00:00:00"/>
    <d v="2021-05-27T00:00:00"/>
    <s v="Declined"/>
    <x v="27"/>
    <m/>
    <m/>
    <m/>
    <m/>
    <s v=""/>
    <s v=""/>
    <m/>
    <m/>
  </r>
  <r>
    <x v="7"/>
    <s v="Bergeron"/>
    <s v="F04597"/>
    <n v="11192757"/>
    <s v="SQ - Facility A"/>
    <x v="2"/>
    <s v="04WF1694A"/>
    <d v="2113-04-26T00:00:00"/>
    <d v="2021-05-13T00:00:00"/>
    <d v="2021-05-26T00:00:00"/>
    <d v="2021-05-27T00:00:00"/>
    <s v="Approved"/>
    <x v="213"/>
    <m/>
    <d v="2021-08-13T00:00:00"/>
    <s v="Pending Court (Date in Notes)"/>
    <m/>
    <s v=""/>
    <s v=""/>
    <m/>
    <m/>
  </r>
  <r>
    <x v="7"/>
    <s v="Johnson"/>
    <s v="P76210"/>
    <n v="11887011"/>
    <s v="SQ - Facility A"/>
    <x v="21"/>
    <s v="SF076772"/>
    <d v="2049-03-23T00:00:00"/>
    <d v="2021-05-26T00:00:00"/>
    <d v="2021-05-28T00:00:00"/>
    <d v="2021-05-28T00:00:00"/>
    <s v="Declined"/>
    <x v="27"/>
    <m/>
    <m/>
    <m/>
    <m/>
    <s v=""/>
    <s v=""/>
    <m/>
    <m/>
  </r>
  <r>
    <x v="7"/>
    <s v="Cabanillas"/>
    <s v="AB5067"/>
    <n v="11330927"/>
    <s v="ASP - Facility E"/>
    <x v="24"/>
    <n v="1219225"/>
    <d v="2110-07-02T00:00:00"/>
    <d v="2021-05-13T00:00:00"/>
    <d v="2021-05-26T00:00:00"/>
    <d v="2021-05-27T00:00:00"/>
    <s v="Declined"/>
    <x v="27"/>
    <m/>
    <m/>
    <m/>
    <m/>
    <s v=""/>
    <s v=""/>
    <m/>
    <m/>
  </r>
  <r>
    <x v="7"/>
    <s v="Ellis"/>
    <s v="J89782"/>
    <n v="11768999"/>
    <s v="FOL - Facility A"/>
    <x v="0"/>
    <s v="GA060255"/>
    <d v="2030-08-30T00:00:00"/>
    <d v="2021-05-18T00:00:00"/>
    <d v="2021-05-27T00:00:00"/>
    <d v="2021-05-27T00:00:00"/>
    <s v="Approved"/>
    <x v="214"/>
    <m/>
    <d v="2021-11-02T00:00:00"/>
    <s v="Pending Court (Date in Notes)"/>
    <m/>
    <s v=""/>
    <s v=""/>
    <m/>
    <m/>
  </r>
  <r>
    <x v="7"/>
    <s v="Dudley"/>
    <s v="F98163"/>
    <n v="11213755"/>
    <s v="CCI - Facility D"/>
    <x v="25"/>
    <s v="F394933"/>
    <d v="2040-08-12T00:00:00"/>
    <d v="2021-05-20T00:00:00"/>
    <d v="2021-06-08T00:00:00"/>
    <d v="2021-06-10T00:00:00"/>
    <s v="Declined"/>
    <x v="27"/>
    <m/>
    <m/>
    <m/>
    <m/>
    <s v=""/>
    <s v=""/>
    <m/>
    <m/>
  </r>
  <r>
    <x v="7"/>
    <s v="Garcia"/>
    <s v="P82616"/>
    <n v="11890526"/>
    <s v="SATF - Facility A"/>
    <x v="0"/>
    <s v="LA032965"/>
    <d v="2035-04-20T00:00:00"/>
    <d v="2021-05-20T00:00:00"/>
    <d v="2021-05-28T00:00:00"/>
    <d v="2021-05-28T00:00:00"/>
    <s v="Declined"/>
    <x v="27"/>
    <m/>
    <m/>
    <m/>
    <m/>
    <s v=""/>
    <s v=""/>
    <m/>
    <m/>
  </r>
  <r>
    <x v="7"/>
    <s v="Marion"/>
    <s v="G42194"/>
    <n v="11203583"/>
    <s v="SATF - Facility B"/>
    <x v="9"/>
    <s v="FVA801272"/>
    <d v="2041-01-03T00:00:00"/>
    <d v="2021-05-20T00:00:00"/>
    <d v="2021-06-23T00:00:00"/>
    <d v="2021-06-24T00:00:00"/>
    <s v="Declined"/>
    <x v="27"/>
    <m/>
    <m/>
    <m/>
    <m/>
    <s v=""/>
    <s v=""/>
    <m/>
    <m/>
  </r>
  <r>
    <x v="7"/>
    <s v="Salgado"/>
    <s v="F30160"/>
    <n v="11567052"/>
    <s v="CCI - Facility C"/>
    <x v="13"/>
    <s v="BF121813"/>
    <d v="2032-01-31T00:00:00"/>
    <d v="2021-05-20T00:00:00"/>
    <d v="2021-05-28T00:00:00"/>
    <d v="2021-05-28T00:00:00"/>
    <s v="Declined"/>
    <x v="27"/>
    <m/>
    <m/>
    <m/>
    <m/>
    <s v=""/>
    <s v=""/>
    <m/>
    <m/>
  </r>
  <r>
    <x v="7"/>
    <s v="Packer"/>
    <s v="V19972"/>
    <n v="11969546"/>
    <s v="CTF - Facility C"/>
    <x v="21"/>
    <s v="LF007026"/>
    <d v="2027-01-17T00:00:00"/>
    <d v="2021-05-27T00:00:00"/>
    <d v="2021-06-08T00:00:00"/>
    <d v="2021-06-10T00:00:00"/>
    <s v="Declined"/>
    <x v="27"/>
    <m/>
    <m/>
    <m/>
    <m/>
    <s v=""/>
    <s v=""/>
    <m/>
    <m/>
  </r>
  <r>
    <x v="7"/>
    <s v="Moreno"/>
    <s v="G42265"/>
    <n v="11636595"/>
    <s v="PBSP - Facility A"/>
    <x v="9"/>
    <s v="FVA027501"/>
    <d v="2077-03-09T00:00:00"/>
    <d v="2021-05-19T00:00:00"/>
    <d v="2021-05-28T00:00:00"/>
    <d v="2021-05-28T00:00:00"/>
    <s v="Declined"/>
    <x v="27"/>
    <m/>
    <m/>
    <m/>
    <m/>
    <s v=""/>
    <s v=""/>
    <m/>
    <m/>
  </r>
  <r>
    <x v="7"/>
    <s v="Taylor"/>
    <s v="AC7491"/>
    <n v="11055038"/>
    <s v="CCI - Facility D"/>
    <x v="31"/>
    <s v="08F5142"/>
    <d v="2032-09-17T00:00:00"/>
    <d v="2021-05-27T00:00:00"/>
    <d v="2021-06-08T00:00:00"/>
    <d v="2021-06-10T00:00:00"/>
    <s v="Declined"/>
    <x v="27"/>
    <m/>
    <m/>
    <m/>
    <m/>
    <s v=""/>
    <s v=""/>
    <m/>
    <m/>
  </r>
  <r>
    <x v="7"/>
    <s v="Arellano"/>
    <s v="P75366"/>
    <n v="11886566"/>
    <s v="CCI - Facility E"/>
    <x v="0"/>
    <s v="BA184992"/>
    <d v="2028-02-22T00:00:00"/>
    <d v="2021-06-02T00:00:00"/>
    <d v="2021-06-23T00:00:00"/>
    <d v="2021-06-25T00:00:00"/>
    <s v="Declined"/>
    <x v="27"/>
    <m/>
    <m/>
    <m/>
    <m/>
    <s v=""/>
    <s v=""/>
    <m/>
    <m/>
  </r>
  <r>
    <x v="7"/>
    <s v="Sample"/>
    <s v="D29430"/>
    <n v="11464218"/>
    <s v="SQ - Facility A"/>
    <x v="0"/>
    <s v="SA026588"/>
    <d v="2079-07-16T00:00:00"/>
    <d v="2021-06-03T00:00:00"/>
    <d v="2021-06-23T00:00:00"/>
    <d v="2021-06-25T00:00:00"/>
    <s v="Declined"/>
    <x v="27"/>
    <m/>
    <m/>
    <m/>
    <m/>
    <s v=""/>
    <s v=""/>
    <m/>
    <m/>
  </r>
  <r>
    <x v="7"/>
    <s v="Ayala"/>
    <s v="G33222"/>
    <n v="11630724"/>
    <s v="PBSP - Facility A"/>
    <x v="0"/>
    <s v="NA074693"/>
    <d v="2036-05-10T00:00:00"/>
    <d v="2021-06-03T00:00:00"/>
    <d v="2021-06-24T00:00:00"/>
    <d v="2021-06-25T00:00:00"/>
    <s v="Declined"/>
    <x v="27"/>
    <m/>
    <m/>
    <m/>
    <m/>
    <s v=""/>
    <s v=""/>
    <m/>
    <m/>
  </r>
  <r>
    <x v="7"/>
    <s v="Scott "/>
    <s v="E92150"/>
    <n v="11544948"/>
    <s v="MCSP - Facility C"/>
    <x v="10"/>
    <s v="CRN17229"/>
    <d v="2037-12-06T00:00:00"/>
    <d v="2021-06-07T00:00:00"/>
    <d v="2021-06-25T00:00:00"/>
    <d v="2021-06-28T00:00:00"/>
    <s v="Approved"/>
    <x v="215"/>
    <m/>
    <m/>
    <m/>
    <m/>
    <s v=""/>
    <s v=""/>
    <m/>
    <m/>
  </r>
  <r>
    <x v="7"/>
    <s v="Mendez"/>
    <s v="AG4688"/>
    <n v="11068520"/>
    <s v="CAC - Facility C"/>
    <x v="9"/>
    <s v="FSB1001397"/>
    <d v="2029-03-14T00:00:00"/>
    <d v="2021-06-08T00:00:00"/>
    <d v="2021-06-24T00:00:00"/>
    <d v="2021-06-25T00:00:00"/>
    <s v="Declined"/>
    <x v="27"/>
    <m/>
    <m/>
    <m/>
    <m/>
    <s v=""/>
    <s v=""/>
    <m/>
    <m/>
  </r>
  <r>
    <x v="7"/>
    <s v="Xiong"/>
    <s v="F32753"/>
    <n v="11568646"/>
    <s v="CCI - Facility D"/>
    <x v="3"/>
    <s v="F05905585"/>
    <d v="2040-09-14T00:00:00"/>
    <d v="2021-06-08T00:00:00"/>
    <d v="2021-06-25T00:00:00"/>
    <d v="2021-06-25T00:00:00"/>
    <s v="Declined"/>
    <x v="27"/>
    <m/>
    <m/>
    <m/>
    <m/>
    <s v=""/>
    <s v=""/>
    <m/>
    <m/>
  </r>
  <r>
    <x v="7"/>
    <s v="Lepecanal"/>
    <s v="T90402"/>
    <n v="11952438"/>
    <s v="SATF - Facility A"/>
    <x v="0"/>
    <s v="KA060353"/>
    <d v="2046-11-17T00:00:00"/>
    <d v="2021-06-08T00:00:00"/>
    <d v="2021-06-24T00:00:00"/>
    <d v="2021-06-25T00:00:00"/>
    <s v="Declined"/>
    <x v="27"/>
    <m/>
    <m/>
    <m/>
    <m/>
    <s v=""/>
    <s v=""/>
    <m/>
    <m/>
  </r>
  <r>
    <x v="7"/>
    <s v="Berumen"/>
    <s v="T44631"/>
    <n v="11926448"/>
    <s v="SOL - Facility D"/>
    <x v="9"/>
    <s v="FSB023832"/>
    <d v="2035-03-05T00:00:00"/>
    <d v="2021-06-17T00:00:00"/>
    <d v="2021-07-21T00:00:00"/>
    <d v="2021-07-22T00:00:00"/>
    <s v="Declined"/>
    <x v="27"/>
    <m/>
    <m/>
    <m/>
    <m/>
    <s v=""/>
    <s v=""/>
    <m/>
    <m/>
  </r>
  <r>
    <x v="7"/>
    <s v="Shabazz"/>
    <s v="V87264"/>
    <n v="11087943"/>
    <s v="SQ - Facility A"/>
    <x v="8"/>
    <s v="RIF110012"/>
    <d v="2058-01-23T00:00:00"/>
    <d v="2021-06-17T00:00:00"/>
    <d v="2021-06-24T00:00:00"/>
    <d v="2021-06-25T00:00:00"/>
    <s v="Declined"/>
    <x v="27"/>
    <m/>
    <m/>
    <m/>
    <m/>
    <s v=""/>
    <s v=""/>
    <m/>
    <m/>
  </r>
  <r>
    <x v="7"/>
    <s v="Jackson"/>
    <s v="F31553"/>
    <n v="11567900"/>
    <s v="LAC - Facility A"/>
    <x v="0"/>
    <s v="BA282268"/>
    <d v="2074-07-29T00:00:00"/>
    <d v="2021-06-21T00:00:00"/>
    <d v="2021-07-07T00:00:00"/>
    <d v="2021-07-12T00:00:00"/>
    <s v="Declined"/>
    <x v="27"/>
    <m/>
    <m/>
    <m/>
    <m/>
    <s v=""/>
    <s v=""/>
    <m/>
    <m/>
  </r>
  <r>
    <x v="7"/>
    <s v="Richards"/>
    <s v="T18903"/>
    <n v="11912038"/>
    <s v="SCC - Facility C"/>
    <x v="30"/>
    <s v="CRF4042"/>
    <d v="2043-04-24T00:00:00"/>
    <d v="2021-06-21T00:00:00"/>
    <d v="2021-07-14T00:00:00"/>
    <d v="2021-07-22T00:00:00"/>
    <s v="Declined"/>
    <x v="27"/>
    <m/>
    <m/>
    <m/>
    <m/>
    <s v=""/>
    <s v=""/>
    <m/>
    <m/>
  </r>
  <r>
    <x v="7"/>
    <s v="Abbago"/>
    <s v="WA0014"/>
    <n v="11007791"/>
    <s v="CIW - Facility A"/>
    <x v="0"/>
    <s v="BA323415"/>
    <d v="2024-06-14T00:00:00"/>
    <d v="2021-06-21T00:00:00"/>
    <d v="2021-07-21T00:00:00"/>
    <d v="2021-08-03T00:00:00"/>
    <s v="Approved"/>
    <x v="216"/>
    <d v="2021-09-09T00:00:00"/>
    <d v="2021-08-24T00:00:00"/>
    <s v="No action - no reason specified"/>
    <m/>
    <s v=""/>
    <s v=""/>
    <m/>
    <d v="2021-09-09T00:00:00"/>
  </r>
  <r>
    <x v="7"/>
    <s v="Eskridge"/>
    <s v="K07041"/>
    <n v="11778005"/>
    <s v="SQ - Facility A"/>
    <x v="0"/>
    <s v="NA024604"/>
    <d v="2045-08-27T00:00:00"/>
    <d v="2021-06-15T00:00:00"/>
    <d v="2021-06-23T00:00:00"/>
    <d v="2021-06-25T00:00:00"/>
    <s v="Declined"/>
    <x v="27"/>
    <m/>
    <m/>
    <m/>
    <m/>
    <s v=""/>
    <s v=""/>
    <m/>
    <m/>
  </r>
  <r>
    <x v="7"/>
    <s v="Alardin"/>
    <s v="T33873"/>
    <n v="11920379"/>
    <s v="PBSP - Facility D"/>
    <x v="24"/>
    <n v="1015269"/>
    <d v="2028-11-27T00:00:00"/>
    <d v="2021-06-23T00:00:00"/>
    <d v="2021-07-07T00:00:00"/>
    <d v="2021-07-12T00:00:00"/>
    <s v="Declined"/>
    <x v="27"/>
    <m/>
    <m/>
    <m/>
    <m/>
    <s v=""/>
    <s v=""/>
    <m/>
    <m/>
  </r>
  <r>
    <x v="7"/>
    <s v="Garcia"/>
    <s v="E15211"/>
    <n v="11506219"/>
    <s v="PBSP - Facility B"/>
    <x v="8"/>
    <s v="CR31242"/>
    <d v="2088-12-05T00:00:00"/>
    <d v="2021-06-24T00:00:00"/>
    <d v="2021-07-14T00:00:00"/>
    <d v="2021-07-22T00:00:00"/>
    <s v="Declined"/>
    <x v="27"/>
    <m/>
    <m/>
    <m/>
    <m/>
    <s v=""/>
    <s v=""/>
    <m/>
    <m/>
  </r>
  <r>
    <x v="1"/>
    <s v="Chavez"/>
    <s v="AP6249"/>
    <n v="11174144"/>
    <s v="SCC - Faciltiy B"/>
    <x v="21"/>
    <s v="SF121456"/>
    <d v="2042-07-18T00:00:00"/>
    <d v="2021-03-26T00:00:00"/>
    <d v="2021-04-12T00:00:00"/>
    <d v="2021-04-12T00:00:00"/>
    <s v="Declined"/>
    <x v="27"/>
    <m/>
    <m/>
    <m/>
    <m/>
    <s v=""/>
    <s v=""/>
    <m/>
    <m/>
  </r>
  <r>
    <x v="7"/>
    <s v="Nguon"/>
    <s v="T99924"/>
    <n v="11957845"/>
    <s v="PBSP - Facility D"/>
    <x v="0"/>
    <s v="NA048273"/>
    <d v="2042-02-27T00:00:00"/>
    <d v="2021-07-07T00:00:00"/>
    <d v="2021-07-29T00:00:00"/>
    <d v="2021-08-03T00:00:00"/>
    <s v="Approved"/>
    <x v="217"/>
    <m/>
    <m/>
    <m/>
    <m/>
    <s v=""/>
    <s v=""/>
    <m/>
    <m/>
  </r>
  <r>
    <x v="7"/>
    <s v="Guttierrez"/>
    <s v="T23412"/>
    <n v="11914489"/>
    <s v="CTF - Facility A"/>
    <x v="24"/>
    <n v="240597"/>
    <d v="2149-04-11T00:00:00"/>
    <d v="2021-07-06T00:00:00"/>
    <d v="2021-07-29T00:00:00"/>
    <d v="2021-08-03T00:00:00"/>
    <s v="Declined"/>
    <x v="27"/>
    <m/>
    <m/>
    <m/>
    <m/>
    <s v=""/>
    <s v=""/>
    <m/>
    <m/>
  </r>
  <r>
    <x v="7"/>
    <s v="Taitague"/>
    <s v="K78492"/>
    <n v="11259322"/>
    <s v="PBSP - Facility D"/>
    <x v="10"/>
    <s v="SCE242710"/>
    <d v="2034-09-26T00:00:00"/>
    <d v="2021-07-08T00:00:00"/>
    <d v="2021-08-05T00:00:00"/>
    <d v="2021-08-06T00:00:00"/>
    <s v="Declined"/>
    <x v="27"/>
    <m/>
    <m/>
    <m/>
    <m/>
    <s v=""/>
    <s v=""/>
    <m/>
    <m/>
  </r>
  <r>
    <x v="7"/>
    <s v="Juarez"/>
    <s v="X17544"/>
    <n v="10229236"/>
    <s v="CIW - Facility A"/>
    <x v="8"/>
    <s v="RIF115058"/>
    <d v="2071-06-12T00:00:00"/>
    <d v="2021-07-08T00:00:00"/>
    <d v="2021-07-29T00:00:00"/>
    <d v="2021-08-03T00:00:00"/>
    <s v="Declined"/>
    <x v="27"/>
    <m/>
    <m/>
    <m/>
    <m/>
    <s v=""/>
    <s v=""/>
    <m/>
    <m/>
  </r>
  <r>
    <x v="7"/>
    <s v="Carrillo"/>
    <s v="P97195"/>
    <n v="11898453"/>
    <s v="SATF - Facility A"/>
    <x v="3"/>
    <n v="6524136"/>
    <d v="2031-07-06T00:00:00"/>
    <d v="2021-07-13T00:00:00"/>
    <d v="2021-08-05T00:00:00"/>
    <d v="2021-08-06T00:00:00"/>
    <s v="Declined"/>
    <x v="27"/>
    <m/>
    <m/>
    <m/>
    <m/>
    <s v=""/>
    <s v=""/>
    <m/>
    <m/>
  </r>
  <r>
    <x v="7"/>
    <s v="Munoz"/>
    <s v="F47094"/>
    <n v="11577330"/>
    <s v="LAC - Facility A"/>
    <x v="0"/>
    <s v="BA280383"/>
    <d v="2038-12-16T00:00:00"/>
    <d v="2021-06-29T00:00:00"/>
    <d v="2021-07-21T00:00:00"/>
    <d v="2021-07-22T00:00:00"/>
    <s v="Declined"/>
    <x v="27"/>
    <m/>
    <m/>
    <m/>
    <m/>
    <s v=""/>
    <s v=""/>
    <m/>
    <m/>
  </r>
  <r>
    <x v="7"/>
    <s v="Hong"/>
    <s v="F53855"/>
    <n v="11581466"/>
    <s v="PBSP - Facility D"/>
    <x v="2"/>
    <s v="00NF2372"/>
    <d v="2034-11-26T00:00:00"/>
    <d v="2021-06-29T00:00:00"/>
    <d v="2021-07-21T00:00:00"/>
    <d v="2021-07-22T00:00:00"/>
    <s v="Declined"/>
    <x v="27"/>
    <m/>
    <m/>
    <m/>
    <m/>
    <s v=""/>
    <s v=""/>
    <m/>
    <m/>
  </r>
  <r>
    <x v="7"/>
    <s v="Christian"/>
    <s v="J61853"/>
    <n v="11754513"/>
    <s v="SATF - Facility D"/>
    <x v="0"/>
    <s v="KA041439"/>
    <d v="2055-11-21T00:00:00"/>
    <d v="2021-07-14T00:00:00"/>
    <d v="2021-08-05T00:00:00"/>
    <d v="2021-08-06T00:00:00"/>
    <s v="Declined"/>
    <x v="27"/>
    <m/>
    <m/>
    <m/>
    <m/>
    <s v=""/>
    <s v=""/>
    <m/>
    <m/>
  </r>
  <r>
    <x v="7"/>
    <s v="Smith"/>
    <s v="T47513"/>
    <n v="11928090"/>
    <s v="CTF - Facility C"/>
    <x v="8"/>
    <s v="BLF01710A"/>
    <d v="2028-12-08T00:00:00"/>
    <d v="2021-07-14T00:00:00"/>
    <d v="2021-08-05T00:00:00"/>
    <d v="2021-08-06T00:00:00"/>
    <s v="Declined"/>
    <x v="27"/>
    <m/>
    <m/>
    <m/>
    <m/>
    <s v=""/>
    <s v=""/>
    <m/>
    <m/>
  </r>
  <r>
    <x v="7"/>
    <s v="Wynn"/>
    <s v="V77696"/>
    <n v="12003585"/>
    <s v="CCI - Facility D"/>
    <x v="8"/>
    <s v="RIF101294"/>
    <d v="2036-02-11T00:00:00"/>
    <d v="2021-07-14T00:00:00"/>
    <d v="2021-08-04T00:00:00"/>
    <d v="2021-08-06T00:00:00"/>
    <s v="Declined"/>
    <x v="27"/>
    <m/>
    <m/>
    <m/>
    <m/>
    <s v=""/>
    <s v=""/>
    <m/>
    <m/>
  </r>
  <r>
    <x v="7"/>
    <s v="Uriquiza"/>
    <s v="V98400"/>
    <n v="12015261"/>
    <s v="CCI - Facility C"/>
    <x v="0"/>
    <s v="VA094771"/>
    <d v="2048-09-06T00:00:00"/>
    <d v="2021-07-20T00:00:00"/>
    <d v="2021-08-06T00:00:00"/>
    <d v="2021-08-11T00:00:00"/>
    <s v="Declined"/>
    <x v="27"/>
    <m/>
    <m/>
    <m/>
    <m/>
    <s v=""/>
    <s v=""/>
    <m/>
    <m/>
  </r>
  <r>
    <x v="7"/>
    <s v="Gonzalez"/>
    <s v="AD1789"/>
    <n v="11341445"/>
    <s v="RJD - Facility E"/>
    <x v="10"/>
    <s v="SCD223361"/>
    <d v="2023-08-18T00:00:00"/>
    <d v="2021-07-21T00:00:00"/>
    <d v="2021-08-04T00:00:00"/>
    <d v="2021-08-06T00:00:00"/>
    <s v="Declined"/>
    <x v="27"/>
    <m/>
    <m/>
    <m/>
    <m/>
    <s v=""/>
    <s v=""/>
    <m/>
    <m/>
  </r>
  <r>
    <x v="7"/>
    <s v="Mora"/>
    <s v="F18990"/>
    <n v="11560210"/>
    <s v="CTF - Facility C"/>
    <x v="0"/>
    <s v="TA076090"/>
    <d v="2301-12-21T00:00:00"/>
    <d v="2021-07-21T00:00:00"/>
    <d v="2021-08-06T00:00:00"/>
    <d v="2021-08-11T00:00:00"/>
    <s v="Declined"/>
    <x v="27"/>
    <m/>
    <m/>
    <m/>
    <m/>
    <s v=""/>
    <s v=""/>
    <m/>
    <m/>
  </r>
  <r>
    <x v="11"/>
    <s v="Murdaugh"/>
    <s v="AZ5486"/>
    <n v="11133890"/>
    <s v="CMC - Facility F"/>
    <x v="18"/>
    <n v="51511989"/>
    <d v="2023-09-29T00:00:00"/>
    <d v="2021-07-29T00:00:00"/>
    <m/>
    <m/>
    <m/>
    <x v="27"/>
    <m/>
    <m/>
    <m/>
    <m/>
    <s v=""/>
    <s v=""/>
    <s v="On Hold"/>
    <m/>
  </r>
  <r>
    <x v="11"/>
    <s v="Santiago"/>
    <s v="AS0053"/>
    <n v="11849610"/>
    <s v="FOL - Facility A"/>
    <x v="0"/>
    <s v="PA078410"/>
    <d v="2024-01-06T00:00:00"/>
    <d v="2021-07-30T00:00:00"/>
    <d v="2021-08-18T00:00:00"/>
    <d v="2021-08-24T00:00:00"/>
    <s v="Approved"/>
    <x v="218"/>
    <m/>
    <m/>
    <m/>
    <m/>
    <s v=""/>
    <s v=""/>
    <m/>
    <m/>
  </r>
  <r>
    <x v="7"/>
    <s v="Gates"/>
    <s v="V32133"/>
    <n v="11976515"/>
    <s v="CTF - Facility C"/>
    <x v="0"/>
    <s v="BA245230"/>
    <d v="2066-11-22T00:00:00"/>
    <d v="2021-07-27T00:00:00"/>
    <d v="2021-08-06T00:00:00"/>
    <d v="2021-08-11T00:00:00"/>
    <s v="Approved"/>
    <x v="219"/>
    <m/>
    <m/>
    <m/>
    <m/>
    <s v=""/>
    <s v=""/>
    <m/>
    <m/>
  </r>
  <r>
    <x v="7"/>
    <s v="Brinckman"/>
    <s v="G00920"/>
    <n v="11610612"/>
    <s v="SQ - Facility A"/>
    <x v="31"/>
    <s v="06F3582"/>
    <d v="2040-05-13T00:00:00"/>
    <d v="2021-07-27T00:00:00"/>
    <d v="2021-08-06T00:00:00"/>
    <d v="2021-08-11T00:00:00"/>
    <s v="Declined"/>
    <x v="27"/>
    <m/>
    <m/>
    <m/>
    <m/>
    <s v=""/>
    <s v=""/>
    <m/>
    <m/>
  </r>
  <r>
    <x v="11"/>
    <s v="Hernandez "/>
    <s v="P95644"/>
    <n v="11258108"/>
    <s v="MCSP - Facility C"/>
    <x v="0"/>
    <s v="KA110537"/>
    <d v="2035-02-07T00:00:00"/>
    <d v="2021-08-10T00:00:00"/>
    <d v="2021-08-25T00:00:00"/>
    <d v="2021-08-26T00:00:00"/>
    <s v="Approved"/>
    <x v="218"/>
    <m/>
    <m/>
    <m/>
    <m/>
    <s v=""/>
    <s v=""/>
    <m/>
    <m/>
  </r>
  <r>
    <x v="11"/>
    <s v="Patterson"/>
    <s v="F24930"/>
    <n v="11197400"/>
    <s v="CTF - Facility C"/>
    <x v="0"/>
    <s v="BA434945"/>
    <d v="2016-04-08T00:00:00"/>
    <d v="2021-08-10T00:00:00"/>
    <d v="2021-08-25T00:00:00"/>
    <d v="2021-08-26T00:00:00"/>
    <s v="Approved"/>
    <x v="218"/>
    <m/>
    <m/>
    <m/>
    <m/>
    <s v=""/>
    <s v=""/>
    <m/>
    <m/>
  </r>
  <r>
    <x v="11"/>
    <s v="Woods"/>
    <s v="AT2562"/>
    <n v="11211123"/>
    <s v="CAC - Facility C"/>
    <x v="0"/>
    <s v="SA085422"/>
    <d v="2029-07-05T00:00:00"/>
    <d v="2021-08-10T00:00:00"/>
    <d v="2021-08-18T00:00:00"/>
    <d v="2021-08-23T00:00:00"/>
    <s v="Approved"/>
    <x v="218"/>
    <m/>
    <m/>
    <m/>
    <m/>
    <s v=""/>
    <s v=""/>
    <m/>
    <m/>
  </r>
  <r>
    <x v="11"/>
    <s v="Brousard"/>
    <s v="J98678"/>
    <n v="11264812"/>
    <s v="CCI - Facility E"/>
    <x v="0"/>
    <s v="BA432627"/>
    <d v="2015-08-31T00:00:00"/>
    <d v="2021-08-10T00:00:00"/>
    <d v="2021-08-18T00:00:00"/>
    <d v="2021-08-19T00:00:00"/>
    <s v="Approved"/>
    <x v="220"/>
    <m/>
    <m/>
    <m/>
    <m/>
    <s v=""/>
    <s v=""/>
    <m/>
    <m/>
  </r>
  <r>
    <x v="11"/>
    <s v="Grant"/>
    <s v="AX3964"/>
    <n v="11058206"/>
    <s v="CMF - Facility A"/>
    <x v="0"/>
    <s v="MA063572"/>
    <d v="2024-09-20T00:00:00"/>
    <d v="2021-08-10T00:00:00"/>
    <m/>
    <m/>
    <m/>
    <x v="27"/>
    <m/>
    <m/>
    <m/>
    <m/>
    <s v=""/>
    <s v=""/>
    <s v="Hold per BITS"/>
    <m/>
  </r>
  <r>
    <x v="11"/>
    <s v="Allen"/>
    <s v="AS2503"/>
    <n v="11493409"/>
    <s v="CIM - Facility D"/>
    <x v="0"/>
    <s v="YA089004"/>
    <d v="2014-01-02T00:00:00"/>
    <d v="2021-08-10T00:00:00"/>
    <d v="2021-08-18T00:00:00"/>
    <d v="2021-08-19T00:00:00"/>
    <s v="Approved"/>
    <x v="220"/>
    <m/>
    <m/>
    <m/>
    <m/>
    <s v=""/>
    <s v=""/>
    <m/>
    <m/>
  </r>
  <r>
    <x v="11"/>
    <s v="Rodriguez"/>
    <s v="AR6299"/>
    <n v="11444775"/>
    <s v="CMC - Facility F"/>
    <x v="0"/>
    <s v="KA105151"/>
    <d v="2027-11-16T00:00:00"/>
    <d v="2021-08-10T00:00:00"/>
    <d v="2021-08-18T00:00:00"/>
    <d v="2021-08-23T00:00:00"/>
    <s v="Approved"/>
    <x v="218"/>
    <m/>
    <m/>
    <m/>
    <m/>
    <s v=""/>
    <s v=""/>
    <m/>
    <m/>
  </r>
  <r>
    <x v="11"/>
    <s v="Hampton"/>
    <s v="AU5179"/>
    <n v="11161690"/>
    <s v="CRC - Facility C"/>
    <x v="0"/>
    <s v="YA088557"/>
    <d v="2028-12-07T00:00:00"/>
    <d v="2021-08-10T00:00:00"/>
    <d v="2021-08-18T00:00:00"/>
    <d v="2021-08-23T00:00:00"/>
    <s v="Approved"/>
    <x v="218"/>
    <m/>
    <m/>
    <m/>
    <m/>
    <s v=""/>
    <s v=""/>
    <m/>
    <m/>
  </r>
  <r>
    <x v="11"/>
    <s v="Garcia"/>
    <s v="AI9001"/>
    <n v="11376543"/>
    <s v="ASP - Facility A "/>
    <x v="0"/>
    <s v="KA092511"/>
    <d v="2023-11-11T00:00:00"/>
    <d v="2021-08-10T00:00:00"/>
    <d v="2021-08-18T00:00:00"/>
    <d v="2021-08-19T00:00:00"/>
    <s v="Approved"/>
    <x v="220"/>
    <m/>
    <m/>
    <m/>
    <m/>
    <s v=""/>
    <s v=""/>
    <m/>
    <m/>
  </r>
  <r>
    <x v="11"/>
    <s v="Banks"/>
    <s v="AN2067"/>
    <n v="11973850"/>
    <s v="CMF - Facility A"/>
    <x v="0"/>
    <s v="YA081449"/>
    <d v="2025-06-14T00:00:00"/>
    <d v="2021-08-10T00:00:00"/>
    <d v="2021-08-18T00:00:00"/>
    <d v="2021-08-19T00:00:00"/>
    <s v="Approved"/>
    <x v="220"/>
    <m/>
    <m/>
    <m/>
    <m/>
    <s v=""/>
    <s v=""/>
    <m/>
    <m/>
  </r>
  <r>
    <x v="11"/>
    <s v="Kim"/>
    <s v="V87978"/>
    <n v="12009747"/>
    <s v="CIM - Facility B"/>
    <x v="0"/>
    <s v="BA418157"/>
    <d v="2027-07-20T00:00:00"/>
    <d v="2021-08-10T00:00:00"/>
    <d v="2021-08-18T00:00:00"/>
    <d v="2021-08-23T00:00:00"/>
    <s v="Approved"/>
    <x v="218"/>
    <m/>
    <m/>
    <m/>
    <m/>
    <s v=""/>
    <s v=""/>
    <m/>
    <m/>
  </r>
  <r>
    <x v="11"/>
    <s v="Parton"/>
    <s v="H24059"/>
    <n v="11234230"/>
    <s v="RJD - Facility C"/>
    <x v="0"/>
    <s v="MA061954"/>
    <d v="2025-09-15T00:00:00"/>
    <d v="2021-08-10T00:00:00"/>
    <d v="2021-08-25T00:00:00"/>
    <d v="2021-08-26T00:00:00"/>
    <s v="Approved"/>
    <x v="218"/>
    <m/>
    <m/>
    <m/>
    <m/>
    <s v=""/>
    <s v=""/>
    <m/>
    <m/>
  </r>
  <r>
    <x v="11"/>
    <s v="Munoz"/>
    <s v="AX2182"/>
    <n v="12015923"/>
    <s v="CVSP - Facility B"/>
    <x v="0"/>
    <s v="GA095384-01"/>
    <d v="2023-10-12T00:00:00"/>
    <d v="2021-08-10T00:00:00"/>
    <d v="2021-08-20T00:00:00"/>
    <d v="2021-08-23T00:00:00"/>
    <s v="Approved"/>
    <x v="218"/>
    <m/>
    <m/>
    <m/>
    <m/>
    <s v=""/>
    <s v=""/>
    <m/>
    <m/>
  </r>
  <r>
    <x v="11"/>
    <s v="Moreno"/>
    <s v="AY3054"/>
    <n v="11131243"/>
    <s v="FOL - Facility A"/>
    <x v="0"/>
    <s v="KA109044"/>
    <d v="2031-11-07T00:00:00"/>
    <d v="2021-08-10T00:00:00"/>
    <d v="2021-08-20T00:00:00"/>
    <d v="2021-08-23T00:00:00"/>
    <s v="Approved"/>
    <x v="218"/>
    <m/>
    <m/>
    <m/>
    <m/>
    <s v=""/>
    <s v=""/>
    <m/>
    <m/>
  </r>
  <r>
    <x v="11"/>
    <s v="Montalvo"/>
    <s v="AH8765"/>
    <n v="11370545"/>
    <s v="PVSP - Facility D"/>
    <x v="0"/>
    <s v="PA076146-02"/>
    <d v="2023-12-05T00:00:00"/>
    <d v="2021-08-10T00:00:00"/>
    <d v="2021-08-25T00:00:00"/>
    <d v="2021-08-26T00:00:00"/>
    <s v="Declined"/>
    <x v="27"/>
    <m/>
    <m/>
    <m/>
    <m/>
    <s v=""/>
    <s v=""/>
    <m/>
    <m/>
  </r>
  <r>
    <x v="11"/>
    <s v="Lora"/>
    <s v="AU4125"/>
    <n v="11549832"/>
    <s v="SOL - Facility D"/>
    <x v="0"/>
    <s v="VA135205"/>
    <d v="2025-04-30T00:00:00"/>
    <d v="2021-08-10T00:00:00"/>
    <d v="2021-08-18T00:00:00"/>
    <d v="2021-08-23T00:00:00"/>
    <s v="Approved"/>
    <x v="218"/>
    <m/>
    <m/>
    <m/>
    <m/>
    <s v=""/>
    <s v=""/>
    <m/>
    <m/>
  </r>
  <r>
    <x v="11"/>
    <s v="Hayes"/>
    <s v="WF0842"/>
    <n v="10250207"/>
    <s v="CIW - Facility A"/>
    <x v="0"/>
    <s v="TA128345"/>
    <d v="2027-10-15T00:00:00"/>
    <d v="2021-08-10T00:00:00"/>
    <d v="2021-08-25T00:00:00"/>
    <d v="2021-08-26T00:00:00"/>
    <s v="Approved"/>
    <x v="218"/>
    <m/>
    <m/>
    <m/>
    <m/>
    <s v=""/>
    <s v=""/>
    <m/>
    <m/>
  </r>
  <r>
    <x v="11"/>
    <s v="Davis"/>
    <s v="E48889"/>
    <n v="11129111"/>
    <s v="CTF - Faciltiy C"/>
    <x v="0"/>
    <s v="BA390778"/>
    <d v="2035-01-06T00:00:00"/>
    <d v="2021-08-10T00:00:00"/>
    <d v="2021-08-25T00:00:00"/>
    <d v="2021-08-26T00:00:00"/>
    <s v="Approved"/>
    <x v="218"/>
    <m/>
    <m/>
    <m/>
    <m/>
    <s v=""/>
    <s v=""/>
    <m/>
    <m/>
  </r>
  <r>
    <x v="11"/>
    <s v="Borrego"/>
    <s v="AT8378"/>
    <n v="11130630"/>
    <s v="SCC - Prado Camp"/>
    <x v="0"/>
    <s v="YA089641"/>
    <d v="2023-11-21T00:00:00"/>
    <d v="2021-08-10T00:00:00"/>
    <d v="2021-08-18T00:00:00"/>
    <d v="2021-08-19T00:00:00"/>
    <s v="Approved"/>
    <x v="220"/>
    <m/>
    <m/>
    <m/>
    <m/>
    <s v=""/>
    <s v=""/>
    <m/>
    <m/>
  </r>
  <r>
    <x v="11"/>
    <s v="Munguia"/>
    <s v="AU9105"/>
    <n v="11982501"/>
    <s v="PVSP - Facility C"/>
    <x v="13"/>
    <s v="BF153374B"/>
    <d v="2033-11-26T00:00:00"/>
    <d v="2021-08-10T00:00:00"/>
    <d v="2021-08-25T00:00:00"/>
    <d v="2021-08-26T00:00:00"/>
    <s v="Approved"/>
    <x v="218"/>
    <m/>
    <m/>
    <m/>
    <m/>
    <s v=""/>
    <s v=""/>
    <m/>
    <m/>
  </r>
  <r>
    <x v="7"/>
    <s v="Jiles"/>
    <s v="AN5951"/>
    <n v="11136303"/>
    <s v="CIM - Facility D"/>
    <x v="0"/>
    <s v="YA084727"/>
    <d v="2025-03-19T00:00:00"/>
    <d v="2021-08-10T00:00:00"/>
    <d v="2021-08-17T00:00:00"/>
    <d v="2021-08-17T00:00:00"/>
    <s v="Declined"/>
    <x v="27"/>
    <m/>
    <m/>
    <m/>
    <m/>
    <s v=""/>
    <s v=""/>
    <m/>
    <m/>
  </r>
  <r>
    <x v="7"/>
    <s v="Prasad"/>
    <s v="F65779"/>
    <n v="11588683"/>
    <s v="FOL - Facility A"/>
    <x v="37"/>
    <s v="SC059800"/>
    <d v="2026-12-26T00:00:00"/>
    <d v="2021-08-10T00:00:00"/>
    <d v="2021-08-17T00:00:00"/>
    <d v="2021-08-17T00:00:00"/>
    <s v="Declined"/>
    <x v="27"/>
    <m/>
    <m/>
    <m/>
    <m/>
    <s v=""/>
    <s v=""/>
    <m/>
    <m/>
  </r>
  <r>
    <x v="7"/>
    <s v="Gutierrez"/>
    <s v="G33452"/>
    <n v="11221410"/>
    <s v="CCI- Facility D"/>
    <x v="8"/>
    <s v="RIF120845"/>
    <d v="2096-06-16T00:00:00"/>
    <d v="2021-08-10T00:00:00"/>
    <d v="2021-08-18T00:00:00"/>
    <d v="2021-08-23T00:00:00"/>
    <s v="Declined"/>
    <x v="27"/>
    <m/>
    <m/>
    <m/>
    <m/>
    <s v=""/>
    <s v=""/>
    <m/>
    <m/>
  </r>
  <r>
    <x v="7"/>
    <s v="Douglas"/>
    <s v="F36775"/>
    <n v="11200183"/>
    <s v="CAC-Facility C"/>
    <x v="0"/>
    <s v="NA068046"/>
    <d v="2027-12-13T00:00:00"/>
    <d v="2021-08-10T00:00:00"/>
    <d v="2021-08-18T00:00:00"/>
    <d v="2021-08-23T00:00:00"/>
    <s v="Declined"/>
    <x v="27"/>
    <m/>
    <m/>
    <m/>
    <m/>
    <s v=""/>
    <s v=""/>
    <m/>
    <m/>
  </r>
  <r>
    <x v="7"/>
    <s v="Campbell"/>
    <s v="H86953"/>
    <n v="11697560"/>
    <s v="LAC-Facility A"/>
    <x v="10"/>
    <s v="SCE173863"/>
    <d v="2030-01-14T00:00:00"/>
    <d v="2021-08-10T00:00:00"/>
    <d v="2021-08-18T00:00:00"/>
    <d v="2021-08-23T00:00:00"/>
    <s v="Approved"/>
    <x v="218"/>
    <m/>
    <m/>
    <m/>
    <m/>
    <s v=""/>
    <s v=""/>
    <m/>
    <m/>
  </r>
  <r>
    <x v="11"/>
    <s v="Villela "/>
    <s v="V39660"/>
    <n v="11980971"/>
    <s v="VSP - Facility A"/>
    <x v="0"/>
    <s v="TA135527"/>
    <d v="2034-03-27T00:00:00"/>
    <d v="2021-08-10T00:00:00"/>
    <d v="2021-08-25T00:00:00"/>
    <d v="2021-08-26T00:00:00"/>
    <s v="Approved"/>
    <x v="218"/>
    <m/>
    <m/>
    <m/>
    <m/>
    <s v=""/>
    <s v=""/>
    <m/>
    <m/>
  </r>
  <r>
    <x v="11"/>
    <s v="Vuong"/>
    <s v="BA5267"/>
    <n v="11294977"/>
    <s v="CMC - Facility F"/>
    <x v="0"/>
    <s v="KA110002"/>
    <d v="2028-01-14T00:00:00"/>
    <d v="2021-08-13T00:00:00"/>
    <d v="2021-09-08T00:00:00"/>
    <m/>
    <m/>
    <x v="27"/>
    <m/>
    <m/>
    <m/>
    <m/>
    <s v=""/>
    <s v=""/>
    <m/>
    <m/>
  </r>
  <r>
    <x v="11"/>
    <s v="Airrington"/>
    <s v="AZ5005"/>
    <n v="11383239"/>
    <s v="KVSP - Facility C"/>
    <x v="21"/>
    <s v="CR20141225"/>
    <d v="2035-07-28T00:00:00"/>
    <d v="2021-08-13T00:00:00"/>
    <d v="2021-09-08T00:00:00"/>
    <d v="2021-09-15T00:00:00"/>
    <s v="Declined"/>
    <x v="27"/>
    <m/>
    <m/>
    <m/>
    <m/>
    <s v=""/>
    <s v=""/>
    <m/>
    <m/>
  </r>
  <r>
    <x v="11"/>
    <s v="Law"/>
    <s v="AZ1085"/>
    <n v="11566879"/>
    <s v="CMC - Facility D"/>
    <x v="42"/>
    <n v="15022913"/>
    <d v="2023-07-11T00:00:00"/>
    <d v="2021-08-13T00:00:00"/>
    <d v="2021-09-08T00:00:00"/>
    <d v="2021-09-15T00:00:00"/>
    <s v="Declined"/>
    <x v="27"/>
    <m/>
    <m/>
    <m/>
    <m/>
    <s v=""/>
    <s v=""/>
    <m/>
    <m/>
  </r>
  <r>
    <x v="11"/>
    <s v="Givens"/>
    <s v="AV0945"/>
    <n v="12123151"/>
    <s v="CMF - Facility A"/>
    <x v="0"/>
    <s v="BA392767"/>
    <d v="2025-01-28T00:00:00"/>
    <d v="2021-08-13T00:00:00"/>
    <d v="2021-09-08T00:00:00"/>
    <m/>
    <m/>
    <x v="27"/>
    <m/>
    <m/>
    <m/>
    <m/>
    <s v=""/>
    <s v=""/>
    <m/>
    <m/>
  </r>
  <r>
    <x v="11"/>
    <s v="Hernandez "/>
    <s v="AW1763"/>
    <n v="11997086"/>
    <s v="SATF - Facility A"/>
    <x v="0"/>
    <s v="SA088167-01"/>
    <d v="2027-12-25T00:00:00"/>
    <d v="2021-08-18T00:00:00"/>
    <d v="2021-09-08T00:00:00"/>
    <m/>
    <m/>
    <x v="27"/>
    <m/>
    <m/>
    <m/>
    <m/>
    <s v=""/>
    <s v=""/>
    <m/>
    <m/>
  </r>
  <r>
    <x v="7"/>
    <s v="Riggins"/>
    <s v="K93543"/>
    <n v="11125716"/>
    <s v="FOL - Facility A"/>
    <x v="10"/>
    <s v="SCN260586"/>
    <d v="2043-02-28T00:00:00"/>
    <d v="2021-08-10T00:00:00"/>
    <d v="2021-08-17T00:00:00"/>
    <d v="2021-08-17T00:00:00"/>
    <s v="Approved"/>
    <x v="221"/>
    <m/>
    <m/>
    <m/>
    <m/>
    <s v=""/>
    <s v=""/>
    <m/>
    <m/>
  </r>
  <r>
    <x v="7"/>
    <s v="Wright"/>
    <s v="AB9190"/>
    <n v="11333587"/>
    <s v="CTF - Facility C"/>
    <x v="0"/>
    <s v="NA072876"/>
    <d v="2040-08-21T00:00:00"/>
    <d v="2021-08-10T00:00:00"/>
    <d v="2021-08-17T00:00:00"/>
    <d v="2021-08-17T00:00:00"/>
    <s v="Declined"/>
    <x v="27"/>
    <m/>
    <m/>
    <m/>
    <m/>
    <s v=""/>
    <s v=""/>
    <m/>
    <m/>
  </r>
  <r>
    <x v="11"/>
    <s v="Faison"/>
    <s v="AM4415"/>
    <n v="11303044"/>
    <s v="RJD - Facility A"/>
    <x v="0"/>
    <s v="SA086079"/>
    <d v="2028-03-04T00:00:00"/>
    <d v="2021-08-19T00:00:00"/>
    <d v="2021-09-08T00:00:00"/>
    <m/>
    <m/>
    <x v="27"/>
    <m/>
    <m/>
    <m/>
    <m/>
    <s v=""/>
    <s v=""/>
    <m/>
    <m/>
  </r>
  <r>
    <x v="1"/>
    <s v="Zepeda"/>
    <s v="AD3005"/>
    <n v="11342220"/>
    <s v="CMF - Facility A"/>
    <x v="0"/>
    <s v="VA111210"/>
    <d v="2043-03-21T00:00:00"/>
    <d v="2020-11-17T00:00:00"/>
    <d v="2020-12-15T00:00:00"/>
    <d v="2020-12-10T00:00:00"/>
    <s v="Approved"/>
    <x v="144"/>
    <m/>
    <m/>
    <m/>
    <m/>
    <s v=""/>
    <s v=""/>
    <m/>
    <m/>
  </r>
  <r>
    <x v="11"/>
    <s v="Harden"/>
    <s v="BA6968"/>
    <n v="11048465"/>
    <s v="MCSP - Facility E"/>
    <x v="0"/>
    <s v="BA428299"/>
    <d v="2032-11-29T00:00:00"/>
    <d v="2021-08-11T00:00:00"/>
    <d v="2021-08-25T00:00:00"/>
    <d v="2021-08-26T00:00:00"/>
    <s v="Declined"/>
    <x v="27"/>
    <m/>
    <m/>
    <m/>
    <m/>
    <s v=""/>
    <s v=""/>
    <m/>
    <m/>
  </r>
  <r>
    <x v="11"/>
    <s v="Mayo"/>
    <s v="BC9114"/>
    <n v="11183529"/>
    <s v="CIM - Facility D"/>
    <x v="15"/>
    <n v="2016001891"/>
    <d v="2032-04-24T00:00:00"/>
    <d v="2021-08-26T00:00:00"/>
    <m/>
    <m/>
    <m/>
    <x v="27"/>
    <m/>
    <m/>
    <m/>
    <m/>
    <s v=""/>
    <s v=""/>
    <s v="On Hold - Does not qualify currently"/>
    <m/>
  </r>
  <r>
    <x v="11"/>
    <s v="Thompson"/>
    <s v="AS8459"/>
    <n v="11444015"/>
    <s v="CIM - Facility D"/>
    <x v="15"/>
    <n v="2011020426"/>
    <d v="2028-03-09T00:00:00"/>
    <d v="2021-08-26T00:00:00"/>
    <d v="2021-09-08T00:00:00"/>
    <d v="2021-09-10T00:00:00"/>
    <s v="Approved"/>
    <x v="222"/>
    <m/>
    <m/>
    <m/>
    <m/>
    <s v=""/>
    <s v=""/>
    <m/>
    <m/>
  </r>
  <r>
    <x v="11"/>
    <s v="Barron"/>
    <s v="D92056"/>
    <n v="11159726"/>
    <s v="CTF - Facility A"/>
    <x v="3"/>
    <s v="F15906899"/>
    <d v="2038-04-29T00:00:00"/>
    <d v="2021-08-26T00:00:00"/>
    <d v="2021-09-08T00:00:00"/>
    <d v="2021-09-10T00:00:00"/>
    <s v="Declined"/>
    <x v="27"/>
    <m/>
    <m/>
    <m/>
    <m/>
    <s v=""/>
    <s v=""/>
    <m/>
    <m/>
  </r>
  <r>
    <x v="11"/>
    <s v="Wise"/>
    <s v="AR7539"/>
    <n v="12104036"/>
    <s v="CVSP - Facility A"/>
    <x v="0"/>
    <s v="PA073029"/>
    <d v="2027-05-01T00:00:00"/>
    <d v="2021-08-26T00:00:00"/>
    <d v="2021-09-08T00:00:00"/>
    <d v="2021-09-10T00:00:00"/>
    <m/>
    <x v="27"/>
    <m/>
    <m/>
    <m/>
    <m/>
    <s v=""/>
    <s v=""/>
    <m/>
    <m/>
  </r>
  <r>
    <x v="11"/>
    <s v="Scott"/>
    <s v="AU5098"/>
    <n v="11639629"/>
    <s v="CAC - Facility C"/>
    <x v="0"/>
    <s v="TA134335"/>
    <d v="2025-09-09T00:00:00"/>
    <d v="2021-08-26T00:00:00"/>
    <d v="2021-09-08T00:00:00"/>
    <d v="2021-09-10T00:00:00"/>
    <m/>
    <x v="27"/>
    <m/>
    <m/>
    <m/>
    <m/>
    <s v=""/>
    <s v=""/>
    <m/>
    <m/>
  </r>
  <r>
    <x v="11"/>
    <s v="Rivas"/>
    <s v="AT2135"/>
    <n v="12112503"/>
    <s v="CCI - Facility E"/>
    <x v="0"/>
    <s v="VA133302-01"/>
    <d v="2024-02-09T00:00:00"/>
    <d v="2021-08-26T00:00:00"/>
    <d v="2021-09-08T00:00:00"/>
    <d v="2021-09-10T00:00:00"/>
    <m/>
    <x v="27"/>
    <m/>
    <m/>
    <m/>
    <m/>
    <s v=""/>
    <s v=""/>
    <m/>
    <m/>
  </r>
  <r>
    <x v="11"/>
    <s v="Polk"/>
    <s v="V27619"/>
    <n v="11973805"/>
    <s v="CTF - Facility D"/>
    <x v="0"/>
    <s v="TA135043"/>
    <d v="2027-06-03T00:00:00"/>
    <d v="2021-08-26T00:00:00"/>
    <d v="2021-09-08T00:00:00"/>
    <d v="2021-09-10T00:00:00"/>
    <m/>
    <x v="27"/>
    <m/>
    <m/>
    <m/>
    <m/>
    <s v=""/>
    <s v=""/>
    <m/>
    <m/>
  </r>
  <r>
    <x v="11"/>
    <s v="Larios"/>
    <s v="T15486"/>
    <n v="11910124"/>
    <s v="CCI - Facility E"/>
    <x v="0"/>
    <s v="BA424021"/>
    <d v="2024-07-26T00:00:00"/>
    <d v="2021-08-26T00:00:00"/>
    <d v="2021-09-08T00:00:00"/>
    <d v="2021-09-10T00:00:00"/>
    <m/>
    <x v="27"/>
    <m/>
    <m/>
    <m/>
    <m/>
    <s v=""/>
    <s v=""/>
    <m/>
    <m/>
  </r>
  <r>
    <x v="11"/>
    <s v="Glenn"/>
    <s v="V20926"/>
    <n v="11273468"/>
    <s v="VSP - Facility D"/>
    <x v="0"/>
    <s v="NA100519"/>
    <d v="2025-11-27T00:00:00"/>
    <d v="2021-08-26T00:00:00"/>
    <d v="2021-09-08T00:00:00"/>
    <d v="2021-09-10T00:00:00"/>
    <m/>
    <x v="27"/>
    <m/>
    <m/>
    <m/>
    <m/>
    <s v=""/>
    <s v=""/>
    <m/>
    <m/>
  </r>
  <r>
    <x v="11"/>
    <s v="Armijo"/>
    <s v="AA9112"/>
    <n v="11048558"/>
    <s v="CIM - Facility D"/>
    <x v="2"/>
    <s v="07WF1205"/>
    <d v="2026-09-04T00:00:00"/>
    <d v="2021-09-03T00:00:00"/>
    <m/>
    <m/>
    <m/>
    <x v="27"/>
    <m/>
    <m/>
    <m/>
    <m/>
    <s v=""/>
    <s v=""/>
    <m/>
    <m/>
  </r>
  <r>
    <x v="7"/>
    <s v="Espana"/>
    <s v="F60038"/>
    <n v="11585100"/>
    <s v="CCI - Facility D"/>
    <x v="0"/>
    <s v="BA290826"/>
    <d v="2035-09-05T00:00:00"/>
    <d v="2021-09-03T00:00:00"/>
    <d v="2021-09-08T00:00:00"/>
    <d v="2021-09-10T00:00:00"/>
    <m/>
    <x v="27"/>
    <m/>
    <m/>
    <m/>
    <m/>
    <s v=""/>
    <s v=""/>
    <m/>
    <m/>
  </r>
  <r>
    <x v="11"/>
    <s v="Clark"/>
    <s v="AU0582"/>
    <n v="11048447"/>
    <s v="SVSP - Facility C"/>
    <x v="0"/>
    <s v="TA131082"/>
    <d v="2026-02-19T00:00:00"/>
    <d v="2021-09-03T00:00:00"/>
    <d v="2021-09-08T00:00:00"/>
    <d v="2021-09-10T00:00:00"/>
    <m/>
    <x v="27"/>
    <m/>
    <m/>
    <m/>
    <m/>
    <s v=""/>
    <s v=""/>
    <m/>
    <m/>
  </r>
  <r>
    <x v="11"/>
    <s v="Venegas"/>
    <s v="AZ0784"/>
    <n v="12147052"/>
    <s v="SCC - Facility B"/>
    <x v="0"/>
    <s v="BA441768"/>
    <d v="2024-08-30T00:00:00"/>
    <d v="2021-09-03T00:00:00"/>
    <d v="2021-09-08T00:00:00"/>
    <d v="2021-09-10T00:00:00"/>
    <m/>
    <x v="27"/>
    <m/>
    <m/>
    <m/>
    <m/>
    <s v=""/>
    <s v=""/>
    <m/>
    <m/>
  </r>
  <r>
    <x v="11"/>
    <s v="Diaz"/>
    <s v="AZ6539"/>
    <n v="11916727"/>
    <s v="COR - Facility 04B"/>
    <x v="0"/>
    <s v="VA138933"/>
    <d v="2028-10-27T00:00:00"/>
    <d v="2021-08-17T00:00:00"/>
    <d v="2021-09-08T00:00:00"/>
    <d v="2021-09-15T00:00:00"/>
    <s v="Declined"/>
    <x v="27"/>
    <m/>
    <m/>
    <m/>
    <m/>
    <s v=""/>
    <s v=""/>
    <m/>
    <m/>
  </r>
  <r>
    <x v="11"/>
    <s v="Shelton"/>
    <s v="AN3630"/>
    <n v="11365845"/>
    <s v="CVSP - MSF"/>
    <x v="8"/>
    <s v="BAF1400693"/>
    <d v="2023-07-28T00:00:00"/>
    <d v="2021-09-09T00:00:00"/>
    <m/>
    <m/>
    <m/>
    <x v="27"/>
    <m/>
    <m/>
    <m/>
    <m/>
    <s v=""/>
    <s v=""/>
    <m/>
    <m/>
  </r>
  <r>
    <x v="11"/>
    <s v="Ortega"/>
    <s v="AY5670"/>
    <n v="11559434"/>
    <s v="COR - MSF"/>
    <x v="2"/>
    <s v="15CF1836"/>
    <d v="2024-09-25T00:00:00"/>
    <d v="2021-09-09T00:00:00"/>
    <m/>
    <m/>
    <m/>
    <x v="27"/>
    <m/>
    <m/>
    <m/>
    <m/>
    <s v=""/>
    <s v=""/>
    <m/>
    <m/>
  </r>
  <r>
    <x v="11"/>
    <s v="Hunt"/>
    <s v="AZ0205"/>
    <n v="11148242"/>
    <s v="LAC - Facility A"/>
    <x v="10"/>
    <s v="SCD260688"/>
    <d v="2030-02-04T00:00:00"/>
    <d v="2021-09-08T00:00:00"/>
    <m/>
    <m/>
    <m/>
    <x v="27"/>
    <m/>
    <m/>
    <m/>
    <m/>
    <s v=""/>
    <s v=""/>
    <m/>
    <m/>
  </r>
  <r>
    <x v="11"/>
    <s v="Chavez"/>
    <s v="K07743"/>
    <n v="11778379"/>
    <s v="MCSP - Facility B"/>
    <x v="0"/>
    <s v="KA098191"/>
    <d v="2028-01-04T00:00:00"/>
    <d v="2021-09-08T00:00:00"/>
    <m/>
    <m/>
    <m/>
    <x v="27"/>
    <m/>
    <m/>
    <m/>
    <m/>
    <s v=""/>
    <s v=""/>
    <m/>
    <m/>
  </r>
  <r>
    <x v="11"/>
    <s v="McKice"/>
    <s v="AV9540"/>
    <n v="11277594"/>
    <s v="CRC - Facility B"/>
    <x v="0"/>
    <s v="NA100595"/>
    <d v="2024-08-04T00:00:00"/>
    <d v="2021-09-07T00:00:00"/>
    <m/>
    <m/>
    <m/>
    <x v="27"/>
    <m/>
    <m/>
    <m/>
    <m/>
    <s v=""/>
    <s v=""/>
    <m/>
    <m/>
  </r>
  <r>
    <x v="11"/>
    <s v="Sims"/>
    <s v="K34351"/>
    <n v="11792662"/>
    <s v="CIM - Facility D"/>
    <x v="12"/>
    <s v="CC620492"/>
    <d v="2025-02-11T00:00:00"/>
    <d v="2021-09-07T00:00:00"/>
    <m/>
    <m/>
    <m/>
    <x v="27"/>
    <m/>
    <m/>
    <m/>
    <m/>
    <s v=""/>
    <s v=""/>
    <m/>
    <m/>
  </r>
  <r>
    <x v="11"/>
    <s v="Randall"/>
    <s v="AY9541"/>
    <n v="11170621"/>
    <s v="RJD - Facility D"/>
    <x v="0"/>
    <s v="LA080403"/>
    <d v="2031-10-11T00:00:00"/>
    <d v="2021-09-07T00:00:00"/>
    <m/>
    <m/>
    <m/>
    <x v="27"/>
    <m/>
    <m/>
    <m/>
    <m/>
    <s v=""/>
    <s v=""/>
    <m/>
    <m/>
  </r>
  <r>
    <x v="11"/>
    <s v="Villescas"/>
    <s v="AS9522"/>
    <n v="11214209"/>
    <s v="SCC - Facility A"/>
    <x v="0"/>
    <s v="NA096647"/>
    <d v="2027-09-25T00:00:00"/>
    <d v="2021-09-07T00:00:00"/>
    <m/>
    <m/>
    <m/>
    <x v="27"/>
    <m/>
    <m/>
    <m/>
    <m/>
    <s v=""/>
    <s v=""/>
    <m/>
    <m/>
  </r>
  <r>
    <x v="11"/>
    <s v="Johnson"/>
    <s v="AY4924"/>
    <n v="11412038"/>
    <s v="SOL - Facility D"/>
    <x v="0"/>
    <s v="SA088734-01"/>
    <d v="2030-02-17T00:00:00"/>
    <d v="2021-09-01T00:00:00"/>
    <m/>
    <m/>
    <m/>
    <x v="27"/>
    <m/>
    <m/>
    <m/>
    <m/>
    <s v=""/>
    <s v=""/>
    <m/>
    <m/>
  </r>
  <r>
    <x v="11"/>
    <s v="Romero"/>
    <s v="AT3644"/>
    <n v="11557140"/>
    <s v="ASP - Facility E"/>
    <x v="12"/>
    <s v="C1224499"/>
    <d v="2023-08-27T00:00:00"/>
    <d v="2021-09-01T00:00:00"/>
    <d v="2021-09-14T00:00:00"/>
    <d v="2021-09-15T00:00:00"/>
    <s v="Declined"/>
    <x v="27"/>
    <m/>
    <m/>
    <m/>
    <m/>
    <s v=""/>
    <s v=""/>
    <m/>
    <m/>
  </r>
  <r>
    <x v="11"/>
    <s v="Tuilefano"/>
    <s v="V79498"/>
    <n v="12004676"/>
    <s v="ASP - Facility E"/>
    <x v="12"/>
    <s v="CC898881"/>
    <d v="2027-03-05T00:00:00"/>
    <d v="2021-08-31T00:00:00"/>
    <d v="2021-09-14T00:00:00"/>
    <d v="2021-09-15T00:00:00"/>
    <s v="Declined"/>
    <x v="27"/>
    <m/>
    <m/>
    <m/>
    <m/>
    <s v=""/>
    <s v=""/>
    <m/>
    <m/>
  </r>
  <r>
    <x v="11"/>
    <s v="Thompson"/>
    <s v="AX0179"/>
    <n v="11855895"/>
    <s v="CMC - Facility F"/>
    <x v="0"/>
    <s v="GA091246-01"/>
    <d v="2024-06-13T00:00:00"/>
    <d v="2021-08-31T00:00:00"/>
    <m/>
    <m/>
    <m/>
    <x v="27"/>
    <m/>
    <m/>
    <m/>
    <m/>
    <s v=""/>
    <s v=""/>
    <m/>
    <m/>
  </r>
  <r>
    <x v="11"/>
    <s v="Ballot"/>
    <s v="AS4090"/>
    <n v="11597000"/>
    <s v="SCC - Facility A"/>
    <x v="8"/>
    <s v="SWF1302694"/>
    <d v="2025-01-27T00:00:00"/>
    <d v="2021-08-31T00:00:00"/>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s v=""/>
    <s v=""/>
    <m/>
    <m/>
  </r>
  <r>
    <x v="15"/>
    <m/>
    <m/>
    <m/>
    <m/>
    <x v="49"/>
    <m/>
    <m/>
    <m/>
    <m/>
    <m/>
    <m/>
    <x v="27"/>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4" cacheId="0" applyNumberFormats="0" applyBorderFormats="0" applyFontFormats="0" applyPatternFormats="0" applyAlignmentFormats="0" applyWidthHeightFormats="1" dataCaption="Values" updatedVersion="6" minRefreshableVersion="3" useAutoFormatting="1" itemPrintTitles="1" createdVersion="4" indent="0" outline="1" outlineData="1" multipleFieldFilters="0">
  <location ref="A2:M52" firstHeaderRow="1" firstDataRow="2" firstDataCol="1"/>
  <pivotFields count="21">
    <pivotField axis="axisCol" showAll="0" defaultSubtotal="0">
      <items count="16">
        <item x="7"/>
        <item x="10"/>
        <item x="1"/>
        <item x="2"/>
        <item x="5"/>
        <item x="4"/>
        <item x="6"/>
        <item x="3"/>
        <item h="1" x="15"/>
        <item x="9"/>
        <item x="8"/>
        <item h="1" x="0"/>
        <item x="11"/>
        <item h="1" x="12"/>
        <item h="1" x="13"/>
        <item h="1" x="14"/>
      </items>
    </pivotField>
    <pivotField showAll="0" defaultSubtotal="0"/>
    <pivotField showAll="0"/>
    <pivotField showAll="0" defaultSubtotal="0"/>
    <pivotField showAll="0" defaultSubtotal="0"/>
    <pivotField axis="axisRow" showAll="0" sortType="ascending">
      <items count="51">
        <item x="20"/>
        <item x="26"/>
        <item x="7"/>
        <item x="47"/>
        <item x="18"/>
        <item x="28"/>
        <item x="38"/>
        <item x="3"/>
        <item x="43"/>
        <item x="22"/>
        <item x="13"/>
        <item x="19"/>
        <item x="48"/>
        <item x="27"/>
        <item x="0"/>
        <item x="35"/>
        <item x="23"/>
        <item x="45"/>
        <item x="32"/>
        <item x="4"/>
        <item x="14"/>
        <item x="29"/>
        <item x="46"/>
        <item x="2"/>
        <item x="36"/>
        <item x="8"/>
        <item x="17"/>
        <item x="16"/>
        <item x="9"/>
        <item x="10"/>
        <item x="42"/>
        <item x="21"/>
        <item x="25"/>
        <item x="37"/>
        <item x="40"/>
        <item x="12"/>
        <item x="34"/>
        <item x="31"/>
        <item x="41"/>
        <item x="1"/>
        <item x="5"/>
        <item x="24"/>
        <item x="33"/>
        <item x="44"/>
        <item x="11"/>
        <item x="30"/>
        <item x="15"/>
        <item x="6"/>
        <item x="39"/>
        <item x="49"/>
        <item t="default"/>
      </items>
    </pivotField>
    <pivotField showAll="0"/>
    <pivotField showAll="0" defaultSubtotal="0"/>
    <pivotField showAll="0" defaultSubtotal="0"/>
    <pivotField showAll="0" defaultSubtotal="0"/>
    <pivotField showAll="0" defaultSubtotal="0"/>
    <pivotField showAll="0" defaultSubtotal="0"/>
    <pivotField dataField="1"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s>
  <rowFields count="1">
    <field x="5"/>
  </rowFields>
  <rowItems count="49">
    <i>
      <x/>
    </i>
    <i>
      <x v="1"/>
    </i>
    <i>
      <x v="2"/>
    </i>
    <i>
      <x v="3"/>
    </i>
    <i>
      <x v="4"/>
    </i>
    <i>
      <x v="5"/>
    </i>
    <i>
      <x v="6"/>
    </i>
    <i>
      <x v="7"/>
    </i>
    <i>
      <x v="8"/>
    </i>
    <i>
      <x v="9"/>
    </i>
    <i>
      <x v="10"/>
    </i>
    <i>
      <x v="11"/>
    </i>
    <i>
      <x v="12"/>
    </i>
    <i>
      <x v="13"/>
    </i>
    <i>
      <x v="14"/>
    </i>
    <i>
      <x v="15"/>
    </i>
    <i>
      <x v="16"/>
    </i>
    <i>
      <x v="17"/>
    </i>
    <i>
      <x v="18"/>
    </i>
    <i>
      <x v="19"/>
    </i>
    <i>
      <x v="20"/>
    </i>
    <i>
      <x v="21"/>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Fields count="1">
    <field x="0"/>
  </colFields>
  <colItems count="12">
    <i>
      <x/>
    </i>
    <i>
      <x v="1"/>
    </i>
    <i>
      <x v="2"/>
    </i>
    <i>
      <x v="3"/>
    </i>
    <i>
      <x v="4"/>
    </i>
    <i>
      <x v="5"/>
    </i>
    <i>
      <x v="6"/>
    </i>
    <i>
      <x v="7"/>
    </i>
    <i>
      <x v="9"/>
    </i>
    <i>
      <x v="10"/>
    </i>
    <i>
      <x v="12"/>
    </i>
    <i t="grand">
      <x/>
    </i>
  </colItems>
  <dataFields count="1">
    <dataField name="Count of Date Letter Mailed To Court" fld="12" subtotal="count" baseField="0" baseItem="0"/>
  </dataFields>
  <formats count="52">
    <format dxfId="107">
      <pivotArea outline="0" collapsedLevelsAreSubtotals="1" fieldPosition="0"/>
    </format>
    <format dxfId="106">
      <pivotArea dataOnly="0" labelOnly="1" fieldPosition="0">
        <references count="1">
          <reference field="5" count="0"/>
        </references>
      </pivotArea>
    </format>
    <format dxfId="105">
      <pivotArea dataOnly="0" labelOnly="1" grandRow="1" outline="0" fieldPosition="0"/>
    </format>
    <format dxfId="104">
      <pivotArea field="5" type="button" dataOnly="0" labelOnly="1" outline="0" axis="axisRow" fieldPosition="0"/>
    </format>
    <format dxfId="103">
      <pivotArea dataOnly="0" labelOnly="1" grandCol="1" outline="0" fieldPosition="0"/>
    </format>
    <format dxfId="102">
      <pivotArea field="5" type="button" dataOnly="0" labelOnly="1" outline="0" axis="axisRow" fieldPosition="0"/>
    </format>
    <format dxfId="101">
      <pivotArea field="5" type="button" dataOnly="0" labelOnly="1" outline="0" axis="axisRow" fieldPosition="0"/>
    </format>
    <format dxfId="100">
      <pivotArea type="origin" dataOnly="0" labelOnly="1" outline="0" fieldPosition="0"/>
    </format>
    <format dxfId="99">
      <pivotArea type="topRight" dataOnly="0" labelOnly="1" outline="0" fieldPosition="0"/>
    </format>
    <format dxfId="98">
      <pivotArea field="5" grandCol="1" collapsedLevelsAreSubtotals="1" axis="axisRow" fieldPosition="0">
        <references count="1">
          <reference field="5" count="0"/>
        </references>
      </pivotArea>
    </format>
    <format dxfId="97">
      <pivotArea field="5" type="button" dataOnly="0" labelOnly="1" outline="0" axis="axisRow" fieldPosition="0"/>
    </format>
    <format dxfId="96">
      <pivotArea field="5" type="button" dataOnly="0" labelOnly="1" outline="0" axis="axisRow" fieldPosition="0"/>
    </format>
    <format dxfId="95">
      <pivotArea outline="0" collapsedLevelsAreSubtotals="1" fieldPosition="0"/>
    </format>
    <format dxfId="94">
      <pivotArea outline="0" collapsedLevelsAreSubtotals="1" fieldPosition="0"/>
    </format>
    <format dxfId="93">
      <pivotArea field="5" type="button" dataOnly="0" labelOnly="1" outline="0" axis="axisRow" fieldPosition="0"/>
    </format>
    <format dxfId="92">
      <pivotArea dataOnly="0" labelOnly="1" grandCol="1" outline="0" fieldPosition="0"/>
    </format>
    <format dxfId="91">
      <pivotArea field="5" type="button" dataOnly="0" labelOnly="1" outline="0" axis="axisRow" fieldPosition="0"/>
    </format>
    <format dxfId="90">
      <pivotArea dataOnly="0" labelOnly="1" grandCol="1" outline="0" fieldPosition="0"/>
    </format>
    <format dxfId="89">
      <pivotArea field="5" type="button" dataOnly="0" labelOnly="1" outline="0" axis="axisRow" fieldPosition="0"/>
    </format>
    <format dxfId="88">
      <pivotArea dataOnly="0" labelOnly="1" grandCol="1" outline="0" fieldPosition="0"/>
    </format>
    <format dxfId="87">
      <pivotArea type="origin" dataOnly="0" labelOnly="1" outline="0" fieldPosition="0"/>
    </format>
    <format dxfId="86">
      <pivotArea type="topRight" dataOnly="0" labelOnly="1" outline="0" fieldPosition="0"/>
    </format>
    <format dxfId="85">
      <pivotArea field="5" type="button" dataOnly="0" labelOnly="1" outline="0" axis="axisRow" fieldPosition="0"/>
    </format>
    <format dxfId="84">
      <pivotArea dataOnly="0" labelOnly="1" grandCol="1" outline="0" fieldPosition="0"/>
    </format>
    <format dxfId="83">
      <pivotArea dataOnly="0" labelOnly="1" grandCol="1" outline="0" fieldPosition="0"/>
    </format>
    <format dxfId="82">
      <pivotArea field="5" type="button" dataOnly="0" labelOnly="1" outline="0" axis="axisRow" fieldPosition="0"/>
    </format>
    <format dxfId="81">
      <pivotArea type="topRight" dataOnly="0" labelOnly="1" outline="0" offset="C1:G1" fieldPosition="0"/>
    </format>
    <format dxfId="80">
      <pivotArea field="5" type="button" dataOnly="0" labelOnly="1" outline="0" axis="axisRow" fieldPosition="0"/>
    </format>
    <format dxfId="79">
      <pivotArea dataOnly="0" labelOnly="1" fieldPosition="0">
        <references count="1">
          <reference field="0" count="0"/>
        </references>
      </pivotArea>
    </format>
    <format dxfId="78">
      <pivotArea dataOnly="0" labelOnly="1" grandCol="1" outline="0" fieldPosition="0"/>
    </format>
    <format dxfId="77">
      <pivotArea field="5" type="button" dataOnly="0" labelOnly="1" outline="0" axis="axisRow" fieldPosition="0"/>
    </format>
    <format dxfId="76">
      <pivotArea dataOnly="0" labelOnly="1" fieldPosition="0">
        <references count="1">
          <reference field="0" count="0"/>
        </references>
      </pivotArea>
    </format>
    <format dxfId="75">
      <pivotArea dataOnly="0" labelOnly="1" grandCol="1" outline="0" fieldPosition="0"/>
    </format>
    <format dxfId="74">
      <pivotArea type="topRight" dataOnly="0" labelOnly="1" outline="0" offset="D1:H1" fieldPosition="0"/>
    </format>
    <format dxfId="73">
      <pivotArea dataOnly="0" labelOnly="1" fieldPosition="0">
        <references count="1">
          <reference field="0" count="5">
            <x v="3"/>
            <x v="4"/>
            <x v="5"/>
            <x v="6"/>
            <x v="7"/>
          </reference>
        </references>
      </pivotArea>
    </format>
    <format dxfId="72">
      <pivotArea dataOnly="0" labelOnly="1" fieldPosition="0">
        <references count="1">
          <reference field="0" count="1">
            <x v="2"/>
          </reference>
        </references>
      </pivotArea>
    </format>
    <format dxfId="71">
      <pivotArea type="topRight" dataOnly="0" labelOnly="1" outline="0" offset="I1" fieldPosition="0"/>
    </format>
    <format dxfId="70">
      <pivotArea dataOnly="0" labelOnly="1" grandCol="1" outline="0" fieldPosition="0"/>
    </format>
    <format dxfId="69">
      <pivotArea type="origin" dataOnly="0" labelOnly="1" outline="0" fieldPosition="0"/>
    </format>
    <format dxfId="68">
      <pivotArea field="5" type="button" dataOnly="0" labelOnly="1" outline="0" axis="axisRow" fieldPosition="0"/>
    </format>
    <format dxfId="67">
      <pivotArea field="0" type="button" dataOnly="0" labelOnly="1" outline="0" axis="axisCol" fieldPosition="0"/>
    </format>
    <format dxfId="66">
      <pivotArea type="topRight" dataOnly="0" labelOnly="1" outline="0" fieldPosition="0"/>
    </format>
    <format dxfId="65">
      <pivotArea dataOnly="0" labelOnly="1" fieldPosition="0">
        <references count="1">
          <reference field="0" count="2">
            <x v="0"/>
            <x v="1"/>
          </reference>
        </references>
      </pivotArea>
    </format>
    <format dxfId="64">
      <pivotArea type="origin" dataOnly="0" labelOnly="1" outline="0" fieldPosition="0"/>
    </format>
    <format dxfId="63">
      <pivotArea field="5" type="button" dataOnly="0" labelOnly="1" outline="0" axis="axisRow" fieldPosition="0"/>
    </format>
    <format dxfId="62">
      <pivotArea type="topRight" dataOnly="0" labelOnly="1" outline="0" offset="A1" fieldPosition="0"/>
    </format>
    <format dxfId="61">
      <pivotArea dataOnly="0" labelOnly="1" fieldPosition="0">
        <references count="1">
          <reference field="0" count="1">
            <x v="1"/>
          </reference>
        </references>
      </pivotArea>
    </format>
    <format dxfId="60">
      <pivotArea dataOnly="0" labelOnly="1" fieldPosition="0">
        <references count="1">
          <reference field="0" count="1">
            <x v="3"/>
          </reference>
        </references>
      </pivotArea>
    </format>
    <format dxfId="59">
      <pivotArea dataOnly="0" labelOnly="1" fieldPosition="0">
        <references count="1">
          <reference field="0" count="1">
            <x v="4"/>
          </reference>
        </references>
      </pivotArea>
    </format>
    <format dxfId="58">
      <pivotArea dataOnly="0" labelOnly="1" fieldPosition="0">
        <references count="1">
          <reference field="0" count="1">
            <x v="5"/>
          </reference>
        </references>
      </pivotArea>
    </format>
    <format dxfId="57">
      <pivotArea dataOnly="0" labelOnly="1" fieldPosition="0">
        <references count="1">
          <reference field="0" count="1">
            <x v="6"/>
          </reference>
        </references>
      </pivotArea>
    </format>
    <format dxfId="56">
      <pivotArea dataOnly="0" labelOnly="1" fieldPosition="0">
        <references count="1">
          <reference field="0" count="2">
            <x v="9"/>
            <x v="1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300-000003000000}" name="PivotTable4" cacheId="0" applyNumberFormats="0" applyBorderFormats="0" applyFontFormats="0" applyPatternFormats="0" applyAlignmentFormats="0" applyWidthHeightFormats="1" dataCaption="Values" missingCaption="0" updatedVersion="6" minRefreshableVersion="3" useAutoFormatting="1" itemPrintTitles="1" createdVersion="5" indent="0" outline="1" outlineData="1" multipleFieldFilters="0" chartFormat="15" rowHeaderCaption="Category">
  <location ref="S3:BQ17" firstHeaderRow="1" firstDataRow="2" firstDataCol="1"/>
  <pivotFields count="21">
    <pivotField axis="axisRow" showAll="0" defaultSubtotal="0">
      <items count="16">
        <item x="7"/>
        <item x="10"/>
        <item x="2"/>
        <item x="5"/>
        <item x="4"/>
        <item x="6"/>
        <item x="3"/>
        <item x="15"/>
        <item x="1"/>
        <item x="9"/>
        <item x="8"/>
        <item h="1" x="0"/>
        <item x="11"/>
        <item h="1" x="12"/>
        <item h="1" x="13"/>
        <item h="1" x="14"/>
      </items>
    </pivotField>
    <pivotField showAll="0" defaultSubtotal="0"/>
    <pivotField dataField="1" showAll="0"/>
    <pivotField showAll="0"/>
    <pivotField showAll="0" defaultSubtotal="0"/>
    <pivotField axis="axisCol" showAll="0">
      <items count="51">
        <item x="20"/>
        <item x="26"/>
        <item x="7"/>
        <item x="18"/>
        <item x="28"/>
        <item x="3"/>
        <item x="22"/>
        <item x="13"/>
        <item x="19"/>
        <item x="27"/>
        <item x="0"/>
        <item x="35"/>
        <item x="23"/>
        <item x="4"/>
        <item x="14"/>
        <item x="29"/>
        <item x="2"/>
        <item x="8"/>
        <item x="17"/>
        <item x="16"/>
        <item x="9"/>
        <item x="10"/>
        <item x="21"/>
        <item x="25"/>
        <item x="37"/>
        <item x="12"/>
        <item x="1"/>
        <item x="5"/>
        <item x="24"/>
        <item x="11"/>
        <item x="15"/>
        <item x="6"/>
        <item x="49"/>
        <item x="34"/>
        <item x="40"/>
        <item x="33"/>
        <item x="36"/>
        <item x="38"/>
        <item x="31"/>
        <item x="32"/>
        <item x="39"/>
        <item x="41"/>
        <item x="30"/>
        <item x="44"/>
        <item x="42"/>
        <item x="43"/>
        <item x="45"/>
        <item x="48"/>
        <item x="47"/>
        <item x="46"/>
        <item t="default"/>
      </items>
    </pivotField>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defaultSubtotal="0"/>
    <pivotField showAll="0" defaultSubtotal="0"/>
    <pivotField showAll="0" defaultSubtotal="0"/>
    <pivotField showAll="0"/>
    <pivotField showAll="0" defaultSubtotal="0"/>
  </pivotFields>
  <rowFields count="1">
    <field x="0"/>
  </rowFields>
  <rowItems count="13">
    <i>
      <x/>
    </i>
    <i>
      <x v="1"/>
    </i>
    <i>
      <x v="2"/>
    </i>
    <i>
      <x v="3"/>
    </i>
    <i>
      <x v="4"/>
    </i>
    <i>
      <x v="5"/>
    </i>
    <i>
      <x v="6"/>
    </i>
    <i>
      <x v="7"/>
    </i>
    <i>
      <x v="8"/>
    </i>
    <i>
      <x v="9"/>
    </i>
    <i>
      <x v="10"/>
    </i>
    <i>
      <x v="12"/>
    </i>
    <i t="grand">
      <x/>
    </i>
  </rowItems>
  <colFields count="1">
    <field x="5"/>
  </colFields>
  <col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colItems>
  <dataFields count="1">
    <dataField name="Count of CDC #" fld="2" subtotal="count" baseField="0" baseItem="0"/>
  </dataFields>
  <formats count="28">
    <format dxfId="55">
      <pivotArea dataOnly="0" labelOnly="1" fieldPosition="0">
        <references count="1">
          <reference field="5" count="0"/>
        </references>
      </pivotArea>
    </format>
    <format dxfId="54">
      <pivotArea dataOnly="0" labelOnly="1" grandCol="1" outline="0" fieldPosition="0"/>
    </format>
    <format dxfId="53">
      <pivotArea dataOnly="0" labelOnly="1" fieldPosition="0">
        <references count="1">
          <reference field="5" count="0"/>
        </references>
      </pivotArea>
    </format>
    <format dxfId="52">
      <pivotArea dataOnly="0" labelOnly="1" grandCol="1" outline="0" fieldPosition="0"/>
    </format>
    <format dxfId="51">
      <pivotArea outline="0" collapsedLevelsAreSubtotals="1" fieldPosition="0"/>
    </format>
    <format dxfId="50">
      <pivotArea dataOnly="0" labelOnly="1" grandRow="1" outline="0" fieldPosition="0"/>
    </format>
    <format dxfId="49">
      <pivotArea dataOnly="0" labelOnly="1" fieldPosition="0">
        <references count="1">
          <reference field="5" count="0"/>
        </references>
      </pivotArea>
    </format>
    <format dxfId="48">
      <pivotArea dataOnly="0" labelOnly="1" grandCol="1" outline="0" fieldPosition="0"/>
    </format>
    <format dxfId="47">
      <pivotArea grandRow="1" outline="0" collapsedLevelsAreSubtotals="1" fieldPosition="0"/>
    </format>
    <format dxfId="46">
      <pivotArea dataOnly="0" labelOnly="1" grandRow="1" outline="0" fieldPosition="0"/>
    </format>
    <format dxfId="45">
      <pivotArea outline="0" collapsedLevelsAreSubtotals="1" fieldPosition="0"/>
    </format>
    <format dxfId="44">
      <pivotArea dataOnly="0" labelOnly="1" grandRow="1" outline="0" fieldPosition="0"/>
    </format>
    <format dxfId="43">
      <pivotArea dataOnly="0" labelOnly="1" fieldPosition="0">
        <references count="1">
          <reference field="5" count="0"/>
        </references>
      </pivotArea>
    </format>
    <format dxfId="42">
      <pivotArea dataOnly="0" labelOnly="1" grandCol="1" outline="0" fieldPosition="0"/>
    </format>
    <format dxfId="41">
      <pivotArea dataOnly="0" labelOnly="1" fieldPosition="0">
        <references count="1">
          <reference field="5" count="0"/>
        </references>
      </pivotArea>
    </format>
    <format dxfId="40">
      <pivotArea dataOnly="0" labelOnly="1" grandCol="1" outline="0" fieldPosition="0"/>
    </format>
    <format dxfId="39">
      <pivotArea dataOnly="0" labelOnly="1" grandRow="1" outline="0" fieldPosition="0"/>
    </format>
    <format dxfId="38">
      <pivotArea type="all" dataOnly="0" outline="0" fieldPosition="0"/>
    </format>
    <format dxfId="37">
      <pivotArea outline="0" collapsedLevelsAreSubtotals="1" fieldPosition="0"/>
    </format>
    <format dxfId="36">
      <pivotArea dataOnly="0" labelOnly="1" grandRow="1" outline="0" fieldPosition="0"/>
    </format>
    <format dxfId="35">
      <pivotArea dataOnly="0" labelOnly="1" fieldPosition="0">
        <references count="1">
          <reference field="5" count="0"/>
        </references>
      </pivotArea>
    </format>
    <format dxfId="34">
      <pivotArea dataOnly="0" labelOnly="1" grandCol="1" outline="0" fieldPosition="0"/>
    </format>
    <format dxfId="33">
      <pivotArea dataOnly="0" labelOnly="1" fieldPosition="0">
        <references count="1">
          <reference field="5" count="0"/>
        </references>
      </pivotArea>
    </format>
    <format dxfId="32">
      <pivotArea dataOnly="0" labelOnly="1" grandCol="1" outline="0" fieldPosition="0"/>
    </format>
    <format dxfId="31">
      <pivotArea grandRow="1" outline="0" collapsedLevelsAreSubtotals="1" fieldPosition="0"/>
    </format>
    <format dxfId="30">
      <pivotArea dataOnly="0" labelOnly="1" grandRow="1" outline="0" fieldPosition="0"/>
    </format>
    <format dxfId="29">
      <pivotArea grandCol="1" outline="0" collapsedLevelsAreSubtotals="1" fieldPosition="0"/>
    </format>
    <format dxfId="28">
      <pivotArea dataOnly="0" labelOnly="1" grandCol="1" outline="0" fieldPosition="0"/>
    </format>
  </formats>
  <chartFormats count="33">
    <chartFormat chart="14" format="129" series="1">
      <pivotArea type="data" outline="0" fieldPosition="0">
        <references count="1">
          <reference field="5" count="1" selected="0">
            <x v="0"/>
          </reference>
        </references>
      </pivotArea>
    </chartFormat>
    <chartFormat chart="14" format="130" series="1">
      <pivotArea type="data" outline="0" fieldPosition="0">
        <references count="1">
          <reference field="5" count="1" selected="0">
            <x v="1"/>
          </reference>
        </references>
      </pivotArea>
    </chartFormat>
    <chartFormat chart="14" format="131" series="1">
      <pivotArea type="data" outline="0" fieldPosition="0">
        <references count="1">
          <reference field="5" count="1" selected="0">
            <x v="2"/>
          </reference>
        </references>
      </pivotArea>
    </chartFormat>
    <chartFormat chart="14" format="132" series="1">
      <pivotArea type="data" outline="0" fieldPosition="0">
        <references count="1">
          <reference field="5" count="1" selected="0">
            <x v="3"/>
          </reference>
        </references>
      </pivotArea>
    </chartFormat>
    <chartFormat chart="14" format="133" series="1">
      <pivotArea type="data" outline="0" fieldPosition="0">
        <references count="1">
          <reference field="5" count="1" selected="0">
            <x v="4"/>
          </reference>
        </references>
      </pivotArea>
    </chartFormat>
    <chartFormat chart="14" format="134" series="1">
      <pivotArea type="data" outline="0" fieldPosition="0">
        <references count="1">
          <reference field="5" count="1" selected="0">
            <x v="5"/>
          </reference>
        </references>
      </pivotArea>
    </chartFormat>
    <chartFormat chart="14" format="135" series="1">
      <pivotArea type="data" outline="0" fieldPosition="0">
        <references count="1">
          <reference field="5" count="1" selected="0">
            <x v="6"/>
          </reference>
        </references>
      </pivotArea>
    </chartFormat>
    <chartFormat chart="14" format="136" series="1">
      <pivotArea type="data" outline="0" fieldPosition="0">
        <references count="1">
          <reference field="5" count="1" selected="0">
            <x v="7"/>
          </reference>
        </references>
      </pivotArea>
    </chartFormat>
    <chartFormat chart="14" format="137" series="1">
      <pivotArea type="data" outline="0" fieldPosition="0">
        <references count="1">
          <reference field="5" count="1" selected="0">
            <x v="8"/>
          </reference>
        </references>
      </pivotArea>
    </chartFormat>
    <chartFormat chart="14" format="138" series="1">
      <pivotArea type="data" outline="0" fieldPosition="0">
        <references count="1">
          <reference field="5" count="1" selected="0">
            <x v="9"/>
          </reference>
        </references>
      </pivotArea>
    </chartFormat>
    <chartFormat chart="14" format="139" series="1">
      <pivotArea type="data" outline="0" fieldPosition="0">
        <references count="1">
          <reference field="5" count="1" selected="0">
            <x v="10"/>
          </reference>
        </references>
      </pivotArea>
    </chartFormat>
    <chartFormat chart="14" format="140" series="1">
      <pivotArea type="data" outline="0" fieldPosition="0">
        <references count="1">
          <reference field="5" count="1" selected="0">
            <x v="11"/>
          </reference>
        </references>
      </pivotArea>
    </chartFormat>
    <chartFormat chart="14" format="141" series="1">
      <pivotArea type="data" outline="0" fieldPosition="0">
        <references count="1">
          <reference field="5" count="1" selected="0">
            <x v="12"/>
          </reference>
        </references>
      </pivotArea>
    </chartFormat>
    <chartFormat chart="14" format="142" series="1">
      <pivotArea type="data" outline="0" fieldPosition="0">
        <references count="1">
          <reference field="5" count="1" selected="0">
            <x v="13"/>
          </reference>
        </references>
      </pivotArea>
    </chartFormat>
    <chartFormat chart="14" format="143" series="1">
      <pivotArea type="data" outline="0" fieldPosition="0">
        <references count="1">
          <reference field="5" count="1" selected="0">
            <x v="14"/>
          </reference>
        </references>
      </pivotArea>
    </chartFormat>
    <chartFormat chart="14" format="144" series="1">
      <pivotArea type="data" outline="0" fieldPosition="0">
        <references count="1">
          <reference field="5" count="1" selected="0">
            <x v="15"/>
          </reference>
        </references>
      </pivotArea>
    </chartFormat>
    <chartFormat chart="14" format="145" series="1">
      <pivotArea type="data" outline="0" fieldPosition="0">
        <references count="1">
          <reference field="5" count="1" selected="0">
            <x v="16"/>
          </reference>
        </references>
      </pivotArea>
    </chartFormat>
    <chartFormat chart="14" format="146" series="1">
      <pivotArea type="data" outline="0" fieldPosition="0">
        <references count="1">
          <reference field="5" count="1" selected="0">
            <x v="17"/>
          </reference>
        </references>
      </pivotArea>
    </chartFormat>
    <chartFormat chart="14" format="147" series="1">
      <pivotArea type="data" outline="0" fieldPosition="0">
        <references count="1">
          <reference field="5" count="1" selected="0">
            <x v="18"/>
          </reference>
        </references>
      </pivotArea>
    </chartFormat>
    <chartFormat chart="14" format="148" series="1">
      <pivotArea type="data" outline="0" fieldPosition="0">
        <references count="1">
          <reference field="5" count="1" selected="0">
            <x v="19"/>
          </reference>
        </references>
      </pivotArea>
    </chartFormat>
    <chartFormat chart="14" format="149" series="1">
      <pivotArea type="data" outline="0" fieldPosition="0">
        <references count="1">
          <reference field="5" count="1" selected="0">
            <x v="20"/>
          </reference>
        </references>
      </pivotArea>
    </chartFormat>
    <chartFormat chart="14" format="150" series="1">
      <pivotArea type="data" outline="0" fieldPosition="0">
        <references count="1">
          <reference field="5" count="1" selected="0">
            <x v="21"/>
          </reference>
        </references>
      </pivotArea>
    </chartFormat>
    <chartFormat chart="14" format="152" series="1">
      <pivotArea type="data" outline="0" fieldPosition="0">
        <references count="1">
          <reference field="5" count="1" selected="0">
            <x v="22"/>
          </reference>
        </references>
      </pivotArea>
    </chartFormat>
    <chartFormat chart="14" format="153" series="1">
      <pivotArea type="data" outline="0" fieldPosition="0">
        <references count="1">
          <reference field="5" count="1" selected="0">
            <x v="23"/>
          </reference>
        </references>
      </pivotArea>
    </chartFormat>
    <chartFormat chart="14" format="154" series="1">
      <pivotArea type="data" outline="0" fieldPosition="0">
        <references count="1">
          <reference field="5" count="1" selected="0">
            <x v="24"/>
          </reference>
        </references>
      </pivotArea>
    </chartFormat>
    <chartFormat chart="14" format="155" series="1">
      <pivotArea type="data" outline="0" fieldPosition="0">
        <references count="1">
          <reference field="5" count="1" selected="0">
            <x v="25"/>
          </reference>
        </references>
      </pivotArea>
    </chartFormat>
    <chartFormat chart="14" format="157" series="1">
      <pivotArea type="data" outline="0" fieldPosition="0">
        <references count="1">
          <reference field="5" count="1" selected="0">
            <x v="26"/>
          </reference>
        </references>
      </pivotArea>
    </chartFormat>
    <chartFormat chart="14" format="158" series="1">
      <pivotArea type="data" outline="0" fieldPosition="0">
        <references count="1">
          <reference field="5" count="1" selected="0">
            <x v="27"/>
          </reference>
        </references>
      </pivotArea>
    </chartFormat>
    <chartFormat chart="14" format="159" series="1">
      <pivotArea type="data" outline="0" fieldPosition="0">
        <references count="1">
          <reference field="5" count="1" selected="0">
            <x v="28"/>
          </reference>
        </references>
      </pivotArea>
    </chartFormat>
    <chartFormat chart="14" format="160" series="1">
      <pivotArea type="data" outline="0" fieldPosition="0">
        <references count="1">
          <reference field="5" count="1" selected="0">
            <x v="29"/>
          </reference>
        </references>
      </pivotArea>
    </chartFormat>
    <chartFormat chart="14" format="162" series="1">
      <pivotArea type="data" outline="0" fieldPosition="0">
        <references count="1">
          <reference field="5" count="1" selected="0">
            <x v="30"/>
          </reference>
        </references>
      </pivotArea>
    </chartFormat>
    <chartFormat chart="14" format="163" series="1">
      <pivotArea type="data" outline="0" fieldPosition="0">
        <references count="1">
          <reference field="5" count="1" selected="0">
            <x v="31"/>
          </reference>
        </references>
      </pivotArea>
    </chartFormat>
    <chartFormat chart="14" format="164" series="1">
      <pivotArea type="data" outline="0" fieldPosition="0">
        <references count="1">
          <reference field="5" count="1" selected="0">
            <x v="3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300-000000000000}" name="PivotTable1"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26">
  <location ref="A3:C4" firstHeaderRow="0" firstDataRow="1" firstDataCol="0" rowPageCount="1" colPageCount="1"/>
  <pivotFields count="21">
    <pivotField showAll="0" defaultSubtotal="0"/>
    <pivotField showAll="0" defaultSubtotal="0"/>
    <pivotField dataField="1" showAll="0"/>
    <pivotField showAll="0"/>
    <pivotField showAll="0" defaultSubtotal="0"/>
    <pivotField showAll="0"/>
    <pivotField showAll="0"/>
    <pivotField showAll="0" defaultSubtotal="0"/>
    <pivotField showAll="0" defaultSubtotal="0"/>
    <pivotField showAll="0" defaultSubtotal="0"/>
    <pivotField showAll="0" defaultSubtotal="0"/>
    <pivotField showAll="0" defaultSubtotal="0"/>
    <pivotField axis="axisPage" dataField="1" multipleItemSelectionAllowed="1" showAll="0" defaultSubtotal="0">
      <items count="223">
        <item h="1" x="0"/>
        <item h="1" x="39"/>
        <item x="5"/>
        <item x="33"/>
        <item x="4"/>
        <item x="8"/>
        <item x="6"/>
        <item x="11"/>
        <item x="10"/>
        <item x="9"/>
        <item x="65"/>
        <item x="26"/>
        <item x="7"/>
        <item x="12"/>
        <item x="36"/>
        <item x="13"/>
        <item x="74"/>
        <item x="35"/>
        <item x="31"/>
        <item x="30"/>
        <item x="24"/>
        <item x="109"/>
        <item x="32"/>
        <item x="34"/>
        <item x="14"/>
        <item x="37"/>
        <item x="25"/>
        <item x="15"/>
        <item x="44"/>
        <item x="20"/>
        <item x="16"/>
        <item x="18"/>
        <item x="49"/>
        <item x="41"/>
        <item x="19"/>
        <item x="28"/>
        <item x="50"/>
        <item x="99"/>
        <item x="40"/>
        <item x="38"/>
        <item x="42"/>
        <item x="53"/>
        <item x="118"/>
        <item x="48"/>
        <item x="17"/>
        <item x="29"/>
        <item x="2"/>
        <item x="78"/>
        <item x="22"/>
        <item x="23"/>
        <item x="91"/>
        <item x="3"/>
        <item x="43"/>
        <item x="92"/>
        <item x="45"/>
        <item x="93"/>
        <item x="47"/>
        <item x="101"/>
        <item x="46"/>
        <item x="51"/>
        <item x="67"/>
        <item x="94"/>
        <item x="52"/>
        <item x="58"/>
        <item x="145"/>
        <item x="77"/>
        <item x="56"/>
        <item x="1"/>
        <item x="61"/>
        <item x="63"/>
        <item x="60"/>
        <item x="111"/>
        <item x="62"/>
        <item x="66"/>
        <item x="89"/>
        <item x="112"/>
        <item x="106"/>
        <item x="135"/>
        <item x="73"/>
        <item x="120"/>
        <item x="81"/>
        <item x="75"/>
        <item x="113"/>
        <item x="27"/>
        <item h="1" x="82"/>
        <item h="1" x="83"/>
        <item h="1" x="130"/>
        <item h="1" x="85"/>
        <item h="1" x="86"/>
        <item h="1" x="153"/>
        <item h="1" x="95"/>
        <item h="1" x="88"/>
        <item h="1" x="103"/>
        <item h="1" x="70"/>
        <item h="1" x="57"/>
        <item h="1" x="87"/>
        <item h="1" x="102"/>
        <item h="1" x="149"/>
        <item h="1" x="59"/>
        <item h="1" x="54"/>
        <item h="1" x="110"/>
        <item h="1" x="129"/>
        <item h="1" x="55"/>
        <item h="1" x="107"/>
        <item h="1" x="79"/>
        <item h="1" x="136"/>
        <item h="1" x="122"/>
        <item h="1" x="117"/>
        <item h="1" x="64"/>
        <item h="1" x="114"/>
        <item h="1" x="193"/>
        <item h="1" x="186"/>
        <item h="1" x="164"/>
        <item h="1" x="155"/>
        <item h="1" x="21"/>
        <item h="1" x="128"/>
        <item h="1" x="162"/>
        <item h="1" x="125"/>
        <item h="1" x="121"/>
        <item h="1" x="157"/>
        <item h="1" x="98"/>
        <item h="1" x="147"/>
        <item h="1" x="161"/>
        <item h="1" x="148"/>
        <item h="1" x="141"/>
        <item h="1" x="152"/>
        <item h="1" x="138"/>
        <item h="1" x="100"/>
        <item h="1" x="132"/>
        <item h="1" x="170"/>
        <item h="1" x="156"/>
        <item h="1" x="151"/>
        <item h="1" x="150"/>
        <item h="1" x="127"/>
        <item h="1" x="172"/>
        <item h="1" x="199"/>
        <item h="1" x="90"/>
        <item h="1" x="96"/>
        <item h="1" x="175"/>
        <item h="1" x="140"/>
        <item h="1" x="76"/>
        <item h="1" x="154"/>
        <item h="1" x="176"/>
        <item h="1" x="177"/>
        <item h="1" x="143"/>
        <item h="1" x="180"/>
        <item h="1" x="181"/>
        <item h="1" x="182"/>
        <item h="1" x="183"/>
        <item h="1" x="184"/>
        <item h="1" x="187"/>
        <item h="1" x="126"/>
        <item h="1" x="165"/>
        <item h="1" x="189"/>
        <item h="1" x="68"/>
        <item h="1" x="212"/>
        <item h="1" x="108"/>
        <item h="1" x="97"/>
        <item h="1" x="116"/>
        <item h="1" x="178"/>
        <item h="1" x="179"/>
        <item h="1" x="185"/>
        <item h="1" x="190"/>
        <item h="1" x="163"/>
        <item h="1" x="191"/>
        <item h="1" x="205"/>
        <item h="1" x="200"/>
        <item h="1" x="188"/>
        <item h="1" x="158"/>
        <item h="1" x="194"/>
        <item h="1" x="195"/>
        <item h="1" x="137"/>
        <item h="1" x="133"/>
        <item h="1" x="71"/>
        <item h="1" x="197"/>
        <item h="1" x="168"/>
        <item h="1" x="171"/>
        <item h="1" x="69"/>
        <item h="1" x="169"/>
        <item h="1" x="139"/>
        <item h="1" x="198"/>
        <item h="1" x="134"/>
        <item h="1" x="124"/>
        <item h="1" x="104"/>
        <item h="1" x="160"/>
        <item h="1" x="131"/>
        <item h="1" x="196"/>
        <item h="1" x="202"/>
        <item h="1" x="204"/>
        <item h="1" x="192"/>
        <item h="1" x="159"/>
        <item h="1" x="166"/>
        <item h="1" x="142"/>
        <item h="1" x="173"/>
        <item h="1" x="201"/>
        <item h="1" x="144"/>
        <item h="1" x="203"/>
        <item h="1" x="207"/>
        <item h="1" x="206"/>
        <item h="1" x="84"/>
        <item h="1" x="208"/>
        <item h="1" x="209"/>
        <item h="1" x="210"/>
        <item h="1" x="211"/>
        <item h="1" x="146"/>
        <item h="1" x="115"/>
        <item h="1" x="174"/>
        <item h="1" x="119"/>
        <item h="1" x="80"/>
        <item h="1" x="105"/>
        <item h="1" x="72"/>
        <item h="1" x="167"/>
        <item h="1" x="123"/>
        <item h="1" x="213"/>
        <item h="1" x="214"/>
        <item h="1" x="215"/>
        <item h="1" x="216"/>
        <item h="1" x="217"/>
        <item h="1" x="218"/>
        <item h="1" x="219"/>
        <item h="1" x="220"/>
        <item h="1" x="221"/>
        <item h="1" x="222"/>
      </items>
    </pivotField>
    <pivotField dataField="1" showAll="0" defaultSubtotal="0"/>
    <pivotField showAll="0"/>
    <pivotField showAll="0" defaultSubtotal="0"/>
    <pivotField showAll="0" defaultSubtotal="0"/>
    <pivotField showAll="0" defaultSubtotal="0"/>
    <pivotField showAll="0" defaultSubtotal="0"/>
    <pivotField showAll="0"/>
    <pivotField showAll="0" defaultSubtotal="0"/>
  </pivotFields>
  <rowItems count="1">
    <i/>
  </rowItems>
  <colFields count="1">
    <field x="-2"/>
  </colFields>
  <colItems count="3">
    <i>
      <x/>
    </i>
    <i i="1">
      <x v="1"/>
    </i>
    <i i="2">
      <x v="2"/>
    </i>
  </colItems>
  <pageFields count="1">
    <pageField fld="12" hier="-1"/>
  </pageFields>
  <dataFields count="3">
    <dataField name="Offenders on 1170(d) (1) List" fld="2" subtotal="count" baseField="0" baseItem="1"/>
    <dataField name="Letters Mailed To Court" fld="12" subtotal="count" baseField="0" baseItem="0"/>
    <dataField name="Responses Received by Court" fld="13" subtotal="count" baseField="0" baseItem="0"/>
  </dataFields>
  <chartFormats count="11">
    <chartFormat chart="1" format="5" series="1">
      <pivotArea type="data" outline="0" fieldPosition="0">
        <references count="1">
          <reference field="4294967294" count="1" selected="0">
            <x v="0"/>
          </reference>
        </references>
      </pivotArea>
    </chartFormat>
    <chartFormat chart="16" format="29" series="1">
      <pivotArea type="data" outline="0" fieldPosition="0">
        <references count="1">
          <reference field="4294967294" count="1" selected="0">
            <x v="0"/>
          </reference>
        </references>
      </pivotArea>
    </chartFormat>
    <chartFormat chart="17" format="34" series="1">
      <pivotArea type="data" outline="0" fieldPosition="0">
        <references count="1">
          <reference field="4294967294" count="1" selected="0">
            <x v="0"/>
          </reference>
        </references>
      </pivotArea>
    </chartFormat>
    <chartFormat chart="17" format="38">
      <pivotArea type="data" outline="0" fieldPosition="0">
        <references count="1">
          <reference field="4294967294" count="1" selected="0">
            <x v="0"/>
          </reference>
        </references>
      </pivotArea>
    </chartFormat>
    <chartFormat chart="22" format="44" series="1">
      <pivotArea type="data" outline="0" fieldPosition="0">
        <references count="1">
          <reference field="4294967294" count="1" selected="0">
            <x v="0"/>
          </reference>
        </references>
      </pivotArea>
    </chartFormat>
    <chartFormat chart="22" format="48" series="1">
      <pivotArea type="data" outline="0" fieldPosition="0">
        <references count="1">
          <reference field="4294967294" count="1" selected="0">
            <x v="1"/>
          </reference>
        </references>
      </pivotArea>
    </chartFormat>
    <chartFormat chart="22" format="49" series="1">
      <pivotArea type="data" outline="0" fieldPosition="0">
        <references count="1">
          <reference field="4294967294" count="1" selected="0">
            <x v="2"/>
          </reference>
        </references>
      </pivotArea>
    </chartFormat>
    <chartFormat chart="22" format="50">
      <pivotArea type="data" outline="0" fieldPosition="0">
        <references count="1">
          <reference field="4294967294" count="1" selected="0">
            <x v="1"/>
          </reference>
        </references>
      </pivotArea>
    </chartFormat>
    <chartFormat chart="25" format="51" series="1">
      <pivotArea type="data" outline="0" fieldPosition="0">
        <references count="1">
          <reference field="4294967294" count="1" selected="0">
            <x v="0"/>
          </reference>
        </references>
      </pivotArea>
    </chartFormat>
    <chartFormat chart="25" format="52" series="1">
      <pivotArea type="data" outline="0" fieldPosition="0">
        <references count="1">
          <reference field="4294967294" count="1" selected="0">
            <x v="1"/>
          </reference>
        </references>
      </pivotArea>
    </chartFormat>
    <chartFormat chart="25" format="5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300-000002000000}" name="PivotTable3"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17" rowHeaderCaption="Category">
  <location ref="F3:G16" firstHeaderRow="1" firstDataRow="1" firstDataCol="1"/>
  <pivotFields count="21">
    <pivotField axis="axisRow" showAll="0" sortType="descending" defaultSubtotal="0">
      <items count="16">
        <item x="7"/>
        <item x="10"/>
        <item x="2"/>
        <item x="5"/>
        <item x="4"/>
        <item x="6"/>
        <item x="3"/>
        <item x="15"/>
        <item x="1"/>
        <item x="9"/>
        <item x="8"/>
        <item h="1" x="0"/>
        <item x="11"/>
        <item h="1" x="12"/>
        <item h="1" x="13"/>
        <item h="1" x="14"/>
      </items>
      <autoSortScope>
        <pivotArea dataOnly="0" outline="0" fieldPosition="0">
          <references count="1">
            <reference field="4294967294" count="1" selected="0">
              <x v="0"/>
            </reference>
          </references>
        </pivotArea>
      </autoSortScope>
    </pivotField>
    <pivotField showAll="0" defaultSubtotal="0"/>
    <pivotField dataField="1" showAll="0"/>
    <pivotField showAll="0"/>
    <pivotField showAll="0" defaultSubtotal="0"/>
    <pivotField showAll="0"/>
    <pivotField showAll="0"/>
    <pivotField showAll="0" defaultSubtotal="0"/>
    <pivotField showAll="0" defaultSubtotal="0"/>
    <pivotField showAll="0" defaultSubtotal="0"/>
    <pivotField showAll="0" defaultSubtotal="0"/>
    <pivotField showAll="0" defaultSubtotal="0"/>
    <pivotField showAll="0" defaultSubtotal="0"/>
    <pivotField showAll="0" defaultSubtotal="0"/>
    <pivotField showAll="0"/>
    <pivotField showAll="0" defaultSubtotal="0"/>
    <pivotField showAll="0" defaultSubtotal="0"/>
    <pivotField showAll="0" defaultSubtotal="0"/>
    <pivotField showAll="0" defaultSubtotal="0"/>
    <pivotField showAll="0"/>
    <pivotField showAll="0" defaultSubtotal="0"/>
  </pivotFields>
  <rowFields count="1">
    <field x="0"/>
  </rowFields>
  <rowItems count="13">
    <i>
      <x v="12"/>
    </i>
    <i>
      <x v="8"/>
    </i>
    <i>
      <x v="2"/>
    </i>
    <i>
      <x/>
    </i>
    <i>
      <x v="5"/>
    </i>
    <i>
      <x v="6"/>
    </i>
    <i>
      <x v="3"/>
    </i>
    <i>
      <x v="10"/>
    </i>
    <i>
      <x v="4"/>
    </i>
    <i>
      <x v="9"/>
    </i>
    <i>
      <x v="1"/>
    </i>
    <i>
      <x v="7"/>
    </i>
    <i t="grand">
      <x/>
    </i>
  </rowItems>
  <colItems count="1">
    <i/>
  </colItems>
  <dataFields count="1">
    <dataField name="Count of CDC #" fld="2" subtotal="count" baseField="17" baseItem="0"/>
  </dataFields>
  <chartFormats count="5">
    <chartFormat chart="5" format="8" series="1">
      <pivotArea type="data" outline="0" fieldPosition="0">
        <references count="1">
          <reference field="4294967294" count="1" selected="0">
            <x v="0"/>
          </reference>
        </references>
      </pivotArea>
    </chartFormat>
    <chartFormat chart="8" format="20" series="1">
      <pivotArea type="data" outline="0" fieldPosition="0">
        <references count="1">
          <reference field="4294967294" count="1" selected="0">
            <x v="0"/>
          </reference>
        </references>
      </pivotArea>
    </chartFormat>
    <chartFormat chart="13" format="38" series="1">
      <pivotArea type="data" outline="0" fieldPosition="0">
        <references count="1">
          <reference field="4294967294" count="1" selected="0">
            <x v="0"/>
          </reference>
        </references>
      </pivotArea>
    </chartFormat>
    <chartFormat chart="14" format="52" series="1">
      <pivotArea type="data" outline="0" fieldPosition="0">
        <references count="1">
          <reference field="4294967294" count="1" selected="0">
            <x v="0"/>
          </reference>
        </references>
      </pivotArea>
    </chartFormat>
    <chartFormat chart="14" format="61">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300-000001000000}" name="PivotTable2" cacheId="0" applyNumberFormats="0" applyBorderFormats="0" applyFontFormats="0" applyPatternFormats="0" applyAlignmentFormats="0" applyWidthHeightFormats="1" dataCaption="Values" updatedVersion="6" minRefreshableVersion="3" useAutoFormatting="1" itemPrintTitles="1" createdVersion="5" indent="0" outline="1" outlineData="1" multipleFieldFilters="0" chartFormat="27">
  <location ref="N3:P49" firstHeaderRow="0" firstDataRow="1" firstDataCol="1" rowPageCount="1" colPageCount="1"/>
  <pivotFields count="21">
    <pivotField showAll="0" defaultSubtotal="0"/>
    <pivotField showAll="0" defaultSubtotal="0"/>
    <pivotField showAll="0"/>
    <pivotField showAll="0"/>
    <pivotField showAll="0" defaultSubtotal="0"/>
    <pivotField axis="axisRow" showAll="0">
      <items count="51">
        <item x="20"/>
        <item x="26"/>
        <item x="7"/>
        <item x="18"/>
        <item x="28"/>
        <item x="3"/>
        <item x="22"/>
        <item x="13"/>
        <item x="19"/>
        <item x="27"/>
        <item x="0"/>
        <item x="35"/>
        <item x="23"/>
        <item x="4"/>
        <item x="14"/>
        <item x="29"/>
        <item x="2"/>
        <item x="8"/>
        <item x="17"/>
        <item x="16"/>
        <item x="9"/>
        <item x="10"/>
        <item x="21"/>
        <item x="25"/>
        <item x="37"/>
        <item x="12"/>
        <item x="1"/>
        <item x="5"/>
        <item x="24"/>
        <item x="11"/>
        <item x="15"/>
        <item x="6"/>
        <item x="49"/>
        <item x="34"/>
        <item x="40"/>
        <item x="33"/>
        <item x="36"/>
        <item x="38"/>
        <item x="31"/>
        <item x="32"/>
        <item x="39"/>
        <item x="41"/>
        <item x="30"/>
        <item x="44"/>
        <item x="42"/>
        <item x="43"/>
        <item x="45"/>
        <item x="48"/>
        <item x="47"/>
        <item x="46"/>
        <item t="default"/>
      </items>
    </pivotField>
    <pivotField showAll="0"/>
    <pivotField showAll="0" defaultSubtotal="0"/>
    <pivotField showAll="0" defaultSubtotal="0"/>
    <pivotField showAll="0" defaultSubtotal="0"/>
    <pivotField showAll="0" defaultSubtotal="0"/>
    <pivotField showAll="0" defaultSubtotal="0"/>
    <pivotField axis="axisPage" dataField="1" multipleItemSelectionAllowed="1" showAll="0" defaultSubtotal="0">
      <items count="223">
        <item h="1" x="0"/>
        <item h="1" x="39"/>
        <item x="5"/>
        <item x="33"/>
        <item x="4"/>
        <item x="8"/>
        <item x="6"/>
        <item x="11"/>
        <item x="10"/>
        <item x="9"/>
        <item x="65"/>
        <item x="26"/>
        <item x="7"/>
        <item x="12"/>
        <item x="36"/>
        <item x="13"/>
        <item x="74"/>
        <item x="35"/>
        <item x="31"/>
        <item x="30"/>
        <item x="24"/>
        <item x="109"/>
        <item x="32"/>
        <item x="34"/>
        <item x="14"/>
        <item x="37"/>
        <item x="25"/>
        <item x="15"/>
        <item x="44"/>
        <item x="20"/>
        <item x="16"/>
        <item x="18"/>
        <item x="49"/>
        <item x="41"/>
        <item x="19"/>
        <item x="28"/>
        <item x="50"/>
        <item x="99"/>
        <item x="40"/>
        <item x="38"/>
        <item x="42"/>
        <item x="53"/>
        <item x="118"/>
        <item x="48"/>
        <item x="17"/>
        <item x="29"/>
        <item x="2"/>
        <item x="78"/>
        <item x="22"/>
        <item x="23"/>
        <item x="91"/>
        <item x="3"/>
        <item x="43"/>
        <item x="92"/>
        <item x="45"/>
        <item x="93"/>
        <item x="47"/>
        <item x="101"/>
        <item x="46"/>
        <item x="51"/>
        <item x="67"/>
        <item x="94"/>
        <item x="52"/>
        <item x="58"/>
        <item x="145"/>
        <item x="77"/>
        <item x="56"/>
        <item x="1"/>
        <item x="61"/>
        <item x="63"/>
        <item x="60"/>
        <item x="111"/>
        <item x="62"/>
        <item x="66"/>
        <item x="89"/>
        <item x="112"/>
        <item x="106"/>
        <item x="135"/>
        <item x="73"/>
        <item x="120"/>
        <item x="81"/>
        <item x="75"/>
        <item x="113"/>
        <item x="27"/>
        <item h="1" x="82"/>
        <item h="1" x="83"/>
        <item h="1" x="130"/>
        <item h="1" x="85"/>
        <item h="1" x="86"/>
        <item h="1" x="153"/>
        <item h="1" x="95"/>
        <item h="1" x="88"/>
        <item h="1" x="103"/>
        <item h="1" x="70"/>
        <item h="1" x="57"/>
        <item h="1" x="87"/>
        <item h="1" x="102"/>
        <item h="1" x="149"/>
        <item h="1" x="59"/>
        <item h="1" x="54"/>
        <item h="1" x="110"/>
        <item h="1" x="129"/>
        <item h="1" x="55"/>
        <item h="1" x="107"/>
        <item h="1" x="79"/>
        <item h="1" x="136"/>
        <item h="1" x="122"/>
        <item h="1" x="117"/>
        <item h="1" x="64"/>
        <item h="1" x="114"/>
        <item h="1" x="193"/>
        <item h="1" x="186"/>
        <item h="1" x="164"/>
        <item h="1" x="155"/>
        <item h="1" x="21"/>
        <item h="1" x="128"/>
        <item h="1" x="162"/>
        <item h="1" x="125"/>
        <item h="1" x="121"/>
        <item h="1" x="157"/>
        <item h="1" x="98"/>
        <item h="1" x="147"/>
        <item h="1" x="161"/>
        <item h="1" x="148"/>
        <item h="1" x="141"/>
        <item h="1" x="152"/>
        <item h="1" x="138"/>
        <item h="1" x="100"/>
        <item h="1" x="132"/>
        <item h="1" x="170"/>
        <item h="1" x="156"/>
        <item h="1" x="151"/>
        <item h="1" x="150"/>
        <item h="1" x="127"/>
        <item h="1" x="172"/>
        <item h="1" x="199"/>
        <item h="1" x="90"/>
        <item h="1" x="96"/>
        <item h="1" x="175"/>
        <item h="1" x="140"/>
        <item h="1" x="76"/>
        <item h="1" x="154"/>
        <item h="1" x="176"/>
        <item h="1" x="177"/>
        <item h="1" x="143"/>
        <item h="1" x="180"/>
        <item h="1" x="181"/>
        <item h="1" x="182"/>
        <item h="1" x="183"/>
        <item h="1" x="184"/>
        <item h="1" x="187"/>
        <item h="1" x="126"/>
        <item h="1" x="165"/>
        <item h="1" x="189"/>
        <item h="1" x="68"/>
        <item h="1" x="212"/>
        <item h="1" x="108"/>
        <item h="1" x="97"/>
        <item h="1" x="116"/>
        <item h="1" x="178"/>
        <item h="1" x="179"/>
        <item h="1" x="185"/>
        <item h="1" x="190"/>
        <item h="1" x="163"/>
        <item h="1" x="191"/>
        <item h="1" x="205"/>
        <item h="1" x="200"/>
        <item h="1" x="188"/>
        <item h="1" x="158"/>
        <item h="1" x="194"/>
        <item h="1" x="195"/>
        <item h="1" x="137"/>
        <item h="1" x="133"/>
        <item h="1" x="71"/>
        <item h="1" x="197"/>
        <item h="1" x="168"/>
        <item h="1" x="171"/>
        <item h="1" x="69"/>
        <item h="1" x="169"/>
        <item h="1" x="139"/>
        <item h="1" x="198"/>
        <item h="1" x="134"/>
        <item h="1" x="124"/>
        <item h="1" x="104"/>
        <item h="1" x="160"/>
        <item h="1" x="131"/>
        <item h="1" x="196"/>
        <item h="1" x="202"/>
        <item h="1" x="204"/>
        <item h="1" x="192"/>
        <item h="1" x="159"/>
        <item h="1" x="166"/>
        <item h="1" x="142"/>
        <item h="1" x="173"/>
        <item h="1" x="201"/>
        <item h="1" x="144"/>
        <item h="1" x="203"/>
        <item h="1" x="207"/>
        <item h="1" x="206"/>
        <item h="1" x="84"/>
        <item h="1" x="208"/>
        <item h="1" x="209"/>
        <item h="1" x="210"/>
        <item h="1" x="211"/>
        <item h="1" x="146"/>
        <item h="1" x="115"/>
        <item h="1" x="174"/>
        <item h="1" x="119"/>
        <item h="1" x="80"/>
        <item h="1" x="105"/>
        <item h="1" x="72"/>
        <item h="1" x="167"/>
        <item h="1" x="123"/>
        <item h="1" x="213"/>
        <item h="1" x="214"/>
        <item h="1" x="215"/>
        <item h="1" x="216"/>
        <item h="1" x="217"/>
        <item h="1" x="218"/>
        <item h="1" x="219"/>
        <item h="1" x="220"/>
        <item h="1" x="221"/>
        <item h="1" x="222"/>
      </items>
    </pivotField>
    <pivotField dataField="1" showAll="0" defaultSubtotal="0"/>
    <pivotField showAll="0"/>
    <pivotField showAll="0" defaultSubtotal="0"/>
    <pivotField showAll="0" defaultSubtotal="0"/>
    <pivotField showAll="0" defaultSubtotal="0"/>
    <pivotField showAll="0" defaultSubtotal="0"/>
    <pivotField showAll="0"/>
    <pivotField showAll="0" defaultSubtotal="0"/>
  </pivotFields>
  <rowFields count="1">
    <field x="5"/>
  </rowFields>
  <rowItems count="46">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t="grand">
      <x/>
    </i>
  </rowItems>
  <colFields count="1">
    <field x="-2"/>
  </colFields>
  <colItems count="2">
    <i>
      <x/>
    </i>
    <i i="1">
      <x v="1"/>
    </i>
  </colItems>
  <pageFields count="1">
    <pageField fld="12" hier="-1"/>
  </pageFields>
  <dataFields count="2">
    <dataField name="Letters Mailed To Court" fld="12" subtotal="count" baseField="0" baseItem="0"/>
    <dataField name="Responses Received by Court" fld="13" subtotal="count" baseField="0" baseItem="0"/>
  </dataFields>
  <chartFormats count="4">
    <chartFormat chart="25" format="51" series="1">
      <pivotArea type="data" outline="0" fieldPosition="0">
        <references count="1">
          <reference field="4294967294" count="1" selected="0">
            <x v="0"/>
          </reference>
        </references>
      </pivotArea>
    </chartFormat>
    <chartFormat chart="25" format="52" series="1">
      <pivotArea type="data" outline="0" fieldPosition="0">
        <references count="1">
          <reference field="4294967294" count="1" selected="0">
            <x v="1"/>
          </reference>
        </references>
      </pivotArea>
    </chartFormat>
    <chartFormat chart="26" format="53" series="1">
      <pivotArea type="data" outline="0" fieldPosition="0">
        <references count="1">
          <reference field="4294967294" count="1" selected="0">
            <x v="0"/>
          </reference>
        </references>
      </pivotArea>
    </chartFormat>
    <chartFormat chart="26" format="54"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300-000004000000}" name="PivotTable5" cacheId="0" applyNumberFormats="0" applyBorderFormats="0" applyFontFormats="0" applyPatternFormats="0" applyAlignmentFormats="0" applyWidthHeightFormats="1" dataCaption="Values" missingCaption="0" updatedVersion="6" minRefreshableVersion="3" useAutoFormatting="1" itemPrintTitles="1" createdVersion="5" indent="0" outline="1" outlineData="1" multipleFieldFilters="0" chartFormat="27">
  <location ref="I3:K16" firstHeaderRow="0" firstDataRow="1" firstDataCol="1"/>
  <pivotFields count="21">
    <pivotField axis="axisRow" showAll="0" defaultSubtotal="0">
      <items count="16">
        <item x="7"/>
        <item x="10"/>
        <item x="2"/>
        <item x="5"/>
        <item x="4"/>
        <item x="6"/>
        <item x="3"/>
        <item x="15"/>
        <item x="1"/>
        <item x="9"/>
        <item x="8"/>
        <item h="1" x="0"/>
        <item x="11"/>
        <item h="1" x="12"/>
        <item h="1" x="13"/>
        <item h="1" x="14"/>
      </items>
    </pivotField>
    <pivotField showAll="0" defaultSubtotal="0"/>
    <pivotField showAll="0"/>
    <pivotField showAll="0"/>
    <pivotField showAll="0" defaultSubtotal="0"/>
    <pivotField showAll="0"/>
    <pivotField showAll="0"/>
    <pivotField showAll="0" defaultSubtotal="0"/>
    <pivotField showAll="0" defaultSubtotal="0"/>
    <pivotField showAll="0" defaultSubtotal="0"/>
    <pivotField showAll="0" defaultSubtotal="0"/>
    <pivotField showAll="0" defaultSubtotal="0"/>
    <pivotField dataField="1" showAll="0" defaultSubtotal="0"/>
    <pivotField dataField="1" showAll="0" defaultSubtotal="0"/>
    <pivotField showAll="0"/>
    <pivotField showAll="0" defaultSubtotal="0"/>
    <pivotField showAll="0" defaultSubtotal="0"/>
    <pivotField showAll="0" defaultSubtotal="0"/>
    <pivotField showAll="0" defaultSubtotal="0"/>
    <pivotField showAll="0"/>
    <pivotField showAll="0" defaultSubtotal="0"/>
  </pivotFields>
  <rowFields count="1">
    <field x="0"/>
  </rowFields>
  <rowItems count="13">
    <i>
      <x/>
    </i>
    <i>
      <x v="1"/>
    </i>
    <i>
      <x v="2"/>
    </i>
    <i>
      <x v="3"/>
    </i>
    <i>
      <x v="4"/>
    </i>
    <i>
      <x v="5"/>
    </i>
    <i>
      <x v="6"/>
    </i>
    <i>
      <x v="7"/>
    </i>
    <i>
      <x v="8"/>
    </i>
    <i>
      <x v="9"/>
    </i>
    <i>
      <x v="10"/>
    </i>
    <i>
      <x v="12"/>
    </i>
    <i t="grand">
      <x/>
    </i>
  </rowItems>
  <colFields count="1">
    <field x="-2"/>
  </colFields>
  <colItems count="2">
    <i>
      <x/>
    </i>
    <i i="1">
      <x v="1"/>
    </i>
  </colItems>
  <dataFields count="2">
    <dataField name="Letters Mailed To Court" fld="12" subtotal="count" baseField="17" baseItem="0"/>
    <dataField name="Responses Received by Court" fld="13" subtotal="count" baseField="17" baseItem="0"/>
  </dataFields>
  <chartFormats count="4">
    <chartFormat chart="25" format="48" series="1">
      <pivotArea type="data" outline="0" fieldPosition="0">
        <references count="1">
          <reference field="4294967294" count="1" selected="0">
            <x v="0"/>
          </reference>
        </references>
      </pivotArea>
    </chartFormat>
    <chartFormat chart="25" format="49" series="1">
      <pivotArea type="data" outline="0" fieldPosition="0">
        <references count="1">
          <reference field="4294967294" count="1" selected="0">
            <x v="1"/>
          </reference>
        </references>
      </pivotArea>
    </chartFormat>
    <chartFormat chart="26" format="50" series="1">
      <pivotArea type="data" outline="0" fieldPosition="0">
        <references count="1">
          <reference field="4294967294" count="1" selected="0">
            <x v="0"/>
          </reference>
        </references>
      </pivotArea>
    </chartFormat>
    <chartFormat chart="26" format="5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8519DFE-29E7-45B2-B2F5-0ED2C5BE71CC}" name="Table1" displayName="Table1" ref="A3:X6" totalsRowShown="0">
  <autoFilter ref="A3:X6" xr:uid="{98519DFE-29E7-45B2-B2F5-0ED2C5BE71CC}"/>
  <tableColumns count="24">
    <tableColumn id="1" xr3:uid="{006ECB80-340D-468B-AEED-F92CB350ABAC}" name="Category"/>
    <tableColumn id="2" xr3:uid="{0ADA562A-2E51-49FE-83A6-9C3B1161F47D}" name="Inmate's Last Name"/>
    <tableColumn id="3" xr3:uid="{895D8CC9-FFC8-4785-A3D5-B2D642BB0183}" name="CDC #"/>
    <tableColumn id="4" xr3:uid="{BB1D8F76-489A-447F-B553-66B2906BB477}" name="PID #"/>
    <tableColumn id="5" xr3:uid="{57ABADCA-8683-40E1-9AB8-8AB95E0F25A2}" name="Institution"/>
    <tableColumn id="6" xr3:uid="{47FDD394-AFA6-4E07-A572-F6063ABBB71A}" name="County"/>
    <tableColumn id="7" xr3:uid="{250FD69F-5F47-4F31-A8B4-AC88B7BF252D}" name="Case #"/>
    <tableColumn id="8" xr3:uid="{60355D58-F287-40D1-84FF-0CFA8AF749F4}" name="Static_x000a_Release _x000a_Date" dataDxfId="112"/>
    <tableColumn id="9" xr3:uid="{7039E608-B51A-498D-AED9-CA596DACC269}" name="Date Legal_x000a_Documents_x000a_Printed" dataDxfId="111"/>
    <tableColumn id="10" xr3:uid="{E7CC5B09-A793-408E-A449-86442912D3D3}" name="Date Letter Created" dataDxfId="110"/>
    <tableColumn id="11" xr3:uid="{0CD081C2-21DD-450D-8606-043B7CA17B19}" name="Date Letter Sent to Secretary's Office"/>
    <tableColumn id="12" xr3:uid="{AF312F47-0746-4717-931F-0888B88E07E9}" name="Secretary's Decision"/>
    <tableColumn id="13" xr3:uid="{BB62D901-A8BD-4FAD-8003-BCD3ECD05E5C}" name="Date Letter Mailed To Court" dataDxfId="109"/>
    <tableColumn id="14" xr3:uid="{CD9E0B9D-3400-428D-B7BD-3FB662BE2E31}" name="Date Response Received by Court"/>
    <tableColumn id="15" xr3:uid="{9FAF3789-833F-4C82-AD59-B6982B76A730}" name="Resentencing Hearing Date"/>
    <tableColumn id="16" xr3:uid="{6335DCC1-C37E-45E2-8A6C-9BC2F7A7814F}" name="Action Taken"/>
    <tableColumn id="17" xr3:uid="{1A3F3248-52B1-4AF2-A20A-9D9541AC6666}" name="Days Term Reduced By"/>
    <tableColumn id="18" xr3:uid="{4F3BB571-6D57-4834-AFA2-FCB7D4EE2C2C}" name="Years Term Reduced By"/>
    <tableColumn id="19" xr3:uid="{FACB1141-3A6D-4FE0-A949-2BB952B2C6F3}" name="Cost Savings"/>
    <tableColumn id="20" xr3:uid="{D7195290-D57E-4289-B0A0-E85AB9D206EA}" name="Notes"/>
    <tableColumn id="21" xr3:uid="{AC3D2621-13E4-49CD-8F19-BF15722EA2BB}" name="Completion Date"/>
    <tableColumn id="22" xr3:uid="{633DAA0B-F24D-4463-8675-AB097D86A393}" name="Post Release"/>
    <tableColumn id="23" xr3:uid="{FB4C725C-52A3-48AF-BD24-D9CC602800E1}" name="ISL/DSL"/>
    <tableColumn id="24" xr3:uid="{43E21484-50B9-4B2D-B67D-E26FF7AA4644}" name="PED Date" dataDxfId="108"/>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Green">
      <a:dk1>
        <a:sysClr val="windowText" lastClr="000000"/>
      </a:dk1>
      <a:lt1>
        <a:sysClr val="window" lastClr="FFFFFF"/>
      </a:lt1>
      <a:dk2>
        <a:srgbClr val="455F51"/>
      </a:dk2>
      <a:lt2>
        <a:srgbClr val="E3DED1"/>
      </a:lt2>
      <a:accent1>
        <a:srgbClr val="549E39"/>
      </a:accent1>
      <a:accent2>
        <a:srgbClr val="8AB833"/>
      </a:accent2>
      <a:accent3>
        <a:srgbClr val="C0CF3A"/>
      </a:accent3>
      <a:accent4>
        <a:srgbClr val="029676"/>
      </a:accent4>
      <a:accent5>
        <a:srgbClr val="4AB5C4"/>
      </a:accent5>
      <a:accent6>
        <a:srgbClr val="0989B1"/>
      </a:accent6>
      <a:hlink>
        <a:srgbClr val="6B9F25"/>
      </a:hlink>
      <a:folHlink>
        <a:srgbClr val="BA6906"/>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4.xml"/><Relationship Id="rId7" Type="http://schemas.openxmlformats.org/officeDocument/2006/relationships/drawing" Target="../drawings/drawing3.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rinterSettings" Target="../printerSettings/printerSettings4.bin"/><Relationship Id="rId5" Type="http://schemas.openxmlformats.org/officeDocument/2006/relationships/pivotTable" Target="../pivotTables/pivotTable6.xml"/><Relationship Id="rId4"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B5AD6-E528-4217-9807-9EAD04E65063}">
  <dimension ref="A1:X6"/>
  <sheetViews>
    <sheetView workbookViewId="0"/>
  </sheetViews>
  <sheetFormatPr defaultRowHeight="15" x14ac:dyDescent="0.25"/>
  <cols>
    <col min="1" max="1" width="18.42578125" bestFit="1" customWidth="1"/>
    <col min="2" max="2" width="21.28515625" bestFit="1" customWidth="1"/>
    <col min="4" max="4" width="9.85546875" bestFit="1" customWidth="1"/>
    <col min="5" max="5" width="13.85546875" bestFit="1" customWidth="1"/>
    <col min="6" max="6" width="10.140625" bestFit="1" customWidth="1"/>
    <col min="7" max="7" width="11.42578125" bestFit="1" customWidth="1"/>
    <col min="8" max="8" width="20.140625" bestFit="1" customWidth="1"/>
    <col min="9" max="9" width="29.85546875" bestFit="1" customWidth="1"/>
    <col min="10" max="10" width="21.28515625" bestFit="1" customWidth="1"/>
    <col min="11" max="11" width="37.140625" bestFit="1" customWidth="1"/>
    <col min="12" max="12" width="21.42578125" bestFit="1" customWidth="1"/>
    <col min="13" max="13" width="28.85546875" bestFit="1" customWidth="1"/>
    <col min="14" max="14" width="34" bestFit="1" customWidth="1"/>
    <col min="15" max="15" width="28" bestFit="1" customWidth="1"/>
    <col min="16" max="16" width="15" bestFit="1" customWidth="1"/>
    <col min="17" max="17" width="24.140625" bestFit="1" customWidth="1"/>
    <col min="18" max="18" width="24.7109375" bestFit="1" customWidth="1"/>
    <col min="19" max="19" width="14.42578125" bestFit="1" customWidth="1"/>
    <col min="21" max="21" width="18.5703125" bestFit="1" customWidth="1"/>
    <col min="22" max="22" width="14.7109375" bestFit="1" customWidth="1"/>
    <col min="23" max="23" width="10.140625" bestFit="1" customWidth="1"/>
    <col min="24" max="24" width="11.7109375" bestFit="1" customWidth="1"/>
  </cols>
  <sheetData>
    <row r="1" spans="1:24" x14ac:dyDescent="0.25">
      <c r="A1" s="58" t="s">
        <v>0</v>
      </c>
    </row>
    <row r="3" spans="1:24" x14ac:dyDescent="0.25">
      <c r="A3" t="s">
        <v>1</v>
      </c>
      <c r="B3" t="s">
        <v>2</v>
      </c>
      <c r="C3" t="s">
        <v>3</v>
      </c>
      <c r="D3" t="s">
        <v>4</v>
      </c>
      <c r="E3" t="s">
        <v>5</v>
      </c>
      <c r="F3" t="s">
        <v>6</v>
      </c>
      <c r="G3" t="s">
        <v>7</v>
      </c>
      <c r="H3" t="s">
        <v>8</v>
      </c>
      <c r="I3" t="s">
        <v>9</v>
      </c>
      <c r="J3" t="s">
        <v>10</v>
      </c>
      <c r="K3" t="s">
        <v>11</v>
      </c>
      <c r="L3" t="s">
        <v>12</v>
      </c>
      <c r="M3" t="s">
        <v>13</v>
      </c>
      <c r="N3" t="s">
        <v>14</v>
      </c>
      <c r="O3" t="s">
        <v>15</v>
      </c>
      <c r="P3" t="s">
        <v>16</v>
      </c>
      <c r="Q3" t="s">
        <v>17</v>
      </c>
      <c r="R3" t="s">
        <v>18</v>
      </c>
      <c r="S3" t="s">
        <v>19</v>
      </c>
      <c r="T3" t="s">
        <v>20</v>
      </c>
      <c r="U3" t="s">
        <v>21</v>
      </c>
      <c r="V3" t="s">
        <v>22</v>
      </c>
      <c r="W3" t="s">
        <v>23</v>
      </c>
      <c r="X3" t="s">
        <v>24</v>
      </c>
    </row>
    <row r="4" spans="1:24" x14ac:dyDescent="0.25">
      <c r="A4" t="s">
        <v>25</v>
      </c>
      <c r="B4" t="s">
        <v>26</v>
      </c>
      <c r="C4" t="s">
        <v>27</v>
      </c>
      <c r="D4">
        <v>11846296</v>
      </c>
      <c r="E4" t="s">
        <v>28</v>
      </c>
      <c r="F4" t="s">
        <v>29</v>
      </c>
      <c r="G4" t="s">
        <v>30</v>
      </c>
      <c r="H4" s="159">
        <v>46119</v>
      </c>
      <c r="I4" s="159">
        <v>44769</v>
      </c>
      <c r="J4" s="159">
        <v>44769</v>
      </c>
      <c r="L4" t="s">
        <v>31</v>
      </c>
      <c r="M4" s="159">
        <v>44788</v>
      </c>
      <c r="R4" t="s">
        <v>32</v>
      </c>
      <c r="S4" t="s">
        <v>32</v>
      </c>
      <c r="W4" t="s">
        <v>33</v>
      </c>
      <c r="X4" s="159">
        <v>46119</v>
      </c>
    </row>
    <row r="5" spans="1:24" x14ac:dyDescent="0.25">
      <c r="A5" t="s">
        <v>25</v>
      </c>
      <c r="B5" t="s">
        <v>26</v>
      </c>
      <c r="C5" t="s">
        <v>27</v>
      </c>
      <c r="D5">
        <v>11846296</v>
      </c>
      <c r="E5" t="s">
        <v>34</v>
      </c>
      <c r="F5" t="s">
        <v>29</v>
      </c>
      <c r="G5" t="s">
        <v>30</v>
      </c>
      <c r="H5" s="159">
        <v>46119</v>
      </c>
      <c r="I5" s="159">
        <v>44713</v>
      </c>
      <c r="J5" s="159">
        <v>44767</v>
      </c>
      <c r="K5" s="159">
        <v>44768</v>
      </c>
      <c r="L5" t="s">
        <v>31</v>
      </c>
      <c r="M5" s="159">
        <v>44788</v>
      </c>
      <c r="N5" s="159">
        <v>45026</v>
      </c>
      <c r="O5" s="159">
        <v>45026</v>
      </c>
      <c r="P5" t="s">
        <v>35</v>
      </c>
      <c r="Q5">
        <v>1825</v>
      </c>
      <c r="R5">
        <v>5</v>
      </c>
      <c r="S5">
        <v>41295</v>
      </c>
      <c r="U5" s="159">
        <v>45107</v>
      </c>
      <c r="V5" t="s">
        <v>36</v>
      </c>
      <c r="W5" t="s">
        <v>33</v>
      </c>
      <c r="X5" s="159">
        <v>50753</v>
      </c>
    </row>
    <row r="6" spans="1:24" x14ac:dyDescent="0.25">
      <c r="A6" t="s">
        <v>37</v>
      </c>
      <c r="B6" t="s">
        <v>26</v>
      </c>
      <c r="C6" t="s">
        <v>27</v>
      </c>
      <c r="D6">
        <v>11846296</v>
      </c>
      <c r="E6" t="s">
        <v>38</v>
      </c>
      <c r="F6" t="s">
        <v>29</v>
      </c>
      <c r="G6" t="s">
        <v>39</v>
      </c>
      <c r="H6" s="159">
        <v>46823</v>
      </c>
      <c r="I6" s="159">
        <v>43691</v>
      </c>
      <c r="J6" s="159">
        <v>43704</v>
      </c>
      <c r="K6" s="159">
        <v>43704</v>
      </c>
      <c r="L6" t="s">
        <v>31</v>
      </c>
      <c r="M6" s="159">
        <v>43712</v>
      </c>
      <c r="R6" t="s">
        <v>32</v>
      </c>
      <c r="S6" t="s">
        <v>32</v>
      </c>
      <c r="W6" t="s">
        <v>33</v>
      </c>
      <c r="X6" s="159">
        <v>46739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6" tint="-0.499984740745262"/>
    <pageSetUpPr fitToPage="1"/>
  </sheetPr>
  <dimension ref="A1:AB1048362"/>
  <sheetViews>
    <sheetView showGridLines="0" tabSelected="1" topLeftCell="G1" zoomScale="90" zoomScaleNormal="90" zoomScaleSheetLayoutView="40" workbookViewId="0">
      <pane ySplit="1" topLeftCell="A2" activePane="bottomLeft" state="frozen"/>
      <selection pane="bottomLeft" activeCell="T978" sqref="T978:T2173"/>
    </sheetView>
  </sheetViews>
  <sheetFormatPr defaultColWidth="9.140625" defaultRowHeight="15" x14ac:dyDescent="0.25"/>
  <cols>
    <col min="1" max="1" width="21" style="6" customWidth="1"/>
    <col min="2" max="2" width="16.7109375" style="94" customWidth="1"/>
    <col min="3" max="3" width="10" style="6" customWidth="1"/>
    <col min="4" max="4" width="13.7109375" style="140" customWidth="1"/>
    <col min="5" max="5" width="27.140625" style="6" customWidth="1"/>
    <col min="6" max="6" width="18.7109375" style="10" customWidth="1"/>
    <col min="7" max="7" width="15.5703125" style="6" customWidth="1"/>
    <col min="8" max="8" width="12.5703125" style="8" customWidth="1"/>
    <col min="9" max="10" width="14" style="8" customWidth="1"/>
    <col min="11" max="11" width="15.42578125" style="95" customWidth="1"/>
    <col min="12" max="12" width="12.5703125" style="95" customWidth="1"/>
    <col min="13" max="15" width="14" style="8" customWidth="1"/>
    <col min="16" max="16" width="32.140625" style="6" customWidth="1"/>
    <col min="17" max="17" width="11" style="96" customWidth="1"/>
    <col min="18" max="18" width="13.28515625" style="97" customWidth="1"/>
    <col min="19" max="19" width="15.42578125" style="75" customWidth="1"/>
    <col min="20" max="20" width="41.28515625" style="124" customWidth="1"/>
    <col min="21" max="21" width="14.85546875" style="8" customWidth="1"/>
    <col min="22" max="23" width="9.140625" style="6" customWidth="1"/>
    <col min="24" max="24" width="18.140625" style="10" customWidth="1"/>
    <col min="25" max="16384" width="9.140625" style="89"/>
  </cols>
  <sheetData>
    <row r="1" spans="1:24" ht="60" x14ac:dyDescent="0.25">
      <c r="A1" s="84" t="s">
        <v>1</v>
      </c>
      <c r="B1" s="84" t="s">
        <v>2</v>
      </c>
      <c r="C1" s="84" t="s">
        <v>3</v>
      </c>
      <c r="D1" s="139" t="s">
        <v>4</v>
      </c>
      <c r="E1" s="84" t="s">
        <v>5</v>
      </c>
      <c r="F1" s="90" t="s">
        <v>6</v>
      </c>
      <c r="G1" s="84" t="s">
        <v>7</v>
      </c>
      <c r="H1" s="84" t="s">
        <v>8</v>
      </c>
      <c r="I1" s="84" t="s">
        <v>9</v>
      </c>
      <c r="J1" s="84" t="s">
        <v>10</v>
      </c>
      <c r="K1" s="84" t="s">
        <v>11</v>
      </c>
      <c r="L1" s="84" t="s">
        <v>12</v>
      </c>
      <c r="M1" s="84" t="s">
        <v>13</v>
      </c>
      <c r="N1" s="84" t="s">
        <v>14</v>
      </c>
      <c r="O1" s="84" t="s">
        <v>15</v>
      </c>
      <c r="P1" s="84" t="s">
        <v>16</v>
      </c>
      <c r="Q1" s="91" t="s">
        <v>17</v>
      </c>
      <c r="R1" s="92" t="s">
        <v>18</v>
      </c>
      <c r="S1" s="93" t="s">
        <v>19</v>
      </c>
      <c r="T1" s="123" t="s">
        <v>20</v>
      </c>
      <c r="U1" s="84" t="s">
        <v>21</v>
      </c>
      <c r="V1" s="84" t="s">
        <v>22</v>
      </c>
      <c r="W1" s="84" t="s">
        <v>23</v>
      </c>
      <c r="X1" s="90" t="s">
        <v>24</v>
      </c>
    </row>
    <row r="2" spans="1:24" ht="30" x14ac:dyDescent="0.25">
      <c r="A2" s="6" t="s">
        <v>40</v>
      </c>
      <c r="B2" s="94" t="s">
        <v>41</v>
      </c>
      <c r="C2" s="6" t="s">
        <v>42</v>
      </c>
      <c r="D2" s="140">
        <v>11736736</v>
      </c>
      <c r="E2" s="6" t="s">
        <v>43</v>
      </c>
      <c r="F2" s="10" t="s">
        <v>44</v>
      </c>
      <c r="H2" s="8">
        <v>45713</v>
      </c>
      <c r="I2" s="95">
        <v>42748</v>
      </c>
      <c r="J2" s="95">
        <v>42748</v>
      </c>
      <c r="K2" s="95">
        <v>42748</v>
      </c>
      <c r="L2" s="95" t="s">
        <v>31</v>
      </c>
      <c r="M2" s="8">
        <v>42752</v>
      </c>
      <c r="N2" s="8">
        <v>43334</v>
      </c>
      <c r="O2" s="8">
        <v>43329</v>
      </c>
      <c r="P2" s="6" t="s">
        <v>45</v>
      </c>
      <c r="R2" s="97" t="str">
        <f t="shared" ref="R2" si="0">IF(Q2&gt;0, Q2/365, "")</f>
        <v/>
      </c>
      <c r="S2" s="75" t="str">
        <f t="shared" ref="S2" si="1">IF(Q2&gt;0, SUM(Q2)*(8259/365), "")</f>
        <v/>
      </c>
      <c r="T2" s="124" t="s">
        <v>46</v>
      </c>
      <c r="U2" s="8">
        <v>43334</v>
      </c>
      <c r="V2" s="6" t="s">
        <v>36</v>
      </c>
      <c r="W2" s="6" t="s">
        <v>33</v>
      </c>
      <c r="X2" s="95">
        <v>47716</v>
      </c>
    </row>
    <row r="3" spans="1:24" ht="45" x14ac:dyDescent="0.25">
      <c r="A3" s="6" t="s">
        <v>37</v>
      </c>
      <c r="B3" s="94" t="s">
        <v>47</v>
      </c>
      <c r="C3" s="6" t="s">
        <v>48</v>
      </c>
      <c r="D3" s="140">
        <v>11094640</v>
      </c>
      <c r="E3" s="6" t="s">
        <v>49</v>
      </c>
      <c r="F3" s="10" t="s">
        <v>50</v>
      </c>
      <c r="G3" s="6" t="s">
        <v>51</v>
      </c>
      <c r="H3" s="8">
        <v>46212</v>
      </c>
      <c r="I3" s="8">
        <v>43399</v>
      </c>
      <c r="J3" s="8">
        <v>43403</v>
      </c>
      <c r="K3" s="95">
        <v>43410</v>
      </c>
      <c r="L3" s="95" t="s">
        <v>31</v>
      </c>
      <c r="M3" s="8">
        <v>43410</v>
      </c>
      <c r="N3" s="8">
        <v>43460</v>
      </c>
      <c r="O3" s="8">
        <v>43148</v>
      </c>
      <c r="P3" s="101" t="s">
        <v>52</v>
      </c>
      <c r="R3" s="97" t="str">
        <f t="shared" ref="R3:R25" si="2">IF(Q3&gt;0, Q3/365, "")</f>
        <v/>
      </c>
      <c r="S3" s="75" t="str">
        <f t="shared" ref="S3:S25" si="3">IF(Q3&gt;0, SUM(Q3)*(8259/365), "")</f>
        <v/>
      </c>
      <c r="T3" s="124" t="s">
        <v>53</v>
      </c>
      <c r="U3" s="8">
        <v>43460</v>
      </c>
      <c r="W3" s="6" t="s">
        <v>33</v>
      </c>
      <c r="X3" s="95">
        <v>48294</v>
      </c>
    </row>
    <row r="4" spans="1:24" x14ac:dyDescent="0.25">
      <c r="A4" s="6" t="s">
        <v>37</v>
      </c>
      <c r="B4" s="94" t="s">
        <v>54</v>
      </c>
      <c r="C4" s="6" t="s">
        <v>55</v>
      </c>
      <c r="D4" s="140">
        <v>11944098</v>
      </c>
      <c r="E4" s="6" t="s">
        <v>56</v>
      </c>
      <c r="F4" s="10" t="s">
        <v>57</v>
      </c>
      <c r="G4" s="6" t="s">
        <v>58</v>
      </c>
      <c r="H4" s="8">
        <v>47327</v>
      </c>
      <c r="I4" s="8">
        <v>42973</v>
      </c>
      <c r="J4" s="8">
        <v>42973</v>
      </c>
      <c r="K4" s="95">
        <v>42974</v>
      </c>
      <c r="L4" s="95" t="s">
        <v>31</v>
      </c>
      <c r="M4" s="8">
        <v>43349</v>
      </c>
      <c r="R4" s="97" t="str">
        <f t="shared" si="2"/>
        <v/>
      </c>
      <c r="S4" s="75" t="str">
        <f t="shared" si="3"/>
        <v/>
      </c>
      <c r="W4" s="6" t="s">
        <v>33</v>
      </c>
      <c r="X4" s="95">
        <v>50829</v>
      </c>
    </row>
    <row r="5" spans="1:24" x14ac:dyDescent="0.25">
      <c r="A5" s="6" t="s">
        <v>37</v>
      </c>
      <c r="B5" s="94" t="s">
        <v>59</v>
      </c>
      <c r="C5" s="6" t="s">
        <v>60</v>
      </c>
      <c r="D5" s="140">
        <v>11597329</v>
      </c>
      <c r="E5" s="6" t="s">
        <v>61</v>
      </c>
      <c r="F5" s="10" t="s">
        <v>62</v>
      </c>
      <c r="G5" s="6" t="s">
        <v>63</v>
      </c>
      <c r="H5" s="8">
        <v>48644</v>
      </c>
      <c r="I5" s="8">
        <v>42973</v>
      </c>
      <c r="J5" s="8">
        <v>42973</v>
      </c>
      <c r="K5" s="95">
        <v>42974</v>
      </c>
      <c r="L5" s="95" t="s">
        <v>31</v>
      </c>
      <c r="M5" s="8">
        <v>43349</v>
      </c>
      <c r="N5" s="8">
        <v>44554</v>
      </c>
      <c r="O5" s="8">
        <v>43972</v>
      </c>
      <c r="P5" s="6" t="s">
        <v>35</v>
      </c>
      <c r="Q5" s="96">
        <v>2022</v>
      </c>
      <c r="R5" s="97">
        <f t="shared" si="2"/>
        <v>5.5397260273972604</v>
      </c>
      <c r="S5" s="75">
        <f t="shared" si="3"/>
        <v>45752.597260273971</v>
      </c>
      <c r="T5" s="124" t="s">
        <v>64</v>
      </c>
      <c r="U5" s="8">
        <v>44553</v>
      </c>
      <c r="W5" s="6" t="s">
        <v>33</v>
      </c>
      <c r="X5" s="95">
        <v>51613</v>
      </c>
    </row>
    <row r="6" spans="1:24" x14ac:dyDescent="0.25">
      <c r="A6" s="6" t="s">
        <v>65</v>
      </c>
      <c r="B6" s="94" t="s">
        <v>66</v>
      </c>
      <c r="C6" s="6" t="s">
        <v>67</v>
      </c>
      <c r="D6" s="140">
        <v>11926123</v>
      </c>
      <c r="E6" s="6" t="s">
        <v>49</v>
      </c>
      <c r="F6" s="10" t="s">
        <v>44</v>
      </c>
      <c r="G6" s="6" t="s">
        <v>68</v>
      </c>
      <c r="H6" s="8">
        <v>2958465</v>
      </c>
      <c r="I6" s="8">
        <v>43339</v>
      </c>
      <c r="J6" s="8">
        <v>43339</v>
      </c>
      <c r="K6" s="95">
        <v>43355</v>
      </c>
      <c r="L6" s="95" t="s">
        <v>31</v>
      </c>
      <c r="M6" s="8">
        <v>43356</v>
      </c>
      <c r="N6" s="8">
        <v>43616</v>
      </c>
      <c r="O6" s="8">
        <v>43481</v>
      </c>
      <c r="P6" s="6" t="s">
        <v>69</v>
      </c>
      <c r="R6" s="97" t="str">
        <f t="shared" si="2"/>
        <v/>
      </c>
      <c r="S6" s="75" t="str">
        <f t="shared" si="3"/>
        <v/>
      </c>
      <c r="U6" s="8">
        <v>43616</v>
      </c>
      <c r="W6" s="6" t="s">
        <v>33</v>
      </c>
      <c r="X6" s="95">
        <v>45771</v>
      </c>
    </row>
    <row r="7" spans="1:24" x14ac:dyDescent="0.25">
      <c r="A7" s="101" t="s">
        <v>70</v>
      </c>
      <c r="B7" s="102" t="s">
        <v>71</v>
      </c>
      <c r="C7" s="101" t="s">
        <v>72</v>
      </c>
      <c r="D7" s="141">
        <v>11615821</v>
      </c>
      <c r="E7" s="101" t="s">
        <v>73</v>
      </c>
      <c r="F7" s="101" t="s">
        <v>50</v>
      </c>
      <c r="G7" s="101" t="s">
        <v>74</v>
      </c>
      <c r="H7" s="103">
        <v>47444</v>
      </c>
      <c r="I7" s="95">
        <v>43136</v>
      </c>
      <c r="J7" s="95">
        <v>43136</v>
      </c>
      <c r="K7" s="104">
        <v>43179</v>
      </c>
      <c r="L7" s="95" t="s">
        <v>31</v>
      </c>
      <c r="M7" s="103">
        <v>43181</v>
      </c>
      <c r="N7" s="103">
        <v>43195</v>
      </c>
      <c r="O7" s="103">
        <v>43188</v>
      </c>
      <c r="P7" s="101" t="s">
        <v>75</v>
      </c>
      <c r="Q7" s="105"/>
      <c r="R7" s="97" t="str">
        <f t="shared" si="2"/>
        <v/>
      </c>
      <c r="S7" s="75" t="str">
        <f t="shared" si="3"/>
        <v/>
      </c>
      <c r="T7" s="125" t="s">
        <v>76</v>
      </c>
      <c r="U7" s="103">
        <v>43195</v>
      </c>
      <c r="W7" s="6" t="s">
        <v>33</v>
      </c>
      <c r="X7" s="95">
        <v>44939</v>
      </c>
    </row>
    <row r="8" spans="1:24" s="99" customFormat="1" ht="30" x14ac:dyDescent="0.25">
      <c r="A8" s="6" t="s">
        <v>77</v>
      </c>
      <c r="B8" s="94" t="s">
        <v>78</v>
      </c>
      <c r="C8" s="6" t="s">
        <v>79</v>
      </c>
      <c r="D8" s="140">
        <v>12106307</v>
      </c>
      <c r="E8" s="6" t="s">
        <v>80</v>
      </c>
      <c r="F8" s="10" t="s">
        <v>81</v>
      </c>
      <c r="G8" s="6" t="s">
        <v>82</v>
      </c>
      <c r="H8" s="8">
        <v>51668</v>
      </c>
      <c r="I8" s="95">
        <v>43136</v>
      </c>
      <c r="J8" s="95">
        <v>43136</v>
      </c>
      <c r="K8" s="95">
        <v>43136</v>
      </c>
      <c r="L8" s="95" t="s">
        <v>31</v>
      </c>
      <c r="M8" s="8">
        <v>43171</v>
      </c>
      <c r="N8" s="8">
        <v>43265</v>
      </c>
      <c r="O8" s="8">
        <v>43229</v>
      </c>
      <c r="P8" s="6" t="s">
        <v>52</v>
      </c>
      <c r="Q8" s="96"/>
      <c r="R8" s="97" t="str">
        <f t="shared" si="2"/>
        <v/>
      </c>
      <c r="S8" s="75" t="str">
        <f t="shared" si="3"/>
        <v/>
      </c>
      <c r="T8" s="126" t="s">
        <v>83</v>
      </c>
      <c r="U8" s="8">
        <v>43271</v>
      </c>
      <c r="V8" s="6"/>
      <c r="W8" s="6" t="s">
        <v>84</v>
      </c>
      <c r="X8" s="95">
        <v>57036</v>
      </c>
    </row>
    <row r="9" spans="1:24" s="99" customFormat="1" x14ac:dyDescent="0.25">
      <c r="A9" s="6" t="s">
        <v>85</v>
      </c>
      <c r="B9" s="94" t="s">
        <v>86</v>
      </c>
      <c r="C9" s="6" t="s">
        <v>87</v>
      </c>
      <c r="D9" s="140">
        <v>11254455</v>
      </c>
      <c r="E9" s="6" t="s">
        <v>88</v>
      </c>
      <c r="F9" s="6" t="s">
        <v>44</v>
      </c>
      <c r="G9" s="6" t="s">
        <v>89</v>
      </c>
      <c r="H9" s="8">
        <v>43839</v>
      </c>
      <c r="I9" s="95">
        <v>43136</v>
      </c>
      <c r="J9" s="95">
        <v>43144</v>
      </c>
      <c r="K9" s="95">
        <v>43144</v>
      </c>
      <c r="L9" s="95" t="s">
        <v>31</v>
      </c>
      <c r="M9" s="8">
        <v>43200</v>
      </c>
      <c r="N9" s="8">
        <v>43318</v>
      </c>
      <c r="O9" s="8">
        <v>43312</v>
      </c>
      <c r="P9" s="89" t="s">
        <v>90</v>
      </c>
      <c r="Q9" s="96">
        <v>1825</v>
      </c>
      <c r="R9" s="97">
        <f t="shared" si="2"/>
        <v>5</v>
      </c>
      <c r="S9" s="75">
        <f t="shared" si="3"/>
        <v>41295</v>
      </c>
      <c r="T9" s="124" t="s">
        <v>91</v>
      </c>
      <c r="U9" s="8">
        <v>43327</v>
      </c>
      <c r="V9" s="100" t="s">
        <v>36</v>
      </c>
      <c r="W9" s="100" t="s">
        <v>33</v>
      </c>
      <c r="X9" s="104">
        <v>46869</v>
      </c>
    </row>
    <row r="10" spans="1:24" s="99" customFormat="1" x14ac:dyDescent="0.25">
      <c r="A10" s="6" t="s">
        <v>85</v>
      </c>
      <c r="B10" s="94" t="s">
        <v>92</v>
      </c>
      <c r="C10" s="6" t="s">
        <v>93</v>
      </c>
      <c r="D10" s="140">
        <v>11618463</v>
      </c>
      <c r="E10" s="6" t="s">
        <v>94</v>
      </c>
      <c r="F10" s="6" t="s">
        <v>95</v>
      </c>
      <c r="G10" s="6" t="s">
        <v>96</v>
      </c>
      <c r="H10" s="8">
        <v>47703</v>
      </c>
      <c r="I10" s="95">
        <v>43136</v>
      </c>
      <c r="J10" s="8">
        <v>43236</v>
      </c>
      <c r="K10" s="95">
        <v>43236</v>
      </c>
      <c r="L10" s="95" t="s">
        <v>31</v>
      </c>
      <c r="M10" s="8">
        <v>43241</v>
      </c>
      <c r="N10" s="8">
        <v>43382</v>
      </c>
      <c r="O10" s="8">
        <v>43319</v>
      </c>
      <c r="P10" s="6" t="s">
        <v>35</v>
      </c>
      <c r="Q10" s="96">
        <v>1582</v>
      </c>
      <c r="R10" s="97">
        <f t="shared" si="2"/>
        <v>4.3342465753424655</v>
      </c>
      <c r="S10" s="75">
        <f t="shared" si="3"/>
        <v>35796.542465753424</v>
      </c>
      <c r="T10" s="124"/>
      <c r="U10" s="8">
        <v>43391</v>
      </c>
      <c r="V10" s="100"/>
      <c r="W10" s="100" t="s">
        <v>33</v>
      </c>
      <c r="X10" s="104">
        <v>45320</v>
      </c>
    </row>
    <row r="11" spans="1:24" x14ac:dyDescent="0.25">
      <c r="A11" s="6" t="s">
        <v>85</v>
      </c>
      <c r="B11" s="94" t="s">
        <v>97</v>
      </c>
      <c r="C11" s="6" t="s">
        <v>98</v>
      </c>
      <c r="D11" s="140">
        <v>11367786</v>
      </c>
      <c r="E11" s="6" t="s">
        <v>99</v>
      </c>
      <c r="F11" s="6" t="s">
        <v>100</v>
      </c>
      <c r="G11" s="6" t="s">
        <v>101</v>
      </c>
      <c r="H11" s="8">
        <v>52591</v>
      </c>
      <c r="I11" s="95">
        <v>43136</v>
      </c>
      <c r="J11" s="8">
        <v>43192</v>
      </c>
      <c r="K11" s="95">
        <v>43193</v>
      </c>
      <c r="L11" s="95" t="s">
        <v>31</v>
      </c>
      <c r="M11" s="8">
        <v>43195</v>
      </c>
      <c r="N11" s="8">
        <v>43319</v>
      </c>
      <c r="O11" s="8">
        <v>43315</v>
      </c>
      <c r="P11" s="6" t="s">
        <v>35</v>
      </c>
      <c r="Q11" s="96">
        <v>1825</v>
      </c>
      <c r="R11" s="97">
        <f t="shared" si="2"/>
        <v>5</v>
      </c>
      <c r="S11" s="75">
        <f t="shared" si="3"/>
        <v>41295</v>
      </c>
      <c r="U11" s="8">
        <v>43332</v>
      </c>
      <c r="W11" s="6" t="s">
        <v>33</v>
      </c>
      <c r="X11" s="95">
        <v>46811</v>
      </c>
    </row>
    <row r="12" spans="1:24" x14ac:dyDescent="0.25">
      <c r="A12" s="101" t="s">
        <v>85</v>
      </c>
      <c r="B12" s="102" t="s">
        <v>102</v>
      </c>
      <c r="C12" s="101" t="s">
        <v>103</v>
      </c>
      <c r="D12" s="141">
        <v>11330341</v>
      </c>
      <c r="E12" s="101" t="s">
        <v>104</v>
      </c>
      <c r="F12" s="101" t="s">
        <v>105</v>
      </c>
      <c r="G12" s="101" t="s">
        <v>106</v>
      </c>
      <c r="H12" s="103"/>
      <c r="I12" s="95">
        <v>43136</v>
      </c>
      <c r="J12" s="103">
        <v>43192</v>
      </c>
      <c r="K12" s="104">
        <v>43193</v>
      </c>
      <c r="L12" s="95" t="s">
        <v>31</v>
      </c>
      <c r="M12" s="103">
        <v>43195</v>
      </c>
      <c r="N12" s="103">
        <v>43234</v>
      </c>
      <c r="O12" s="103">
        <v>43234</v>
      </c>
      <c r="P12" s="101" t="s">
        <v>35</v>
      </c>
      <c r="Q12" s="105">
        <v>1825</v>
      </c>
      <c r="R12" s="97">
        <f t="shared" si="2"/>
        <v>5</v>
      </c>
      <c r="S12" s="75">
        <f t="shared" si="3"/>
        <v>41295</v>
      </c>
      <c r="T12" s="125" t="s">
        <v>107</v>
      </c>
      <c r="U12" s="8">
        <v>43234</v>
      </c>
      <c r="W12" s="6" t="s">
        <v>33</v>
      </c>
      <c r="X12" s="95">
        <v>44956</v>
      </c>
    </row>
    <row r="13" spans="1:24" s="99" customFormat="1" x14ac:dyDescent="0.25">
      <c r="A13" s="101" t="s">
        <v>77</v>
      </c>
      <c r="B13" s="102" t="s">
        <v>108</v>
      </c>
      <c r="C13" s="101" t="s">
        <v>109</v>
      </c>
      <c r="D13" s="141">
        <v>11053435</v>
      </c>
      <c r="E13" s="101" t="s">
        <v>56</v>
      </c>
      <c r="F13" s="101" t="s">
        <v>44</v>
      </c>
      <c r="G13" s="101" t="s">
        <v>110</v>
      </c>
      <c r="H13" s="103">
        <v>44617</v>
      </c>
      <c r="I13" s="95">
        <v>43136</v>
      </c>
      <c r="J13" s="95">
        <v>43136</v>
      </c>
      <c r="K13" s="104">
        <v>43136</v>
      </c>
      <c r="L13" s="95" t="s">
        <v>31</v>
      </c>
      <c r="M13" s="103">
        <v>43171</v>
      </c>
      <c r="N13" s="103">
        <v>43227</v>
      </c>
      <c r="O13" s="103">
        <v>43229</v>
      </c>
      <c r="P13" s="101" t="s">
        <v>90</v>
      </c>
      <c r="Q13" s="105">
        <v>243</v>
      </c>
      <c r="R13" s="97">
        <f t="shared" si="2"/>
        <v>0.66575342465753429</v>
      </c>
      <c r="S13" s="75">
        <f t="shared" si="3"/>
        <v>5498.4575342465751</v>
      </c>
      <c r="T13" s="125" t="s">
        <v>111</v>
      </c>
      <c r="U13" s="8">
        <v>43229</v>
      </c>
      <c r="V13" s="6" t="s">
        <v>36</v>
      </c>
      <c r="W13" s="6" t="s">
        <v>84</v>
      </c>
      <c r="X13" s="95">
        <v>51108</v>
      </c>
    </row>
    <row r="14" spans="1:24" x14ac:dyDescent="0.25">
      <c r="A14" s="6" t="s">
        <v>77</v>
      </c>
      <c r="B14" s="106" t="s">
        <v>112</v>
      </c>
      <c r="C14" s="6" t="s">
        <v>113</v>
      </c>
      <c r="D14" s="140">
        <v>11053598</v>
      </c>
      <c r="E14" s="6" t="s">
        <v>114</v>
      </c>
      <c r="F14" s="10" t="s">
        <v>29</v>
      </c>
      <c r="G14" s="6" t="s">
        <v>115</v>
      </c>
      <c r="H14" s="8">
        <v>44032</v>
      </c>
      <c r="I14" s="95">
        <v>43136</v>
      </c>
      <c r="J14" s="95">
        <v>43136</v>
      </c>
      <c r="K14" s="95">
        <v>43136</v>
      </c>
      <c r="L14" s="95" t="s">
        <v>31</v>
      </c>
      <c r="M14" s="8">
        <v>43171</v>
      </c>
      <c r="N14" s="8">
        <v>43304</v>
      </c>
      <c r="O14" s="8">
        <v>43329</v>
      </c>
      <c r="P14" s="6" t="s">
        <v>90</v>
      </c>
      <c r="Q14" s="96">
        <v>730</v>
      </c>
      <c r="R14" s="97">
        <f t="shared" si="2"/>
        <v>2</v>
      </c>
      <c r="S14" s="75">
        <f t="shared" si="3"/>
        <v>16518</v>
      </c>
      <c r="T14" s="127" t="s">
        <v>116</v>
      </c>
      <c r="U14" s="8">
        <v>43340</v>
      </c>
      <c r="V14" s="6" t="s">
        <v>36</v>
      </c>
      <c r="W14" s="6" t="s">
        <v>84</v>
      </c>
      <c r="X14" s="95">
        <v>52001</v>
      </c>
    </row>
    <row r="15" spans="1:24" x14ac:dyDescent="0.25">
      <c r="A15" s="6" t="s">
        <v>117</v>
      </c>
      <c r="B15" s="94" t="s">
        <v>118</v>
      </c>
      <c r="C15" s="6" t="s">
        <v>119</v>
      </c>
      <c r="D15" s="140">
        <v>11014317</v>
      </c>
      <c r="E15" s="6" t="s">
        <v>120</v>
      </c>
      <c r="F15" s="6" t="s">
        <v>121</v>
      </c>
      <c r="G15" s="6" t="s">
        <v>122</v>
      </c>
      <c r="H15" s="8">
        <v>44406</v>
      </c>
      <c r="I15" s="95">
        <v>43136</v>
      </c>
      <c r="J15" s="7">
        <v>43210</v>
      </c>
      <c r="K15" s="7">
        <v>43210</v>
      </c>
      <c r="L15" s="95" t="s">
        <v>31</v>
      </c>
      <c r="M15" s="9">
        <v>43216</v>
      </c>
      <c r="N15" s="9">
        <v>43255</v>
      </c>
      <c r="O15" s="9">
        <v>43250</v>
      </c>
      <c r="P15" s="10" t="s">
        <v>35</v>
      </c>
      <c r="Q15" s="76">
        <v>485</v>
      </c>
      <c r="R15" s="97">
        <f t="shared" si="2"/>
        <v>1.3287671232876712</v>
      </c>
      <c r="S15" s="75">
        <f t="shared" si="3"/>
        <v>10974.287671232876</v>
      </c>
      <c r="T15" s="128"/>
      <c r="U15" s="8">
        <v>43255</v>
      </c>
      <c r="W15" s="6" t="s">
        <v>33</v>
      </c>
      <c r="X15" s="95">
        <v>42586</v>
      </c>
    </row>
    <row r="16" spans="1:24" x14ac:dyDescent="0.25">
      <c r="A16" s="101" t="s">
        <v>70</v>
      </c>
      <c r="B16" s="102" t="s">
        <v>123</v>
      </c>
      <c r="C16" s="101" t="s">
        <v>124</v>
      </c>
      <c r="D16" s="141">
        <v>11286086</v>
      </c>
      <c r="E16" s="101" t="s">
        <v>125</v>
      </c>
      <c r="F16" s="101" t="s">
        <v>29</v>
      </c>
      <c r="G16" s="101" t="s">
        <v>126</v>
      </c>
      <c r="H16" s="103">
        <v>43441</v>
      </c>
      <c r="I16" s="95">
        <v>43136</v>
      </c>
      <c r="J16" s="95">
        <v>43136</v>
      </c>
      <c r="K16" s="104">
        <v>43143</v>
      </c>
      <c r="L16" s="95" t="s">
        <v>31</v>
      </c>
      <c r="M16" s="103">
        <v>43181</v>
      </c>
      <c r="N16" s="103">
        <v>43224</v>
      </c>
      <c r="O16" s="103">
        <v>43214</v>
      </c>
      <c r="P16" s="101" t="s">
        <v>90</v>
      </c>
      <c r="Q16" s="105">
        <v>1460</v>
      </c>
      <c r="R16" s="97">
        <f t="shared" si="2"/>
        <v>4</v>
      </c>
      <c r="S16" s="75">
        <f t="shared" si="3"/>
        <v>33036</v>
      </c>
      <c r="T16" s="125" t="s">
        <v>127</v>
      </c>
      <c r="U16" s="8">
        <v>43224</v>
      </c>
      <c r="V16" s="6" t="s">
        <v>36</v>
      </c>
      <c r="W16" s="6" t="s">
        <v>33</v>
      </c>
      <c r="X16" s="95">
        <v>50426</v>
      </c>
    </row>
    <row r="17" spans="1:24" x14ac:dyDescent="0.25">
      <c r="A17" s="6" t="s">
        <v>70</v>
      </c>
      <c r="B17" s="94" t="s">
        <v>128</v>
      </c>
      <c r="C17" s="6" t="s">
        <v>129</v>
      </c>
      <c r="D17" s="140">
        <v>11279751</v>
      </c>
      <c r="E17" s="6" t="s">
        <v>130</v>
      </c>
      <c r="F17" s="6" t="s">
        <v>95</v>
      </c>
      <c r="G17" s="6" t="s">
        <v>131</v>
      </c>
      <c r="H17" s="8">
        <v>46979</v>
      </c>
      <c r="I17" s="95">
        <v>43136</v>
      </c>
      <c r="J17" s="95">
        <v>43136</v>
      </c>
      <c r="K17" s="95">
        <v>43143</v>
      </c>
      <c r="L17" s="95" t="s">
        <v>31</v>
      </c>
      <c r="M17" s="8">
        <v>43181</v>
      </c>
      <c r="N17" s="8">
        <v>43312</v>
      </c>
      <c r="O17" s="8">
        <v>43284</v>
      </c>
      <c r="P17" s="6" t="s">
        <v>35</v>
      </c>
      <c r="Q17" s="96">
        <v>3650</v>
      </c>
      <c r="R17" s="97">
        <f t="shared" si="2"/>
        <v>10</v>
      </c>
      <c r="S17" s="75">
        <f t="shared" si="3"/>
        <v>82590</v>
      </c>
      <c r="U17" s="8">
        <v>43326</v>
      </c>
      <c r="W17" s="6" t="s">
        <v>33</v>
      </c>
      <c r="X17" s="95">
        <v>44871</v>
      </c>
    </row>
    <row r="18" spans="1:24" s="99" customFormat="1" x14ac:dyDescent="0.25">
      <c r="A18" s="107" t="s">
        <v>70</v>
      </c>
      <c r="B18" s="106" t="s">
        <v>132</v>
      </c>
      <c r="C18" s="107" t="s">
        <v>133</v>
      </c>
      <c r="D18" s="142">
        <v>12112142</v>
      </c>
      <c r="E18" s="107" t="s">
        <v>56</v>
      </c>
      <c r="F18" s="107" t="s">
        <v>134</v>
      </c>
      <c r="G18" s="107" t="s">
        <v>135</v>
      </c>
      <c r="H18" s="108">
        <v>46557</v>
      </c>
      <c r="I18" s="109">
        <v>43136</v>
      </c>
      <c r="J18" s="109">
        <v>43136</v>
      </c>
      <c r="K18" s="109">
        <v>43179</v>
      </c>
      <c r="L18" s="109" t="s">
        <v>31</v>
      </c>
      <c r="M18" s="108">
        <v>43181</v>
      </c>
      <c r="N18" s="108">
        <v>43353</v>
      </c>
      <c r="O18" s="108">
        <v>43329</v>
      </c>
      <c r="P18" s="107" t="s">
        <v>35</v>
      </c>
      <c r="Q18" s="110">
        <v>365</v>
      </c>
      <c r="R18" s="97">
        <f t="shared" si="2"/>
        <v>1</v>
      </c>
      <c r="S18" s="75">
        <f t="shared" si="3"/>
        <v>8259</v>
      </c>
      <c r="T18" s="127"/>
      <c r="U18" s="108">
        <v>43353</v>
      </c>
      <c r="V18" s="6"/>
      <c r="W18" s="6" t="s">
        <v>33</v>
      </c>
      <c r="X18" s="95">
        <v>47246</v>
      </c>
    </row>
    <row r="19" spans="1:24" s="99" customFormat="1" x14ac:dyDescent="0.25">
      <c r="A19" s="6" t="s">
        <v>70</v>
      </c>
      <c r="B19" s="94" t="s">
        <v>136</v>
      </c>
      <c r="C19" s="6" t="s">
        <v>137</v>
      </c>
      <c r="D19" s="140">
        <v>11633899</v>
      </c>
      <c r="E19" s="6" t="s">
        <v>138</v>
      </c>
      <c r="F19" s="6" t="s">
        <v>139</v>
      </c>
      <c r="G19" s="6" t="s">
        <v>140</v>
      </c>
      <c r="H19" s="8">
        <v>45594</v>
      </c>
      <c r="I19" s="95">
        <v>43136</v>
      </c>
      <c r="J19" s="95">
        <v>43202</v>
      </c>
      <c r="K19" s="95">
        <v>43207</v>
      </c>
      <c r="L19" s="95" t="s">
        <v>31</v>
      </c>
      <c r="M19" s="8">
        <v>43213</v>
      </c>
      <c r="N19" s="8">
        <v>43265</v>
      </c>
      <c r="O19" s="8">
        <v>43257</v>
      </c>
      <c r="P19" s="6" t="s">
        <v>35</v>
      </c>
      <c r="Q19" s="96">
        <v>1460</v>
      </c>
      <c r="R19" s="97">
        <f t="shared" si="2"/>
        <v>4</v>
      </c>
      <c r="S19" s="75">
        <f t="shared" si="3"/>
        <v>33036</v>
      </c>
      <c r="T19" s="124"/>
      <c r="U19" s="8">
        <v>43271</v>
      </c>
      <c r="V19" s="6"/>
      <c r="W19" s="6" t="s">
        <v>84</v>
      </c>
      <c r="X19" s="95">
        <v>46069</v>
      </c>
    </row>
    <row r="20" spans="1:24" s="99" customFormat="1" x14ac:dyDescent="0.25">
      <c r="A20" s="6" t="s">
        <v>70</v>
      </c>
      <c r="B20" s="94" t="s">
        <v>97</v>
      </c>
      <c r="C20" s="6" t="s">
        <v>141</v>
      </c>
      <c r="D20" s="140">
        <v>11951074</v>
      </c>
      <c r="E20" s="6" t="s">
        <v>142</v>
      </c>
      <c r="F20" s="6" t="s">
        <v>143</v>
      </c>
      <c r="G20" s="6" t="s">
        <v>144</v>
      </c>
      <c r="H20" s="8">
        <v>47202</v>
      </c>
      <c r="I20" s="95">
        <v>43136</v>
      </c>
      <c r="J20" s="95">
        <v>43202</v>
      </c>
      <c r="K20" s="95">
        <v>43202</v>
      </c>
      <c r="L20" s="95" t="s">
        <v>31</v>
      </c>
      <c r="M20" s="8">
        <v>43206</v>
      </c>
      <c r="N20" s="8">
        <v>43276</v>
      </c>
      <c r="O20" s="8">
        <v>43269</v>
      </c>
      <c r="P20" s="6" t="s">
        <v>35</v>
      </c>
      <c r="Q20" s="96">
        <v>850</v>
      </c>
      <c r="R20" s="97">
        <f t="shared" si="2"/>
        <v>2.3287671232876712</v>
      </c>
      <c r="S20" s="75">
        <f t="shared" si="3"/>
        <v>19233.287671232876</v>
      </c>
      <c r="T20" s="124"/>
      <c r="U20" s="8">
        <v>43279</v>
      </c>
      <c r="V20" s="6"/>
      <c r="W20" s="6" t="s">
        <v>33</v>
      </c>
      <c r="X20" s="95">
        <v>43041</v>
      </c>
    </row>
    <row r="21" spans="1:24" x14ac:dyDescent="0.25">
      <c r="A21" s="6" t="s">
        <v>70</v>
      </c>
      <c r="B21" s="94" t="s">
        <v>145</v>
      </c>
      <c r="C21" s="6" t="s">
        <v>146</v>
      </c>
      <c r="D21" s="140">
        <v>11339946</v>
      </c>
      <c r="E21" s="6" t="s">
        <v>147</v>
      </c>
      <c r="F21" s="6" t="s">
        <v>148</v>
      </c>
      <c r="G21" s="6" t="s">
        <v>149</v>
      </c>
      <c r="H21" s="8">
        <v>43882</v>
      </c>
      <c r="I21" s="95">
        <v>43136</v>
      </c>
      <c r="J21" s="95">
        <v>43202</v>
      </c>
      <c r="K21" s="95">
        <v>43202</v>
      </c>
      <c r="L21" s="95" t="s">
        <v>31</v>
      </c>
      <c r="M21" s="8">
        <v>43206</v>
      </c>
      <c r="N21" s="8">
        <v>43263</v>
      </c>
      <c r="O21" s="8">
        <v>43251</v>
      </c>
      <c r="P21" s="6" t="s">
        <v>35</v>
      </c>
      <c r="Q21" s="96">
        <v>365</v>
      </c>
      <c r="R21" s="97">
        <f t="shared" si="2"/>
        <v>1</v>
      </c>
      <c r="S21" s="75">
        <f t="shared" si="3"/>
        <v>8259</v>
      </c>
      <c r="T21" s="124" t="s">
        <v>150</v>
      </c>
      <c r="U21" s="8">
        <v>43263</v>
      </c>
      <c r="V21" s="100" t="s">
        <v>36</v>
      </c>
      <c r="W21" s="6" t="s">
        <v>33</v>
      </c>
      <c r="X21" s="104">
        <v>44593</v>
      </c>
    </row>
    <row r="22" spans="1:24" x14ac:dyDescent="0.25">
      <c r="A22" s="6" t="s">
        <v>70</v>
      </c>
      <c r="B22" s="94" t="s">
        <v>151</v>
      </c>
      <c r="C22" s="6" t="s">
        <v>152</v>
      </c>
      <c r="D22" s="140">
        <v>11623753</v>
      </c>
      <c r="E22" s="6" t="s">
        <v>153</v>
      </c>
      <c r="F22" s="6" t="s">
        <v>95</v>
      </c>
      <c r="G22" s="6" t="s">
        <v>154</v>
      </c>
      <c r="H22" s="8">
        <v>48535</v>
      </c>
      <c r="I22" s="95">
        <v>43136</v>
      </c>
      <c r="J22" s="95">
        <v>43202</v>
      </c>
      <c r="K22" s="95">
        <v>43202</v>
      </c>
      <c r="L22" s="95" t="s">
        <v>31</v>
      </c>
      <c r="M22" s="8">
        <v>43206</v>
      </c>
      <c r="N22" s="8">
        <v>43322</v>
      </c>
      <c r="O22" s="8">
        <v>43290</v>
      </c>
      <c r="P22" s="6" t="s">
        <v>35</v>
      </c>
      <c r="Q22" s="96">
        <v>2920</v>
      </c>
      <c r="R22" s="97">
        <f t="shared" si="2"/>
        <v>8</v>
      </c>
      <c r="S22" s="75">
        <f t="shared" si="3"/>
        <v>66072</v>
      </c>
      <c r="U22" s="8">
        <v>43326</v>
      </c>
      <c r="W22" s="6" t="s">
        <v>33</v>
      </c>
      <c r="X22" s="95">
        <v>44527</v>
      </c>
    </row>
    <row r="23" spans="1:24" x14ac:dyDescent="0.25">
      <c r="A23" s="107" t="s">
        <v>70</v>
      </c>
      <c r="B23" s="106" t="s">
        <v>155</v>
      </c>
      <c r="C23" s="107" t="s">
        <v>156</v>
      </c>
      <c r="D23" s="142">
        <v>11313409</v>
      </c>
      <c r="E23" s="107" t="s">
        <v>157</v>
      </c>
      <c r="F23" s="107" t="s">
        <v>50</v>
      </c>
      <c r="G23" s="107" t="s">
        <v>158</v>
      </c>
      <c r="H23" s="108">
        <v>46305</v>
      </c>
      <c r="I23" s="109">
        <v>43136</v>
      </c>
      <c r="J23" s="109">
        <v>43202</v>
      </c>
      <c r="K23" s="109">
        <v>43202</v>
      </c>
      <c r="L23" s="109" t="s">
        <v>31</v>
      </c>
      <c r="M23" s="108">
        <v>43206</v>
      </c>
      <c r="N23" s="108">
        <v>43532</v>
      </c>
      <c r="O23" s="108">
        <v>43525</v>
      </c>
      <c r="P23" s="107" t="s">
        <v>35</v>
      </c>
      <c r="Q23" s="110">
        <v>365</v>
      </c>
      <c r="R23" s="97">
        <f t="shared" si="2"/>
        <v>1</v>
      </c>
      <c r="S23" s="75">
        <f t="shared" si="3"/>
        <v>8259</v>
      </c>
      <c r="T23" s="129" t="s">
        <v>159</v>
      </c>
      <c r="U23" s="108">
        <v>43536</v>
      </c>
      <c r="W23" s="6" t="s">
        <v>33</v>
      </c>
      <c r="X23" s="95">
        <v>46274</v>
      </c>
    </row>
    <row r="24" spans="1:24" x14ac:dyDescent="0.25">
      <c r="A24" s="6" t="s">
        <v>85</v>
      </c>
      <c r="B24" s="94" t="s">
        <v>160</v>
      </c>
      <c r="C24" s="6" t="s">
        <v>161</v>
      </c>
      <c r="D24" s="140">
        <v>11828082</v>
      </c>
      <c r="E24" s="6" t="s">
        <v>162</v>
      </c>
      <c r="F24" s="6" t="s">
        <v>134</v>
      </c>
      <c r="G24" s="6" t="s">
        <v>163</v>
      </c>
      <c r="H24" s="8">
        <v>44848</v>
      </c>
      <c r="I24" s="95">
        <v>43136</v>
      </c>
      <c r="J24" s="8">
        <v>43236</v>
      </c>
      <c r="K24" s="95">
        <v>43236</v>
      </c>
      <c r="L24" s="95" t="s">
        <v>31</v>
      </c>
      <c r="M24" s="8">
        <v>43242</v>
      </c>
      <c r="N24" s="8">
        <v>43340</v>
      </c>
      <c r="O24" s="8">
        <v>43335</v>
      </c>
      <c r="P24" s="6" t="s">
        <v>69</v>
      </c>
      <c r="R24" s="97" t="str">
        <f t="shared" si="2"/>
        <v/>
      </c>
      <c r="S24" s="75" t="str">
        <f t="shared" si="3"/>
        <v/>
      </c>
      <c r="U24" s="8">
        <v>43348</v>
      </c>
      <c r="W24" s="6" t="s">
        <v>33</v>
      </c>
      <c r="X24" s="95">
        <v>46353</v>
      </c>
    </row>
    <row r="25" spans="1:24" x14ac:dyDescent="0.25">
      <c r="A25" s="6" t="s">
        <v>85</v>
      </c>
      <c r="B25" s="94" t="s">
        <v>164</v>
      </c>
      <c r="C25" s="6" t="s">
        <v>165</v>
      </c>
      <c r="D25" s="140">
        <v>11629971</v>
      </c>
      <c r="E25" s="6" t="s">
        <v>166</v>
      </c>
      <c r="F25" s="6" t="s">
        <v>44</v>
      </c>
      <c r="G25" s="6" t="s">
        <v>167</v>
      </c>
      <c r="H25" s="8">
        <v>44030</v>
      </c>
      <c r="I25" s="95">
        <v>43136</v>
      </c>
      <c r="J25" s="8">
        <v>43192</v>
      </c>
      <c r="K25" s="95">
        <v>43193</v>
      </c>
      <c r="L25" s="95" t="s">
        <v>31</v>
      </c>
      <c r="M25" s="8">
        <v>43195</v>
      </c>
      <c r="N25" s="8">
        <v>43286</v>
      </c>
      <c r="O25" s="8">
        <v>43278</v>
      </c>
      <c r="P25" s="6" t="s">
        <v>69</v>
      </c>
      <c r="R25" s="97" t="str">
        <f t="shared" si="2"/>
        <v/>
      </c>
      <c r="S25" s="75" t="str">
        <f t="shared" si="3"/>
        <v/>
      </c>
      <c r="U25" s="8">
        <v>43287</v>
      </c>
      <c r="W25" s="6" t="s">
        <v>33</v>
      </c>
      <c r="X25" s="95">
        <v>44548</v>
      </c>
    </row>
    <row r="26" spans="1:24" s="99" customFormat="1" x14ac:dyDescent="0.25">
      <c r="A26" s="6" t="s">
        <v>168</v>
      </c>
      <c r="B26" s="94" t="s">
        <v>169</v>
      </c>
      <c r="C26" s="6" t="s">
        <v>170</v>
      </c>
      <c r="D26" s="140">
        <v>11007791</v>
      </c>
      <c r="E26" s="6" t="s">
        <v>171</v>
      </c>
      <c r="F26" s="10" t="s">
        <v>44</v>
      </c>
      <c r="G26" s="6" t="s">
        <v>172</v>
      </c>
      <c r="H26" s="8">
        <v>45457</v>
      </c>
      <c r="I26" s="8">
        <v>44368</v>
      </c>
      <c r="J26" s="8">
        <v>44398</v>
      </c>
      <c r="K26" s="95">
        <v>44411</v>
      </c>
      <c r="L26" s="95" t="s">
        <v>31</v>
      </c>
      <c r="M26" s="8">
        <v>44413</v>
      </c>
      <c r="N26" s="8">
        <v>44448</v>
      </c>
      <c r="O26" s="8">
        <v>44432</v>
      </c>
      <c r="P26" s="6" t="s">
        <v>75</v>
      </c>
      <c r="Q26" s="96"/>
      <c r="R26" s="97" t="str">
        <f t="shared" ref="R26:R89" si="4">IF(Q26&gt;0, Q26/365, "")</f>
        <v/>
      </c>
      <c r="S26" s="75" t="str">
        <f t="shared" ref="S26:S89" si="5">IF(Q26&gt;0, SUM(Q26)*(8259/365), "")</f>
        <v/>
      </c>
      <c r="T26" s="124"/>
      <c r="U26" s="8">
        <v>44448</v>
      </c>
      <c r="V26" s="6"/>
      <c r="W26" s="6" t="s">
        <v>84</v>
      </c>
      <c r="X26" s="7">
        <v>46169</v>
      </c>
    </row>
    <row r="27" spans="1:24" x14ac:dyDescent="0.25">
      <c r="A27" s="6" t="s">
        <v>70</v>
      </c>
      <c r="B27" s="94" t="s">
        <v>173</v>
      </c>
      <c r="C27" s="6" t="s">
        <v>174</v>
      </c>
      <c r="D27" s="140">
        <v>12151416</v>
      </c>
      <c r="E27" s="6" t="s">
        <v>175</v>
      </c>
      <c r="F27" s="6" t="s">
        <v>176</v>
      </c>
      <c r="G27" s="6">
        <v>2015023625</v>
      </c>
      <c r="H27" s="8">
        <v>47491</v>
      </c>
      <c r="I27" s="95">
        <v>43136</v>
      </c>
      <c r="J27" s="95">
        <v>43202</v>
      </c>
      <c r="K27" s="95">
        <v>43202</v>
      </c>
      <c r="L27" s="95" t="s">
        <v>31</v>
      </c>
      <c r="M27" s="8">
        <v>43206</v>
      </c>
      <c r="N27" s="8">
        <v>43271</v>
      </c>
      <c r="O27" s="8">
        <v>43262</v>
      </c>
      <c r="P27" s="6" t="s">
        <v>69</v>
      </c>
      <c r="R27" s="97" t="str">
        <f t="shared" si="4"/>
        <v/>
      </c>
      <c r="S27" s="75" t="str">
        <f t="shared" si="5"/>
        <v/>
      </c>
      <c r="T27" s="124" t="s">
        <v>177</v>
      </c>
      <c r="U27" s="8">
        <v>43271</v>
      </c>
      <c r="W27" s="6" t="s">
        <v>33</v>
      </c>
      <c r="X27" s="95">
        <v>47299</v>
      </c>
    </row>
    <row r="28" spans="1:24" x14ac:dyDescent="0.25">
      <c r="A28" s="6" t="s">
        <v>70</v>
      </c>
      <c r="B28" s="94" t="s">
        <v>178</v>
      </c>
      <c r="C28" s="6" t="s">
        <v>179</v>
      </c>
      <c r="D28" s="140">
        <v>11357871</v>
      </c>
      <c r="E28" s="6" t="s">
        <v>180</v>
      </c>
      <c r="F28" s="6" t="s">
        <v>44</v>
      </c>
      <c r="G28" s="6" t="s">
        <v>181</v>
      </c>
      <c r="H28" s="8">
        <v>45858</v>
      </c>
      <c r="I28" s="8">
        <v>43262</v>
      </c>
      <c r="J28" s="8">
        <v>43263</v>
      </c>
      <c r="K28" s="95">
        <v>43264</v>
      </c>
      <c r="L28" s="95" t="s">
        <v>31</v>
      </c>
      <c r="M28" s="8">
        <v>43266</v>
      </c>
      <c r="N28" s="8">
        <v>43532</v>
      </c>
      <c r="O28" s="8">
        <v>43270</v>
      </c>
      <c r="P28" s="101" t="s">
        <v>182</v>
      </c>
      <c r="R28" s="97" t="str">
        <f t="shared" si="4"/>
        <v/>
      </c>
      <c r="S28" s="75" t="str">
        <f t="shared" si="5"/>
        <v/>
      </c>
      <c r="U28" s="8">
        <v>43532</v>
      </c>
      <c r="W28" s="6" t="s">
        <v>33</v>
      </c>
      <c r="X28" s="95">
        <v>46149</v>
      </c>
    </row>
    <row r="29" spans="1:24" x14ac:dyDescent="0.25">
      <c r="A29" s="6" t="s">
        <v>85</v>
      </c>
      <c r="B29" s="94" t="s">
        <v>183</v>
      </c>
      <c r="C29" s="6" t="s">
        <v>184</v>
      </c>
      <c r="D29" s="140">
        <v>12174173</v>
      </c>
      <c r="E29" s="6" t="s">
        <v>185</v>
      </c>
      <c r="F29" s="6" t="s">
        <v>134</v>
      </c>
      <c r="G29" s="6" t="s">
        <v>186</v>
      </c>
      <c r="H29" s="8">
        <v>46981</v>
      </c>
      <c r="I29" s="8">
        <v>43262</v>
      </c>
      <c r="J29" s="8">
        <v>43263</v>
      </c>
      <c r="K29" s="95">
        <v>43271</v>
      </c>
      <c r="L29" s="95" t="s">
        <v>31</v>
      </c>
      <c r="M29" s="95">
        <v>43271</v>
      </c>
      <c r="N29" s="8">
        <v>43532</v>
      </c>
      <c r="O29" s="8">
        <v>43271</v>
      </c>
      <c r="P29" s="6" t="s">
        <v>75</v>
      </c>
      <c r="R29" s="97" t="str">
        <f t="shared" si="4"/>
        <v/>
      </c>
      <c r="S29" s="75" t="str">
        <f t="shared" si="5"/>
        <v/>
      </c>
      <c r="T29" s="124" t="s">
        <v>187</v>
      </c>
      <c r="U29" s="8">
        <v>43532</v>
      </c>
      <c r="W29" s="6" t="s">
        <v>33</v>
      </c>
      <c r="X29" s="95">
        <v>55277</v>
      </c>
    </row>
    <row r="30" spans="1:24" ht="30" x14ac:dyDescent="0.25">
      <c r="A30" s="6" t="s">
        <v>70</v>
      </c>
      <c r="B30" s="94" t="s">
        <v>188</v>
      </c>
      <c r="C30" s="6" t="s">
        <v>189</v>
      </c>
      <c r="D30" s="140">
        <v>11276325</v>
      </c>
      <c r="E30" s="6" t="s">
        <v>125</v>
      </c>
      <c r="F30" s="6" t="s">
        <v>190</v>
      </c>
      <c r="G30" s="6" t="s">
        <v>191</v>
      </c>
      <c r="H30" s="8">
        <v>45874</v>
      </c>
      <c r="I30" s="95">
        <v>43136</v>
      </c>
      <c r="J30" s="95">
        <v>43136</v>
      </c>
      <c r="K30" s="95">
        <v>43143</v>
      </c>
      <c r="L30" s="95" t="s">
        <v>31</v>
      </c>
      <c r="M30" s="8">
        <v>43181</v>
      </c>
      <c r="N30" s="8">
        <v>43284</v>
      </c>
      <c r="O30" s="8">
        <v>43272</v>
      </c>
      <c r="P30" s="6" t="s">
        <v>52</v>
      </c>
      <c r="R30" s="97" t="str">
        <f t="shared" si="4"/>
        <v/>
      </c>
      <c r="S30" s="75" t="str">
        <f t="shared" si="5"/>
        <v/>
      </c>
      <c r="T30" s="124" t="s">
        <v>192</v>
      </c>
      <c r="U30" s="8">
        <v>43663</v>
      </c>
      <c r="W30" s="6" t="s">
        <v>33</v>
      </c>
      <c r="X30" s="95">
        <v>45579</v>
      </c>
    </row>
    <row r="31" spans="1:24" s="99" customFormat="1" x14ac:dyDescent="0.25">
      <c r="A31" s="6" t="s">
        <v>85</v>
      </c>
      <c r="B31" s="94" t="s">
        <v>193</v>
      </c>
      <c r="C31" s="6" t="s">
        <v>194</v>
      </c>
      <c r="D31" s="140">
        <v>11800996</v>
      </c>
      <c r="E31" s="6" t="s">
        <v>195</v>
      </c>
      <c r="F31" s="6" t="s">
        <v>121</v>
      </c>
      <c r="G31" s="6" t="s">
        <v>196</v>
      </c>
      <c r="H31" s="8">
        <v>43869</v>
      </c>
      <c r="I31" s="95">
        <v>43136</v>
      </c>
      <c r="J31" s="8">
        <v>43236</v>
      </c>
      <c r="K31" s="95">
        <v>43236</v>
      </c>
      <c r="L31" s="95" t="s">
        <v>31</v>
      </c>
      <c r="M31" s="8">
        <v>43241</v>
      </c>
      <c r="N31" s="8">
        <v>43284</v>
      </c>
      <c r="O31" s="8">
        <v>43279</v>
      </c>
      <c r="P31" s="6" t="s">
        <v>75</v>
      </c>
      <c r="Q31" s="96"/>
      <c r="R31" s="97" t="str">
        <f t="shared" si="4"/>
        <v/>
      </c>
      <c r="S31" s="75" t="str">
        <f t="shared" si="5"/>
        <v/>
      </c>
      <c r="T31" s="124"/>
      <c r="U31" s="8">
        <v>43284</v>
      </c>
      <c r="V31" s="6"/>
      <c r="W31" s="6" t="s">
        <v>33</v>
      </c>
      <c r="X31" s="95">
        <v>49719</v>
      </c>
    </row>
    <row r="32" spans="1:24" s="99" customFormat="1" x14ac:dyDescent="0.25">
      <c r="A32" s="6" t="s">
        <v>85</v>
      </c>
      <c r="B32" s="94" t="s">
        <v>197</v>
      </c>
      <c r="C32" s="6" t="s">
        <v>198</v>
      </c>
      <c r="D32" s="140">
        <v>12166952</v>
      </c>
      <c r="E32" s="6" t="s">
        <v>199</v>
      </c>
      <c r="F32" s="6" t="s">
        <v>44</v>
      </c>
      <c r="G32" s="6" t="s">
        <v>200</v>
      </c>
      <c r="H32" s="8">
        <v>47222</v>
      </c>
      <c r="I32" s="8">
        <v>43262</v>
      </c>
      <c r="J32" s="8">
        <v>43263</v>
      </c>
      <c r="K32" s="95">
        <v>43271</v>
      </c>
      <c r="L32" s="95" t="s">
        <v>31</v>
      </c>
      <c r="M32" s="95">
        <v>43271</v>
      </c>
      <c r="N32" s="8">
        <v>43334</v>
      </c>
      <c r="O32" s="8">
        <v>43290</v>
      </c>
      <c r="P32" s="101" t="s">
        <v>52</v>
      </c>
      <c r="Q32" s="96"/>
      <c r="R32" s="97" t="str">
        <f t="shared" si="4"/>
        <v/>
      </c>
      <c r="S32" s="75" t="str">
        <f t="shared" si="5"/>
        <v/>
      </c>
      <c r="T32" s="124" t="s">
        <v>201</v>
      </c>
      <c r="U32" s="8">
        <v>43334</v>
      </c>
      <c r="V32" s="6"/>
      <c r="W32" s="6" t="s">
        <v>33</v>
      </c>
      <c r="X32" s="95">
        <v>47634</v>
      </c>
    </row>
    <row r="33" spans="1:24" s="99" customFormat="1" x14ac:dyDescent="0.25">
      <c r="A33" s="6" t="s">
        <v>70</v>
      </c>
      <c r="B33" s="94" t="s">
        <v>202</v>
      </c>
      <c r="C33" s="6" t="s">
        <v>203</v>
      </c>
      <c r="D33" s="140">
        <v>11645730</v>
      </c>
      <c r="E33" s="6" t="s">
        <v>204</v>
      </c>
      <c r="F33" s="6" t="s">
        <v>205</v>
      </c>
      <c r="G33" s="6" t="s">
        <v>206</v>
      </c>
      <c r="H33" s="8">
        <v>48416</v>
      </c>
      <c r="I33" s="8">
        <v>43262</v>
      </c>
      <c r="J33" s="8">
        <v>43263</v>
      </c>
      <c r="K33" s="95">
        <v>43278</v>
      </c>
      <c r="L33" s="95" t="s">
        <v>31</v>
      </c>
      <c r="M33" s="8">
        <v>43280</v>
      </c>
      <c r="N33" s="8">
        <v>43332</v>
      </c>
      <c r="O33" s="8">
        <v>43292</v>
      </c>
      <c r="P33" s="101" t="s">
        <v>182</v>
      </c>
      <c r="Q33" s="96"/>
      <c r="R33" s="97" t="str">
        <f t="shared" si="4"/>
        <v/>
      </c>
      <c r="S33" s="75" t="str">
        <f t="shared" si="5"/>
        <v/>
      </c>
      <c r="T33" s="124"/>
      <c r="U33" s="8">
        <v>43332</v>
      </c>
      <c r="V33" s="6"/>
      <c r="W33" s="6" t="s">
        <v>33</v>
      </c>
      <c r="X33" s="95">
        <v>44483</v>
      </c>
    </row>
    <row r="34" spans="1:24" x14ac:dyDescent="0.25">
      <c r="A34" s="6" t="s">
        <v>85</v>
      </c>
      <c r="B34" s="94" t="s">
        <v>207</v>
      </c>
      <c r="C34" s="6" t="s">
        <v>208</v>
      </c>
      <c r="D34" s="140">
        <v>12175626</v>
      </c>
      <c r="E34" s="6" t="s">
        <v>209</v>
      </c>
      <c r="F34" s="6" t="s">
        <v>44</v>
      </c>
      <c r="G34" s="6" t="s">
        <v>210</v>
      </c>
      <c r="H34" s="8">
        <v>49353</v>
      </c>
      <c r="I34" s="8">
        <v>43262</v>
      </c>
      <c r="J34" s="8">
        <v>43263</v>
      </c>
      <c r="K34" s="95">
        <v>43278</v>
      </c>
      <c r="L34" s="95" t="s">
        <v>31</v>
      </c>
      <c r="M34" s="8">
        <v>43280</v>
      </c>
      <c r="N34" s="8">
        <v>43334</v>
      </c>
      <c r="O34" s="8">
        <v>43294</v>
      </c>
      <c r="P34" s="6" t="s">
        <v>75</v>
      </c>
      <c r="R34" s="97" t="str">
        <f t="shared" si="4"/>
        <v/>
      </c>
      <c r="S34" s="75" t="str">
        <f t="shared" si="5"/>
        <v/>
      </c>
      <c r="U34" s="8">
        <v>43334</v>
      </c>
      <c r="W34" s="6" t="s">
        <v>33</v>
      </c>
      <c r="X34" s="95">
        <v>47453</v>
      </c>
    </row>
    <row r="35" spans="1:24" x14ac:dyDescent="0.25">
      <c r="A35" s="6" t="s">
        <v>211</v>
      </c>
      <c r="B35" s="94" t="s">
        <v>212</v>
      </c>
      <c r="C35" s="6" t="s">
        <v>213</v>
      </c>
      <c r="D35" s="140">
        <v>12168953</v>
      </c>
      <c r="E35" s="6" t="s">
        <v>80</v>
      </c>
      <c r="F35" s="10" t="s">
        <v>44</v>
      </c>
      <c r="G35" s="6" t="s">
        <v>214</v>
      </c>
      <c r="H35" s="8">
        <v>53501</v>
      </c>
      <c r="I35" s="8">
        <v>43313</v>
      </c>
      <c r="J35" s="8">
        <v>43326</v>
      </c>
      <c r="K35" s="95">
        <v>43327</v>
      </c>
      <c r="L35" s="95" t="s">
        <v>31</v>
      </c>
      <c r="M35" s="8">
        <v>43334</v>
      </c>
      <c r="N35" s="8">
        <v>43432</v>
      </c>
      <c r="O35" s="8">
        <v>43294</v>
      </c>
      <c r="P35" s="6" t="s">
        <v>75</v>
      </c>
      <c r="R35" s="97" t="str">
        <f t="shared" si="4"/>
        <v/>
      </c>
      <c r="S35" s="75" t="str">
        <f t="shared" si="5"/>
        <v/>
      </c>
      <c r="U35" s="8">
        <v>43432</v>
      </c>
      <c r="W35" s="6" t="s">
        <v>33</v>
      </c>
      <c r="X35" s="95">
        <v>47348</v>
      </c>
    </row>
    <row r="36" spans="1:24" x14ac:dyDescent="0.25">
      <c r="A36" s="6" t="s">
        <v>85</v>
      </c>
      <c r="B36" s="94" t="s">
        <v>145</v>
      </c>
      <c r="C36" s="6" t="s">
        <v>215</v>
      </c>
      <c r="D36" s="140">
        <v>11639571</v>
      </c>
      <c r="E36" s="6" t="s">
        <v>216</v>
      </c>
      <c r="F36" s="6" t="s">
        <v>44</v>
      </c>
      <c r="G36" s="6" t="s">
        <v>217</v>
      </c>
      <c r="I36" s="95">
        <v>43136</v>
      </c>
      <c r="J36" s="8">
        <v>43192</v>
      </c>
      <c r="K36" s="95">
        <v>43193</v>
      </c>
      <c r="L36" s="95" t="s">
        <v>31</v>
      </c>
      <c r="M36" s="8">
        <v>43195</v>
      </c>
      <c r="N36" s="8">
        <v>43301</v>
      </c>
      <c r="O36" s="8">
        <v>43297</v>
      </c>
      <c r="P36" s="101" t="s">
        <v>182</v>
      </c>
      <c r="R36" s="97" t="str">
        <f t="shared" si="4"/>
        <v/>
      </c>
      <c r="S36" s="75" t="str">
        <f t="shared" si="5"/>
        <v/>
      </c>
      <c r="U36" s="8">
        <v>43306</v>
      </c>
      <c r="W36" s="6" t="s">
        <v>33</v>
      </c>
      <c r="X36" s="95">
        <v>45321</v>
      </c>
    </row>
    <row r="37" spans="1:24" ht="30" x14ac:dyDescent="0.25">
      <c r="A37" s="6" t="s">
        <v>117</v>
      </c>
      <c r="B37" s="94" t="s">
        <v>218</v>
      </c>
      <c r="C37" s="6" t="s">
        <v>219</v>
      </c>
      <c r="D37" s="140">
        <v>11573751</v>
      </c>
      <c r="E37" s="6" t="s">
        <v>49</v>
      </c>
      <c r="F37" s="6" t="s">
        <v>50</v>
      </c>
      <c r="G37" s="6" t="s">
        <v>220</v>
      </c>
      <c r="H37" s="8">
        <v>44961</v>
      </c>
      <c r="I37" s="9">
        <v>43243</v>
      </c>
      <c r="J37" s="8">
        <v>43251</v>
      </c>
      <c r="K37" s="95">
        <v>43263</v>
      </c>
      <c r="L37" s="95" t="s">
        <v>31</v>
      </c>
      <c r="M37" s="8">
        <v>43266</v>
      </c>
      <c r="N37" s="8">
        <v>43306</v>
      </c>
      <c r="O37" s="8">
        <v>43297</v>
      </c>
      <c r="P37" s="6" t="s">
        <v>75</v>
      </c>
      <c r="R37" s="97" t="str">
        <f t="shared" si="4"/>
        <v/>
      </c>
      <c r="S37" s="75" t="str">
        <f t="shared" si="5"/>
        <v/>
      </c>
      <c r="T37" s="124" t="s">
        <v>221</v>
      </c>
      <c r="U37" s="8">
        <v>43306</v>
      </c>
      <c r="W37" s="6" t="s">
        <v>33</v>
      </c>
      <c r="X37" s="95">
        <v>41318</v>
      </c>
    </row>
    <row r="38" spans="1:24" x14ac:dyDescent="0.25">
      <c r="A38" s="6" t="s">
        <v>70</v>
      </c>
      <c r="B38" s="94" t="s">
        <v>222</v>
      </c>
      <c r="C38" s="6" t="s">
        <v>223</v>
      </c>
      <c r="D38" s="140">
        <v>11372799</v>
      </c>
      <c r="E38" s="6" t="s">
        <v>224</v>
      </c>
      <c r="F38" s="6" t="s">
        <v>44</v>
      </c>
      <c r="G38" s="6" t="s">
        <v>225</v>
      </c>
      <c r="H38" s="8">
        <v>46814</v>
      </c>
      <c r="I38" s="8">
        <v>43262</v>
      </c>
      <c r="J38" s="8">
        <v>43263</v>
      </c>
      <c r="K38" s="95">
        <v>43264</v>
      </c>
      <c r="L38" s="95" t="s">
        <v>31</v>
      </c>
      <c r="M38" s="8">
        <v>43266</v>
      </c>
      <c r="N38" s="8">
        <v>43532</v>
      </c>
      <c r="O38" s="8">
        <v>43301</v>
      </c>
      <c r="P38" s="101" t="s">
        <v>182</v>
      </c>
      <c r="R38" s="97" t="str">
        <f t="shared" si="4"/>
        <v/>
      </c>
      <c r="S38" s="75" t="str">
        <f t="shared" si="5"/>
        <v/>
      </c>
      <c r="U38" s="8">
        <v>43532</v>
      </c>
      <c r="W38" s="6" t="s">
        <v>33</v>
      </c>
      <c r="X38" s="95">
        <v>45628</v>
      </c>
    </row>
    <row r="39" spans="1:24" x14ac:dyDescent="0.25">
      <c r="A39" s="6" t="s">
        <v>37</v>
      </c>
      <c r="B39" s="94" t="s">
        <v>226</v>
      </c>
      <c r="C39" s="6" t="s">
        <v>227</v>
      </c>
      <c r="D39" s="140">
        <v>11341119</v>
      </c>
      <c r="E39" s="6" t="s">
        <v>228</v>
      </c>
      <c r="F39" s="10" t="s">
        <v>44</v>
      </c>
      <c r="G39" s="6" t="s">
        <v>229</v>
      </c>
      <c r="H39" s="8">
        <v>43690</v>
      </c>
      <c r="I39" s="95">
        <v>43178</v>
      </c>
      <c r="J39" s="95">
        <v>43178</v>
      </c>
      <c r="K39" s="95">
        <v>43178</v>
      </c>
      <c r="L39" s="95" t="s">
        <v>31</v>
      </c>
      <c r="M39" s="8">
        <v>43216</v>
      </c>
      <c r="N39" s="8">
        <v>43306</v>
      </c>
      <c r="O39" s="8">
        <v>43306</v>
      </c>
      <c r="P39" s="6" t="s">
        <v>75</v>
      </c>
      <c r="R39" s="97" t="str">
        <f t="shared" si="4"/>
        <v/>
      </c>
      <c r="S39" s="75" t="str">
        <f t="shared" si="5"/>
        <v/>
      </c>
      <c r="U39" s="8">
        <v>43335</v>
      </c>
      <c r="W39" s="6" t="s">
        <v>33</v>
      </c>
      <c r="X39" s="95">
        <v>45103</v>
      </c>
    </row>
    <row r="40" spans="1:24" x14ac:dyDescent="0.25">
      <c r="A40" s="6" t="s">
        <v>65</v>
      </c>
      <c r="B40" s="94" t="s">
        <v>230</v>
      </c>
      <c r="C40" s="6" t="s">
        <v>231</v>
      </c>
      <c r="D40" s="140">
        <v>11340042</v>
      </c>
      <c r="E40" s="6" t="s">
        <v>232</v>
      </c>
      <c r="F40" s="10" t="s">
        <v>57</v>
      </c>
      <c r="G40" s="6" t="s">
        <v>233</v>
      </c>
      <c r="H40" s="8">
        <v>44347</v>
      </c>
      <c r="I40" s="8">
        <v>43270</v>
      </c>
      <c r="J40" s="8">
        <v>43270</v>
      </c>
      <c r="K40" s="95">
        <v>43283</v>
      </c>
      <c r="L40" s="95" t="s">
        <v>31</v>
      </c>
      <c r="M40" s="8">
        <v>43291</v>
      </c>
      <c r="N40" s="8">
        <v>43311</v>
      </c>
      <c r="O40" s="8">
        <v>43311</v>
      </c>
      <c r="P40" s="6" t="s">
        <v>75</v>
      </c>
      <c r="R40" s="97" t="str">
        <f t="shared" si="4"/>
        <v/>
      </c>
      <c r="S40" s="75" t="str">
        <f t="shared" si="5"/>
        <v/>
      </c>
      <c r="U40" s="8">
        <v>43489</v>
      </c>
      <c r="W40" s="6" t="s">
        <v>33</v>
      </c>
      <c r="X40" s="95">
        <v>44086</v>
      </c>
    </row>
    <row r="41" spans="1:24" x14ac:dyDescent="0.25">
      <c r="A41" s="6" t="s">
        <v>65</v>
      </c>
      <c r="B41" s="94" t="s">
        <v>234</v>
      </c>
      <c r="C41" s="6" t="s">
        <v>235</v>
      </c>
      <c r="D41" s="140">
        <v>12118554</v>
      </c>
      <c r="E41" s="6" t="s">
        <v>236</v>
      </c>
      <c r="F41" s="10" t="s">
        <v>62</v>
      </c>
      <c r="G41" s="6" t="s">
        <v>237</v>
      </c>
      <c r="H41" s="8">
        <v>45349</v>
      </c>
      <c r="I41" s="8">
        <v>43272</v>
      </c>
      <c r="J41" s="8">
        <v>43272</v>
      </c>
      <c r="K41" s="95">
        <v>43283</v>
      </c>
      <c r="L41" s="95" t="s">
        <v>31</v>
      </c>
      <c r="M41" s="8">
        <v>43291</v>
      </c>
      <c r="N41" s="8">
        <v>43318</v>
      </c>
      <c r="O41" s="8">
        <v>43311</v>
      </c>
      <c r="P41" s="101" t="s">
        <v>182</v>
      </c>
      <c r="R41" s="97" t="str">
        <f t="shared" si="4"/>
        <v/>
      </c>
      <c r="S41" s="75" t="str">
        <f t="shared" si="5"/>
        <v/>
      </c>
      <c r="U41" s="8">
        <v>43327</v>
      </c>
      <c r="W41" s="6" t="s">
        <v>33</v>
      </c>
      <c r="X41" s="95">
        <v>46798</v>
      </c>
    </row>
    <row r="42" spans="1:24" s="99" customFormat="1" x14ac:dyDescent="0.25">
      <c r="A42" s="6" t="s">
        <v>65</v>
      </c>
      <c r="B42" s="94" t="s">
        <v>238</v>
      </c>
      <c r="C42" s="6" t="s">
        <v>239</v>
      </c>
      <c r="D42" s="140">
        <v>11056069</v>
      </c>
      <c r="E42" s="6" t="s">
        <v>240</v>
      </c>
      <c r="F42" s="10" t="s">
        <v>62</v>
      </c>
      <c r="G42" s="6" t="s">
        <v>241</v>
      </c>
      <c r="H42" s="8">
        <v>45904</v>
      </c>
      <c r="I42" s="8">
        <v>43273</v>
      </c>
      <c r="J42" s="8">
        <v>43273</v>
      </c>
      <c r="K42" s="95">
        <v>43292</v>
      </c>
      <c r="L42" s="95" t="s">
        <v>31</v>
      </c>
      <c r="M42" s="8">
        <v>43299</v>
      </c>
      <c r="N42" s="8">
        <v>43318</v>
      </c>
      <c r="O42" s="8">
        <v>43311</v>
      </c>
      <c r="P42" s="101" t="s">
        <v>182</v>
      </c>
      <c r="Q42" s="96"/>
      <c r="R42" s="97" t="str">
        <f t="shared" si="4"/>
        <v/>
      </c>
      <c r="S42" s="75" t="str">
        <f t="shared" si="5"/>
        <v/>
      </c>
      <c r="T42" s="124"/>
      <c r="U42" s="8">
        <v>43327</v>
      </c>
      <c r="V42" s="6"/>
      <c r="W42" s="6" t="s">
        <v>33</v>
      </c>
      <c r="X42" s="95">
        <v>51344</v>
      </c>
    </row>
    <row r="43" spans="1:24" x14ac:dyDescent="0.25">
      <c r="A43" s="6" t="s">
        <v>70</v>
      </c>
      <c r="B43" s="94" t="s">
        <v>242</v>
      </c>
      <c r="C43" s="6" t="s">
        <v>243</v>
      </c>
      <c r="D43" s="140">
        <v>11372795</v>
      </c>
      <c r="E43" s="6" t="s">
        <v>244</v>
      </c>
      <c r="F43" s="6" t="s">
        <v>44</v>
      </c>
      <c r="G43" s="6" t="s">
        <v>225</v>
      </c>
      <c r="H43" s="8">
        <v>45812</v>
      </c>
      <c r="I43" s="8">
        <v>43262</v>
      </c>
      <c r="J43" s="8">
        <v>43263</v>
      </c>
      <c r="K43" s="95">
        <v>43264</v>
      </c>
      <c r="L43" s="95" t="s">
        <v>31</v>
      </c>
      <c r="M43" s="8">
        <v>43266</v>
      </c>
      <c r="N43" s="8">
        <v>43532</v>
      </c>
      <c r="O43" s="8">
        <v>43312</v>
      </c>
      <c r="P43" s="101" t="s">
        <v>182</v>
      </c>
      <c r="R43" s="97" t="str">
        <f t="shared" si="4"/>
        <v/>
      </c>
      <c r="S43" s="75" t="str">
        <f t="shared" si="5"/>
        <v/>
      </c>
      <c r="U43" s="8">
        <v>43532</v>
      </c>
      <c r="W43" s="6" t="s">
        <v>33</v>
      </c>
      <c r="X43" s="95">
        <v>45628</v>
      </c>
    </row>
    <row r="44" spans="1:24" x14ac:dyDescent="0.25">
      <c r="A44" s="101" t="s">
        <v>117</v>
      </c>
      <c r="B44" s="102" t="s">
        <v>245</v>
      </c>
      <c r="C44" s="101" t="s">
        <v>246</v>
      </c>
      <c r="D44" s="141">
        <v>11394046</v>
      </c>
      <c r="E44" s="101" t="s">
        <v>247</v>
      </c>
      <c r="F44" s="101" t="s">
        <v>148</v>
      </c>
      <c r="G44" s="101" t="s">
        <v>248</v>
      </c>
      <c r="H44" s="103">
        <v>45803</v>
      </c>
      <c r="I44" s="95">
        <v>43136</v>
      </c>
      <c r="J44" s="41">
        <v>43242</v>
      </c>
      <c r="K44" s="13">
        <v>43243</v>
      </c>
      <c r="L44" s="95" t="s">
        <v>31</v>
      </c>
      <c r="M44" s="41">
        <v>43251</v>
      </c>
      <c r="N44" s="41"/>
      <c r="O44" s="41"/>
      <c r="P44" s="42" t="s">
        <v>249</v>
      </c>
      <c r="Q44" s="78"/>
      <c r="R44" s="97" t="str">
        <f t="shared" si="4"/>
        <v/>
      </c>
      <c r="S44" s="75" t="str">
        <f t="shared" si="5"/>
        <v/>
      </c>
      <c r="T44" s="130"/>
      <c r="U44" s="8">
        <v>43251</v>
      </c>
      <c r="W44" s="6" t="s">
        <v>84</v>
      </c>
      <c r="X44" s="95">
        <v>41916</v>
      </c>
    </row>
    <row r="45" spans="1:24" x14ac:dyDescent="0.25">
      <c r="A45" s="6" t="s">
        <v>85</v>
      </c>
      <c r="B45" s="94" t="s">
        <v>250</v>
      </c>
      <c r="C45" s="6" t="s">
        <v>251</v>
      </c>
      <c r="D45" s="140">
        <v>11278660</v>
      </c>
      <c r="E45" s="6" t="s">
        <v>142</v>
      </c>
      <c r="F45" s="6" t="s">
        <v>252</v>
      </c>
      <c r="G45" s="6">
        <v>5103953</v>
      </c>
      <c r="H45" s="8">
        <v>44070</v>
      </c>
      <c r="I45" s="95">
        <v>43136</v>
      </c>
      <c r="J45" s="95">
        <v>43144</v>
      </c>
      <c r="K45" s="95">
        <v>43144</v>
      </c>
      <c r="L45" s="95" t="s">
        <v>31</v>
      </c>
      <c r="M45" s="8">
        <v>43200</v>
      </c>
      <c r="R45" s="97" t="str">
        <f t="shared" si="4"/>
        <v/>
      </c>
      <c r="S45" s="75" t="str">
        <f t="shared" si="5"/>
        <v/>
      </c>
      <c r="T45" s="124" t="s">
        <v>253</v>
      </c>
      <c r="U45" s="8">
        <v>43850</v>
      </c>
      <c r="V45" s="6" t="s">
        <v>36</v>
      </c>
      <c r="W45" s="6" t="s">
        <v>33</v>
      </c>
      <c r="X45" s="95">
        <v>45260</v>
      </c>
    </row>
    <row r="46" spans="1:24" x14ac:dyDescent="0.25">
      <c r="A46" s="6" t="s">
        <v>85</v>
      </c>
      <c r="B46" s="94" t="s">
        <v>254</v>
      </c>
      <c r="C46" s="6" t="s">
        <v>255</v>
      </c>
      <c r="D46" s="140">
        <v>12117773</v>
      </c>
      <c r="E46" s="6" t="s">
        <v>256</v>
      </c>
      <c r="F46" s="6" t="s">
        <v>205</v>
      </c>
      <c r="G46" s="6" t="s">
        <v>257</v>
      </c>
      <c r="H46" s="8">
        <v>44013</v>
      </c>
      <c r="I46" s="95">
        <v>43136</v>
      </c>
      <c r="J46" s="8">
        <v>43242</v>
      </c>
      <c r="K46" s="95">
        <v>43243</v>
      </c>
      <c r="L46" s="95" t="s">
        <v>31</v>
      </c>
      <c r="M46" s="8">
        <v>43251</v>
      </c>
      <c r="N46" s="8">
        <v>43605</v>
      </c>
      <c r="O46" s="8">
        <v>43593</v>
      </c>
      <c r="P46" s="6" t="s">
        <v>90</v>
      </c>
      <c r="Q46" s="96">
        <v>730</v>
      </c>
      <c r="R46" s="97">
        <f t="shared" si="4"/>
        <v>2</v>
      </c>
      <c r="S46" s="75">
        <f t="shared" si="5"/>
        <v>16518</v>
      </c>
      <c r="T46" s="124" t="s">
        <v>258</v>
      </c>
      <c r="U46" s="8">
        <v>43605</v>
      </c>
      <c r="V46" s="107" t="s">
        <v>36</v>
      </c>
      <c r="W46" s="107" t="s">
        <v>33</v>
      </c>
      <c r="X46" s="109">
        <v>45997</v>
      </c>
    </row>
    <row r="47" spans="1:24" x14ac:dyDescent="0.25">
      <c r="A47" s="6" t="s">
        <v>85</v>
      </c>
      <c r="B47" s="94" t="s">
        <v>259</v>
      </c>
      <c r="C47" s="6" t="s">
        <v>260</v>
      </c>
      <c r="D47" s="140">
        <v>11995112</v>
      </c>
      <c r="E47" s="6" t="s">
        <v>261</v>
      </c>
      <c r="F47" s="6" t="s">
        <v>134</v>
      </c>
      <c r="G47" s="6" t="s">
        <v>262</v>
      </c>
      <c r="H47" s="8">
        <v>45548</v>
      </c>
      <c r="I47" s="95">
        <v>43136</v>
      </c>
      <c r="J47" s="8">
        <v>43236</v>
      </c>
      <c r="K47" s="95">
        <v>43236</v>
      </c>
      <c r="L47" s="95" t="s">
        <v>31</v>
      </c>
      <c r="M47" s="8">
        <v>43241</v>
      </c>
      <c r="N47" s="8">
        <v>43529</v>
      </c>
      <c r="O47" s="8">
        <v>43304</v>
      </c>
      <c r="P47" s="6" t="s">
        <v>35</v>
      </c>
      <c r="Q47" s="96">
        <v>365</v>
      </c>
      <c r="R47" s="97">
        <f t="shared" si="4"/>
        <v>1</v>
      </c>
      <c r="S47" s="75">
        <f t="shared" si="5"/>
        <v>8259</v>
      </c>
      <c r="T47" s="124" t="s">
        <v>159</v>
      </c>
      <c r="U47" s="8">
        <v>43529</v>
      </c>
      <c r="W47" s="6" t="s">
        <v>33</v>
      </c>
      <c r="X47" s="95">
        <v>53299</v>
      </c>
    </row>
    <row r="48" spans="1:24" s="99" customFormat="1" x14ac:dyDescent="0.25">
      <c r="A48" s="6" t="s">
        <v>85</v>
      </c>
      <c r="B48" s="94" t="s">
        <v>108</v>
      </c>
      <c r="C48" s="6" t="s">
        <v>263</v>
      </c>
      <c r="D48" s="140">
        <v>11605762</v>
      </c>
      <c r="E48" s="6" t="s">
        <v>153</v>
      </c>
      <c r="F48" s="6" t="s">
        <v>139</v>
      </c>
      <c r="G48" s="6" t="s">
        <v>264</v>
      </c>
      <c r="H48" s="8">
        <v>43882</v>
      </c>
      <c r="I48" s="95">
        <v>43136</v>
      </c>
      <c r="J48" s="8">
        <v>43236</v>
      </c>
      <c r="K48" s="95">
        <v>43236</v>
      </c>
      <c r="L48" s="95" t="s">
        <v>31</v>
      </c>
      <c r="M48" s="8">
        <v>43241</v>
      </c>
      <c r="N48" s="8">
        <v>43529</v>
      </c>
      <c r="O48" s="8">
        <v>43319</v>
      </c>
      <c r="P48" s="6" t="s">
        <v>69</v>
      </c>
      <c r="Q48" s="96"/>
      <c r="R48" s="97" t="str">
        <f t="shared" si="4"/>
        <v/>
      </c>
      <c r="S48" s="75" t="str">
        <f t="shared" si="5"/>
        <v/>
      </c>
      <c r="T48" s="124" t="s">
        <v>265</v>
      </c>
      <c r="U48" s="8">
        <v>43529</v>
      </c>
      <c r="V48" s="6"/>
      <c r="W48" s="6" t="s">
        <v>33</v>
      </c>
      <c r="X48" s="95">
        <v>44326</v>
      </c>
    </row>
    <row r="49" spans="1:24" x14ac:dyDescent="0.25">
      <c r="A49" s="6" t="s">
        <v>65</v>
      </c>
      <c r="B49" s="94" t="s">
        <v>266</v>
      </c>
      <c r="C49" s="6" t="s">
        <v>267</v>
      </c>
      <c r="D49" s="140">
        <v>11996569</v>
      </c>
      <c r="E49" s="6" t="s">
        <v>268</v>
      </c>
      <c r="F49" s="6" t="s">
        <v>44</v>
      </c>
      <c r="G49" s="6" t="s">
        <v>269</v>
      </c>
      <c r="H49" s="8">
        <v>43741</v>
      </c>
      <c r="I49" s="95">
        <v>43136</v>
      </c>
      <c r="J49" s="8">
        <v>43192</v>
      </c>
      <c r="K49" s="95">
        <v>43193</v>
      </c>
      <c r="L49" s="95" t="s">
        <v>31</v>
      </c>
      <c r="M49" s="8">
        <v>43279</v>
      </c>
      <c r="R49" s="97" t="str">
        <f t="shared" si="4"/>
        <v/>
      </c>
      <c r="S49" s="75" t="str">
        <f t="shared" si="5"/>
        <v/>
      </c>
      <c r="T49" s="124" t="s">
        <v>270</v>
      </c>
      <c r="U49" s="8">
        <v>43586</v>
      </c>
      <c r="V49" s="6" t="s">
        <v>36</v>
      </c>
      <c r="W49" s="6" t="s">
        <v>33</v>
      </c>
      <c r="X49" s="95">
        <v>53216</v>
      </c>
    </row>
    <row r="50" spans="1:24" x14ac:dyDescent="0.25">
      <c r="A50" s="6" t="s">
        <v>85</v>
      </c>
      <c r="B50" s="94" t="s">
        <v>271</v>
      </c>
      <c r="C50" s="6" t="s">
        <v>272</v>
      </c>
      <c r="D50" s="140">
        <v>12164025</v>
      </c>
      <c r="E50" s="6" t="s">
        <v>180</v>
      </c>
      <c r="F50" s="6" t="s">
        <v>44</v>
      </c>
      <c r="G50" s="6" t="s">
        <v>273</v>
      </c>
      <c r="H50" s="8">
        <v>44606</v>
      </c>
      <c r="I50" s="95">
        <v>43136</v>
      </c>
      <c r="J50" s="8">
        <v>43236</v>
      </c>
      <c r="K50" s="95">
        <v>43236</v>
      </c>
      <c r="L50" s="95" t="s">
        <v>31</v>
      </c>
      <c r="M50" s="8">
        <v>43241</v>
      </c>
      <c r="N50" s="8">
        <v>43529</v>
      </c>
      <c r="O50" s="8">
        <v>43382</v>
      </c>
      <c r="P50" s="6" t="s">
        <v>69</v>
      </c>
      <c r="R50" s="97" t="str">
        <f t="shared" si="4"/>
        <v/>
      </c>
      <c r="S50" s="75" t="str">
        <f t="shared" si="5"/>
        <v/>
      </c>
      <c r="T50" s="124" t="s">
        <v>265</v>
      </c>
      <c r="U50" s="8">
        <v>43529</v>
      </c>
      <c r="W50" s="6" t="s">
        <v>33</v>
      </c>
      <c r="X50" s="95">
        <v>45994</v>
      </c>
    </row>
    <row r="51" spans="1:24" x14ac:dyDescent="0.25">
      <c r="A51" s="6" t="s">
        <v>77</v>
      </c>
      <c r="B51" s="94" t="s">
        <v>274</v>
      </c>
      <c r="C51" s="6" t="s">
        <v>275</v>
      </c>
      <c r="D51" s="140">
        <v>11581342</v>
      </c>
      <c r="E51" s="6" t="s">
        <v>276</v>
      </c>
      <c r="F51" s="10" t="s">
        <v>277</v>
      </c>
      <c r="H51" s="8">
        <v>53489</v>
      </c>
      <c r="I51" s="95">
        <v>43136</v>
      </c>
      <c r="J51" s="95">
        <v>43136</v>
      </c>
      <c r="K51" s="95">
        <v>43136</v>
      </c>
      <c r="L51" s="95" t="s">
        <v>31</v>
      </c>
      <c r="M51" s="8">
        <v>43171</v>
      </c>
      <c r="N51" s="8">
        <v>43529</v>
      </c>
      <c r="O51" s="8">
        <v>43272</v>
      </c>
      <c r="P51" s="6" t="s">
        <v>35</v>
      </c>
      <c r="Q51" s="96">
        <v>3043</v>
      </c>
      <c r="R51" s="97">
        <f t="shared" si="4"/>
        <v>8.3369863013698637</v>
      </c>
      <c r="S51" s="75">
        <f t="shared" si="5"/>
        <v>68855.169863013696</v>
      </c>
      <c r="T51" s="124" t="s">
        <v>278</v>
      </c>
      <c r="U51" s="8">
        <v>43529</v>
      </c>
      <c r="W51" s="6" t="s">
        <v>84</v>
      </c>
      <c r="X51" s="95">
        <v>45587</v>
      </c>
    </row>
    <row r="52" spans="1:24" x14ac:dyDescent="0.25">
      <c r="A52" s="6" t="s">
        <v>70</v>
      </c>
      <c r="B52" s="94" t="s">
        <v>279</v>
      </c>
      <c r="C52" s="6" t="s">
        <v>280</v>
      </c>
      <c r="D52" s="140">
        <v>11208765</v>
      </c>
      <c r="E52" s="6" t="s">
        <v>125</v>
      </c>
      <c r="F52" s="6" t="s">
        <v>62</v>
      </c>
      <c r="H52" s="8">
        <v>45880</v>
      </c>
      <c r="I52" s="95">
        <v>43136</v>
      </c>
      <c r="J52" s="95">
        <v>43136</v>
      </c>
      <c r="K52" s="95">
        <v>43143</v>
      </c>
      <c r="L52" s="95" t="s">
        <v>31</v>
      </c>
      <c r="M52" s="8">
        <v>43171</v>
      </c>
      <c r="N52" s="8">
        <v>43522</v>
      </c>
      <c r="O52" s="8">
        <v>43368</v>
      </c>
      <c r="P52" s="6" t="s">
        <v>90</v>
      </c>
      <c r="Q52" s="96">
        <v>3652</v>
      </c>
      <c r="R52" s="97">
        <f t="shared" si="4"/>
        <v>10.005479452054795</v>
      </c>
      <c r="S52" s="75">
        <f t="shared" si="5"/>
        <v>82635.254794520544</v>
      </c>
      <c r="T52" s="124" t="s">
        <v>281</v>
      </c>
      <c r="U52" s="8">
        <v>43522</v>
      </c>
      <c r="V52" s="6" t="s">
        <v>36</v>
      </c>
      <c r="W52" s="6" t="s">
        <v>33</v>
      </c>
      <c r="X52" s="95">
        <v>50499</v>
      </c>
    </row>
    <row r="53" spans="1:24" x14ac:dyDescent="0.25">
      <c r="A53" s="6" t="s">
        <v>70</v>
      </c>
      <c r="B53" s="94" t="s">
        <v>282</v>
      </c>
      <c r="C53" s="6" t="s">
        <v>283</v>
      </c>
      <c r="D53" s="140">
        <v>11975558</v>
      </c>
      <c r="E53" s="6" t="s">
        <v>284</v>
      </c>
      <c r="F53" s="6" t="s">
        <v>81</v>
      </c>
      <c r="G53" s="6" t="s">
        <v>285</v>
      </c>
      <c r="H53" s="8">
        <v>45395</v>
      </c>
      <c r="I53" s="95">
        <v>43136</v>
      </c>
      <c r="J53" s="95">
        <v>43136</v>
      </c>
      <c r="K53" s="95">
        <v>43143</v>
      </c>
      <c r="L53" s="95" t="s">
        <v>31</v>
      </c>
      <c r="M53" s="8">
        <v>43171</v>
      </c>
      <c r="R53" s="97" t="str">
        <f t="shared" si="4"/>
        <v/>
      </c>
      <c r="S53" s="75" t="str">
        <f t="shared" si="5"/>
        <v/>
      </c>
      <c r="T53" s="124" t="s">
        <v>286</v>
      </c>
      <c r="U53" s="8">
        <v>44273</v>
      </c>
      <c r="W53" s="6" t="s">
        <v>33</v>
      </c>
      <c r="X53" s="95">
        <v>43055</v>
      </c>
    </row>
    <row r="54" spans="1:24" x14ac:dyDescent="0.25">
      <c r="A54" s="6" t="s">
        <v>65</v>
      </c>
      <c r="B54" s="94" t="s">
        <v>287</v>
      </c>
      <c r="C54" s="6" t="s">
        <v>288</v>
      </c>
      <c r="D54" s="140">
        <v>11341603</v>
      </c>
      <c r="E54" s="6" t="s">
        <v>289</v>
      </c>
      <c r="F54" s="10" t="s">
        <v>139</v>
      </c>
      <c r="G54" s="6" t="s">
        <v>290</v>
      </c>
      <c r="H54" s="8">
        <v>43989</v>
      </c>
      <c r="I54" s="8">
        <v>43270</v>
      </c>
      <c r="J54" s="8">
        <v>43270</v>
      </c>
      <c r="K54" s="95">
        <v>43278</v>
      </c>
      <c r="L54" s="95" t="s">
        <v>31</v>
      </c>
      <c r="M54" s="8">
        <v>43280</v>
      </c>
      <c r="N54" s="8">
        <v>43552</v>
      </c>
      <c r="O54" s="8">
        <v>43312</v>
      </c>
      <c r="P54" s="101" t="s">
        <v>182</v>
      </c>
      <c r="R54" s="97" t="str">
        <f t="shared" si="4"/>
        <v/>
      </c>
      <c r="S54" s="75" t="str">
        <f t="shared" si="5"/>
        <v/>
      </c>
      <c r="U54" s="8">
        <v>43552</v>
      </c>
      <c r="W54" s="6" t="s">
        <v>33</v>
      </c>
      <c r="X54" s="95">
        <v>45209</v>
      </c>
    </row>
    <row r="55" spans="1:24" x14ac:dyDescent="0.25">
      <c r="A55" s="6" t="s">
        <v>70</v>
      </c>
      <c r="B55" s="94" t="s">
        <v>291</v>
      </c>
      <c r="C55" s="6" t="s">
        <v>292</v>
      </c>
      <c r="D55" s="140">
        <v>12132530</v>
      </c>
      <c r="E55" s="6" t="s">
        <v>236</v>
      </c>
      <c r="F55" s="6" t="s">
        <v>293</v>
      </c>
      <c r="G55" s="6" t="s">
        <v>294</v>
      </c>
      <c r="H55" s="8">
        <v>45003</v>
      </c>
      <c r="I55" s="95">
        <v>43136</v>
      </c>
      <c r="J55" s="95">
        <v>43136</v>
      </c>
      <c r="K55" s="95">
        <v>43146</v>
      </c>
      <c r="L55" s="95" t="s">
        <v>31</v>
      </c>
      <c r="M55" s="8">
        <v>43171</v>
      </c>
      <c r="R55" s="97" t="str">
        <f t="shared" si="4"/>
        <v/>
      </c>
      <c r="S55" s="75" t="str">
        <f t="shared" si="5"/>
        <v/>
      </c>
      <c r="T55" s="124" t="s">
        <v>295</v>
      </c>
      <c r="U55" s="8">
        <v>44998</v>
      </c>
      <c r="W55" s="6" t="s">
        <v>33</v>
      </c>
      <c r="X55" s="95">
        <v>45556</v>
      </c>
    </row>
    <row r="56" spans="1:24" x14ac:dyDescent="0.25">
      <c r="A56" s="6" t="s">
        <v>70</v>
      </c>
      <c r="B56" s="94" t="s">
        <v>296</v>
      </c>
      <c r="C56" s="6" t="s">
        <v>297</v>
      </c>
      <c r="D56" s="140">
        <v>12116191</v>
      </c>
      <c r="E56" s="6" t="s">
        <v>298</v>
      </c>
      <c r="F56" s="6" t="s">
        <v>299</v>
      </c>
      <c r="G56" s="6" t="s">
        <v>300</v>
      </c>
      <c r="H56" s="8">
        <v>47524</v>
      </c>
      <c r="I56" s="95">
        <v>43136</v>
      </c>
      <c r="J56" s="95">
        <v>43136</v>
      </c>
      <c r="K56" s="95">
        <v>43179</v>
      </c>
      <c r="L56" s="95" t="s">
        <v>31</v>
      </c>
      <c r="M56" s="8">
        <v>43181</v>
      </c>
      <c r="N56" s="8">
        <v>43301</v>
      </c>
      <c r="O56" s="8">
        <v>43276</v>
      </c>
      <c r="P56" s="6" t="s">
        <v>35</v>
      </c>
      <c r="Q56" s="96">
        <v>1095</v>
      </c>
      <c r="R56" s="97">
        <f t="shared" si="4"/>
        <v>3</v>
      </c>
      <c r="S56" s="75">
        <f t="shared" si="5"/>
        <v>24777</v>
      </c>
      <c r="T56" s="124" t="s">
        <v>301</v>
      </c>
      <c r="U56" s="8">
        <v>43301</v>
      </c>
      <c r="W56" s="6" t="s">
        <v>33</v>
      </c>
      <c r="X56" s="95">
        <v>46506</v>
      </c>
    </row>
    <row r="57" spans="1:24" x14ac:dyDescent="0.25">
      <c r="A57" s="6" t="s">
        <v>117</v>
      </c>
      <c r="B57" s="94" t="s">
        <v>302</v>
      </c>
      <c r="C57" s="6" t="s">
        <v>303</v>
      </c>
      <c r="D57" s="140">
        <v>10262492</v>
      </c>
      <c r="E57" s="6" t="s">
        <v>304</v>
      </c>
      <c r="F57" s="10" t="s">
        <v>121</v>
      </c>
      <c r="G57" s="6" t="s">
        <v>305</v>
      </c>
      <c r="H57" s="8">
        <v>44538</v>
      </c>
      <c r="I57" s="8">
        <v>43678</v>
      </c>
      <c r="J57" s="8">
        <v>43678</v>
      </c>
      <c r="K57" s="95">
        <v>43692</v>
      </c>
      <c r="L57" s="95" t="s">
        <v>31</v>
      </c>
      <c r="M57" s="8">
        <v>43693</v>
      </c>
      <c r="N57" s="8">
        <v>43768</v>
      </c>
      <c r="O57" s="8">
        <v>43728</v>
      </c>
      <c r="P57" s="6" t="s">
        <v>52</v>
      </c>
      <c r="R57" s="97" t="str">
        <f t="shared" si="4"/>
        <v/>
      </c>
      <c r="S57" s="75" t="str">
        <f t="shared" si="5"/>
        <v/>
      </c>
      <c r="T57" s="124" t="s">
        <v>306</v>
      </c>
      <c r="U57" s="8">
        <v>43768</v>
      </c>
      <c r="W57" s="6" t="s">
        <v>33</v>
      </c>
      <c r="X57" s="95">
        <v>41088</v>
      </c>
    </row>
    <row r="58" spans="1:24" x14ac:dyDescent="0.25">
      <c r="A58" s="6" t="s">
        <v>117</v>
      </c>
      <c r="B58" s="94" t="s">
        <v>307</v>
      </c>
      <c r="C58" s="6" t="s">
        <v>308</v>
      </c>
      <c r="D58" s="140">
        <v>11911131</v>
      </c>
      <c r="E58" s="6" t="s">
        <v>289</v>
      </c>
      <c r="F58" s="6" t="s">
        <v>309</v>
      </c>
      <c r="G58" s="6" t="s">
        <v>310</v>
      </c>
      <c r="H58" s="8">
        <v>45482</v>
      </c>
      <c r="I58" s="8">
        <v>43343</v>
      </c>
      <c r="J58" s="8">
        <v>43343</v>
      </c>
      <c r="K58" s="95">
        <v>43348</v>
      </c>
      <c r="L58" s="95" t="s">
        <v>31</v>
      </c>
      <c r="M58" s="8">
        <v>43353</v>
      </c>
      <c r="N58" s="8">
        <v>43616</v>
      </c>
      <c r="O58" s="8">
        <v>43543</v>
      </c>
      <c r="P58" s="6" t="s">
        <v>35</v>
      </c>
      <c r="Q58" s="96">
        <v>974</v>
      </c>
      <c r="R58" s="97">
        <f t="shared" si="4"/>
        <v>2.6684931506849314</v>
      </c>
      <c r="S58" s="75">
        <f t="shared" si="5"/>
        <v>22039.084931506852</v>
      </c>
      <c r="T58" s="124" t="s">
        <v>311</v>
      </c>
      <c r="U58" s="8">
        <v>43616</v>
      </c>
      <c r="W58" s="6" t="s">
        <v>33</v>
      </c>
      <c r="X58" s="95">
        <v>42390</v>
      </c>
    </row>
    <row r="59" spans="1:24" x14ac:dyDescent="0.25">
      <c r="A59" s="6" t="s">
        <v>65</v>
      </c>
      <c r="B59" s="94" t="s">
        <v>312</v>
      </c>
      <c r="C59" s="6" t="s">
        <v>313</v>
      </c>
      <c r="D59" s="140">
        <v>11329900</v>
      </c>
      <c r="E59" s="6" t="s">
        <v>314</v>
      </c>
      <c r="F59" s="10" t="s">
        <v>44</v>
      </c>
      <c r="G59" s="6" t="s">
        <v>315</v>
      </c>
      <c r="H59" s="8">
        <v>64660</v>
      </c>
      <c r="I59" s="8">
        <v>43339</v>
      </c>
      <c r="J59" s="8">
        <v>43339</v>
      </c>
      <c r="K59" s="95">
        <v>43341</v>
      </c>
      <c r="L59" s="95" t="s">
        <v>31</v>
      </c>
      <c r="M59" s="8">
        <v>43354</v>
      </c>
      <c r="N59" s="8">
        <v>43725</v>
      </c>
      <c r="O59" s="8">
        <v>43649</v>
      </c>
      <c r="P59" s="6" t="s">
        <v>35</v>
      </c>
      <c r="Q59" s="96">
        <v>974</v>
      </c>
      <c r="R59" s="97">
        <f t="shared" si="4"/>
        <v>2.6684931506849314</v>
      </c>
      <c r="S59" s="75">
        <f t="shared" si="5"/>
        <v>22039.084931506852</v>
      </c>
      <c r="U59" s="8">
        <v>43732</v>
      </c>
      <c r="W59" s="6" t="s">
        <v>33</v>
      </c>
      <c r="X59" s="95">
        <v>45488</v>
      </c>
    </row>
    <row r="60" spans="1:24" x14ac:dyDescent="0.25">
      <c r="A60" s="6" t="s">
        <v>70</v>
      </c>
      <c r="B60" s="94" t="s">
        <v>316</v>
      </c>
      <c r="C60" s="6" t="s">
        <v>317</v>
      </c>
      <c r="D60" s="140">
        <v>11355421</v>
      </c>
      <c r="E60" s="6" t="s">
        <v>318</v>
      </c>
      <c r="F60" s="6" t="s">
        <v>95</v>
      </c>
      <c r="G60" s="6" t="s">
        <v>319</v>
      </c>
      <c r="H60" s="8">
        <v>44840</v>
      </c>
      <c r="I60" s="95">
        <v>43136</v>
      </c>
      <c r="J60" s="95">
        <v>43202</v>
      </c>
      <c r="K60" s="95">
        <v>43202</v>
      </c>
      <c r="L60" s="95" t="s">
        <v>31</v>
      </c>
      <c r="M60" s="8">
        <v>43206</v>
      </c>
      <c r="N60" s="8">
        <v>43413</v>
      </c>
      <c r="O60" s="8">
        <v>43367</v>
      </c>
      <c r="P60" s="6" t="s">
        <v>35</v>
      </c>
      <c r="Q60" s="96">
        <v>730</v>
      </c>
      <c r="R60" s="97">
        <f t="shared" si="4"/>
        <v>2</v>
      </c>
      <c r="S60" s="75">
        <f t="shared" si="5"/>
        <v>16518</v>
      </c>
      <c r="T60" s="124" t="s">
        <v>320</v>
      </c>
      <c r="U60" s="8">
        <v>43529</v>
      </c>
      <c r="W60" s="6" t="s">
        <v>33</v>
      </c>
      <c r="X60" s="95">
        <v>44976</v>
      </c>
    </row>
    <row r="61" spans="1:24" x14ac:dyDescent="0.25">
      <c r="A61" s="6" t="s">
        <v>70</v>
      </c>
      <c r="B61" s="94" t="s">
        <v>242</v>
      </c>
      <c r="C61" s="6" t="s">
        <v>321</v>
      </c>
      <c r="D61" s="140">
        <v>12124644</v>
      </c>
      <c r="E61" s="6" t="s">
        <v>153</v>
      </c>
      <c r="F61" s="6" t="s">
        <v>143</v>
      </c>
      <c r="G61" s="6" t="s">
        <v>322</v>
      </c>
      <c r="H61" s="8">
        <v>46553</v>
      </c>
      <c r="I61" s="95">
        <v>43136</v>
      </c>
      <c r="J61" s="95">
        <v>43202</v>
      </c>
      <c r="K61" s="95">
        <v>43202</v>
      </c>
      <c r="L61" s="95" t="s">
        <v>31</v>
      </c>
      <c r="M61" s="8">
        <v>43206</v>
      </c>
      <c r="N61" s="8">
        <v>43349</v>
      </c>
      <c r="O61" s="8">
        <v>43339</v>
      </c>
      <c r="P61" s="6" t="s">
        <v>35</v>
      </c>
      <c r="Q61" s="96">
        <v>1095</v>
      </c>
      <c r="R61" s="97">
        <f t="shared" si="4"/>
        <v>3</v>
      </c>
      <c r="S61" s="75">
        <f t="shared" si="5"/>
        <v>24777</v>
      </c>
      <c r="T61" s="124" t="s">
        <v>301</v>
      </c>
      <c r="U61" s="8">
        <v>43529</v>
      </c>
      <c r="W61" s="6" t="s">
        <v>33</v>
      </c>
      <c r="X61" s="95">
        <v>46666</v>
      </c>
    </row>
    <row r="62" spans="1:24" x14ac:dyDescent="0.25">
      <c r="A62" s="6" t="s">
        <v>70</v>
      </c>
      <c r="B62" s="94" t="s">
        <v>323</v>
      </c>
      <c r="C62" s="6" t="s">
        <v>324</v>
      </c>
      <c r="D62" s="140">
        <v>11561682</v>
      </c>
      <c r="E62" s="6" t="s">
        <v>325</v>
      </c>
      <c r="F62" s="6" t="s">
        <v>139</v>
      </c>
      <c r="G62" s="6" t="s">
        <v>326</v>
      </c>
      <c r="H62" s="8">
        <v>43585</v>
      </c>
      <c r="I62" s="95">
        <v>43136</v>
      </c>
      <c r="J62" s="95">
        <v>43136</v>
      </c>
      <c r="K62" s="95">
        <v>43179</v>
      </c>
      <c r="L62" s="95" t="s">
        <v>31</v>
      </c>
      <c r="M62" s="8">
        <v>43181</v>
      </c>
      <c r="N62" s="8">
        <v>43529</v>
      </c>
      <c r="O62" s="8">
        <v>43220</v>
      </c>
      <c r="P62" s="6" t="s">
        <v>69</v>
      </c>
      <c r="R62" s="97" t="str">
        <f t="shared" si="4"/>
        <v/>
      </c>
      <c r="S62" s="75" t="str">
        <f t="shared" si="5"/>
        <v/>
      </c>
      <c r="T62" s="124" t="s">
        <v>265</v>
      </c>
      <c r="U62" s="8">
        <v>43529</v>
      </c>
      <c r="V62" s="6" t="s">
        <v>36</v>
      </c>
      <c r="W62" s="6" t="s">
        <v>33</v>
      </c>
      <c r="X62" s="95">
        <v>43767</v>
      </c>
    </row>
    <row r="63" spans="1:24" x14ac:dyDescent="0.25">
      <c r="A63" s="6" t="s">
        <v>65</v>
      </c>
      <c r="B63" s="94" t="s">
        <v>197</v>
      </c>
      <c r="C63" s="6" t="s">
        <v>327</v>
      </c>
      <c r="D63" s="140">
        <v>11636112</v>
      </c>
      <c r="E63" s="6" t="s">
        <v>328</v>
      </c>
      <c r="F63" s="10" t="s">
        <v>44</v>
      </c>
      <c r="G63" s="6" t="s">
        <v>329</v>
      </c>
      <c r="H63" s="8">
        <v>46076</v>
      </c>
      <c r="I63" s="8">
        <v>43273</v>
      </c>
      <c r="J63" s="8">
        <v>43273</v>
      </c>
      <c r="K63" s="95">
        <v>43292</v>
      </c>
      <c r="L63" s="95" t="s">
        <v>31</v>
      </c>
      <c r="M63" s="8">
        <v>43299</v>
      </c>
      <c r="N63" s="8">
        <v>43353</v>
      </c>
      <c r="O63" s="8">
        <v>43312</v>
      </c>
      <c r="P63" s="6" t="s">
        <v>75</v>
      </c>
      <c r="R63" s="97" t="str">
        <f t="shared" si="4"/>
        <v/>
      </c>
      <c r="S63" s="75" t="str">
        <f t="shared" si="5"/>
        <v/>
      </c>
      <c r="U63" s="8">
        <v>43353</v>
      </c>
      <c r="W63" s="6" t="s">
        <v>33</v>
      </c>
      <c r="X63" s="95">
        <v>45764</v>
      </c>
    </row>
    <row r="64" spans="1:24" x14ac:dyDescent="0.25">
      <c r="A64" s="6" t="s">
        <v>37</v>
      </c>
      <c r="B64" s="94" t="s">
        <v>330</v>
      </c>
      <c r="C64" s="6" t="s">
        <v>331</v>
      </c>
      <c r="D64" s="140">
        <v>11302741</v>
      </c>
      <c r="E64" s="6" t="s">
        <v>332</v>
      </c>
      <c r="F64" s="10" t="s">
        <v>62</v>
      </c>
      <c r="G64" s="6" t="s">
        <v>333</v>
      </c>
      <c r="H64" s="8">
        <v>44217</v>
      </c>
      <c r="I64" s="8">
        <v>43258</v>
      </c>
      <c r="J64" s="8">
        <v>43259</v>
      </c>
      <c r="K64" s="95">
        <v>43259</v>
      </c>
      <c r="L64" s="95" t="s">
        <v>31</v>
      </c>
      <c r="M64" s="95">
        <v>43259</v>
      </c>
      <c r="R64" s="97" t="str">
        <f t="shared" si="4"/>
        <v/>
      </c>
      <c r="S64" s="75" t="str">
        <f t="shared" si="5"/>
        <v/>
      </c>
      <c r="T64" s="124" t="s">
        <v>253</v>
      </c>
      <c r="U64" s="8">
        <v>43817</v>
      </c>
      <c r="V64" s="6" t="s">
        <v>36</v>
      </c>
      <c r="W64" s="6" t="s">
        <v>33</v>
      </c>
      <c r="X64" s="95">
        <v>54450</v>
      </c>
    </row>
    <row r="65" spans="1:24" x14ac:dyDescent="0.25">
      <c r="A65" s="6" t="s">
        <v>70</v>
      </c>
      <c r="B65" s="94" t="s">
        <v>334</v>
      </c>
      <c r="C65" s="6" t="s">
        <v>335</v>
      </c>
      <c r="D65" s="140">
        <v>11946313</v>
      </c>
      <c r="E65" s="6" t="s">
        <v>209</v>
      </c>
      <c r="F65" s="6" t="s">
        <v>95</v>
      </c>
      <c r="G65" s="6" t="s">
        <v>154</v>
      </c>
      <c r="H65" s="8">
        <v>48472</v>
      </c>
      <c r="I65" s="95">
        <v>43136</v>
      </c>
      <c r="J65" s="95">
        <v>43202</v>
      </c>
      <c r="K65" s="95">
        <v>43207</v>
      </c>
      <c r="L65" s="95" t="s">
        <v>31</v>
      </c>
      <c r="M65" s="8">
        <v>43213</v>
      </c>
      <c r="N65" s="8">
        <v>43364</v>
      </c>
      <c r="O65" s="8">
        <v>43290</v>
      </c>
      <c r="P65" s="6" t="s">
        <v>35</v>
      </c>
      <c r="Q65" s="96">
        <v>3165</v>
      </c>
      <c r="R65" s="97">
        <f t="shared" si="4"/>
        <v>8.6712328767123292</v>
      </c>
      <c r="S65" s="75">
        <f t="shared" si="5"/>
        <v>71615.712328767127</v>
      </c>
      <c r="T65" s="124" t="s">
        <v>336</v>
      </c>
      <c r="U65" s="8">
        <v>43529</v>
      </c>
      <c r="W65" s="6" t="s">
        <v>33</v>
      </c>
      <c r="X65" s="95">
        <v>44527</v>
      </c>
    </row>
    <row r="66" spans="1:24" s="99" customFormat="1" ht="30" x14ac:dyDescent="0.25">
      <c r="A66" s="6" t="s">
        <v>65</v>
      </c>
      <c r="B66" s="94" t="s">
        <v>337</v>
      </c>
      <c r="C66" s="6" t="s">
        <v>338</v>
      </c>
      <c r="D66" s="140">
        <v>12134391</v>
      </c>
      <c r="E66" s="6" t="s">
        <v>339</v>
      </c>
      <c r="F66" s="10" t="s">
        <v>190</v>
      </c>
      <c r="G66" s="6" t="s">
        <v>340</v>
      </c>
      <c r="H66" s="8">
        <v>44357</v>
      </c>
      <c r="I66" s="8">
        <v>43270</v>
      </c>
      <c r="J66" s="8">
        <v>43270</v>
      </c>
      <c r="K66" s="95">
        <v>43283</v>
      </c>
      <c r="L66" s="95" t="s">
        <v>31</v>
      </c>
      <c r="M66" s="8">
        <v>43291</v>
      </c>
      <c r="N66" s="8">
        <v>43395</v>
      </c>
      <c r="O66" s="8">
        <v>43313</v>
      </c>
      <c r="P66" s="101" t="s">
        <v>52</v>
      </c>
      <c r="Q66" s="96"/>
      <c r="R66" s="97" t="str">
        <f t="shared" si="4"/>
        <v/>
      </c>
      <c r="S66" s="75" t="str">
        <f t="shared" si="5"/>
        <v/>
      </c>
      <c r="T66" s="124" t="s">
        <v>341</v>
      </c>
      <c r="U66" s="8">
        <v>43396</v>
      </c>
      <c r="V66" s="6"/>
      <c r="W66" s="6" t="s">
        <v>33</v>
      </c>
      <c r="X66" s="95">
        <v>56938</v>
      </c>
    </row>
    <row r="67" spans="1:24" s="99" customFormat="1" x14ac:dyDescent="0.25">
      <c r="A67" s="101" t="s">
        <v>117</v>
      </c>
      <c r="B67" s="102" t="s">
        <v>342</v>
      </c>
      <c r="C67" s="6" t="s">
        <v>343</v>
      </c>
      <c r="D67" s="143">
        <v>11960507</v>
      </c>
      <c r="E67" s="6" t="s">
        <v>344</v>
      </c>
      <c r="F67" s="101" t="s">
        <v>29</v>
      </c>
      <c r="G67" s="101" t="s">
        <v>345</v>
      </c>
      <c r="H67" s="103">
        <v>45412</v>
      </c>
      <c r="I67" s="104">
        <v>43151</v>
      </c>
      <c r="J67" s="104">
        <v>43151</v>
      </c>
      <c r="K67" s="104">
        <v>43151</v>
      </c>
      <c r="L67" s="95" t="s">
        <v>31</v>
      </c>
      <c r="M67" s="103">
        <v>43171</v>
      </c>
      <c r="N67" s="103">
        <v>43223</v>
      </c>
      <c r="O67" s="103">
        <v>43217</v>
      </c>
      <c r="P67" s="101" t="s">
        <v>35</v>
      </c>
      <c r="Q67" s="105">
        <v>324</v>
      </c>
      <c r="R67" s="97">
        <f t="shared" si="4"/>
        <v>0.88767123287671235</v>
      </c>
      <c r="S67" s="75">
        <f t="shared" si="5"/>
        <v>7331.2767123287676</v>
      </c>
      <c r="T67" s="125"/>
      <c r="U67" s="8">
        <v>43231</v>
      </c>
      <c r="V67" s="6"/>
      <c r="W67" s="6" t="s">
        <v>33</v>
      </c>
      <c r="X67" s="95">
        <v>43181</v>
      </c>
    </row>
    <row r="68" spans="1:24" x14ac:dyDescent="0.25">
      <c r="A68" s="101" t="s">
        <v>117</v>
      </c>
      <c r="B68" s="102" t="s">
        <v>346</v>
      </c>
      <c r="C68" s="101" t="s">
        <v>347</v>
      </c>
      <c r="D68" s="141">
        <v>11022712</v>
      </c>
      <c r="E68" s="101" t="s">
        <v>304</v>
      </c>
      <c r="F68" s="101" t="s">
        <v>121</v>
      </c>
      <c r="G68" s="101" t="s">
        <v>348</v>
      </c>
      <c r="H68" s="103">
        <v>43594</v>
      </c>
      <c r="I68" s="103">
        <v>43167</v>
      </c>
      <c r="J68" s="103">
        <v>43167</v>
      </c>
      <c r="K68" s="104">
        <v>43167</v>
      </c>
      <c r="L68" s="95" t="s">
        <v>31</v>
      </c>
      <c r="M68" s="103">
        <v>43171</v>
      </c>
      <c r="N68" s="103">
        <v>43249</v>
      </c>
      <c r="O68" s="103">
        <v>43235</v>
      </c>
      <c r="P68" s="101" t="s">
        <v>90</v>
      </c>
      <c r="Q68" s="105">
        <v>730</v>
      </c>
      <c r="R68" s="97">
        <f t="shared" si="4"/>
        <v>2</v>
      </c>
      <c r="S68" s="75">
        <f t="shared" si="5"/>
        <v>16518</v>
      </c>
      <c r="T68" s="125" t="s">
        <v>349</v>
      </c>
      <c r="U68" s="8">
        <v>43249</v>
      </c>
      <c r="V68" s="6" t="s">
        <v>350</v>
      </c>
      <c r="W68" s="6" t="s">
        <v>33</v>
      </c>
      <c r="X68" s="95">
        <v>42285</v>
      </c>
    </row>
    <row r="69" spans="1:24" s="99" customFormat="1" x14ac:dyDescent="0.25">
      <c r="A69" s="6" t="s">
        <v>168</v>
      </c>
      <c r="B69" s="94" t="s">
        <v>351</v>
      </c>
      <c r="C69" s="6" t="s">
        <v>352</v>
      </c>
      <c r="D69" s="140">
        <v>11654355</v>
      </c>
      <c r="E69" s="6" t="s">
        <v>353</v>
      </c>
      <c r="F69" s="10" t="s">
        <v>44</v>
      </c>
      <c r="G69" s="6" t="s">
        <v>354</v>
      </c>
      <c r="H69" s="8">
        <v>49724</v>
      </c>
      <c r="I69" s="8">
        <v>43521</v>
      </c>
      <c r="J69" s="8">
        <v>43538</v>
      </c>
      <c r="K69" s="95">
        <v>43538</v>
      </c>
      <c r="L69" s="95" t="s">
        <v>31</v>
      </c>
      <c r="M69" s="8">
        <v>43542</v>
      </c>
      <c r="N69" s="8">
        <v>44718</v>
      </c>
      <c r="O69" s="158">
        <v>44715</v>
      </c>
      <c r="P69" s="6" t="s">
        <v>35</v>
      </c>
      <c r="Q69" s="96">
        <v>4380</v>
      </c>
      <c r="R69" s="97">
        <f t="shared" si="4"/>
        <v>12</v>
      </c>
      <c r="S69" s="75">
        <f t="shared" si="5"/>
        <v>99108</v>
      </c>
      <c r="T69" s="8"/>
      <c r="U69" s="8">
        <v>45068</v>
      </c>
      <c r="V69" s="6"/>
      <c r="W69" s="6" t="s">
        <v>84</v>
      </c>
      <c r="X69" s="95">
        <v>45096</v>
      </c>
    </row>
    <row r="70" spans="1:24" x14ac:dyDescent="0.25">
      <c r="A70" s="6" t="s">
        <v>168</v>
      </c>
      <c r="B70" s="94" t="s">
        <v>355</v>
      </c>
      <c r="C70" s="6" t="s">
        <v>356</v>
      </c>
      <c r="D70" s="140">
        <v>11007866</v>
      </c>
      <c r="E70" s="6" t="s">
        <v>357</v>
      </c>
      <c r="F70" s="10" t="s">
        <v>44</v>
      </c>
      <c r="G70" s="6" t="s">
        <v>358</v>
      </c>
      <c r="H70" s="8">
        <v>46998</v>
      </c>
      <c r="I70" s="8">
        <v>44092</v>
      </c>
      <c r="J70" s="8">
        <v>44104</v>
      </c>
      <c r="K70" s="95">
        <v>44105</v>
      </c>
      <c r="L70" s="95" t="s">
        <v>359</v>
      </c>
      <c r="R70" s="97" t="str">
        <f t="shared" si="4"/>
        <v/>
      </c>
      <c r="S70" s="75" t="str">
        <f t="shared" si="5"/>
        <v/>
      </c>
      <c r="W70" s="6" t="s">
        <v>84</v>
      </c>
      <c r="X70" s="135">
        <v>45949</v>
      </c>
    </row>
    <row r="71" spans="1:24" x14ac:dyDescent="0.25">
      <c r="A71" s="6" t="s">
        <v>168</v>
      </c>
      <c r="B71" s="94" t="s">
        <v>360</v>
      </c>
      <c r="C71" s="6" t="s">
        <v>361</v>
      </c>
      <c r="D71" s="140">
        <v>11920379</v>
      </c>
      <c r="E71" s="6" t="s">
        <v>362</v>
      </c>
      <c r="F71" s="10" t="s">
        <v>363</v>
      </c>
      <c r="G71" s="6">
        <v>1015269</v>
      </c>
      <c r="H71" s="8">
        <v>47084</v>
      </c>
      <c r="I71" s="8">
        <v>44370</v>
      </c>
      <c r="J71" s="8">
        <v>44384</v>
      </c>
      <c r="K71" s="95">
        <v>44389</v>
      </c>
      <c r="L71" s="95" t="s">
        <v>359</v>
      </c>
      <c r="R71" s="97" t="str">
        <f t="shared" si="4"/>
        <v/>
      </c>
      <c r="S71" s="75" t="str">
        <f t="shared" si="5"/>
        <v/>
      </c>
      <c r="W71" s="6" t="s">
        <v>84</v>
      </c>
      <c r="X71" s="7">
        <v>47306</v>
      </c>
    </row>
    <row r="72" spans="1:24" s="99" customFormat="1" x14ac:dyDescent="0.25">
      <c r="A72" s="6" t="s">
        <v>65</v>
      </c>
      <c r="B72" s="94" t="s">
        <v>364</v>
      </c>
      <c r="C72" s="6" t="s">
        <v>365</v>
      </c>
      <c r="D72" s="140">
        <v>11366921</v>
      </c>
      <c r="E72" s="6" t="s">
        <v>366</v>
      </c>
      <c r="F72" s="10" t="s">
        <v>57</v>
      </c>
      <c r="G72" s="6" t="s">
        <v>367</v>
      </c>
      <c r="H72" s="8">
        <v>48469</v>
      </c>
      <c r="I72" s="8">
        <v>43278</v>
      </c>
      <c r="J72" s="8">
        <v>43278</v>
      </c>
      <c r="K72" s="95">
        <v>43299</v>
      </c>
      <c r="L72" s="95" t="s">
        <v>31</v>
      </c>
      <c r="M72" s="8">
        <v>43305</v>
      </c>
      <c r="N72" s="8">
        <v>43319</v>
      </c>
      <c r="O72" s="8">
        <v>43314</v>
      </c>
      <c r="P72" s="101" t="s">
        <v>52</v>
      </c>
      <c r="Q72" s="96"/>
      <c r="R72" s="97" t="str">
        <f t="shared" si="4"/>
        <v/>
      </c>
      <c r="S72" s="75" t="str">
        <f t="shared" si="5"/>
        <v/>
      </c>
      <c r="T72" s="124" t="s">
        <v>368</v>
      </c>
      <c r="U72" s="8">
        <v>43360</v>
      </c>
      <c r="V72" s="6"/>
      <c r="W72" s="6" t="s">
        <v>84</v>
      </c>
      <c r="X72" s="95">
        <v>51399</v>
      </c>
    </row>
    <row r="73" spans="1:24" x14ac:dyDescent="0.25">
      <c r="A73" s="6" t="s">
        <v>369</v>
      </c>
      <c r="B73" s="94" t="s">
        <v>370</v>
      </c>
      <c r="C73" s="6" t="s">
        <v>371</v>
      </c>
      <c r="D73" s="140">
        <v>11931315</v>
      </c>
      <c r="E73" s="6" t="s">
        <v>261</v>
      </c>
      <c r="F73" s="10" t="s">
        <v>148</v>
      </c>
      <c r="G73" s="6" t="s">
        <v>372</v>
      </c>
      <c r="H73" s="8">
        <v>49770</v>
      </c>
      <c r="I73" s="8">
        <v>43313</v>
      </c>
      <c r="J73" s="8">
        <v>43326</v>
      </c>
      <c r="K73" s="95">
        <v>43334</v>
      </c>
      <c r="L73" s="95" t="s">
        <v>31</v>
      </c>
      <c r="M73" s="8">
        <v>43341</v>
      </c>
      <c r="N73" s="8">
        <v>43579</v>
      </c>
      <c r="O73" s="8">
        <v>43544</v>
      </c>
      <c r="P73" s="6" t="s">
        <v>35</v>
      </c>
      <c r="Q73" s="96">
        <v>1095</v>
      </c>
      <c r="R73" s="97">
        <f t="shared" si="4"/>
        <v>3</v>
      </c>
      <c r="S73" s="75">
        <f t="shared" si="5"/>
        <v>24777</v>
      </c>
      <c r="T73" s="124" t="s">
        <v>301</v>
      </c>
      <c r="U73" s="8">
        <v>43585</v>
      </c>
      <c r="W73" s="6" t="s">
        <v>33</v>
      </c>
      <c r="X73" s="95">
        <v>56859</v>
      </c>
    </row>
    <row r="74" spans="1:24" x14ac:dyDescent="0.25">
      <c r="A74" s="101" t="s">
        <v>117</v>
      </c>
      <c r="B74" s="102" t="s">
        <v>373</v>
      </c>
      <c r="C74" s="101" t="s">
        <v>374</v>
      </c>
      <c r="D74" s="141">
        <v>11682920</v>
      </c>
      <c r="E74" s="6" t="s">
        <v>73</v>
      </c>
      <c r="F74" s="101" t="s">
        <v>134</v>
      </c>
      <c r="G74" s="101" t="s">
        <v>375</v>
      </c>
      <c r="H74" s="103">
        <v>43927</v>
      </c>
      <c r="I74" s="104">
        <v>43202</v>
      </c>
      <c r="J74" s="104">
        <v>43202</v>
      </c>
      <c r="K74" s="104">
        <v>43202</v>
      </c>
      <c r="L74" s="95" t="s">
        <v>31</v>
      </c>
      <c r="M74" s="103">
        <v>43206</v>
      </c>
      <c r="N74" s="103">
        <v>43227</v>
      </c>
      <c r="O74" s="103">
        <v>43221</v>
      </c>
      <c r="P74" s="101" t="s">
        <v>35</v>
      </c>
      <c r="Q74" s="105">
        <v>365</v>
      </c>
      <c r="R74" s="97">
        <f t="shared" si="4"/>
        <v>1</v>
      </c>
      <c r="S74" s="75">
        <f t="shared" si="5"/>
        <v>8259</v>
      </c>
      <c r="T74" s="125" t="s">
        <v>376</v>
      </c>
      <c r="U74" s="8">
        <v>43227</v>
      </c>
      <c r="V74" s="6" t="s">
        <v>36</v>
      </c>
      <c r="W74" s="6" t="s">
        <v>33</v>
      </c>
      <c r="X74" s="95">
        <v>43279</v>
      </c>
    </row>
    <row r="75" spans="1:24" x14ac:dyDescent="0.25">
      <c r="A75" s="101" t="s">
        <v>117</v>
      </c>
      <c r="B75" s="102" t="s">
        <v>145</v>
      </c>
      <c r="C75" s="101" t="s">
        <v>377</v>
      </c>
      <c r="D75" s="141">
        <v>12099595</v>
      </c>
      <c r="E75" s="6" t="s">
        <v>366</v>
      </c>
      <c r="F75" s="101" t="s">
        <v>62</v>
      </c>
      <c r="G75" s="101" t="s">
        <v>378</v>
      </c>
      <c r="H75" s="103">
        <v>43926</v>
      </c>
      <c r="I75" s="103">
        <v>43208</v>
      </c>
      <c r="J75" s="103">
        <v>43209</v>
      </c>
      <c r="K75" s="104">
        <v>43209</v>
      </c>
      <c r="L75" s="95" t="s">
        <v>31</v>
      </c>
      <c r="M75" s="103">
        <v>43213</v>
      </c>
      <c r="N75" s="103">
        <v>43243</v>
      </c>
      <c r="O75" s="103">
        <v>43222</v>
      </c>
      <c r="P75" s="101" t="s">
        <v>35</v>
      </c>
      <c r="Q75" s="105">
        <v>1095</v>
      </c>
      <c r="R75" s="97">
        <f t="shared" si="4"/>
        <v>3</v>
      </c>
      <c r="S75" s="75">
        <f t="shared" si="5"/>
        <v>24777</v>
      </c>
      <c r="T75" s="125" t="s">
        <v>379</v>
      </c>
      <c r="U75" s="8">
        <v>43251</v>
      </c>
      <c r="V75" s="100" t="s">
        <v>36</v>
      </c>
      <c r="W75" s="100" t="s">
        <v>33</v>
      </c>
      <c r="X75" s="104">
        <v>43085</v>
      </c>
    </row>
    <row r="76" spans="1:24" x14ac:dyDescent="0.25">
      <c r="A76" s="101" t="s">
        <v>117</v>
      </c>
      <c r="B76" s="102" t="s">
        <v>380</v>
      </c>
      <c r="C76" s="101" t="s">
        <v>381</v>
      </c>
      <c r="D76" s="141">
        <v>11099942</v>
      </c>
      <c r="E76" s="6" t="s">
        <v>382</v>
      </c>
      <c r="F76" s="101" t="s">
        <v>205</v>
      </c>
      <c r="G76" s="101" t="s">
        <v>383</v>
      </c>
      <c r="H76" s="103">
        <v>45124</v>
      </c>
      <c r="I76" s="104">
        <v>43208</v>
      </c>
      <c r="J76" s="104">
        <v>43208</v>
      </c>
      <c r="K76" s="104">
        <v>43208</v>
      </c>
      <c r="L76" s="95" t="s">
        <v>31</v>
      </c>
      <c r="M76" s="103">
        <v>43213</v>
      </c>
      <c r="N76" s="103">
        <v>43406</v>
      </c>
      <c r="O76" s="103">
        <v>43406</v>
      </c>
      <c r="P76" s="101" t="s">
        <v>69</v>
      </c>
      <c r="Q76" s="105"/>
      <c r="R76" s="97" t="str">
        <f t="shared" si="4"/>
        <v/>
      </c>
      <c r="S76" s="75" t="str">
        <f t="shared" si="5"/>
        <v/>
      </c>
      <c r="T76" s="125"/>
      <c r="U76" s="8">
        <v>43476</v>
      </c>
      <c r="W76" s="6" t="s">
        <v>84</v>
      </c>
      <c r="X76" s="95">
        <v>43361</v>
      </c>
    </row>
    <row r="77" spans="1:24" x14ac:dyDescent="0.25">
      <c r="A77" s="6" t="s">
        <v>117</v>
      </c>
      <c r="B77" s="94" t="s">
        <v>384</v>
      </c>
      <c r="C77" s="6" t="s">
        <v>385</v>
      </c>
      <c r="D77" s="140">
        <v>11030312</v>
      </c>
      <c r="E77" s="6" t="s">
        <v>386</v>
      </c>
      <c r="F77" s="6" t="s">
        <v>121</v>
      </c>
      <c r="G77" s="6" t="s">
        <v>387</v>
      </c>
      <c r="H77" s="8">
        <v>44590</v>
      </c>
      <c r="I77" s="7">
        <v>43210</v>
      </c>
      <c r="J77" s="7">
        <v>43210</v>
      </c>
      <c r="K77" s="7">
        <v>43210</v>
      </c>
      <c r="L77" s="95" t="s">
        <v>31</v>
      </c>
      <c r="M77" s="9">
        <v>43216</v>
      </c>
      <c r="N77" s="9">
        <v>43245</v>
      </c>
      <c r="O77" s="9">
        <v>43235</v>
      </c>
      <c r="P77" s="10" t="s">
        <v>35</v>
      </c>
      <c r="Q77" s="76">
        <v>485</v>
      </c>
      <c r="R77" s="97">
        <f t="shared" si="4"/>
        <v>1.3287671232876712</v>
      </c>
      <c r="S77" s="75">
        <f t="shared" si="5"/>
        <v>10974.287671232876</v>
      </c>
      <c r="T77" s="128"/>
      <c r="U77" s="8">
        <v>43263</v>
      </c>
      <c r="W77" s="6" t="s">
        <v>33</v>
      </c>
      <c r="X77" s="95">
        <v>42758</v>
      </c>
    </row>
    <row r="78" spans="1:24" x14ac:dyDescent="0.25">
      <c r="A78" s="6" t="s">
        <v>117</v>
      </c>
      <c r="B78" s="94" t="s">
        <v>388</v>
      </c>
      <c r="C78" s="6" t="s">
        <v>389</v>
      </c>
      <c r="D78" s="140">
        <v>12125255</v>
      </c>
      <c r="E78" s="107" t="s">
        <v>390</v>
      </c>
      <c r="F78" s="6" t="s">
        <v>121</v>
      </c>
      <c r="G78" s="6" t="s">
        <v>391</v>
      </c>
      <c r="H78" s="8">
        <v>43806</v>
      </c>
      <c r="I78" s="9">
        <v>43213</v>
      </c>
      <c r="J78" s="9">
        <v>43213</v>
      </c>
      <c r="K78" s="9">
        <v>43213</v>
      </c>
      <c r="L78" s="95" t="s">
        <v>31</v>
      </c>
      <c r="M78" s="9">
        <v>43213</v>
      </c>
      <c r="N78" s="9">
        <v>43255</v>
      </c>
      <c r="O78" s="9">
        <v>43251</v>
      </c>
      <c r="P78" s="10" t="s">
        <v>35</v>
      </c>
      <c r="Q78" s="76">
        <v>365</v>
      </c>
      <c r="R78" s="97">
        <f t="shared" si="4"/>
        <v>1</v>
      </c>
      <c r="S78" s="75">
        <f t="shared" si="5"/>
        <v>8259</v>
      </c>
      <c r="T78" s="128" t="s">
        <v>392</v>
      </c>
      <c r="U78" s="8">
        <v>43255</v>
      </c>
      <c r="V78" s="100" t="s">
        <v>36</v>
      </c>
      <c r="W78" s="100" t="s">
        <v>33</v>
      </c>
      <c r="X78" s="104">
        <v>43102</v>
      </c>
    </row>
    <row r="79" spans="1:24" x14ac:dyDescent="0.25">
      <c r="A79" s="6" t="s">
        <v>117</v>
      </c>
      <c r="B79" s="94" t="s">
        <v>393</v>
      </c>
      <c r="C79" s="6" t="s">
        <v>394</v>
      </c>
      <c r="D79" s="140">
        <v>10262739</v>
      </c>
      <c r="E79" s="6" t="s">
        <v>386</v>
      </c>
      <c r="F79" s="6" t="s">
        <v>121</v>
      </c>
      <c r="G79" s="6" t="s">
        <v>395</v>
      </c>
      <c r="H79" s="8">
        <v>43810</v>
      </c>
      <c r="I79" s="9">
        <v>43213</v>
      </c>
      <c r="J79" s="8">
        <v>43251</v>
      </c>
      <c r="K79" s="95">
        <v>43263</v>
      </c>
      <c r="L79" s="95" t="s">
        <v>31</v>
      </c>
      <c r="M79" s="8">
        <v>43266</v>
      </c>
      <c r="N79" s="8">
        <v>43262</v>
      </c>
      <c r="O79" s="8">
        <v>43252</v>
      </c>
      <c r="P79" s="6" t="s">
        <v>35</v>
      </c>
      <c r="Q79" s="96">
        <v>1095</v>
      </c>
      <c r="R79" s="97">
        <f t="shared" si="4"/>
        <v>3</v>
      </c>
      <c r="S79" s="75">
        <f t="shared" si="5"/>
        <v>24777</v>
      </c>
      <c r="T79" s="124" t="s">
        <v>396</v>
      </c>
      <c r="U79" s="8">
        <v>43263</v>
      </c>
      <c r="W79" s="6" t="s">
        <v>33</v>
      </c>
      <c r="X79" s="95">
        <v>41983</v>
      </c>
    </row>
    <row r="80" spans="1:24" x14ac:dyDescent="0.25">
      <c r="A80" s="101" t="s">
        <v>117</v>
      </c>
      <c r="B80" s="102" t="s">
        <v>397</v>
      </c>
      <c r="C80" s="101" t="s">
        <v>398</v>
      </c>
      <c r="D80" s="141">
        <v>11023410</v>
      </c>
      <c r="E80" s="6" t="s">
        <v>386</v>
      </c>
      <c r="F80" s="101" t="s">
        <v>121</v>
      </c>
      <c r="G80" s="101" t="s">
        <v>399</v>
      </c>
      <c r="H80" s="103">
        <v>43833</v>
      </c>
      <c r="I80" s="9">
        <v>43213</v>
      </c>
      <c r="J80" s="103">
        <v>43250</v>
      </c>
      <c r="K80" s="104">
        <v>43250</v>
      </c>
      <c r="L80" s="95" t="s">
        <v>31</v>
      </c>
      <c r="M80" s="103">
        <v>43213</v>
      </c>
      <c r="N80" s="103">
        <v>43249</v>
      </c>
      <c r="O80" s="103">
        <v>43231</v>
      </c>
      <c r="P80" s="101" t="s">
        <v>35</v>
      </c>
      <c r="Q80" s="105">
        <v>365</v>
      </c>
      <c r="R80" s="97">
        <f t="shared" si="4"/>
        <v>1</v>
      </c>
      <c r="S80" s="75">
        <f t="shared" si="5"/>
        <v>8259</v>
      </c>
      <c r="T80" s="125"/>
      <c r="U80" s="8">
        <v>43249</v>
      </c>
      <c r="W80" s="6" t="s">
        <v>33</v>
      </c>
      <c r="X80" s="95">
        <v>42536</v>
      </c>
    </row>
    <row r="81" spans="1:24" x14ac:dyDescent="0.25">
      <c r="A81" s="6" t="s">
        <v>117</v>
      </c>
      <c r="B81" s="94" t="s">
        <v>302</v>
      </c>
      <c r="C81" s="6" t="s">
        <v>303</v>
      </c>
      <c r="D81" s="140">
        <v>10262492</v>
      </c>
      <c r="E81" s="6" t="s">
        <v>386</v>
      </c>
      <c r="F81" s="6" t="s">
        <v>121</v>
      </c>
      <c r="G81" s="6" t="s">
        <v>305</v>
      </c>
      <c r="H81" s="8">
        <v>43938</v>
      </c>
      <c r="I81" s="9">
        <v>43213</v>
      </c>
      <c r="J81" s="9">
        <v>43250</v>
      </c>
      <c r="K81" s="7">
        <v>43250</v>
      </c>
      <c r="L81" s="95" t="s">
        <v>31</v>
      </c>
      <c r="M81" s="9">
        <v>43258</v>
      </c>
      <c r="N81" s="9">
        <v>43262</v>
      </c>
      <c r="O81" s="9">
        <v>43259</v>
      </c>
      <c r="P81" s="10" t="s">
        <v>35</v>
      </c>
      <c r="Q81" s="76">
        <v>320</v>
      </c>
      <c r="R81" s="97">
        <f t="shared" si="4"/>
        <v>0.87671232876712324</v>
      </c>
      <c r="S81" s="75">
        <f t="shared" si="5"/>
        <v>7240.767123287671</v>
      </c>
      <c r="T81" s="128" t="s">
        <v>400</v>
      </c>
      <c r="U81" s="8">
        <v>43263</v>
      </c>
      <c r="W81" s="6" t="s">
        <v>33</v>
      </c>
      <c r="X81" s="95">
        <v>42052</v>
      </c>
    </row>
    <row r="82" spans="1:24" ht="30" x14ac:dyDescent="0.25">
      <c r="A82" s="6" t="s">
        <v>117</v>
      </c>
      <c r="B82" s="94" t="s">
        <v>250</v>
      </c>
      <c r="C82" s="6" t="s">
        <v>401</v>
      </c>
      <c r="D82" s="140">
        <v>11970726</v>
      </c>
      <c r="E82" s="6" t="s">
        <v>73</v>
      </c>
      <c r="F82" s="6" t="s">
        <v>44</v>
      </c>
      <c r="G82" s="6" t="s">
        <v>402</v>
      </c>
      <c r="H82" s="8">
        <v>43845</v>
      </c>
      <c r="I82" s="9">
        <v>43243</v>
      </c>
      <c r="J82" s="8">
        <v>43251</v>
      </c>
      <c r="K82" s="95">
        <v>43263</v>
      </c>
      <c r="L82" s="95" t="s">
        <v>31</v>
      </c>
      <c r="M82" s="8">
        <v>43266</v>
      </c>
      <c r="N82" s="8">
        <v>43340</v>
      </c>
      <c r="O82" s="8">
        <v>43315</v>
      </c>
      <c r="P82" s="101" t="s">
        <v>52</v>
      </c>
      <c r="R82" s="97" t="str">
        <f t="shared" si="4"/>
        <v/>
      </c>
      <c r="S82" s="75" t="str">
        <f t="shared" si="5"/>
        <v/>
      </c>
      <c r="T82" s="124" t="s">
        <v>403</v>
      </c>
      <c r="U82" s="8">
        <v>43353</v>
      </c>
      <c r="V82" s="107"/>
      <c r="W82" s="107" t="s">
        <v>33</v>
      </c>
      <c r="X82" s="109">
        <v>41545</v>
      </c>
    </row>
    <row r="83" spans="1:24" x14ac:dyDescent="0.25">
      <c r="A83" s="101" t="s">
        <v>117</v>
      </c>
      <c r="B83" s="102" t="s">
        <v>145</v>
      </c>
      <c r="C83" s="101" t="s">
        <v>404</v>
      </c>
      <c r="D83" s="141">
        <v>11769978</v>
      </c>
      <c r="E83" s="101" t="s">
        <v>405</v>
      </c>
      <c r="F83" s="101" t="s">
        <v>44</v>
      </c>
      <c r="G83" s="101" t="s">
        <v>406</v>
      </c>
      <c r="H83" s="103">
        <v>45060</v>
      </c>
      <c r="I83" s="9">
        <v>43213</v>
      </c>
      <c r="J83" s="103">
        <v>43250</v>
      </c>
      <c r="K83" s="104">
        <v>43250</v>
      </c>
      <c r="L83" s="95" t="s">
        <v>31</v>
      </c>
      <c r="M83" s="103">
        <v>43257</v>
      </c>
      <c r="N83" s="103"/>
      <c r="O83" s="103"/>
      <c r="P83" s="101" t="s">
        <v>249</v>
      </c>
      <c r="Q83" s="105"/>
      <c r="R83" s="97" t="str">
        <f t="shared" si="4"/>
        <v/>
      </c>
      <c r="S83" s="75" t="str">
        <f t="shared" si="5"/>
        <v/>
      </c>
      <c r="T83" s="125" t="s">
        <v>407</v>
      </c>
      <c r="U83" s="8">
        <v>43257</v>
      </c>
      <c r="W83" s="6" t="s">
        <v>84</v>
      </c>
      <c r="X83" s="95">
        <v>50298</v>
      </c>
    </row>
    <row r="84" spans="1:24" x14ac:dyDescent="0.25">
      <c r="A84" s="6" t="s">
        <v>117</v>
      </c>
      <c r="B84" s="94" t="s">
        <v>86</v>
      </c>
      <c r="C84" s="6" t="s">
        <v>408</v>
      </c>
      <c r="D84" s="140">
        <v>11446248</v>
      </c>
      <c r="E84" s="6" t="s">
        <v>409</v>
      </c>
      <c r="F84" s="6" t="s">
        <v>309</v>
      </c>
      <c r="G84" s="6" t="s">
        <v>410</v>
      </c>
      <c r="H84" s="8">
        <v>44505</v>
      </c>
      <c r="I84" s="9">
        <v>43213</v>
      </c>
      <c r="J84" s="7">
        <v>43258</v>
      </c>
      <c r="K84" s="7">
        <v>43264</v>
      </c>
      <c r="L84" s="95" t="s">
        <v>31</v>
      </c>
      <c r="M84" s="9">
        <v>43264</v>
      </c>
      <c r="N84" s="9"/>
      <c r="O84" s="9"/>
      <c r="P84" s="10" t="s">
        <v>249</v>
      </c>
      <c r="Q84" s="76"/>
      <c r="R84" s="97" t="str">
        <f t="shared" si="4"/>
        <v/>
      </c>
      <c r="S84" s="75" t="str">
        <f t="shared" si="5"/>
        <v/>
      </c>
      <c r="T84" s="128" t="s">
        <v>407</v>
      </c>
      <c r="U84" s="8">
        <v>43264</v>
      </c>
      <c r="V84" s="6" t="s">
        <v>36</v>
      </c>
      <c r="W84" s="6" t="s">
        <v>84</v>
      </c>
      <c r="X84" s="95">
        <v>39376</v>
      </c>
    </row>
    <row r="85" spans="1:24" x14ac:dyDescent="0.25">
      <c r="A85" s="6" t="s">
        <v>168</v>
      </c>
      <c r="B85" s="94" t="s">
        <v>411</v>
      </c>
      <c r="C85" s="6" t="s">
        <v>412</v>
      </c>
      <c r="D85" s="140" t="s">
        <v>413</v>
      </c>
      <c r="E85" s="6" t="s">
        <v>414</v>
      </c>
      <c r="F85" s="10" t="s">
        <v>44</v>
      </c>
      <c r="G85" s="6" t="s">
        <v>415</v>
      </c>
      <c r="H85" s="8">
        <v>44430</v>
      </c>
      <c r="I85" s="8">
        <v>43503</v>
      </c>
      <c r="J85" s="8">
        <v>43516</v>
      </c>
      <c r="K85" s="95">
        <v>43516</v>
      </c>
      <c r="L85" s="95" t="s">
        <v>31</v>
      </c>
      <c r="M85" s="8">
        <v>43522</v>
      </c>
      <c r="N85" s="8">
        <v>43585</v>
      </c>
      <c r="O85" s="8">
        <v>43570</v>
      </c>
      <c r="P85" s="6" t="s">
        <v>75</v>
      </c>
      <c r="R85" s="97" t="str">
        <f t="shared" si="4"/>
        <v/>
      </c>
      <c r="S85" s="75" t="str">
        <f t="shared" si="5"/>
        <v/>
      </c>
      <c r="U85" s="8">
        <v>43601</v>
      </c>
      <c r="W85" s="6" t="s">
        <v>84</v>
      </c>
      <c r="X85" s="95">
        <v>38038</v>
      </c>
    </row>
    <row r="86" spans="1:24" x14ac:dyDescent="0.25">
      <c r="A86" s="6" t="s">
        <v>65</v>
      </c>
      <c r="B86" s="94" t="s">
        <v>416</v>
      </c>
      <c r="C86" s="6" t="s">
        <v>417</v>
      </c>
      <c r="D86" s="140">
        <v>11989368</v>
      </c>
      <c r="E86" s="6" t="s">
        <v>418</v>
      </c>
      <c r="F86" s="10" t="s">
        <v>44</v>
      </c>
      <c r="G86" s="6" t="s">
        <v>419</v>
      </c>
      <c r="H86" s="8">
        <v>44284</v>
      </c>
      <c r="I86" s="8">
        <v>43270</v>
      </c>
      <c r="J86" s="8">
        <v>43270</v>
      </c>
      <c r="K86" s="95">
        <v>43283</v>
      </c>
      <c r="L86" s="95" t="s">
        <v>31</v>
      </c>
      <c r="M86" s="8">
        <v>43291</v>
      </c>
      <c r="N86" s="8">
        <v>43327</v>
      </c>
      <c r="O86" s="8">
        <v>43318</v>
      </c>
      <c r="P86" s="101" t="s">
        <v>182</v>
      </c>
      <c r="R86" s="97" t="str">
        <f t="shared" si="4"/>
        <v/>
      </c>
      <c r="S86" s="75" t="str">
        <f t="shared" si="5"/>
        <v/>
      </c>
      <c r="U86" s="8">
        <v>43332</v>
      </c>
      <c r="W86" s="6" t="s">
        <v>33</v>
      </c>
      <c r="X86" s="95">
        <v>42882</v>
      </c>
    </row>
    <row r="87" spans="1:24" x14ac:dyDescent="0.25">
      <c r="A87" s="6" t="s">
        <v>65</v>
      </c>
      <c r="B87" s="94" t="s">
        <v>420</v>
      </c>
      <c r="C87" s="6" t="s">
        <v>421</v>
      </c>
      <c r="D87" s="140">
        <v>12155385</v>
      </c>
      <c r="E87" s="6" t="s">
        <v>339</v>
      </c>
      <c r="F87" s="10" t="s">
        <v>363</v>
      </c>
      <c r="G87" s="6">
        <v>1474371</v>
      </c>
      <c r="H87" s="8">
        <v>46322</v>
      </c>
      <c r="I87" s="8">
        <v>43273</v>
      </c>
      <c r="J87" s="8">
        <v>43273</v>
      </c>
      <c r="K87" s="95">
        <v>43292</v>
      </c>
      <c r="L87" s="95" t="s">
        <v>31</v>
      </c>
      <c r="M87" s="8">
        <v>43299</v>
      </c>
      <c r="N87" s="8">
        <v>43325</v>
      </c>
      <c r="O87" s="8">
        <v>43320</v>
      </c>
      <c r="P87" s="101" t="s">
        <v>52</v>
      </c>
      <c r="R87" s="97" t="str">
        <f t="shared" si="4"/>
        <v/>
      </c>
      <c r="S87" s="75" t="str">
        <f t="shared" si="5"/>
        <v/>
      </c>
      <c r="T87" s="124" t="s">
        <v>422</v>
      </c>
      <c r="U87" s="8">
        <v>43348</v>
      </c>
      <c r="W87" s="6" t="s">
        <v>33</v>
      </c>
      <c r="X87" s="95">
        <v>46881</v>
      </c>
    </row>
    <row r="88" spans="1:24" x14ac:dyDescent="0.25">
      <c r="A88" s="107" t="s">
        <v>85</v>
      </c>
      <c r="B88" s="106" t="s">
        <v>423</v>
      </c>
      <c r="C88" s="107" t="s">
        <v>424</v>
      </c>
      <c r="D88" s="142">
        <v>11303686</v>
      </c>
      <c r="E88" s="107" t="s">
        <v>224</v>
      </c>
      <c r="F88" s="107" t="s">
        <v>57</v>
      </c>
      <c r="G88" s="107" t="s">
        <v>425</v>
      </c>
      <c r="H88" s="108">
        <v>44888</v>
      </c>
      <c r="I88" s="108">
        <v>43236</v>
      </c>
      <c r="J88" s="108">
        <v>43236</v>
      </c>
      <c r="K88" s="109">
        <v>43236</v>
      </c>
      <c r="L88" s="109" t="s">
        <v>31</v>
      </c>
      <c r="M88" s="108">
        <v>43242</v>
      </c>
      <c r="N88" s="108">
        <v>43280</v>
      </c>
      <c r="O88" s="108">
        <v>43266</v>
      </c>
      <c r="P88" s="107" t="s">
        <v>35</v>
      </c>
      <c r="Q88" s="110">
        <v>790</v>
      </c>
      <c r="R88" s="97">
        <f t="shared" si="4"/>
        <v>2.1643835616438358</v>
      </c>
      <c r="S88" s="75">
        <f t="shared" si="5"/>
        <v>17875.64383561644</v>
      </c>
      <c r="T88" s="129"/>
      <c r="U88" s="108">
        <v>43284</v>
      </c>
      <c r="W88" s="6" t="s">
        <v>33</v>
      </c>
      <c r="X88" s="95">
        <v>55669</v>
      </c>
    </row>
    <row r="89" spans="1:24" x14ac:dyDescent="0.25">
      <c r="A89" s="6" t="s">
        <v>117</v>
      </c>
      <c r="B89" s="94" t="s">
        <v>426</v>
      </c>
      <c r="C89" s="6" t="s">
        <v>427</v>
      </c>
      <c r="D89" s="140">
        <v>11127378</v>
      </c>
      <c r="E89" s="6" t="s">
        <v>428</v>
      </c>
      <c r="F89" s="6" t="s">
        <v>309</v>
      </c>
      <c r="G89" s="6" t="s">
        <v>429</v>
      </c>
      <c r="H89" s="8">
        <v>48195</v>
      </c>
      <c r="I89" s="9">
        <v>43236</v>
      </c>
      <c r="J89" s="9">
        <v>43243</v>
      </c>
      <c r="K89" s="7">
        <v>43243</v>
      </c>
      <c r="L89" s="95" t="s">
        <v>31</v>
      </c>
      <c r="M89" s="9">
        <v>43251</v>
      </c>
      <c r="N89" s="9">
        <v>43308</v>
      </c>
      <c r="O89" s="9">
        <v>43300</v>
      </c>
      <c r="P89" s="10" t="s">
        <v>35</v>
      </c>
      <c r="Q89" s="76">
        <v>365</v>
      </c>
      <c r="R89" s="97">
        <f t="shared" si="4"/>
        <v>1</v>
      </c>
      <c r="S89" s="75">
        <f t="shared" si="5"/>
        <v>8259</v>
      </c>
      <c r="T89" s="128"/>
      <c r="U89" s="8">
        <v>43326</v>
      </c>
      <c r="W89" s="6" t="s">
        <v>33</v>
      </c>
      <c r="X89" s="95">
        <v>45273</v>
      </c>
    </row>
    <row r="90" spans="1:24" x14ac:dyDescent="0.25">
      <c r="A90" s="6" t="s">
        <v>117</v>
      </c>
      <c r="B90" s="94" t="s">
        <v>430</v>
      </c>
      <c r="C90" s="6" t="s">
        <v>431</v>
      </c>
      <c r="D90" s="140">
        <v>11779599</v>
      </c>
      <c r="E90" s="6" t="s">
        <v>428</v>
      </c>
      <c r="F90" s="6" t="s">
        <v>148</v>
      </c>
      <c r="G90" s="6" t="s">
        <v>432</v>
      </c>
      <c r="H90" s="8">
        <v>43762</v>
      </c>
      <c r="I90" s="9">
        <v>43236</v>
      </c>
      <c r="J90" s="9">
        <v>43236</v>
      </c>
      <c r="K90" s="7">
        <v>43236</v>
      </c>
      <c r="L90" s="95" t="s">
        <v>31</v>
      </c>
      <c r="M90" s="9">
        <v>43242</v>
      </c>
      <c r="N90" s="9">
        <v>43266</v>
      </c>
      <c r="O90" s="9">
        <v>43259</v>
      </c>
      <c r="P90" s="10" t="s">
        <v>35</v>
      </c>
      <c r="Q90" s="76">
        <v>365</v>
      </c>
      <c r="R90" s="97">
        <f t="shared" ref="R90:R153" si="6">IF(Q90&gt;0, Q90/365, "")</f>
        <v>1</v>
      </c>
      <c r="S90" s="75">
        <f t="shared" ref="S90:S153" si="7">IF(Q90&gt;0, SUM(Q90)*(8259/365), "")</f>
        <v>8259</v>
      </c>
      <c r="T90" s="128" t="s">
        <v>433</v>
      </c>
      <c r="U90" s="8">
        <v>43279</v>
      </c>
      <c r="W90" s="6" t="s">
        <v>84</v>
      </c>
      <c r="X90" s="95">
        <v>43491</v>
      </c>
    </row>
    <row r="91" spans="1:24" x14ac:dyDescent="0.25">
      <c r="A91" s="6" t="s">
        <v>117</v>
      </c>
      <c r="B91" s="94" t="s">
        <v>434</v>
      </c>
      <c r="C91" s="6" t="s">
        <v>435</v>
      </c>
      <c r="D91" s="140">
        <v>11059564</v>
      </c>
      <c r="E91" s="6" t="s">
        <v>436</v>
      </c>
      <c r="F91" s="6" t="s">
        <v>437</v>
      </c>
      <c r="G91" s="6" t="s">
        <v>438</v>
      </c>
      <c r="H91" s="8">
        <v>44186</v>
      </c>
      <c r="I91" s="9">
        <v>43236</v>
      </c>
      <c r="J91" s="9">
        <v>43250</v>
      </c>
      <c r="K91" s="7">
        <v>43250</v>
      </c>
      <c r="L91" s="95" t="s">
        <v>31</v>
      </c>
      <c r="M91" s="9">
        <v>43257</v>
      </c>
      <c r="N91" s="9">
        <v>43361</v>
      </c>
      <c r="O91" s="9">
        <v>43356</v>
      </c>
      <c r="P91" s="10" t="s">
        <v>35</v>
      </c>
      <c r="Q91" s="76">
        <v>730</v>
      </c>
      <c r="R91" s="97">
        <f t="shared" si="6"/>
        <v>2</v>
      </c>
      <c r="S91" s="75">
        <f t="shared" si="7"/>
        <v>16518</v>
      </c>
      <c r="T91" s="128" t="s">
        <v>439</v>
      </c>
      <c r="U91" s="8">
        <v>43362</v>
      </c>
      <c r="W91" s="6" t="s">
        <v>33</v>
      </c>
      <c r="X91" s="95">
        <v>43549</v>
      </c>
    </row>
    <row r="92" spans="1:24" x14ac:dyDescent="0.25">
      <c r="A92" s="6" t="s">
        <v>117</v>
      </c>
      <c r="B92" s="94" t="s">
        <v>440</v>
      </c>
      <c r="C92" s="6" t="s">
        <v>441</v>
      </c>
      <c r="D92" s="140">
        <v>11528292</v>
      </c>
      <c r="E92" s="6" t="s">
        <v>216</v>
      </c>
      <c r="F92" s="6" t="s">
        <v>442</v>
      </c>
      <c r="G92" s="6" t="s">
        <v>443</v>
      </c>
      <c r="H92" s="8">
        <v>44059</v>
      </c>
      <c r="I92" s="9">
        <v>43236</v>
      </c>
      <c r="J92" s="9">
        <v>43250</v>
      </c>
      <c r="K92" s="7">
        <v>43250</v>
      </c>
      <c r="L92" s="95" t="s">
        <v>31</v>
      </c>
      <c r="M92" s="9">
        <v>43257</v>
      </c>
      <c r="N92" s="9">
        <v>43314</v>
      </c>
      <c r="O92" s="9">
        <v>43312</v>
      </c>
      <c r="P92" s="10" t="s">
        <v>35</v>
      </c>
      <c r="Q92" s="76">
        <v>1095</v>
      </c>
      <c r="R92" s="97">
        <f t="shared" si="6"/>
        <v>3</v>
      </c>
      <c r="S92" s="75">
        <f t="shared" si="7"/>
        <v>24777</v>
      </c>
      <c r="T92" s="128"/>
      <c r="U92" s="8">
        <v>43332</v>
      </c>
      <c r="W92" s="6" t="s">
        <v>84</v>
      </c>
      <c r="X92" s="95">
        <v>36842</v>
      </c>
    </row>
    <row r="93" spans="1:24" x14ac:dyDescent="0.25">
      <c r="A93" s="6" t="s">
        <v>117</v>
      </c>
      <c r="B93" s="94" t="s">
        <v>444</v>
      </c>
      <c r="C93" s="6" t="s">
        <v>445</v>
      </c>
      <c r="D93" s="140">
        <v>11466205</v>
      </c>
      <c r="E93" s="6" t="s">
        <v>446</v>
      </c>
      <c r="F93" s="6" t="s">
        <v>44</v>
      </c>
      <c r="G93" s="6" t="s">
        <v>447</v>
      </c>
      <c r="H93" s="8">
        <v>44094</v>
      </c>
      <c r="I93" s="9">
        <v>43236</v>
      </c>
      <c r="J93" s="9">
        <v>43250</v>
      </c>
      <c r="K93" s="7">
        <v>43250</v>
      </c>
      <c r="L93" s="95" t="s">
        <v>31</v>
      </c>
      <c r="M93" s="9">
        <v>43257</v>
      </c>
      <c r="N93" s="9">
        <v>43272</v>
      </c>
      <c r="O93" s="9">
        <v>43269</v>
      </c>
      <c r="P93" s="10" t="s">
        <v>35</v>
      </c>
      <c r="Q93" s="76">
        <v>730</v>
      </c>
      <c r="R93" s="97">
        <f t="shared" si="6"/>
        <v>2</v>
      </c>
      <c r="S93" s="75">
        <f t="shared" si="7"/>
        <v>16518</v>
      </c>
      <c r="T93" s="128" t="s">
        <v>448</v>
      </c>
      <c r="U93" s="8">
        <v>43279</v>
      </c>
      <c r="V93" s="6" t="s">
        <v>350</v>
      </c>
      <c r="W93" s="6" t="s">
        <v>33</v>
      </c>
      <c r="X93" s="95">
        <v>39980</v>
      </c>
    </row>
    <row r="94" spans="1:24" x14ac:dyDescent="0.25">
      <c r="A94" s="107" t="s">
        <v>117</v>
      </c>
      <c r="B94" s="106" t="s">
        <v>449</v>
      </c>
      <c r="C94" s="107" t="s">
        <v>450</v>
      </c>
      <c r="D94" s="142">
        <v>11006149</v>
      </c>
      <c r="E94" s="107" t="s">
        <v>390</v>
      </c>
      <c r="F94" s="107" t="s">
        <v>121</v>
      </c>
      <c r="G94" s="107" t="s">
        <v>451</v>
      </c>
      <c r="H94" s="108">
        <v>44121</v>
      </c>
      <c r="I94" s="54">
        <v>43236</v>
      </c>
      <c r="J94" s="54">
        <v>43250</v>
      </c>
      <c r="K94" s="55">
        <v>43250</v>
      </c>
      <c r="L94" s="109" t="s">
        <v>31</v>
      </c>
      <c r="M94" s="54">
        <v>43258</v>
      </c>
      <c r="N94" s="54">
        <v>43284</v>
      </c>
      <c r="O94" s="54">
        <v>43271</v>
      </c>
      <c r="P94" s="56" t="s">
        <v>35</v>
      </c>
      <c r="Q94" s="77">
        <v>245</v>
      </c>
      <c r="R94" s="97">
        <f t="shared" si="6"/>
        <v>0.67123287671232879</v>
      </c>
      <c r="S94" s="75">
        <f t="shared" si="7"/>
        <v>5543.7123287671238</v>
      </c>
      <c r="T94" s="129" t="s">
        <v>452</v>
      </c>
      <c r="U94" s="108">
        <v>43284</v>
      </c>
      <c r="V94" s="6" t="s">
        <v>36</v>
      </c>
      <c r="W94" s="6" t="s">
        <v>33</v>
      </c>
      <c r="X94" s="95">
        <v>40754</v>
      </c>
    </row>
    <row r="95" spans="1:24" x14ac:dyDescent="0.25">
      <c r="A95" s="6" t="s">
        <v>117</v>
      </c>
      <c r="B95" s="94" t="s">
        <v>453</v>
      </c>
      <c r="C95" s="6" t="s">
        <v>454</v>
      </c>
      <c r="D95" s="140">
        <v>11742039</v>
      </c>
      <c r="E95" s="6" t="s">
        <v>61</v>
      </c>
      <c r="F95" s="6" t="s">
        <v>455</v>
      </c>
      <c r="G95" s="6" t="s">
        <v>456</v>
      </c>
      <c r="H95" s="8">
        <v>44198</v>
      </c>
      <c r="I95" s="9">
        <v>43236</v>
      </c>
      <c r="J95" s="9">
        <v>43250</v>
      </c>
      <c r="K95" s="7">
        <v>43250</v>
      </c>
      <c r="L95" s="95" t="s">
        <v>31</v>
      </c>
      <c r="M95" s="9">
        <v>43257</v>
      </c>
      <c r="N95" s="9">
        <v>43433</v>
      </c>
      <c r="O95" s="9">
        <v>43425</v>
      </c>
      <c r="P95" s="10" t="s">
        <v>35</v>
      </c>
      <c r="Q95" s="76">
        <v>730</v>
      </c>
      <c r="R95" s="97">
        <f t="shared" si="6"/>
        <v>2</v>
      </c>
      <c r="S95" s="75">
        <f t="shared" si="7"/>
        <v>16518</v>
      </c>
      <c r="T95" s="124" t="s">
        <v>457</v>
      </c>
      <c r="U95" s="8">
        <v>43437</v>
      </c>
      <c r="W95" s="6" t="s">
        <v>84</v>
      </c>
      <c r="X95" s="95">
        <v>42979</v>
      </c>
    </row>
    <row r="96" spans="1:24" x14ac:dyDescent="0.25">
      <c r="A96" s="6" t="s">
        <v>117</v>
      </c>
      <c r="B96" s="94" t="s">
        <v>458</v>
      </c>
      <c r="C96" s="6" t="s">
        <v>459</v>
      </c>
      <c r="D96" s="140">
        <v>11695467</v>
      </c>
      <c r="E96" s="6" t="s">
        <v>460</v>
      </c>
      <c r="F96" s="6" t="s">
        <v>205</v>
      </c>
      <c r="G96" s="6" t="s">
        <v>461</v>
      </c>
      <c r="H96" s="8">
        <v>44264</v>
      </c>
      <c r="I96" s="9">
        <v>43236</v>
      </c>
      <c r="J96" s="9">
        <v>43236</v>
      </c>
      <c r="K96" s="7">
        <v>43236</v>
      </c>
      <c r="L96" s="95" t="s">
        <v>31</v>
      </c>
      <c r="M96" s="9">
        <v>43265</v>
      </c>
      <c r="N96" s="9">
        <v>43320</v>
      </c>
      <c r="O96" s="9">
        <v>43290</v>
      </c>
      <c r="P96" s="56" t="s">
        <v>35</v>
      </c>
      <c r="Q96" s="76">
        <v>730</v>
      </c>
      <c r="R96" s="97">
        <f t="shared" si="6"/>
        <v>2</v>
      </c>
      <c r="S96" s="75">
        <f t="shared" si="7"/>
        <v>16518</v>
      </c>
      <c r="T96" s="128" t="s">
        <v>462</v>
      </c>
      <c r="U96" s="8">
        <v>43332</v>
      </c>
      <c r="V96" s="6" t="s">
        <v>36</v>
      </c>
      <c r="W96" s="6" t="s">
        <v>33</v>
      </c>
      <c r="X96" s="95">
        <v>40181</v>
      </c>
    </row>
    <row r="97" spans="1:24" x14ac:dyDescent="0.25">
      <c r="A97" s="6" t="s">
        <v>117</v>
      </c>
      <c r="B97" s="94" t="s">
        <v>136</v>
      </c>
      <c r="C97" s="6" t="s">
        <v>463</v>
      </c>
      <c r="D97" s="140">
        <v>11724511</v>
      </c>
      <c r="E97" s="6" t="s">
        <v>464</v>
      </c>
      <c r="F97" s="6" t="s">
        <v>455</v>
      </c>
      <c r="G97" s="6" t="s">
        <v>465</v>
      </c>
      <c r="H97" s="8">
        <v>44502</v>
      </c>
      <c r="I97" s="9">
        <v>43236</v>
      </c>
      <c r="J97" s="9">
        <v>43250</v>
      </c>
      <c r="K97" s="7">
        <v>43250</v>
      </c>
      <c r="L97" s="95" t="s">
        <v>31</v>
      </c>
      <c r="M97" s="9">
        <v>43258</v>
      </c>
      <c r="N97" s="9">
        <v>43433</v>
      </c>
      <c r="O97" s="9">
        <v>43420</v>
      </c>
      <c r="P97" s="10" t="s">
        <v>90</v>
      </c>
      <c r="Q97" s="76">
        <v>2191</v>
      </c>
      <c r="R97" s="97">
        <f t="shared" si="6"/>
        <v>6.0027397260273974</v>
      </c>
      <c r="S97" s="75">
        <f t="shared" si="7"/>
        <v>49576.627397260272</v>
      </c>
      <c r="T97" s="124" t="s">
        <v>466</v>
      </c>
      <c r="U97" s="8">
        <v>43437</v>
      </c>
      <c r="V97" s="6" t="s">
        <v>36</v>
      </c>
      <c r="W97" s="6" t="s">
        <v>33</v>
      </c>
      <c r="X97" s="95">
        <v>46214</v>
      </c>
    </row>
    <row r="98" spans="1:24" x14ac:dyDescent="0.25">
      <c r="A98" s="6" t="s">
        <v>117</v>
      </c>
      <c r="B98" s="94" t="s">
        <v>467</v>
      </c>
      <c r="C98" s="6" t="s">
        <v>468</v>
      </c>
      <c r="D98" s="140">
        <v>11784699</v>
      </c>
      <c r="E98" s="6" t="s">
        <v>386</v>
      </c>
      <c r="F98" s="6" t="s">
        <v>309</v>
      </c>
      <c r="G98" s="6" t="s">
        <v>469</v>
      </c>
      <c r="H98" s="8">
        <v>44643</v>
      </c>
      <c r="I98" s="9">
        <v>43236</v>
      </c>
      <c r="J98" s="8">
        <v>43251</v>
      </c>
      <c r="K98" s="95">
        <v>43258</v>
      </c>
      <c r="L98" s="95" t="s">
        <v>31</v>
      </c>
      <c r="M98" s="8">
        <v>43258</v>
      </c>
      <c r="N98" s="8">
        <v>43322</v>
      </c>
      <c r="O98" s="8">
        <v>43322</v>
      </c>
      <c r="P98" s="6" t="s">
        <v>35</v>
      </c>
      <c r="Q98" s="96">
        <v>365</v>
      </c>
      <c r="R98" s="97">
        <f t="shared" si="6"/>
        <v>1</v>
      </c>
      <c r="S98" s="75">
        <f t="shared" si="7"/>
        <v>8259</v>
      </c>
      <c r="U98" s="8">
        <v>43332</v>
      </c>
      <c r="W98" s="6" t="s">
        <v>33</v>
      </c>
      <c r="X98" s="95">
        <v>39926</v>
      </c>
    </row>
    <row r="99" spans="1:24" x14ac:dyDescent="0.25">
      <c r="A99" s="6" t="s">
        <v>117</v>
      </c>
      <c r="B99" s="94" t="s">
        <v>470</v>
      </c>
      <c r="C99" s="6" t="s">
        <v>471</v>
      </c>
      <c r="D99" s="140">
        <v>11269127</v>
      </c>
      <c r="E99" s="6" t="s">
        <v>472</v>
      </c>
      <c r="F99" s="6" t="s">
        <v>309</v>
      </c>
      <c r="G99" s="6" t="s">
        <v>473</v>
      </c>
      <c r="H99" s="8">
        <v>44384</v>
      </c>
      <c r="I99" s="9">
        <v>43236</v>
      </c>
      <c r="J99" s="8">
        <v>43251</v>
      </c>
      <c r="K99" s="95">
        <v>43258</v>
      </c>
      <c r="L99" s="95" t="s">
        <v>31</v>
      </c>
      <c r="M99" s="8">
        <v>43258</v>
      </c>
      <c r="N99" s="8">
        <v>43360</v>
      </c>
      <c r="O99" s="8">
        <v>43356</v>
      </c>
      <c r="P99" s="6" t="s">
        <v>35</v>
      </c>
      <c r="Q99" s="96">
        <v>1461</v>
      </c>
      <c r="R99" s="97">
        <f t="shared" si="6"/>
        <v>4.0027397260273974</v>
      </c>
      <c r="S99" s="75">
        <f t="shared" si="7"/>
        <v>33058.627397260272</v>
      </c>
      <c r="T99" s="124" t="s">
        <v>474</v>
      </c>
      <c r="U99" s="8">
        <v>43360</v>
      </c>
      <c r="W99" s="6" t="s">
        <v>84</v>
      </c>
      <c r="X99" s="95">
        <v>44024</v>
      </c>
    </row>
    <row r="100" spans="1:24" x14ac:dyDescent="0.25">
      <c r="A100" s="107" t="s">
        <v>117</v>
      </c>
      <c r="B100" s="106" t="s">
        <v>475</v>
      </c>
      <c r="C100" s="107" t="s">
        <v>476</v>
      </c>
      <c r="D100" s="142">
        <v>11688478</v>
      </c>
      <c r="E100" s="107" t="s">
        <v>73</v>
      </c>
      <c r="F100" s="107" t="s">
        <v>309</v>
      </c>
      <c r="G100" s="107" t="s">
        <v>477</v>
      </c>
      <c r="H100" s="108">
        <v>44453</v>
      </c>
      <c r="I100" s="54">
        <v>43236</v>
      </c>
      <c r="J100" s="108">
        <v>43251</v>
      </c>
      <c r="K100" s="109">
        <v>43258</v>
      </c>
      <c r="L100" s="109" t="s">
        <v>31</v>
      </c>
      <c r="M100" s="108">
        <v>43258</v>
      </c>
      <c r="N100" s="108">
        <v>43284</v>
      </c>
      <c r="O100" s="108">
        <v>43258</v>
      </c>
      <c r="P100" s="107" t="s">
        <v>35</v>
      </c>
      <c r="Q100" s="110">
        <v>730</v>
      </c>
      <c r="R100" s="97">
        <f t="shared" si="6"/>
        <v>2</v>
      </c>
      <c r="S100" s="75">
        <f t="shared" si="7"/>
        <v>16518</v>
      </c>
      <c r="T100" s="129"/>
      <c r="U100" s="108">
        <v>43284</v>
      </c>
      <c r="W100" s="6" t="s">
        <v>84</v>
      </c>
      <c r="X100" s="95">
        <v>46749</v>
      </c>
    </row>
    <row r="101" spans="1:24" x14ac:dyDescent="0.25">
      <c r="A101" s="107" t="s">
        <v>117</v>
      </c>
      <c r="B101" s="106" t="s">
        <v>478</v>
      </c>
      <c r="C101" s="107" t="s">
        <v>479</v>
      </c>
      <c r="D101" s="142">
        <v>11576168</v>
      </c>
      <c r="E101" s="107" t="s">
        <v>480</v>
      </c>
      <c r="F101" s="107" t="s">
        <v>309</v>
      </c>
      <c r="G101" s="107" t="s">
        <v>481</v>
      </c>
      <c r="H101" s="108">
        <v>44645</v>
      </c>
      <c r="I101" s="54">
        <v>43236</v>
      </c>
      <c r="J101" s="54">
        <v>43256</v>
      </c>
      <c r="K101" s="54">
        <v>43256</v>
      </c>
      <c r="L101" s="109" t="s">
        <v>31</v>
      </c>
      <c r="M101" s="54">
        <v>43256</v>
      </c>
      <c r="N101" s="54">
        <v>43284</v>
      </c>
      <c r="O101" s="54">
        <v>43280</v>
      </c>
      <c r="P101" s="56" t="s">
        <v>35</v>
      </c>
      <c r="Q101" s="77">
        <v>730</v>
      </c>
      <c r="R101" s="97">
        <f t="shared" si="6"/>
        <v>2</v>
      </c>
      <c r="S101" s="75">
        <f t="shared" si="7"/>
        <v>16518</v>
      </c>
      <c r="T101" s="129"/>
      <c r="U101" s="108">
        <v>43284</v>
      </c>
      <c r="W101" s="6" t="s">
        <v>33</v>
      </c>
      <c r="X101" s="95">
        <v>43853</v>
      </c>
    </row>
    <row r="102" spans="1:24" x14ac:dyDescent="0.25">
      <c r="A102" s="107" t="s">
        <v>117</v>
      </c>
      <c r="B102" s="106" t="s">
        <v>482</v>
      </c>
      <c r="C102" s="107" t="s">
        <v>483</v>
      </c>
      <c r="D102" s="142">
        <v>11886812</v>
      </c>
      <c r="E102" s="107" t="s">
        <v>480</v>
      </c>
      <c r="F102" s="107" t="s">
        <v>309</v>
      </c>
      <c r="G102" s="107" t="s">
        <v>484</v>
      </c>
      <c r="H102" s="108">
        <v>45822</v>
      </c>
      <c r="I102" s="54">
        <v>43236</v>
      </c>
      <c r="J102" s="108">
        <v>43251</v>
      </c>
      <c r="K102" s="109">
        <v>43258</v>
      </c>
      <c r="L102" s="109" t="s">
        <v>31</v>
      </c>
      <c r="M102" s="108">
        <v>43258</v>
      </c>
      <c r="N102" s="108">
        <v>43284</v>
      </c>
      <c r="O102" s="108">
        <v>43265</v>
      </c>
      <c r="P102" s="107" t="s">
        <v>35</v>
      </c>
      <c r="Q102" s="110">
        <v>365</v>
      </c>
      <c r="R102" s="97">
        <f t="shared" si="6"/>
        <v>1</v>
      </c>
      <c r="S102" s="75">
        <f t="shared" si="7"/>
        <v>8259</v>
      </c>
      <c r="T102" s="129"/>
      <c r="U102" s="108">
        <v>43284</v>
      </c>
      <c r="W102" s="6" t="s">
        <v>33</v>
      </c>
      <c r="X102" s="95">
        <v>45584</v>
      </c>
    </row>
    <row r="103" spans="1:24" x14ac:dyDescent="0.25">
      <c r="A103" s="6" t="s">
        <v>117</v>
      </c>
      <c r="B103" s="94" t="s">
        <v>485</v>
      </c>
      <c r="C103" s="6" t="s">
        <v>486</v>
      </c>
      <c r="D103" s="140">
        <v>11858421</v>
      </c>
      <c r="E103" s="6" t="s">
        <v>209</v>
      </c>
      <c r="F103" s="6" t="s">
        <v>309</v>
      </c>
      <c r="G103" s="6" t="s">
        <v>487</v>
      </c>
      <c r="H103" s="8">
        <v>45860</v>
      </c>
      <c r="I103" s="9">
        <v>43236</v>
      </c>
      <c r="J103" s="8">
        <v>43251</v>
      </c>
      <c r="K103" s="95">
        <v>43258</v>
      </c>
      <c r="L103" s="95" t="s">
        <v>31</v>
      </c>
      <c r="M103" s="8">
        <v>43258</v>
      </c>
      <c r="N103" s="8">
        <v>43306</v>
      </c>
      <c r="O103" s="8">
        <v>43291</v>
      </c>
      <c r="P103" s="6" t="s">
        <v>35</v>
      </c>
      <c r="Q103" s="96">
        <v>730</v>
      </c>
      <c r="R103" s="97">
        <f t="shared" si="6"/>
        <v>2</v>
      </c>
      <c r="S103" s="75">
        <f t="shared" si="7"/>
        <v>16518</v>
      </c>
      <c r="U103" s="8">
        <v>43332</v>
      </c>
      <c r="W103" s="6" t="s">
        <v>33</v>
      </c>
      <c r="X103" s="95">
        <v>41189</v>
      </c>
    </row>
    <row r="104" spans="1:24" x14ac:dyDescent="0.25">
      <c r="A104" s="6" t="s">
        <v>117</v>
      </c>
      <c r="B104" s="94" t="s">
        <v>488</v>
      </c>
      <c r="C104" s="6" t="s">
        <v>489</v>
      </c>
      <c r="D104" s="140">
        <v>11846146</v>
      </c>
      <c r="E104" s="6" t="s">
        <v>490</v>
      </c>
      <c r="F104" s="6" t="s">
        <v>309</v>
      </c>
      <c r="G104" s="6" t="s">
        <v>491</v>
      </c>
      <c r="H104" s="8">
        <v>45938</v>
      </c>
      <c r="I104" s="9">
        <v>43236</v>
      </c>
      <c r="J104" s="9">
        <v>43242</v>
      </c>
      <c r="K104" s="7">
        <v>43250</v>
      </c>
      <c r="L104" s="95" t="s">
        <v>31</v>
      </c>
      <c r="M104" s="9">
        <v>43258</v>
      </c>
      <c r="N104" s="9">
        <v>43364</v>
      </c>
      <c r="O104" s="9">
        <v>43342</v>
      </c>
      <c r="P104" s="10" t="s">
        <v>35</v>
      </c>
      <c r="Q104" s="76">
        <v>730</v>
      </c>
      <c r="R104" s="97">
        <f t="shared" si="6"/>
        <v>2</v>
      </c>
      <c r="S104" s="75">
        <f t="shared" si="7"/>
        <v>16518</v>
      </c>
      <c r="T104" s="128" t="s">
        <v>439</v>
      </c>
      <c r="U104" s="8">
        <v>43364</v>
      </c>
      <c r="W104" s="6" t="s">
        <v>84</v>
      </c>
      <c r="X104" s="95">
        <v>44534</v>
      </c>
    </row>
    <row r="105" spans="1:24" x14ac:dyDescent="0.25">
      <c r="A105" s="6" t="s">
        <v>117</v>
      </c>
      <c r="B105" s="94" t="s">
        <v>492</v>
      </c>
      <c r="C105" s="6" t="s">
        <v>493</v>
      </c>
      <c r="D105" s="140">
        <v>11738565</v>
      </c>
      <c r="E105" s="6" t="s">
        <v>289</v>
      </c>
      <c r="F105" s="6" t="s">
        <v>309</v>
      </c>
      <c r="G105" s="6" t="s">
        <v>494</v>
      </c>
      <c r="H105" s="8">
        <v>43809</v>
      </c>
      <c r="I105" s="9">
        <v>43236</v>
      </c>
      <c r="J105" s="9">
        <v>43243</v>
      </c>
      <c r="K105" s="7">
        <v>43243</v>
      </c>
      <c r="L105" s="95" t="s">
        <v>31</v>
      </c>
      <c r="M105" s="9">
        <v>43251</v>
      </c>
      <c r="N105" s="9">
        <v>43327</v>
      </c>
      <c r="O105" s="9">
        <v>43434</v>
      </c>
      <c r="P105" s="10" t="s">
        <v>35</v>
      </c>
      <c r="Q105" s="76">
        <v>1461</v>
      </c>
      <c r="R105" s="97">
        <f t="shared" si="6"/>
        <v>4.0027397260273974</v>
      </c>
      <c r="S105" s="75">
        <f t="shared" si="7"/>
        <v>33058.627397260272</v>
      </c>
      <c r="T105" s="128" t="s">
        <v>495</v>
      </c>
      <c r="U105" s="8">
        <v>43476</v>
      </c>
      <c r="W105" s="6" t="s">
        <v>84</v>
      </c>
      <c r="X105" s="95">
        <v>43027</v>
      </c>
    </row>
    <row r="106" spans="1:24" x14ac:dyDescent="0.25">
      <c r="A106" s="107" t="s">
        <v>85</v>
      </c>
      <c r="B106" s="106" t="s">
        <v>496</v>
      </c>
      <c r="C106" s="107" t="s">
        <v>497</v>
      </c>
      <c r="D106" s="142">
        <v>12118218</v>
      </c>
      <c r="E106" s="107" t="s">
        <v>498</v>
      </c>
      <c r="F106" s="107" t="s">
        <v>44</v>
      </c>
      <c r="G106" s="107" t="s">
        <v>499</v>
      </c>
      <c r="H106" s="108">
        <v>44802</v>
      </c>
      <c r="I106" s="108">
        <v>43236</v>
      </c>
      <c r="J106" s="108">
        <v>43236</v>
      </c>
      <c r="K106" s="109">
        <v>43236</v>
      </c>
      <c r="L106" s="109" t="s">
        <v>31</v>
      </c>
      <c r="M106" s="108">
        <v>43242</v>
      </c>
      <c r="N106" s="108">
        <v>43347</v>
      </c>
      <c r="O106" s="108">
        <v>43341</v>
      </c>
      <c r="P106" s="107" t="s">
        <v>69</v>
      </c>
      <c r="Q106" s="110"/>
      <c r="R106" s="97" t="str">
        <f t="shared" si="6"/>
        <v/>
      </c>
      <c r="S106" s="75" t="str">
        <f t="shared" si="7"/>
        <v/>
      </c>
      <c r="T106" s="129"/>
      <c r="U106" s="108">
        <v>43353</v>
      </c>
      <c r="W106" s="6" t="s">
        <v>33</v>
      </c>
      <c r="X106" s="95">
        <v>52917</v>
      </c>
    </row>
    <row r="107" spans="1:24" x14ac:dyDescent="0.25">
      <c r="A107" s="101" t="s">
        <v>117</v>
      </c>
      <c r="B107" s="102" t="s">
        <v>500</v>
      </c>
      <c r="C107" s="101" t="s">
        <v>501</v>
      </c>
      <c r="D107" s="141">
        <v>11426958</v>
      </c>
      <c r="E107" s="101" t="s">
        <v>464</v>
      </c>
      <c r="F107" s="101" t="s">
        <v>205</v>
      </c>
      <c r="G107" s="101">
        <v>79231</v>
      </c>
      <c r="H107" s="103">
        <v>44134</v>
      </c>
      <c r="I107" s="41">
        <v>43236</v>
      </c>
      <c r="J107" s="41">
        <v>43236</v>
      </c>
      <c r="K107" s="13">
        <v>43236</v>
      </c>
      <c r="L107" s="95" t="s">
        <v>31</v>
      </c>
      <c r="M107" s="41">
        <v>43251</v>
      </c>
      <c r="N107" s="41"/>
      <c r="O107" s="41"/>
      <c r="P107" s="42" t="s">
        <v>249</v>
      </c>
      <c r="Q107" s="78"/>
      <c r="R107" s="97" t="str">
        <f t="shared" si="6"/>
        <v/>
      </c>
      <c r="S107" s="75" t="str">
        <f t="shared" si="7"/>
        <v/>
      </c>
      <c r="T107" s="130" t="s">
        <v>407</v>
      </c>
      <c r="U107" s="8">
        <v>43251</v>
      </c>
      <c r="W107" s="6" t="s">
        <v>84</v>
      </c>
      <c r="X107" s="95">
        <v>38932</v>
      </c>
    </row>
    <row r="108" spans="1:24" x14ac:dyDescent="0.25">
      <c r="A108" s="6" t="s">
        <v>117</v>
      </c>
      <c r="B108" s="94" t="s">
        <v>502</v>
      </c>
      <c r="C108" s="6" t="s">
        <v>503</v>
      </c>
      <c r="D108" s="140">
        <v>11823875</v>
      </c>
      <c r="E108" s="6" t="s">
        <v>460</v>
      </c>
      <c r="F108" s="6" t="s">
        <v>44</v>
      </c>
      <c r="G108" s="6" t="s">
        <v>504</v>
      </c>
      <c r="H108" s="8">
        <v>45807</v>
      </c>
      <c r="I108" s="9">
        <v>43236</v>
      </c>
      <c r="J108" s="7">
        <v>43215</v>
      </c>
      <c r="K108" s="7">
        <v>43271</v>
      </c>
      <c r="L108" s="95" t="s">
        <v>31</v>
      </c>
      <c r="M108" s="95">
        <v>43271</v>
      </c>
      <c r="N108" s="9"/>
      <c r="O108" s="9"/>
      <c r="P108" s="10" t="s">
        <v>249</v>
      </c>
      <c r="Q108" s="76"/>
      <c r="R108" s="97" t="str">
        <f t="shared" si="6"/>
        <v/>
      </c>
      <c r="S108" s="75" t="str">
        <f t="shared" si="7"/>
        <v/>
      </c>
      <c r="T108" s="128" t="s">
        <v>407</v>
      </c>
      <c r="U108" s="8">
        <v>43271</v>
      </c>
      <c r="W108" s="6" t="s">
        <v>84</v>
      </c>
      <c r="X108" s="95">
        <v>44386</v>
      </c>
    </row>
    <row r="109" spans="1:24" x14ac:dyDescent="0.25">
      <c r="A109" s="6" t="s">
        <v>65</v>
      </c>
      <c r="B109" s="94" t="s">
        <v>505</v>
      </c>
      <c r="C109" s="6" t="s">
        <v>506</v>
      </c>
      <c r="D109" s="140">
        <v>11313701</v>
      </c>
      <c r="E109" s="6" t="s">
        <v>256</v>
      </c>
      <c r="F109" s="6" t="s">
        <v>44</v>
      </c>
      <c r="G109" s="6" t="s">
        <v>507</v>
      </c>
      <c r="H109" s="8">
        <v>45440</v>
      </c>
      <c r="I109" s="8">
        <v>43272</v>
      </c>
      <c r="J109" s="8">
        <v>43272</v>
      </c>
      <c r="K109" s="95">
        <v>43283</v>
      </c>
      <c r="L109" s="95" t="s">
        <v>31</v>
      </c>
      <c r="M109" s="8">
        <v>43291</v>
      </c>
      <c r="N109" s="8">
        <v>43321</v>
      </c>
      <c r="O109" s="8">
        <v>43321</v>
      </c>
      <c r="P109" s="101" t="s">
        <v>182</v>
      </c>
      <c r="R109" s="97" t="str">
        <f t="shared" si="6"/>
        <v/>
      </c>
      <c r="S109" s="75" t="str">
        <f t="shared" si="7"/>
        <v/>
      </c>
      <c r="T109" s="124" t="s">
        <v>508</v>
      </c>
      <c r="U109" s="8">
        <v>43327</v>
      </c>
      <c r="W109" s="6" t="s">
        <v>33</v>
      </c>
      <c r="X109" s="95">
        <v>56169</v>
      </c>
    </row>
    <row r="110" spans="1:24" x14ac:dyDescent="0.25">
      <c r="A110" s="6" t="s">
        <v>117</v>
      </c>
      <c r="B110" s="94" t="s">
        <v>509</v>
      </c>
      <c r="C110" s="6" t="s">
        <v>510</v>
      </c>
      <c r="D110" s="140">
        <v>11026881</v>
      </c>
      <c r="E110" s="6" t="s">
        <v>386</v>
      </c>
      <c r="F110" s="6" t="s">
        <v>121</v>
      </c>
      <c r="G110" s="6" t="s">
        <v>511</v>
      </c>
      <c r="H110" s="8">
        <v>43939</v>
      </c>
      <c r="I110" s="9">
        <v>43243</v>
      </c>
      <c r="J110" s="8">
        <v>43251</v>
      </c>
      <c r="K110" s="95">
        <v>43263</v>
      </c>
      <c r="L110" s="95" t="s">
        <v>31</v>
      </c>
      <c r="M110" s="8">
        <v>43266</v>
      </c>
      <c r="N110" s="8">
        <v>43460</v>
      </c>
      <c r="O110" s="8">
        <v>43325</v>
      </c>
      <c r="P110" s="101" t="s">
        <v>182</v>
      </c>
      <c r="R110" s="97" t="str">
        <f t="shared" si="6"/>
        <v/>
      </c>
      <c r="S110" s="75" t="str">
        <f t="shared" si="7"/>
        <v/>
      </c>
      <c r="U110" s="8">
        <v>43460</v>
      </c>
      <c r="W110" s="6" t="s">
        <v>33</v>
      </c>
      <c r="X110" s="95">
        <v>43118</v>
      </c>
    </row>
    <row r="111" spans="1:24" x14ac:dyDescent="0.25">
      <c r="A111" s="6" t="s">
        <v>85</v>
      </c>
      <c r="B111" s="94" t="s">
        <v>512</v>
      </c>
      <c r="C111" s="6" t="s">
        <v>513</v>
      </c>
      <c r="D111" s="140">
        <v>11308933</v>
      </c>
      <c r="E111" s="6" t="s">
        <v>514</v>
      </c>
      <c r="F111" s="6" t="s">
        <v>57</v>
      </c>
      <c r="G111" s="6" t="s">
        <v>515</v>
      </c>
      <c r="H111" s="8">
        <v>46088</v>
      </c>
      <c r="I111" s="8">
        <v>43236</v>
      </c>
      <c r="J111" s="8">
        <v>43236</v>
      </c>
      <c r="K111" s="95">
        <v>43236</v>
      </c>
      <c r="L111" s="95" t="s">
        <v>31</v>
      </c>
      <c r="M111" s="8">
        <v>43241</v>
      </c>
      <c r="N111" s="8">
        <v>43864</v>
      </c>
      <c r="O111" s="8">
        <v>43861</v>
      </c>
      <c r="P111" s="6" t="s">
        <v>90</v>
      </c>
      <c r="Q111" s="96">
        <v>2922</v>
      </c>
      <c r="R111" s="97">
        <f t="shared" si="6"/>
        <v>8.0054794520547947</v>
      </c>
      <c r="S111" s="75">
        <f t="shared" si="7"/>
        <v>66117.254794520544</v>
      </c>
      <c r="T111" s="124" t="s">
        <v>516</v>
      </c>
      <c r="U111" s="8">
        <v>43864</v>
      </c>
      <c r="V111" s="6" t="s">
        <v>36</v>
      </c>
      <c r="W111" s="6" t="s">
        <v>33</v>
      </c>
      <c r="X111" s="95">
        <v>45025</v>
      </c>
    </row>
    <row r="112" spans="1:24" s="99" customFormat="1" x14ac:dyDescent="0.25">
      <c r="A112" s="6" t="s">
        <v>117</v>
      </c>
      <c r="B112" s="94" t="s">
        <v>517</v>
      </c>
      <c r="C112" s="6" t="s">
        <v>518</v>
      </c>
      <c r="D112" s="140">
        <v>11551415</v>
      </c>
      <c r="E112" s="6" t="s">
        <v>519</v>
      </c>
      <c r="F112" s="6" t="s">
        <v>309</v>
      </c>
      <c r="G112" s="6" t="s">
        <v>520</v>
      </c>
      <c r="H112" s="8">
        <v>43743</v>
      </c>
      <c r="I112" s="9">
        <v>43236</v>
      </c>
      <c r="J112" s="9">
        <v>43243</v>
      </c>
      <c r="K112" s="7">
        <v>43243</v>
      </c>
      <c r="L112" s="95" t="s">
        <v>31</v>
      </c>
      <c r="M112" s="9">
        <v>43251</v>
      </c>
      <c r="N112" s="9">
        <v>43501</v>
      </c>
      <c r="O112" s="9">
        <v>43278</v>
      </c>
      <c r="P112" s="10" t="s">
        <v>90</v>
      </c>
      <c r="Q112" s="76">
        <v>730</v>
      </c>
      <c r="R112" s="97">
        <f t="shared" si="6"/>
        <v>2</v>
      </c>
      <c r="S112" s="75">
        <f t="shared" si="7"/>
        <v>16518</v>
      </c>
      <c r="T112" s="128" t="s">
        <v>521</v>
      </c>
      <c r="U112" s="8">
        <v>43501</v>
      </c>
      <c r="V112" s="107" t="s">
        <v>36</v>
      </c>
      <c r="W112" s="107" t="s">
        <v>33</v>
      </c>
      <c r="X112" s="109">
        <v>43484</v>
      </c>
    </row>
    <row r="113" spans="1:24" x14ac:dyDescent="0.25">
      <c r="A113" s="6" t="s">
        <v>117</v>
      </c>
      <c r="B113" s="94" t="s">
        <v>522</v>
      </c>
      <c r="C113" s="6" t="s">
        <v>523</v>
      </c>
      <c r="D113" s="140">
        <v>11899642</v>
      </c>
      <c r="E113" s="6" t="s">
        <v>314</v>
      </c>
      <c r="F113" s="6" t="s">
        <v>148</v>
      </c>
      <c r="G113" s="6" t="s">
        <v>524</v>
      </c>
      <c r="H113" s="8">
        <v>49225</v>
      </c>
      <c r="I113" s="9">
        <v>43236</v>
      </c>
      <c r="J113" s="9">
        <v>43243</v>
      </c>
      <c r="K113" s="7">
        <v>43236</v>
      </c>
      <c r="L113" s="95" t="s">
        <v>31</v>
      </c>
      <c r="M113" s="9">
        <v>43242</v>
      </c>
      <c r="N113" s="8">
        <v>43529</v>
      </c>
      <c r="O113" s="9">
        <v>43479</v>
      </c>
      <c r="P113" s="10" t="s">
        <v>35</v>
      </c>
      <c r="Q113" s="76">
        <v>730</v>
      </c>
      <c r="R113" s="97">
        <f t="shared" si="6"/>
        <v>2</v>
      </c>
      <c r="S113" s="75">
        <f t="shared" si="7"/>
        <v>16518</v>
      </c>
      <c r="T113" s="128" t="s">
        <v>320</v>
      </c>
      <c r="U113" s="8">
        <v>43529</v>
      </c>
      <c r="W113" s="6" t="s">
        <v>33</v>
      </c>
      <c r="X113" s="95">
        <v>43885</v>
      </c>
    </row>
    <row r="114" spans="1:24" s="99" customFormat="1" x14ac:dyDescent="0.25">
      <c r="A114" s="6" t="s">
        <v>117</v>
      </c>
      <c r="B114" s="94" t="s">
        <v>525</v>
      </c>
      <c r="C114" s="89" t="s">
        <v>526</v>
      </c>
      <c r="D114" s="140">
        <v>11787133</v>
      </c>
      <c r="E114" s="6" t="s">
        <v>527</v>
      </c>
      <c r="F114" s="6" t="s">
        <v>528</v>
      </c>
      <c r="G114" s="6" t="s">
        <v>529</v>
      </c>
      <c r="H114" s="8">
        <v>43769</v>
      </c>
      <c r="I114" s="9">
        <v>43236</v>
      </c>
      <c r="J114" s="9">
        <v>43236</v>
      </c>
      <c r="K114" s="7">
        <v>43236</v>
      </c>
      <c r="L114" s="95" t="s">
        <v>31</v>
      </c>
      <c r="M114" s="9">
        <v>43241</v>
      </c>
      <c r="N114" s="9"/>
      <c r="O114" s="9"/>
      <c r="P114" s="10"/>
      <c r="Q114" s="76"/>
      <c r="R114" s="97" t="str">
        <f t="shared" si="6"/>
        <v/>
      </c>
      <c r="S114" s="75" t="str">
        <f t="shared" si="7"/>
        <v/>
      </c>
      <c r="T114" s="128" t="s">
        <v>530</v>
      </c>
      <c r="U114" s="8">
        <v>43729</v>
      </c>
      <c r="V114" s="6" t="s">
        <v>36</v>
      </c>
      <c r="W114" s="6" t="s">
        <v>33</v>
      </c>
      <c r="X114" s="95">
        <v>40255</v>
      </c>
    </row>
    <row r="115" spans="1:24" x14ac:dyDescent="0.25">
      <c r="A115" s="6" t="s">
        <v>117</v>
      </c>
      <c r="B115" s="94" t="s">
        <v>531</v>
      </c>
      <c r="C115" s="6" t="s">
        <v>532</v>
      </c>
      <c r="D115" s="140">
        <v>11188139</v>
      </c>
      <c r="E115" s="6" t="s">
        <v>209</v>
      </c>
      <c r="F115" s="6" t="s">
        <v>277</v>
      </c>
      <c r="G115" s="6" t="s">
        <v>533</v>
      </c>
      <c r="H115" s="8">
        <v>43801</v>
      </c>
      <c r="I115" s="9">
        <v>43236</v>
      </c>
      <c r="J115" s="9">
        <v>43243</v>
      </c>
      <c r="K115" s="7">
        <v>43243</v>
      </c>
      <c r="L115" s="95" t="s">
        <v>31</v>
      </c>
      <c r="M115" s="9">
        <v>43251</v>
      </c>
      <c r="N115" s="9"/>
      <c r="O115" s="9"/>
      <c r="P115" s="10"/>
      <c r="Q115" s="76"/>
      <c r="R115" s="97" t="str">
        <f t="shared" si="6"/>
        <v/>
      </c>
      <c r="S115" s="75" t="str">
        <f t="shared" si="7"/>
        <v/>
      </c>
      <c r="T115" s="128"/>
      <c r="W115" s="6" t="s">
        <v>84</v>
      </c>
      <c r="X115" s="95">
        <v>42858</v>
      </c>
    </row>
    <row r="116" spans="1:24" x14ac:dyDescent="0.25">
      <c r="A116" s="6" t="s">
        <v>117</v>
      </c>
      <c r="B116" s="94" t="s">
        <v>534</v>
      </c>
      <c r="C116" s="6" t="s">
        <v>535</v>
      </c>
      <c r="D116" s="140">
        <v>11745969</v>
      </c>
      <c r="E116" s="6" t="s">
        <v>536</v>
      </c>
      <c r="F116" s="6" t="s">
        <v>62</v>
      </c>
      <c r="G116" s="6" t="s">
        <v>537</v>
      </c>
      <c r="H116" s="8">
        <v>44028</v>
      </c>
      <c r="I116" s="9">
        <v>43236</v>
      </c>
      <c r="J116" s="9">
        <v>43243</v>
      </c>
      <c r="K116" s="7">
        <v>43243</v>
      </c>
      <c r="L116" s="95" t="s">
        <v>31</v>
      </c>
      <c r="M116" s="9">
        <v>43251</v>
      </c>
      <c r="N116" s="9">
        <v>43460</v>
      </c>
      <c r="O116" s="9">
        <v>43447</v>
      </c>
      <c r="P116" s="10" t="s">
        <v>35</v>
      </c>
      <c r="Q116" s="76">
        <v>730</v>
      </c>
      <c r="R116" s="97">
        <f t="shared" si="6"/>
        <v>2</v>
      </c>
      <c r="S116" s="75">
        <f t="shared" si="7"/>
        <v>16518</v>
      </c>
      <c r="T116" s="128" t="s">
        <v>320</v>
      </c>
      <c r="U116" s="8">
        <v>43461</v>
      </c>
      <c r="W116" s="6" t="s">
        <v>84</v>
      </c>
      <c r="X116" s="95">
        <v>43136</v>
      </c>
    </row>
    <row r="117" spans="1:24" ht="30" x14ac:dyDescent="0.25">
      <c r="A117" s="6" t="s">
        <v>117</v>
      </c>
      <c r="B117" s="94" t="s">
        <v>538</v>
      </c>
      <c r="C117" s="6" t="s">
        <v>539</v>
      </c>
      <c r="D117" s="140">
        <v>11082137</v>
      </c>
      <c r="E117" s="6" t="s">
        <v>540</v>
      </c>
      <c r="F117" s="6" t="s">
        <v>309</v>
      </c>
      <c r="G117" s="6" t="s">
        <v>541</v>
      </c>
      <c r="H117" s="8">
        <v>44042</v>
      </c>
      <c r="I117" s="9">
        <v>43236</v>
      </c>
      <c r="J117" s="8">
        <v>43251</v>
      </c>
      <c r="K117" s="95">
        <v>43258</v>
      </c>
      <c r="L117" s="95" t="s">
        <v>31</v>
      </c>
      <c r="M117" s="8">
        <v>43258</v>
      </c>
      <c r="N117" s="8">
        <v>43619</v>
      </c>
      <c r="O117" s="8">
        <v>43342</v>
      </c>
      <c r="P117" s="6" t="s">
        <v>90</v>
      </c>
      <c r="Q117" s="96">
        <v>852</v>
      </c>
      <c r="R117" s="97">
        <f t="shared" si="6"/>
        <v>2.3342465753424659</v>
      </c>
      <c r="S117" s="75">
        <f t="shared" si="7"/>
        <v>19278.542465753424</v>
      </c>
      <c r="T117" s="124" t="s">
        <v>542</v>
      </c>
      <c r="U117" s="8">
        <v>43621</v>
      </c>
      <c r="V117" s="6" t="s">
        <v>36</v>
      </c>
      <c r="W117" s="6" t="s">
        <v>33</v>
      </c>
      <c r="X117" s="95">
        <v>39599</v>
      </c>
    </row>
    <row r="118" spans="1:24" x14ac:dyDescent="0.25">
      <c r="A118" s="6" t="s">
        <v>117</v>
      </c>
      <c r="B118" s="94" t="s">
        <v>543</v>
      </c>
      <c r="C118" s="6" t="s">
        <v>544</v>
      </c>
      <c r="D118" s="140">
        <v>11457494</v>
      </c>
      <c r="E118" s="6" t="s">
        <v>228</v>
      </c>
      <c r="F118" s="6" t="s">
        <v>134</v>
      </c>
      <c r="G118" s="6" t="s">
        <v>545</v>
      </c>
      <c r="H118" s="8">
        <v>44045</v>
      </c>
      <c r="I118" s="9">
        <v>43236</v>
      </c>
      <c r="J118" s="9">
        <v>43250</v>
      </c>
      <c r="K118" s="7">
        <v>43250</v>
      </c>
      <c r="L118" s="95" t="s">
        <v>31</v>
      </c>
      <c r="M118" s="9">
        <v>43257</v>
      </c>
      <c r="N118" s="9">
        <v>43665</v>
      </c>
      <c r="O118" s="9">
        <v>43656</v>
      </c>
      <c r="P118" s="10" t="s">
        <v>35</v>
      </c>
      <c r="Q118" s="76">
        <v>365</v>
      </c>
      <c r="R118" s="97">
        <f t="shared" si="6"/>
        <v>1</v>
      </c>
      <c r="S118" s="75">
        <f t="shared" si="7"/>
        <v>8259</v>
      </c>
      <c r="T118" s="128" t="s">
        <v>159</v>
      </c>
      <c r="U118" s="8">
        <v>43665</v>
      </c>
      <c r="W118" s="6" t="s">
        <v>33</v>
      </c>
      <c r="X118" s="95">
        <v>44410</v>
      </c>
    </row>
    <row r="119" spans="1:24" x14ac:dyDescent="0.25">
      <c r="A119" s="6" t="s">
        <v>117</v>
      </c>
      <c r="B119" s="94" t="s">
        <v>108</v>
      </c>
      <c r="C119" s="6" t="s">
        <v>546</v>
      </c>
      <c r="D119" s="140">
        <v>11777439</v>
      </c>
      <c r="E119" s="6" t="s">
        <v>547</v>
      </c>
      <c r="F119" s="6" t="s">
        <v>309</v>
      </c>
      <c r="G119" s="6" t="s">
        <v>548</v>
      </c>
      <c r="H119" s="8">
        <v>44092</v>
      </c>
      <c r="I119" s="9">
        <v>43236</v>
      </c>
      <c r="J119" s="8">
        <v>43250</v>
      </c>
      <c r="K119" s="95">
        <v>43250</v>
      </c>
      <c r="L119" s="95" t="s">
        <v>31</v>
      </c>
      <c r="M119" s="8">
        <v>43258</v>
      </c>
      <c r="R119" s="97" t="str">
        <f t="shared" si="6"/>
        <v/>
      </c>
      <c r="S119" s="75" t="str">
        <f t="shared" si="7"/>
        <v/>
      </c>
      <c r="T119" s="124" t="s">
        <v>549</v>
      </c>
      <c r="U119" s="8">
        <v>44273</v>
      </c>
      <c r="W119" s="6" t="s">
        <v>33</v>
      </c>
      <c r="X119" s="95">
        <v>40083</v>
      </c>
    </row>
    <row r="120" spans="1:24" x14ac:dyDescent="0.25">
      <c r="A120" s="6" t="s">
        <v>117</v>
      </c>
      <c r="B120" s="94" t="s">
        <v>550</v>
      </c>
      <c r="C120" s="6" t="s">
        <v>551</v>
      </c>
      <c r="D120" s="140">
        <v>11349053</v>
      </c>
      <c r="E120" s="6" t="s">
        <v>552</v>
      </c>
      <c r="F120" s="6" t="s">
        <v>528</v>
      </c>
      <c r="G120" s="6" t="s">
        <v>553</v>
      </c>
      <c r="H120" s="8">
        <v>44068</v>
      </c>
      <c r="I120" s="9">
        <v>43236</v>
      </c>
      <c r="J120" s="9">
        <v>43243</v>
      </c>
      <c r="K120" s="7">
        <v>43243</v>
      </c>
      <c r="L120" s="95" t="s">
        <v>31</v>
      </c>
      <c r="M120" s="9">
        <v>43251</v>
      </c>
      <c r="N120" s="8">
        <v>43529</v>
      </c>
      <c r="O120" s="9">
        <v>43306</v>
      </c>
      <c r="P120" s="10" t="s">
        <v>35</v>
      </c>
      <c r="Q120" s="76">
        <v>730</v>
      </c>
      <c r="R120" s="97">
        <f t="shared" si="6"/>
        <v>2</v>
      </c>
      <c r="S120" s="75">
        <f t="shared" si="7"/>
        <v>16518</v>
      </c>
      <c r="T120" s="128" t="s">
        <v>320</v>
      </c>
      <c r="U120" s="8">
        <v>43529</v>
      </c>
      <c r="W120" s="6" t="s">
        <v>33</v>
      </c>
      <c r="X120" s="95">
        <v>43360</v>
      </c>
    </row>
    <row r="121" spans="1:24" x14ac:dyDescent="0.25">
      <c r="A121" s="6" t="s">
        <v>117</v>
      </c>
      <c r="B121" s="94" t="s">
        <v>554</v>
      </c>
      <c r="C121" s="6" t="s">
        <v>555</v>
      </c>
      <c r="D121" s="140">
        <v>11778981</v>
      </c>
      <c r="E121" s="6" t="s">
        <v>480</v>
      </c>
      <c r="F121" s="6" t="s">
        <v>528</v>
      </c>
      <c r="G121" s="6" t="s">
        <v>556</v>
      </c>
      <c r="H121" s="8">
        <v>44070</v>
      </c>
      <c r="I121" s="9">
        <v>43236</v>
      </c>
      <c r="J121" s="9">
        <v>43236</v>
      </c>
      <c r="K121" s="7">
        <v>43236</v>
      </c>
      <c r="L121" s="95" t="s">
        <v>31</v>
      </c>
      <c r="M121" s="9">
        <v>43241</v>
      </c>
      <c r="N121" s="9">
        <v>43473</v>
      </c>
      <c r="O121" s="9">
        <v>43425</v>
      </c>
      <c r="P121" s="10" t="s">
        <v>69</v>
      </c>
      <c r="Q121" s="76"/>
      <c r="R121" s="97" t="str">
        <f t="shared" si="6"/>
        <v/>
      </c>
      <c r="S121" s="75" t="str">
        <f t="shared" si="7"/>
        <v/>
      </c>
      <c r="T121" s="128" t="s">
        <v>265</v>
      </c>
      <c r="U121" s="8">
        <v>43476</v>
      </c>
      <c r="W121" s="6" t="s">
        <v>84</v>
      </c>
      <c r="X121" s="95">
        <v>48840</v>
      </c>
    </row>
    <row r="122" spans="1:24" s="99" customFormat="1" x14ac:dyDescent="0.25">
      <c r="A122" s="6" t="s">
        <v>117</v>
      </c>
      <c r="B122" s="94" t="s">
        <v>557</v>
      </c>
      <c r="C122" s="6" t="s">
        <v>558</v>
      </c>
      <c r="D122" s="140">
        <v>11252056</v>
      </c>
      <c r="E122" s="6" t="s">
        <v>559</v>
      </c>
      <c r="F122" s="6" t="s">
        <v>309</v>
      </c>
      <c r="G122" s="6" t="s">
        <v>560</v>
      </c>
      <c r="H122" s="8">
        <v>44111</v>
      </c>
      <c r="I122" s="9">
        <v>43236</v>
      </c>
      <c r="J122" s="8">
        <v>43251</v>
      </c>
      <c r="K122" s="95">
        <v>43258</v>
      </c>
      <c r="L122" s="95" t="s">
        <v>31</v>
      </c>
      <c r="M122" s="8">
        <v>43258</v>
      </c>
      <c r="N122" s="8">
        <v>43473</v>
      </c>
      <c r="O122" s="8">
        <v>43405</v>
      </c>
      <c r="P122" s="6" t="s">
        <v>35</v>
      </c>
      <c r="Q122" s="96">
        <v>730</v>
      </c>
      <c r="R122" s="97">
        <f t="shared" si="6"/>
        <v>2</v>
      </c>
      <c r="S122" s="75">
        <f t="shared" si="7"/>
        <v>16518</v>
      </c>
      <c r="T122" s="128" t="s">
        <v>561</v>
      </c>
      <c r="U122" s="8">
        <v>43476</v>
      </c>
      <c r="V122" s="6"/>
      <c r="W122" s="6" t="s">
        <v>33</v>
      </c>
      <c r="X122" s="95">
        <v>43714</v>
      </c>
    </row>
    <row r="123" spans="1:24" x14ac:dyDescent="0.25">
      <c r="A123" s="6" t="s">
        <v>117</v>
      </c>
      <c r="B123" s="94" t="s">
        <v>178</v>
      </c>
      <c r="C123" s="6" t="s">
        <v>562</v>
      </c>
      <c r="D123" s="140">
        <v>1216370</v>
      </c>
      <c r="E123" s="6" t="s">
        <v>61</v>
      </c>
      <c r="F123" s="6" t="s">
        <v>442</v>
      </c>
      <c r="G123" s="6" t="s">
        <v>563</v>
      </c>
      <c r="H123" s="8">
        <v>44127</v>
      </c>
      <c r="I123" s="9">
        <v>43236</v>
      </c>
      <c r="J123" s="9">
        <v>43243</v>
      </c>
      <c r="K123" s="7">
        <v>43243</v>
      </c>
      <c r="L123" s="95" t="s">
        <v>31</v>
      </c>
      <c r="M123" s="9">
        <v>43243</v>
      </c>
      <c r="N123" s="9">
        <v>43241</v>
      </c>
      <c r="O123" s="9">
        <v>43266</v>
      </c>
      <c r="P123" s="10" t="s">
        <v>35</v>
      </c>
      <c r="Q123" s="76">
        <v>365</v>
      </c>
      <c r="R123" s="97">
        <f t="shared" si="6"/>
        <v>1</v>
      </c>
      <c r="S123" s="75">
        <f t="shared" si="7"/>
        <v>8259</v>
      </c>
      <c r="T123" s="128" t="s">
        <v>159</v>
      </c>
      <c r="U123" s="8">
        <v>43529</v>
      </c>
      <c r="W123" s="6" t="s">
        <v>33</v>
      </c>
      <c r="X123" s="95">
        <v>42719</v>
      </c>
    </row>
    <row r="124" spans="1:24" ht="30" x14ac:dyDescent="0.25">
      <c r="A124" s="6" t="s">
        <v>117</v>
      </c>
      <c r="B124" s="94" t="s">
        <v>564</v>
      </c>
      <c r="C124" s="6" t="s">
        <v>565</v>
      </c>
      <c r="D124" s="140">
        <v>12005347</v>
      </c>
      <c r="E124" s="6" t="s">
        <v>61</v>
      </c>
      <c r="F124" s="6" t="s">
        <v>437</v>
      </c>
      <c r="G124" s="6" t="s">
        <v>566</v>
      </c>
      <c r="H124" s="8">
        <v>44183</v>
      </c>
      <c r="I124" s="9">
        <v>43236</v>
      </c>
      <c r="J124" s="9">
        <v>43250</v>
      </c>
      <c r="K124" s="7">
        <v>43250</v>
      </c>
      <c r="L124" s="95" t="s">
        <v>31</v>
      </c>
      <c r="M124" s="9">
        <v>43257</v>
      </c>
      <c r="N124" s="9"/>
      <c r="O124" s="9"/>
      <c r="P124" s="10"/>
      <c r="Q124" s="76"/>
      <c r="R124" s="97" t="str">
        <f t="shared" si="6"/>
        <v/>
      </c>
      <c r="S124" s="75" t="str">
        <f t="shared" si="7"/>
        <v/>
      </c>
      <c r="T124" s="128" t="s">
        <v>567</v>
      </c>
      <c r="U124" s="8">
        <v>44273</v>
      </c>
      <c r="W124" s="6" t="s">
        <v>33</v>
      </c>
      <c r="X124" s="95">
        <v>43125</v>
      </c>
    </row>
    <row r="125" spans="1:24" x14ac:dyDescent="0.25">
      <c r="A125" s="6" t="s">
        <v>117</v>
      </c>
      <c r="B125" s="94" t="s">
        <v>568</v>
      </c>
      <c r="C125" s="6" t="s">
        <v>569</v>
      </c>
      <c r="D125" s="140">
        <v>11642971</v>
      </c>
      <c r="E125" s="6" t="s">
        <v>570</v>
      </c>
      <c r="F125" s="6" t="s">
        <v>299</v>
      </c>
      <c r="G125" s="6" t="s">
        <v>571</v>
      </c>
      <c r="H125" s="8">
        <v>44234</v>
      </c>
      <c r="I125" s="9">
        <v>43236</v>
      </c>
      <c r="J125" s="9">
        <v>43250</v>
      </c>
      <c r="K125" s="7">
        <v>43250</v>
      </c>
      <c r="L125" s="95" t="s">
        <v>31</v>
      </c>
      <c r="M125" s="9">
        <v>43257</v>
      </c>
      <c r="N125" s="9">
        <v>43518</v>
      </c>
      <c r="O125" s="9">
        <v>43318</v>
      </c>
      <c r="P125" s="10" t="s">
        <v>35</v>
      </c>
      <c r="Q125" s="76">
        <v>304</v>
      </c>
      <c r="R125" s="97">
        <f t="shared" si="6"/>
        <v>0.83287671232876714</v>
      </c>
      <c r="S125" s="75">
        <f t="shared" si="7"/>
        <v>6878.728767123288</v>
      </c>
      <c r="T125" s="128" t="s">
        <v>572</v>
      </c>
      <c r="U125" s="8">
        <v>43518</v>
      </c>
      <c r="W125" s="6" t="s">
        <v>33</v>
      </c>
      <c r="X125" s="95">
        <v>53873</v>
      </c>
    </row>
    <row r="126" spans="1:24" x14ac:dyDescent="0.25">
      <c r="A126" s="6" t="s">
        <v>117</v>
      </c>
      <c r="B126" s="94" t="s">
        <v>573</v>
      </c>
      <c r="C126" s="6" t="s">
        <v>574</v>
      </c>
      <c r="D126" s="140">
        <v>11515386</v>
      </c>
      <c r="E126" s="6" t="s">
        <v>99</v>
      </c>
      <c r="F126" s="6" t="s">
        <v>277</v>
      </c>
      <c r="G126" s="6" t="s">
        <v>575</v>
      </c>
      <c r="H126" s="8">
        <v>46032</v>
      </c>
      <c r="I126" s="9">
        <v>43236</v>
      </c>
      <c r="J126" s="9">
        <v>43250</v>
      </c>
      <c r="K126" s="7">
        <v>43250</v>
      </c>
      <c r="L126" s="95" t="s">
        <v>31</v>
      </c>
      <c r="M126" s="9">
        <v>43305</v>
      </c>
      <c r="N126" s="9"/>
      <c r="O126" s="9"/>
      <c r="P126" s="10"/>
      <c r="Q126" s="76"/>
      <c r="R126" s="97" t="str">
        <f t="shared" si="6"/>
        <v/>
      </c>
      <c r="S126" s="75" t="str">
        <f t="shared" si="7"/>
        <v/>
      </c>
      <c r="T126" s="128" t="s">
        <v>576</v>
      </c>
      <c r="U126" s="8">
        <v>44960</v>
      </c>
      <c r="W126" s="6" t="s">
        <v>33</v>
      </c>
      <c r="X126" s="95">
        <v>47718</v>
      </c>
    </row>
    <row r="127" spans="1:24" ht="30" x14ac:dyDescent="0.25">
      <c r="A127" s="6" t="s">
        <v>168</v>
      </c>
      <c r="B127" s="94" t="s">
        <v>423</v>
      </c>
      <c r="C127" s="6" t="s">
        <v>577</v>
      </c>
      <c r="D127" s="140">
        <v>11951601</v>
      </c>
      <c r="E127" s="6" t="s">
        <v>578</v>
      </c>
      <c r="F127" s="10" t="s">
        <v>57</v>
      </c>
      <c r="G127" s="6" t="s">
        <v>579</v>
      </c>
      <c r="H127" s="8">
        <v>45310</v>
      </c>
      <c r="I127" s="8">
        <v>43502</v>
      </c>
      <c r="J127" s="8">
        <v>43516</v>
      </c>
      <c r="K127" s="95">
        <v>43516</v>
      </c>
      <c r="L127" s="95" t="s">
        <v>31</v>
      </c>
      <c r="M127" s="8">
        <v>43522</v>
      </c>
      <c r="N127" s="8">
        <v>43760</v>
      </c>
      <c r="O127" s="8">
        <v>43749</v>
      </c>
      <c r="P127" s="6" t="s">
        <v>90</v>
      </c>
      <c r="Q127" s="96">
        <v>2922</v>
      </c>
      <c r="R127" s="97">
        <f t="shared" si="6"/>
        <v>8.0054794520547947</v>
      </c>
      <c r="S127" s="75">
        <f t="shared" si="7"/>
        <v>66117.254794520544</v>
      </c>
      <c r="T127" s="124" t="s">
        <v>580</v>
      </c>
      <c r="U127" s="8">
        <v>43761</v>
      </c>
      <c r="V127" s="6" t="s">
        <v>581</v>
      </c>
      <c r="W127" s="6" t="s">
        <v>33</v>
      </c>
      <c r="X127" s="95">
        <v>49321</v>
      </c>
    </row>
    <row r="128" spans="1:24" x14ac:dyDescent="0.25">
      <c r="A128" s="6" t="s">
        <v>117</v>
      </c>
      <c r="B128" s="94" t="s">
        <v>582</v>
      </c>
      <c r="C128" s="6" t="s">
        <v>583</v>
      </c>
      <c r="D128" s="140">
        <v>11699416</v>
      </c>
      <c r="E128" s="6" t="s">
        <v>584</v>
      </c>
      <c r="F128" s="6" t="s">
        <v>309</v>
      </c>
      <c r="G128" s="6" t="s">
        <v>585</v>
      </c>
      <c r="H128" s="8">
        <v>44512</v>
      </c>
      <c r="I128" s="9">
        <v>43236</v>
      </c>
      <c r="J128" s="8">
        <v>43251</v>
      </c>
      <c r="K128" s="95">
        <v>43258</v>
      </c>
      <c r="L128" s="95" t="s">
        <v>31</v>
      </c>
      <c r="M128" s="8">
        <v>43258</v>
      </c>
      <c r="N128" s="8">
        <v>43619</v>
      </c>
      <c r="O128" s="8">
        <v>43613</v>
      </c>
      <c r="P128" s="6" t="s">
        <v>35</v>
      </c>
      <c r="Q128" s="96">
        <v>730</v>
      </c>
      <c r="R128" s="97">
        <f t="shared" si="6"/>
        <v>2</v>
      </c>
      <c r="S128" s="75">
        <f t="shared" si="7"/>
        <v>16518</v>
      </c>
      <c r="T128" s="124" t="s">
        <v>320</v>
      </c>
      <c r="U128" s="8">
        <v>43621</v>
      </c>
      <c r="W128" s="6" t="s">
        <v>33</v>
      </c>
      <c r="X128" s="95">
        <v>44478</v>
      </c>
    </row>
    <row r="129" spans="1:24" x14ac:dyDescent="0.25">
      <c r="A129" s="6" t="s">
        <v>117</v>
      </c>
      <c r="B129" s="94" t="s">
        <v>586</v>
      </c>
      <c r="C129" s="6" t="s">
        <v>587</v>
      </c>
      <c r="D129" s="140">
        <v>11169946</v>
      </c>
      <c r="E129" s="6" t="s">
        <v>588</v>
      </c>
      <c r="F129" s="6" t="s">
        <v>50</v>
      </c>
      <c r="G129" s="6" t="s">
        <v>589</v>
      </c>
      <c r="H129" s="8">
        <v>44563</v>
      </c>
      <c r="I129" s="9">
        <v>43236</v>
      </c>
      <c r="J129" s="9">
        <v>43236</v>
      </c>
      <c r="K129" s="7">
        <v>43236</v>
      </c>
      <c r="L129" s="95" t="s">
        <v>31</v>
      </c>
      <c r="M129" s="9">
        <v>43242</v>
      </c>
      <c r="N129" s="8">
        <v>43529</v>
      </c>
      <c r="O129" s="9">
        <v>43391</v>
      </c>
      <c r="P129" s="10" t="s">
        <v>35</v>
      </c>
      <c r="Q129" s="76">
        <v>365</v>
      </c>
      <c r="R129" s="97">
        <f t="shared" si="6"/>
        <v>1</v>
      </c>
      <c r="S129" s="75">
        <f t="shared" si="7"/>
        <v>8259</v>
      </c>
      <c r="T129" s="128" t="s">
        <v>159</v>
      </c>
      <c r="U129" s="8">
        <v>43529</v>
      </c>
      <c r="W129" s="6" t="s">
        <v>33</v>
      </c>
      <c r="X129" s="95">
        <v>44199</v>
      </c>
    </row>
    <row r="130" spans="1:24" x14ac:dyDescent="0.25">
      <c r="A130" s="6" t="s">
        <v>117</v>
      </c>
      <c r="B130" s="94" t="s">
        <v>590</v>
      </c>
      <c r="C130" s="6" t="s">
        <v>591</v>
      </c>
      <c r="D130" s="140">
        <v>10230209</v>
      </c>
      <c r="E130" s="6" t="s">
        <v>386</v>
      </c>
      <c r="F130" s="6" t="s">
        <v>121</v>
      </c>
      <c r="G130" s="6" t="s">
        <v>592</v>
      </c>
      <c r="H130" s="8">
        <v>44629</v>
      </c>
      <c r="I130" s="9">
        <v>43236</v>
      </c>
      <c r="J130" s="9">
        <v>43242</v>
      </c>
      <c r="K130" s="7">
        <v>43250</v>
      </c>
      <c r="L130" s="95" t="s">
        <v>31</v>
      </c>
      <c r="M130" s="9">
        <v>43258</v>
      </c>
      <c r="N130" s="54">
        <v>43669</v>
      </c>
      <c r="O130" s="54">
        <v>43656</v>
      </c>
      <c r="P130" s="56" t="s">
        <v>75</v>
      </c>
      <c r="Q130" s="77"/>
      <c r="R130" s="97" t="str">
        <f t="shared" si="6"/>
        <v/>
      </c>
      <c r="S130" s="75" t="str">
        <f t="shared" si="7"/>
        <v/>
      </c>
      <c r="T130" s="128" t="s">
        <v>593</v>
      </c>
      <c r="U130" s="8">
        <v>44748</v>
      </c>
      <c r="W130" s="6" t="s">
        <v>33</v>
      </c>
      <c r="X130" s="95">
        <v>42373</v>
      </c>
    </row>
    <row r="131" spans="1:24" x14ac:dyDescent="0.25">
      <c r="A131" s="6" t="s">
        <v>117</v>
      </c>
      <c r="B131" s="94" t="s">
        <v>594</v>
      </c>
      <c r="C131" s="6" t="s">
        <v>595</v>
      </c>
      <c r="D131" s="140">
        <v>11453097</v>
      </c>
      <c r="E131" s="6" t="s">
        <v>298</v>
      </c>
      <c r="F131" s="6" t="s">
        <v>205</v>
      </c>
      <c r="G131" s="6" t="s">
        <v>596</v>
      </c>
      <c r="H131" s="8">
        <v>44349</v>
      </c>
      <c r="I131" s="9">
        <v>43236</v>
      </c>
      <c r="J131" s="9">
        <v>43243</v>
      </c>
      <c r="K131" s="7">
        <v>43243</v>
      </c>
      <c r="L131" s="95" t="s">
        <v>31</v>
      </c>
      <c r="M131" s="9">
        <v>43251</v>
      </c>
      <c r="N131" s="9"/>
      <c r="O131" s="9"/>
      <c r="P131" s="10"/>
      <c r="Q131" s="76"/>
      <c r="R131" s="97" t="str">
        <f t="shared" si="6"/>
        <v/>
      </c>
      <c r="S131" s="75" t="str">
        <f t="shared" si="7"/>
        <v/>
      </c>
      <c r="T131" s="128" t="s">
        <v>597</v>
      </c>
      <c r="U131" s="8">
        <v>44273</v>
      </c>
      <c r="W131" s="6" t="s">
        <v>33</v>
      </c>
      <c r="X131" s="95">
        <v>39247</v>
      </c>
    </row>
    <row r="132" spans="1:24" x14ac:dyDescent="0.25">
      <c r="A132" s="6" t="s">
        <v>85</v>
      </c>
      <c r="B132" s="94" t="s">
        <v>598</v>
      </c>
      <c r="C132" s="6" t="s">
        <v>599</v>
      </c>
      <c r="D132" s="140">
        <v>11651893</v>
      </c>
      <c r="E132" s="6" t="s">
        <v>256</v>
      </c>
      <c r="F132" s="6" t="s">
        <v>44</v>
      </c>
      <c r="G132" s="6" t="s">
        <v>600</v>
      </c>
      <c r="H132" s="8">
        <v>45712</v>
      </c>
      <c r="I132" s="8">
        <v>43262</v>
      </c>
      <c r="J132" s="8">
        <v>43263</v>
      </c>
      <c r="K132" s="95">
        <v>43278</v>
      </c>
      <c r="L132" s="95" t="s">
        <v>31</v>
      </c>
      <c r="M132" s="8">
        <v>43280</v>
      </c>
      <c r="N132" s="8">
        <v>43628</v>
      </c>
      <c r="O132" s="8">
        <v>43588</v>
      </c>
      <c r="P132" s="6" t="s">
        <v>35</v>
      </c>
      <c r="Q132" s="96">
        <v>1826</v>
      </c>
      <c r="R132" s="97">
        <f t="shared" si="6"/>
        <v>5.0027397260273974</v>
      </c>
      <c r="S132" s="75">
        <f t="shared" si="7"/>
        <v>41317.627397260272</v>
      </c>
      <c r="T132" s="124" t="s">
        <v>601</v>
      </c>
      <c r="U132" s="8">
        <v>43663</v>
      </c>
      <c r="W132" s="6" t="s">
        <v>33</v>
      </c>
      <c r="X132" s="95">
        <v>43784</v>
      </c>
    </row>
    <row r="133" spans="1:24" x14ac:dyDescent="0.25">
      <c r="A133" s="6" t="s">
        <v>117</v>
      </c>
      <c r="B133" s="94" t="s">
        <v>602</v>
      </c>
      <c r="C133" s="6" t="s">
        <v>603</v>
      </c>
      <c r="D133" s="140">
        <v>11513114</v>
      </c>
      <c r="E133" s="6" t="s">
        <v>204</v>
      </c>
      <c r="F133" s="6" t="s">
        <v>277</v>
      </c>
      <c r="G133" s="6" t="s">
        <v>604</v>
      </c>
      <c r="H133" s="8">
        <v>44831</v>
      </c>
      <c r="I133" s="9">
        <v>43236</v>
      </c>
      <c r="J133" s="9">
        <v>43251</v>
      </c>
      <c r="K133" s="7">
        <v>43264</v>
      </c>
      <c r="L133" s="95" t="s">
        <v>31</v>
      </c>
      <c r="M133" s="9">
        <v>43266</v>
      </c>
      <c r="N133" s="9"/>
      <c r="O133" s="9"/>
      <c r="P133" s="10"/>
      <c r="Q133" s="76"/>
      <c r="R133" s="97" t="str">
        <f t="shared" si="6"/>
        <v/>
      </c>
      <c r="S133" s="75" t="str">
        <f t="shared" si="7"/>
        <v/>
      </c>
      <c r="T133" s="128"/>
      <c r="W133" s="6" t="s">
        <v>84</v>
      </c>
      <c r="X133" s="95">
        <v>36303</v>
      </c>
    </row>
    <row r="134" spans="1:24" s="99" customFormat="1" x14ac:dyDescent="0.25">
      <c r="A134" s="6" t="s">
        <v>117</v>
      </c>
      <c r="B134" s="94" t="s">
        <v>605</v>
      </c>
      <c r="C134" s="6" t="s">
        <v>606</v>
      </c>
      <c r="D134" s="140">
        <v>11136152</v>
      </c>
      <c r="E134" s="6" t="s">
        <v>607</v>
      </c>
      <c r="F134" s="6" t="s">
        <v>309</v>
      </c>
      <c r="G134" s="6" t="s">
        <v>608</v>
      </c>
      <c r="H134" s="8">
        <v>44840</v>
      </c>
      <c r="I134" s="9">
        <v>43236</v>
      </c>
      <c r="J134" s="8">
        <v>43251</v>
      </c>
      <c r="K134" s="95">
        <v>43258</v>
      </c>
      <c r="L134" s="95" t="s">
        <v>31</v>
      </c>
      <c r="M134" s="8">
        <v>43258</v>
      </c>
      <c r="N134" s="8"/>
      <c r="O134" s="8"/>
      <c r="P134" s="6"/>
      <c r="Q134" s="96"/>
      <c r="R134" s="97" t="str">
        <f t="shared" si="6"/>
        <v/>
      </c>
      <c r="S134" s="75" t="str">
        <f t="shared" si="7"/>
        <v/>
      </c>
      <c r="T134" s="124" t="s">
        <v>609</v>
      </c>
      <c r="U134" s="8">
        <v>44273</v>
      </c>
      <c r="V134" s="6"/>
      <c r="W134" s="6" t="s">
        <v>33</v>
      </c>
      <c r="X134" s="95">
        <v>41362</v>
      </c>
    </row>
    <row r="135" spans="1:24" x14ac:dyDescent="0.25">
      <c r="A135" s="6" t="s">
        <v>117</v>
      </c>
      <c r="B135" s="94" t="s">
        <v>610</v>
      </c>
      <c r="C135" s="6" t="s">
        <v>611</v>
      </c>
      <c r="D135" s="140">
        <v>11899515</v>
      </c>
      <c r="E135" s="6" t="s">
        <v>298</v>
      </c>
      <c r="F135" s="6" t="s">
        <v>309</v>
      </c>
      <c r="G135" s="6" t="s">
        <v>612</v>
      </c>
      <c r="H135" s="8">
        <v>45766</v>
      </c>
      <c r="I135" s="9">
        <v>43236</v>
      </c>
      <c r="J135" s="8">
        <v>43251</v>
      </c>
      <c r="K135" s="95">
        <v>43258</v>
      </c>
      <c r="L135" s="95" t="s">
        <v>31</v>
      </c>
      <c r="M135" s="8">
        <v>43258</v>
      </c>
      <c r="N135" s="8">
        <v>43532</v>
      </c>
      <c r="O135" s="8">
        <v>43305</v>
      </c>
      <c r="P135" s="6" t="s">
        <v>35</v>
      </c>
      <c r="Q135" s="96">
        <v>730</v>
      </c>
      <c r="R135" s="97">
        <f t="shared" si="6"/>
        <v>2</v>
      </c>
      <c r="S135" s="75">
        <f t="shared" si="7"/>
        <v>16518</v>
      </c>
      <c r="T135" s="124" t="s">
        <v>320</v>
      </c>
      <c r="U135" s="8">
        <v>43532</v>
      </c>
      <c r="W135" s="6" t="s">
        <v>33</v>
      </c>
      <c r="X135" s="95">
        <v>40118</v>
      </c>
    </row>
    <row r="136" spans="1:24" x14ac:dyDescent="0.25">
      <c r="A136" s="6" t="s">
        <v>117</v>
      </c>
      <c r="B136" s="94" t="s">
        <v>613</v>
      </c>
      <c r="C136" s="6" t="s">
        <v>614</v>
      </c>
      <c r="D136" s="140">
        <v>11870889</v>
      </c>
      <c r="E136" s="6" t="s">
        <v>615</v>
      </c>
      <c r="F136" s="6" t="s">
        <v>309</v>
      </c>
      <c r="G136" s="6" t="s">
        <v>616</v>
      </c>
      <c r="H136" s="8">
        <v>45732</v>
      </c>
      <c r="I136" s="9">
        <v>43236</v>
      </c>
      <c r="J136" s="8">
        <v>43251</v>
      </c>
      <c r="K136" s="95">
        <v>43258</v>
      </c>
      <c r="L136" s="95" t="s">
        <v>31</v>
      </c>
      <c r="M136" s="8">
        <v>43258</v>
      </c>
      <c r="N136" s="8">
        <v>43532</v>
      </c>
      <c r="O136" s="8">
        <v>43272</v>
      </c>
      <c r="P136" s="6" t="s">
        <v>35</v>
      </c>
      <c r="Q136" s="96">
        <v>1095</v>
      </c>
      <c r="R136" s="97">
        <f t="shared" si="6"/>
        <v>3</v>
      </c>
      <c r="S136" s="75">
        <f t="shared" si="7"/>
        <v>24777</v>
      </c>
      <c r="T136" s="124" t="s">
        <v>301</v>
      </c>
      <c r="U136" s="8">
        <v>43532</v>
      </c>
      <c r="W136" s="6" t="s">
        <v>33</v>
      </c>
      <c r="X136" s="95">
        <v>47836</v>
      </c>
    </row>
    <row r="137" spans="1:24" s="112" customFormat="1" ht="30" x14ac:dyDescent="0.25">
      <c r="A137" s="6" t="s">
        <v>117</v>
      </c>
      <c r="B137" s="94" t="s">
        <v>617</v>
      </c>
      <c r="C137" s="6" t="s">
        <v>618</v>
      </c>
      <c r="D137" s="140">
        <v>12012133</v>
      </c>
      <c r="E137" s="6" t="s">
        <v>570</v>
      </c>
      <c r="F137" s="6" t="s">
        <v>528</v>
      </c>
      <c r="G137" s="6" t="s">
        <v>619</v>
      </c>
      <c r="H137" s="8">
        <v>45895</v>
      </c>
      <c r="I137" s="9">
        <v>43236</v>
      </c>
      <c r="J137" s="9">
        <v>43243</v>
      </c>
      <c r="K137" s="7">
        <v>43243</v>
      </c>
      <c r="L137" s="95" t="s">
        <v>31</v>
      </c>
      <c r="M137" s="9">
        <v>43251</v>
      </c>
      <c r="N137" s="9"/>
      <c r="O137" s="9"/>
      <c r="P137" s="10"/>
      <c r="Q137" s="76"/>
      <c r="R137" s="97" t="str">
        <f t="shared" si="6"/>
        <v/>
      </c>
      <c r="S137" s="75" t="str">
        <f t="shared" si="7"/>
        <v/>
      </c>
      <c r="T137" s="124" t="s">
        <v>620</v>
      </c>
      <c r="U137" s="8"/>
      <c r="V137" s="6"/>
      <c r="W137" s="6" t="s">
        <v>33</v>
      </c>
      <c r="X137" s="95">
        <v>43067</v>
      </c>
    </row>
    <row r="138" spans="1:24" x14ac:dyDescent="0.25">
      <c r="A138" s="6" t="s">
        <v>70</v>
      </c>
      <c r="B138" s="94" t="s">
        <v>145</v>
      </c>
      <c r="C138" s="6" t="s">
        <v>621</v>
      </c>
      <c r="D138" s="140">
        <v>12015267</v>
      </c>
      <c r="E138" s="6" t="s">
        <v>298</v>
      </c>
      <c r="F138" s="6" t="s">
        <v>139</v>
      </c>
      <c r="G138" s="6" t="s">
        <v>622</v>
      </c>
      <c r="H138" s="8">
        <v>47138</v>
      </c>
      <c r="I138" s="8">
        <v>43242</v>
      </c>
      <c r="J138" s="8">
        <v>43243</v>
      </c>
      <c r="K138" s="95">
        <v>43243</v>
      </c>
      <c r="L138" s="95" t="s">
        <v>31</v>
      </c>
      <c r="M138" s="8">
        <v>43251</v>
      </c>
      <c r="N138" s="8">
        <v>43304</v>
      </c>
      <c r="O138" s="8">
        <v>43293</v>
      </c>
      <c r="P138" s="6" t="s">
        <v>35</v>
      </c>
      <c r="Q138" s="96">
        <v>2190</v>
      </c>
      <c r="R138" s="97">
        <f t="shared" si="6"/>
        <v>6</v>
      </c>
      <c r="S138" s="75">
        <f t="shared" si="7"/>
        <v>49554</v>
      </c>
      <c r="U138" s="8">
        <v>43305</v>
      </c>
      <c r="W138" s="6" t="s">
        <v>33</v>
      </c>
      <c r="X138" s="95">
        <v>43541</v>
      </c>
    </row>
    <row r="139" spans="1:24" x14ac:dyDescent="0.25">
      <c r="A139" s="6" t="s">
        <v>70</v>
      </c>
      <c r="B139" s="94" t="s">
        <v>623</v>
      </c>
      <c r="C139" s="6" t="s">
        <v>624</v>
      </c>
      <c r="D139" s="140">
        <v>12165789</v>
      </c>
      <c r="E139" s="6" t="s">
        <v>185</v>
      </c>
      <c r="F139" s="6" t="s">
        <v>139</v>
      </c>
      <c r="G139" s="6" t="s">
        <v>625</v>
      </c>
      <c r="H139" s="8">
        <v>47860</v>
      </c>
      <c r="I139" s="8">
        <v>43242</v>
      </c>
      <c r="J139" s="8">
        <v>43243</v>
      </c>
      <c r="K139" s="95">
        <v>43243</v>
      </c>
      <c r="L139" s="95" t="s">
        <v>31</v>
      </c>
      <c r="M139" s="8">
        <v>43251</v>
      </c>
      <c r="N139" s="8">
        <v>43306</v>
      </c>
      <c r="O139" s="8">
        <v>43294</v>
      </c>
      <c r="P139" s="12" t="s">
        <v>69</v>
      </c>
      <c r="R139" s="97" t="str">
        <f t="shared" si="6"/>
        <v/>
      </c>
      <c r="S139" s="75" t="str">
        <f t="shared" si="7"/>
        <v/>
      </c>
      <c r="U139" s="8">
        <v>43332</v>
      </c>
      <c r="W139" s="6" t="s">
        <v>33</v>
      </c>
      <c r="X139" s="95">
        <v>47056</v>
      </c>
    </row>
    <row r="140" spans="1:24" x14ac:dyDescent="0.25">
      <c r="A140" s="6" t="s">
        <v>65</v>
      </c>
      <c r="B140" s="94" t="s">
        <v>312</v>
      </c>
      <c r="C140" s="6" t="s">
        <v>626</v>
      </c>
      <c r="D140" s="140">
        <v>11628459</v>
      </c>
      <c r="E140" s="6" t="s">
        <v>607</v>
      </c>
      <c r="F140" s="10" t="s">
        <v>29</v>
      </c>
      <c r="G140" s="6" t="s">
        <v>627</v>
      </c>
      <c r="H140" s="8">
        <v>45195</v>
      </c>
      <c r="I140" s="8">
        <v>43335</v>
      </c>
      <c r="J140" s="8">
        <v>43335</v>
      </c>
      <c r="K140" s="95">
        <v>43341</v>
      </c>
      <c r="L140" s="95" t="s">
        <v>31</v>
      </c>
      <c r="M140" s="8">
        <v>43354</v>
      </c>
      <c r="P140" s="6" t="s">
        <v>628</v>
      </c>
      <c r="R140" s="97" t="str">
        <f t="shared" si="6"/>
        <v/>
      </c>
      <c r="S140" s="75" t="str">
        <f t="shared" si="7"/>
        <v/>
      </c>
      <c r="T140" s="124" t="s">
        <v>629</v>
      </c>
      <c r="W140" s="6" t="s">
        <v>33</v>
      </c>
      <c r="X140" s="95">
        <v>54695</v>
      </c>
    </row>
    <row r="141" spans="1:24" ht="45" x14ac:dyDescent="0.25">
      <c r="A141" s="6" t="s">
        <v>85</v>
      </c>
      <c r="B141" s="94" t="s">
        <v>630</v>
      </c>
      <c r="C141" s="6" t="s">
        <v>631</v>
      </c>
      <c r="D141" s="140">
        <v>11326543</v>
      </c>
      <c r="E141" s="6" t="s">
        <v>344</v>
      </c>
      <c r="F141" s="6" t="s">
        <v>57</v>
      </c>
      <c r="G141" s="6" t="s">
        <v>632</v>
      </c>
      <c r="H141" s="8">
        <v>50241</v>
      </c>
      <c r="I141" s="8">
        <v>43242</v>
      </c>
      <c r="J141" s="8">
        <v>43243</v>
      </c>
      <c r="K141" s="95">
        <v>43243</v>
      </c>
      <c r="L141" s="95" t="s">
        <v>31</v>
      </c>
      <c r="M141" s="8">
        <v>43251</v>
      </c>
      <c r="N141" s="8">
        <v>43271</v>
      </c>
      <c r="O141" s="8">
        <v>43264</v>
      </c>
      <c r="P141" s="6" t="s">
        <v>633</v>
      </c>
      <c r="R141" s="97" t="str">
        <f t="shared" si="6"/>
        <v/>
      </c>
      <c r="S141" s="75" t="str">
        <f t="shared" si="7"/>
        <v/>
      </c>
      <c r="T141" s="124" t="s">
        <v>634</v>
      </c>
      <c r="U141" s="8">
        <v>43271</v>
      </c>
      <c r="W141" s="6" t="s">
        <v>33</v>
      </c>
      <c r="X141" s="95">
        <v>47102</v>
      </c>
    </row>
    <row r="142" spans="1:24" x14ac:dyDescent="0.25">
      <c r="A142" s="6" t="s">
        <v>85</v>
      </c>
      <c r="B142" s="94" t="s">
        <v>635</v>
      </c>
      <c r="C142" s="6" t="s">
        <v>636</v>
      </c>
      <c r="D142" s="140">
        <v>12158662</v>
      </c>
      <c r="E142" s="6" t="s">
        <v>637</v>
      </c>
      <c r="F142" s="6" t="s">
        <v>139</v>
      </c>
      <c r="G142" s="6" t="s">
        <v>638</v>
      </c>
      <c r="H142" s="8">
        <v>47013</v>
      </c>
      <c r="I142" s="8">
        <v>43242</v>
      </c>
      <c r="J142" s="8">
        <v>43242</v>
      </c>
      <c r="K142" s="95">
        <v>43243</v>
      </c>
      <c r="L142" s="95" t="s">
        <v>31</v>
      </c>
      <c r="M142" s="8">
        <v>43251</v>
      </c>
      <c r="N142" s="8">
        <v>43347</v>
      </c>
      <c r="O142" s="8">
        <v>43339</v>
      </c>
      <c r="P142" s="6" t="s">
        <v>182</v>
      </c>
      <c r="R142" s="97" t="str">
        <f t="shared" si="6"/>
        <v/>
      </c>
      <c r="S142" s="75" t="str">
        <f t="shared" si="7"/>
        <v/>
      </c>
      <c r="U142" s="8">
        <v>43347</v>
      </c>
      <c r="W142" s="6" t="s">
        <v>33</v>
      </c>
      <c r="X142" s="95">
        <v>47728</v>
      </c>
    </row>
    <row r="143" spans="1:24" ht="30" x14ac:dyDescent="0.25">
      <c r="A143" s="6" t="s">
        <v>65</v>
      </c>
      <c r="B143" s="94" t="s">
        <v>639</v>
      </c>
      <c r="C143" s="6" t="s">
        <v>640</v>
      </c>
      <c r="D143" s="140">
        <v>12178489</v>
      </c>
      <c r="E143" s="6" t="s">
        <v>480</v>
      </c>
      <c r="F143" s="10" t="s">
        <v>44</v>
      </c>
      <c r="G143" s="6" t="s">
        <v>641</v>
      </c>
      <c r="H143" s="8">
        <v>49055</v>
      </c>
      <c r="I143" s="8">
        <v>43278</v>
      </c>
      <c r="J143" s="8">
        <v>43278</v>
      </c>
      <c r="K143" s="95">
        <v>43313</v>
      </c>
      <c r="L143" s="95" t="s">
        <v>31</v>
      </c>
      <c r="M143" s="8">
        <v>43320</v>
      </c>
      <c r="N143" s="8">
        <v>43333</v>
      </c>
      <c r="O143" s="8">
        <v>43327</v>
      </c>
      <c r="P143" s="6" t="s">
        <v>75</v>
      </c>
      <c r="R143" s="97" t="str">
        <f t="shared" si="6"/>
        <v/>
      </c>
      <c r="S143" s="75" t="str">
        <f t="shared" si="7"/>
        <v/>
      </c>
      <c r="U143" s="8">
        <v>43348</v>
      </c>
      <c r="V143" s="107"/>
      <c r="W143" s="107" t="s">
        <v>33</v>
      </c>
      <c r="X143" s="109">
        <v>55209</v>
      </c>
    </row>
    <row r="144" spans="1:24" x14ac:dyDescent="0.25">
      <c r="A144" s="6" t="s">
        <v>117</v>
      </c>
      <c r="B144" s="94" t="s">
        <v>642</v>
      </c>
      <c r="C144" s="6" t="s">
        <v>643</v>
      </c>
      <c r="D144" s="140">
        <v>10254359</v>
      </c>
      <c r="E144" s="6" t="s">
        <v>644</v>
      </c>
      <c r="F144" s="6" t="s">
        <v>121</v>
      </c>
      <c r="G144" s="6" t="s">
        <v>645</v>
      </c>
      <c r="H144" s="8">
        <v>44149</v>
      </c>
      <c r="I144" s="9">
        <v>43243</v>
      </c>
      <c r="J144" s="9">
        <v>43243</v>
      </c>
      <c r="K144" s="7">
        <v>43243</v>
      </c>
      <c r="L144" s="95" t="s">
        <v>31</v>
      </c>
      <c r="M144" s="9">
        <v>43243</v>
      </c>
      <c r="N144" s="9">
        <v>43251</v>
      </c>
      <c r="O144" s="9">
        <v>43244</v>
      </c>
      <c r="P144" s="10" t="s">
        <v>35</v>
      </c>
      <c r="Q144" s="76">
        <v>730</v>
      </c>
      <c r="R144" s="97">
        <f t="shared" si="6"/>
        <v>2</v>
      </c>
      <c r="S144" s="75">
        <f t="shared" si="7"/>
        <v>16518</v>
      </c>
      <c r="T144" s="128"/>
      <c r="U144" s="8">
        <v>43257</v>
      </c>
      <c r="W144" s="6" t="s">
        <v>33</v>
      </c>
      <c r="X144" s="95">
        <v>41895</v>
      </c>
    </row>
    <row r="145" spans="1:24" x14ac:dyDescent="0.25">
      <c r="A145" s="6" t="s">
        <v>117</v>
      </c>
      <c r="B145" s="94" t="s">
        <v>646</v>
      </c>
      <c r="C145" s="6" t="s">
        <v>647</v>
      </c>
      <c r="D145" s="140">
        <v>11996693</v>
      </c>
      <c r="E145" s="6" t="s">
        <v>428</v>
      </c>
      <c r="F145" s="6" t="s">
        <v>437</v>
      </c>
      <c r="G145" s="6" t="s">
        <v>648</v>
      </c>
      <c r="H145" s="8">
        <v>44287</v>
      </c>
      <c r="I145" s="9">
        <v>43243</v>
      </c>
      <c r="J145" s="9">
        <v>43250</v>
      </c>
      <c r="K145" s="7">
        <v>43250</v>
      </c>
      <c r="L145" s="95" t="s">
        <v>31</v>
      </c>
      <c r="M145" s="9">
        <v>43257</v>
      </c>
      <c r="N145" s="9">
        <v>43375</v>
      </c>
      <c r="O145" s="9">
        <v>43375</v>
      </c>
      <c r="P145" s="10" t="s">
        <v>35</v>
      </c>
      <c r="Q145" s="76">
        <v>730</v>
      </c>
      <c r="R145" s="97">
        <f t="shared" si="6"/>
        <v>2</v>
      </c>
      <c r="S145" s="75">
        <f t="shared" si="7"/>
        <v>16518</v>
      </c>
      <c r="T145" s="128"/>
      <c r="U145" s="8">
        <v>43409</v>
      </c>
      <c r="W145" s="6" t="s">
        <v>33</v>
      </c>
      <c r="X145" s="95">
        <v>42345</v>
      </c>
    </row>
    <row r="146" spans="1:24" x14ac:dyDescent="0.25">
      <c r="A146" s="107" t="s">
        <v>117</v>
      </c>
      <c r="B146" s="106" t="s">
        <v>649</v>
      </c>
      <c r="C146" s="107" t="s">
        <v>650</v>
      </c>
      <c r="D146" s="142">
        <v>11777708</v>
      </c>
      <c r="E146" s="6" t="s">
        <v>651</v>
      </c>
      <c r="F146" s="107" t="s">
        <v>309</v>
      </c>
      <c r="G146" s="107" t="s">
        <v>652</v>
      </c>
      <c r="H146" s="108">
        <v>43803</v>
      </c>
      <c r="I146" s="54">
        <v>43243</v>
      </c>
      <c r="J146" s="54">
        <v>43256</v>
      </c>
      <c r="K146" s="54">
        <v>43256</v>
      </c>
      <c r="L146" s="109" t="s">
        <v>31</v>
      </c>
      <c r="M146" s="54">
        <v>43256</v>
      </c>
      <c r="N146" s="54">
        <v>43286</v>
      </c>
      <c r="O146" s="54">
        <v>43272</v>
      </c>
      <c r="P146" s="56" t="s">
        <v>35</v>
      </c>
      <c r="Q146" s="77">
        <v>365</v>
      </c>
      <c r="R146" s="97">
        <f t="shared" si="6"/>
        <v>1</v>
      </c>
      <c r="S146" s="75">
        <f t="shared" si="7"/>
        <v>8259</v>
      </c>
      <c r="T146" s="131" t="s">
        <v>653</v>
      </c>
      <c r="U146" s="108">
        <v>43287</v>
      </c>
      <c r="V146" s="100"/>
      <c r="W146" s="100" t="s">
        <v>84</v>
      </c>
      <c r="X146" s="104">
        <v>43370</v>
      </c>
    </row>
    <row r="147" spans="1:24" x14ac:dyDescent="0.25">
      <c r="A147" s="6" t="s">
        <v>117</v>
      </c>
      <c r="B147" s="94" t="s">
        <v>654</v>
      </c>
      <c r="C147" s="6" t="s">
        <v>655</v>
      </c>
      <c r="D147" s="140">
        <v>11776672</v>
      </c>
      <c r="E147" s="6" t="s">
        <v>656</v>
      </c>
      <c r="F147" s="6" t="s">
        <v>309</v>
      </c>
      <c r="G147" s="6" t="s">
        <v>657</v>
      </c>
      <c r="H147" s="8">
        <v>43829</v>
      </c>
      <c r="I147" s="9">
        <v>43243</v>
      </c>
      <c r="J147" s="9">
        <v>43256</v>
      </c>
      <c r="K147" s="9">
        <v>43256</v>
      </c>
      <c r="L147" s="95" t="s">
        <v>31</v>
      </c>
      <c r="M147" s="9">
        <v>43256</v>
      </c>
      <c r="N147" s="8">
        <v>43284</v>
      </c>
      <c r="O147" s="8">
        <v>43258</v>
      </c>
      <c r="P147" s="6" t="s">
        <v>35</v>
      </c>
      <c r="Q147" s="96">
        <v>365</v>
      </c>
      <c r="R147" s="97">
        <f t="shared" si="6"/>
        <v>1</v>
      </c>
      <c r="S147" s="75">
        <f t="shared" si="7"/>
        <v>8259</v>
      </c>
      <c r="T147" s="124" t="s">
        <v>658</v>
      </c>
      <c r="U147" s="8">
        <v>43279</v>
      </c>
      <c r="V147" s="100" t="s">
        <v>36</v>
      </c>
      <c r="W147" s="100" t="s">
        <v>84</v>
      </c>
      <c r="X147" s="104">
        <v>43456</v>
      </c>
    </row>
    <row r="148" spans="1:24" x14ac:dyDescent="0.25">
      <c r="A148" s="6" t="s">
        <v>117</v>
      </c>
      <c r="B148" s="94" t="s">
        <v>659</v>
      </c>
      <c r="C148" s="6" t="s">
        <v>660</v>
      </c>
      <c r="D148" s="140">
        <v>11551916</v>
      </c>
      <c r="E148" s="6" t="s">
        <v>339</v>
      </c>
      <c r="F148" s="6" t="s">
        <v>309</v>
      </c>
      <c r="G148" s="6" t="s">
        <v>661</v>
      </c>
      <c r="H148" s="8">
        <v>43844</v>
      </c>
      <c r="I148" s="9">
        <v>43243</v>
      </c>
      <c r="J148" s="9">
        <v>43256</v>
      </c>
      <c r="K148" s="9">
        <v>43256</v>
      </c>
      <c r="L148" s="95" t="s">
        <v>31</v>
      </c>
      <c r="M148" s="9">
        <v>43256</v>
      </c>
      <c r="N148" s="8">
        <v>43304</v>
      </c>
      <c r="O148" s="8">
        <v>43300</v>
      </c>
      <c r="P148" s="6" t="s">
        <v>35</v>
      </c>
      <c r="Q148" s="96">
        <v>365</v>
      </c>
      <c r="R148" s="97">
        <f t="shared" si="6"/>
        <v>1</v>
      </c>
      <c r="S148" s="75">
        <f t="shared" si="7"/>
        <v>8259</v>
      </c>
      <c r="T148" s="124" t="s">
        <v>662</v>
      </c>
      <c r="U148" s="8">
        <v>43304</v>
      </c>
      <c r="V148" s="6" t="s">
        <v>36</v>
      </c>
      <c r="W148" s="6" t="s">
        <v>33</v>
      </c>
      <c r="X148" s="95">
        <v>43330</v>
      </c>
    </row>
    <row r="149" spans="1:24" x14ac:dyDescent="0.25">
      <c r="A149" s="6" t="s">
        <v>117</v>
      </c>
      <c r="B149" s="94" t="s">
        <v>663</v>
      </c>
      <c r="C149" s="6" t="s">
        <v>664</v>
      </c>
      <c r="D149" s="140">
        <v>11694195</v>
      </c>
      <c r="E149" s="6" t="s">
        <v>366</v>
      </c>
      <c r="F149" s="6" t="s">
        <v>205</v>
      </c>
      <c r="G149" s="6" t="s">
        <v>665</v>
      </c>
      <c r="H149" s="8">
        <v>43993</v>
      </c>
      <c r="I149" s="9">
        <v>43243</v>
      </c>
      <c r="J149" s="8">
        <v>43251</v>
      </c>
      <c r="K149" s="95">
        <v>43263</v>
      </c>
      <c r="L149" s="95" t="s">
        <v>31</v>
      </c>
      <c r="M149" s="8">
        <v>43266</v>
      </c>
      <c r="N149" s="8">
        <v>43311</v>
      </c>
      <c r="O149" s="8">
        <v>43378</v>
      </c>
      <c r="P149" s="6" t="s">
        <v>35</v>
      </c>
      <c r="Q149" s="96">
        <v>1905</v>
      </c>
      <c r="R149" s="97">
        <f t="shared" si="6"/>
        <v>5.2191780821917808</v>
      </c>
      <c r="S149" s="75">
        <f t="shared" si="7"/>
        <v>43105.191780821922</v>
      </c>
      <c r="U149" s="8">
        <v>43384</v>
      </c>
      <c r="W149" s="6" t="s">
        <v>84</v>
      </c>
      <c r="X149" s="95">
        <v>45478</v>
      </c>
    </row>
    <row r="150" spans="1:24" x14ac:dyDescent="0.25">
      <c r="A150" s="107" t="s">
        <v>117</v>
      </c>
      <c r="B150" s="106" t="s">
        <v>666</v>
      </c>
      <c r="C150" s="107" t="s">
        <v>667</v>
      </c>
      <c r="D150" s="142">
        <v>11672893</v>
      </c>
      <c r="E150" s="107" t="s">
        <v>209</v>
      </c>
      <c r="F150" s="107" t="s">
        <v>148</v>
      </c>
      <c r="G150" s="107" t="s">
        <v>668</v>
      </c>
      <c r="H150" s="108">
        <v>45095</v>
      </c>
      <c r="I150" s="54">
        <v>43243</v>
      </c>
      <c r="J150" s="54">
        <v>43243</v>
      </c>
      <c r="K150" s="55">
        <v>43243</v>
      </c>
      <c r="L150" s="109" t="s">
        <v>31</v>
      </c>
      <c r="M150" s="54">
        <v>43251</v>
      </c>
      <c r="N150" s="54">
        <v>43291</v>
      </c>
      <c r="O150" s="54">
        <v>43280</v>
      </c>
      <c r="P150" s="56" t="s">
        <v>35</v>
      </c>
      <c r="Q150" s="77">
        <v>730</v>
      </c>
      <c r="R150" s="97">
        <f t="shared" si="6"/>
        <v>2</v>
      </c>
      <c r="S150" s="75">
        <f t="shared" si="7"/>
        <v>16518</v>
      </c>
      <c r="T150" s="131"/>
      <c r="U150" s="108">
        <v>43291</v>
      </c>
      <c r="W150" s="6" t="s">
        <v>84</v>
      </c>
      <c r="X150" s="95">
        <v>37190</v>
      </c>
    </row>
    <row r="151" spans="1:24" ht="30" x14ac:dyDescent="0.25">
      <c r="A151" s="6" t="s">
        <v>669</v>
      </c>
      <c r="B151" s="94" t="s">
        <v>670</v>
      </c>
      <c r="C151" s="6" t="s">
        <v>671</v>
      </c>
      <c r="D151" s="140">
        <v>11129319</v>
      </c>
      <c r="E151" s="6" t="s">
        <v>672</v>
      </c>
      <c r="F151" s="10" t="s">
        <v>50</v>
      </c>
      <c r="G151" s="6" t="s">
        <v>673</v>
      </c>
      <c r="H151" s="8">
        <v>49938</v>
      </c>
      <c r="I151" s="95">
        <v>43013</v>
      </c>
      <c r="J151" s="95">
        <v>43013</v>
      </c>
      <c r="K151" s="95">
        <v>43013</v>
      </c>
      <c r="L151" s="95" t="s">
        <v>31</v>
      </c>
      <c r="M151" s="8">
        <v>43034</v>
      </c>
      <c r="N151" s="98">
        <v>43586</v>
      </c>
      <c r="O151" s="8">
        <v>43572</v>
      </c>
      <c r="P151" s="6" t="s">
        <v>35</v>
      </c>
      <c r="Q151" s="96">
        <v>7791</v>
      </c>
      <c r="R151" s="97">
        <f t="shared" si="6"/>
        <v>21.345205479452055</v>
      </c>
      <c r="S151" s="75">
        <f t="shared" si="7"/>
        <v>176290.05205479453</v>
      </c>
      <c r="T151" s="124" t="s">
        <v>674</v>
      </c>
      <c r="U151" s="8">
        <v>43608</v>
      </c>
      <c r="W151" s="6" t="s">
        <v>33</v>
      </c>
      <c r="X151" s="95">
        <v>43218</v>
      </c>
    </row>
    <row r="152" spans="1:24" ht="30" x14ac:dyDescent="0.25">
      <c r="A152" s="6" t="s">
        <v>65</v>
      </c>
      <c r="B152" s="94" t="s">
        <v>323</v>
      </c>
      <c r="C152" s="6" t="s">
        <v>675</v>
      </c>
      <c r="D152" s="140">
        <v>11568093</v>
      </c>
      <c r="E152" s="6" t="s">
        <v>656</v>
      </c>
      <c r="F152" s="10" t="s">
        <v>44</v>
      </c>
      <c r="G152" s="6" t="s">
        <v>676</v>
      </c>
      <c r="H152" s="8">
        <v>47347</v>
      </c>
      <c r="I152" s="8">
        <v>43278</v>
      </c>
      <c r="J152" s="8">
        <v>43278</v>
      </c>
      <c r="K152" s="95">
        <v>43313</v>
      </c>
      <c r="L152" s="95" t="s">
        <v>31</v>
      </c>
      <c r="M152" s="8">
        <v>43320</v>
      </c>
      <c r="N152" s="8">
        <v>43333</v>
      </c>
      <c r="O152" s="8">
        <v>43327</v>
      </c>
      <c r="P152" s="6" t="s">
        <v>75</v>
      </c>
      <c r="R152" s="97" t="str">
        <f t="shared" si="6"/>
        <v/>
      </c>
      <c r="S152" s="75" t="str">
        <f t="shared" si="7"/>
        <v/>
      </c>
      <c r="U152" s="8">
        <v>43348</v>
      </c>
      <c r="W152" s="6" t="s">
        <v>33</v>
      </c>
      <c r="X152" s="95">
        <v>52215</v>
      </c>
    </row>
    <row r="153" spans="1:24" x14ac:dyDescent="0.25">
      <c r="A153" s="6" t="s">
        <v>65</v>
      </c>
      <c r="B153" s="94" t="s">
        <v>646</v>
      </c>
      <c r="C153" s="6" t="s">
        <v>677</v>
      </c>
      <c r="D153" s="140">
        <v>11997960</v>
      </c>
      <c r="E153" s="6" t="s">
        <v>678</v>
      </c>
      <c r="F153" s="10" t="s">
        <v>44</v>
      </c>
      <c r="G153" s="6" t="s">
        <v>679</v>
      </c>
      <c r="H153" s="8">
        <v>66579</v>
      </c>
      <c r="I153" s="8">
        <v>43293</v>
      </c>
      <c r="J153" s="8">
        <v>43299</v>
      </c>
      <c r="K153" s="95">
        <v>43313</v>
      </c>
      <c r="L153" s="95" t="s">
        <v>31</v>
      </c>
      <c r="M153" s="95">
        <v>43320</v>
      </c>
      <c r="N153" s="8">
        <v>43332</v>
      </c>
      <c r="O153" s="8">
        <v>43327</v>
      </c>
      <c r="P153" s="101" t="s">
        <v>52</v>
      </c>
      <c r="R153" s="97" t="str">
        <f t="shared" si="6"/>
        <v/>
      </c>
      <c r="S153" s="75" t="str">
        <f t="shared" si="7"/>
        <v/>
      </c>
      <c r="T153" s="124" t="s">
        <v>680</v>
      </c>
      <c r="U153" s="8">
        <v>43332</v>
      </c>
      <c r="W153" s="6" t="s">
        <v>84</v>
      </c>
      <c r="X153" s="95">
        <v>51438</v>
      </c>
    </row>
    <row r="154" spans="1:24" s="99" customFormat="1" x14ac:dyDescent="0.25">
      <c r="A154" s="6" t="s">
        <v>70</v>
      </c>
      <c r="B154" s="94" t="s">
        <v>681</v>
      </c>
      <c r="C154" s="6" t="s">
        <v>682</v>
      </c>
      <c r="D154" s="140">
        <v>11326150</v>
      </c>
      <c r="E154" s="6" t="s">
        <v>185</v>
      </c>
      <c r="F154" s="10" t="s">
        <v>143</v>
      </c>
      <c r="G154" s="6">
        <v>210962</v>
      </c>
      <c r="H154" s="8">
        <v>2958125</v>
      </c>
      <c r="I154" s="8">
        <v>43304</v>
      </c>
      <c r="J154" s="8">
        <v>43304</v>
      </c>
      <c r="K154" s="95">
        <v>43313</v>
      </c>
      <c r="L154" s="95" t="s">
        <v>31</v>
      </c>
      <c r="M154" s="8">
        <v>43320</v>
      </c>
      <c r="N154" s="8">
        <v>43356</v>
      </c>
      <c r="O154" s="8">
        <v>43327</v>
      </c>
      <c r="P154" s="6" t="s">
        <v>75</v>
      </c>
      <c r="Q154" s="96"/>
      <c r="R154" s="97" t="str">
        <f t="shared" ref="R154:R217" si="8">IF(Q154&gt;0, Q154/365, "")</f>
        <v/>
      </c>
      <c r="S154" s="75" t="str">
        <f t="shared" ref="S154:S217" si="9">IF(Q154&gt;0, SUM(Q154)*(8259/365), "")</f>
        <v/>
      </c>
      <c r="T154" s="124"/>
      <c r="U154" s="8">
        <v>43360</v>
      </c>
      <c r="V154" s="6"/>
      <c r="W154" s="6" t="s">
        <v>84</v>
      </c>
      <c r="X154" s="6" t="s">
        <v>683</v>
      </c>
    </row>
    <row r="155" spans="1:24" x14ac:dyDescent="0.25">
      <c r="A155" s="6" t="s">
        <v>117</v>
      </c>
      <c r="B155" s="94" t="s">
        <v>684</v>
      </c>
      <c r="C155" s="6" t="s">
        <v>685</v>
      </c>
      <c r="D155" s="140">
        <v>11854688</v>
      </c>
      <c r="E155" s="6" t="s">
        <v>686</v>
      </c>
      <c r="F155" s="6" t="s">
        <v>148</v>
      </c>
      <c r="G155" s="6" t="s">
        <v>687</v>
      </c>
      <c r="H155" s="8">
        <v>43807</v>
      </c>
      <c r="I155" s="9">
        <v>43243</v>
      </c>
      <c r="J155" s="9">
        <v>43243</v>
      </c>
      <c r="K155" s="7">
        <v>43243</v>
      </c>
      <c r="L155" s="95" t="s">
        <v>31</v>
      </c>
      <c r="M155" s="9">
        <v>43251</v>
      </c>
      <c r="N155" s="8">
        <v>43529</v>
      </c>
      <c r="O155" s="9">
        <v>43482</v>
      </c>
      <c r="P155" s="10" t="s">
        <v>35</v>
      </c>
      <c r="Q155" s="76">
        <v>730</v>
      </c>
      <c r="R155" s="97">
        <f t="shared" si="8"/>
        <v>2</v>
      </c>
      <c r="S155" s="75">
        <f t="shared" si="9"/>
        <v>16518</v>
      </c>
      <c r="T155" s="128" t="s">
        <v>320</v>
      </c>
      <c r="U155" s="8">
        <v>43529</v>
      </c>
      <c r="W155" s="6" t="s">
        <v>84</v>
      </c>
      <c r="X155" s="95">
        <v>44138</v>
      </c>
    </row>
    <row r="156" spans="1:24" x14ac:dyDescent="0.25">
      <c r="A156" s="6" t="s">
        <v>117</v>
      </c>
      <c r="B156" s="94" t="s">
        <v>688</v>
      </c>
      <c r="C156" s="6" t="s">
        <v>689</v>
      </c>
      <c r="D156" s="140">
        <v>11538774</v>
      </c>
      <c r="E156" s="6" t="s">
        <v>690</v>
      </c>
      <c r="F156" s="6" t="s">
        <v>309</v>
      </c>
      <c r="G156" s="6" t="s">
        <v>691</v>
      </c>
      <c r="H156" s="8">
        <v>43860</v>
      </c>
      <c r="I156" s="9">
        <v>43243</v>
      </c>
      <c r="J156" s="9">
        <v>43256</v>
      </c>
      <c r="K156" s="9">
        <v>43256</v>
      </c>
      <c r="L156" s="95" t="s">
        <v>31</v>
      </c>
      <c r="M156" s="9">
        <v>43256</v>
      </c>
      <c r="N156" s="8">
        <v>43444</v>
      </c>
      <c r="O156" s="8">
        <v>43434</v>
      </c>
      <c r="P156" s="6" t="s">
        <v>35</v>
      </c>
      <c r="Q156" s="96">
        <v>730</v>
      </c>
      <c r="R156" s="97">
        <f t="shared" si="8"/>
        <v>2</v>
      </c>
      <c r="S156" s="75">
        <f t="shared" si="9"/>
        <v>16518</v>
      </c>
      <c r="T156" s="128" t="s">
        <v>561</v>
      </c>
      <c r="U156" s="8">
        <v>43476</v>
      </c>
      <c r="W156" s="6" t="s">
        <v>84</v>
      </c>
      <c r="X156" s="95">
        <v>41465</v>
      </c>
    </row>
    <row r="157" spans="1:24" x14ac:dyDescent="0.25">
      <c r="A157" s="6" t="s">
        <v>117</v>
      </c>
      <c r="B157" s="94" t="s">
        <v>323</v>
      </c>
      <c r="C157" s="6" t="s">
        <v>692</v>
      </c>
      <c r="D157" s="140">
        <v>11939029</v>
      </c>
      <c r="E157" s="6" t="s">
        <v>472</v>
      </c>
      <c r="F157" s="6" t="s">
        <v>693</v>
      </c>
      <c r="G157" s="6" t="s">
        <v>694</v>
      </c>
      <c r="H157" s="8">
        <v>43900</v>
      </c>
      <c r="I157" s="9">
        <v>43243</v>
      </c>
      <c r="J157" s="8">
        <v>43251</v>
      </c>
      <c r="K157" s="95">
        <v>43263</v>
      </c>
      <c r="L157" s="95" t="s">
        <v>31</v>
      </c>
      <c r="M157" s="8">
        <v>43266</v>
      </c>
      <c r="R157" s="97" t="str">
        <f t="shared" si="8"/>
        <v/>
      </c>
      <c r="S157" s="75" t="str">
        <f t="shared" si="9"/>
        <v/>
      </c>
      <c r="T157" s="155" t="s">
        <v>695</v>
      </c>
      <c r="U157" s="8">
        <v>44783</v>
      </c>
      <c r="W157" s="6" t="s">
        <v>33</v>
      </c>
      <c r="X157" s="95">
        <v>49688</v>
      </c>
    </row>
    <row r="158" spans="1:24" ht="30" x14ac:dyDescent="0.25">
      <c r="A158" s="6" t="s">
        <v>65</v>
      </c>
      <c r="B158" s="94" t="s">
        <v>696</v>
      </c>
      <c r="C158" s="6" t="s">
        <v>697</v>
      </c>
      <c r="D158" s="140">
        <v>11596956</v>
      </c>
      <c r="E158" s="6" t="s">
        <v>698</v>
      </c>
      <c r="F158" s="10" t="s">
        <v>44</v>
      </c>
      <c r="G158" s="6" t="s">
        <v>699</v>
      </c>
      <c r="H158" s="8">
        <v>49218</v>
      </c>
      <c r="I158" s="8">
        <v>43293</v>
      </c>
      <c r="J158" s="8">
        <v>43293</v>
      </c>
      <c r="K158" s="95">
        <v>43306</v>
      </c>
      <c r="L158" s="95" t="s">
        <v>31</v>
      </c>
      <c r="M158" s="8">
        <v>43312</v>
      </c>
      <c r="N158" s="8">
        <v>43348</v>
      </c>
      <c r="O158" s="8">
        <v>43328</v>
      </c>
      <c r="P158" s="101" t="s">
        <v>52</v>
      </c>
      <c r="R158" s="97" t="str">
        <f t="shared" si="8"/>
        <v/>
      </c>
      <c r="S158" s="75" t="str">
        <f t="shared" si="9"/>
        <v/>
      </c>
      <c r="T158" s="124" t="s">
        <v>700</v>
      </c>
      <c r="U158" s="8">
        <v>43348</v>
      </c>
      <c r="W158" s="6" t="s">
        <v>33</v>
      </c>
      <c r="X158" s="95">
        <v>43968</v>
      </c>
    </row>
    <row r="159" spans="1:24" x14ac:dyDescent="0.25">
      <c r="A159" s="6" t="s">
        <v>117</v>
      </c>
      <c r="B159" s="94" t="s">
        <v>242</v>
      </c>
      <c r="C159" s="6" t="s">
        <v>701</v>
      </c>
      <c r="D159" s="140">
        <v>11541090</v>
      </c>
      <c r="E159" s="6" t="s">
        <v>209</v>
      </c>
      <c r="F159" s="6" t="s">
        <v>455</v>
      </c>
      <c r="G159" s="6" t="s">
        <v>702</v>
      </c>
      <c r="H159" s="8">
        <v>43967</v>
      </c>
      <c r="I159" s="9">
        <v>43243</v>
      </c>
      <c r="J159" s="8">
        <v>43258</v>
      </c>
      <c r="K159" s="95">
        <v>43264</v>
      </c>
      <c r="L159" s="95" t="s">
        <v>31</v>
      </c>
      <c r="M159" s="8">
        <v>43266</v>
      </c>
      <c r="N159" s="8">
        <v>43528</v>
      </c>
      <c r="O159" s="8">
        <v>43489</v>
      </c>
      <c r="P159" s="6" t="s">
        <v>90</v>
      </c>
      <c r="Q159" s="96">
        <v>2191</v>
      </c>
      <c r="R159" s="97">
        <f t="shared" si="8"/>
        <v>6.0027397260273974</v>
      </c>
      <c r="S159" s="75">
        <f t="shared" si="9"/>
        <v>49576.627397260272</v>
      </c>
      <c r="T159" s="124" t="s">
        <v>703</v>
      </c>
      <c r="U159" s="8">
        <v>43538</v>
      </c>
      <c r="V159" s="6" t="s">
        <v>36</v>
      </c>
      <c r="W159" s="6" t="s">
        <v>33</v>
      </c>
      <c r="X159" s="95">
        <v>44030</v>
      </c>
    </row>
    <row r="160" spans="1:24" x14ac:dyDescent="0.25">
      <c r="A160" s="6" t="s">
        <v>117</v>
      </c>
      <c r="B160" s="94" t="s">
        <v>704</v>
      </c>
      <c r="C160" s="6" t="s">
        <v>705</v>
      </c>
      <c r="D160" s="140">
        <v>11290901</v>
      </c>
      <c r="E160" s="6" t="s">
        <v>706</v>
      </c>
      <c r="F160" s="6" t="s">
        <v>437</v>
      </c>
      <c r="G160" s="6" t="s">
        <v>707</v>
      </c>
      <c r="H160" s="8">
        <v>44015</v>
      </c>
      <c r="I160" s="9">
        <v>43243</v>
      </c>
      <c r="J160" s="8">
        <v>43251</v>
      </c>
      <c r="K160" s="95">
        <v>43263</v>
      </c>
      <c r="L160" s="95" t="s">
        <v>31</v>
      </c>
      <c r="M160" s="8">
        <v>43266</v>
      </c>
      <c r="N160" s="8">
        <v>43451</v>
      </c>
      <c r="O160" s="8">
        <v>43440</v>
      </c>
      <c r="P160" s="6" t="s">
        <v>90</v>
      </c>
      <c r="Q160" s="96">
        <v>730</v>
      </c>
      <c r="R160" s="97">
        <f t="shared" si="8"/>
        <v>2</v>
      </c>
      <c r="S160" s="75">
        <f t="shared" si="9"/>
        <v>16518</v>
      </c>
      <c r="T160" s="124" t="s">
        <v>708</v>
      </c>
      <c r="U160" s="8">
        <v>43455</v>
      </c>
      <c r="V160" s="6" t="s">
        <v>36</v>
      </c>
      <c r="W160" s="6" t="s">
        <v>33</v>
      </c>
      <c r="X160" s="95">
        <v>42550</v>
      </c>
    </row>
    <row r="161" spans="1:24" x14ac:dyDescent="0.25">
      <c r="A161" s="6" t="s">
        <v>117</v>
      </c>
      <c r="B161" s="94" t="s">
        <v>573</v>
      </c>
      <c r="C161" s="6" t="s">
        <v>709</v>
      </c>
      <c r="D161" s="140">
        <v>11767862</v>
      </c>
      <c r="E161" s="101" t="s">
        <v>314</v>
      </c>
      <c r="F161" s="6" t="s">
        <v>205</v>
      </c>
      <c r="G161" s="6" t="s">
        <v>710</v>
      </c>
      <c r="H161" s="8">
        <v>44930</v>
      </c>
      <c r="I161" s="9">
        <v>43243</v>
      </c>
      <c r="J161" s="8">
        <v>43251</v>
      </c>
      <c r="K161" s="95">
        <v>43263</v>
      </c>
      <c r="L161" s="95" t="s">
        <v>31</v>
      </c>
      <c r="M161" s="8">
        <v>43266</v>
      </c>
      <c r="R161" s="97" t="str">
        <f t="shared" si="8"/>
        <v/>
      </c>
      <c r="S161" s="75" t="str">
        <f t="shared" si="9"/>
        <v/>
      </c>
      <c r="T161" s="129" t="s">
        <v>711</v>
      </c>
      <c r="U161" s="8">
        <v>44783</v>
      </c>
      <c r="W161" s="6" t="s">
        <v>33</v>
      </c>
      <c r="X161" s="95">
        <v>40750</v>
      </c>
    </row>
    <row r="162" spans="1:24" x14ac:dyDescent="0.25">
      <c r="A162" s="6" t="s">
        <v>117</v>
      </c>
      <c r="B162" s="94" t="s">
        <v>712</v>
      </c>
      <c r="C162" s="6" t="s">
        <v>713</v>
      </c>
      <c r="D162" s="140">
        <v>11326463</v>
      </c>
      <c r="E162" s="6" t="s">
        <v>714</v>
      </c>
      <c r="F162" s="6" t="s">
        <v>455</v>
      </c>
      <c r="G162" s="6" t="s">
        <v>715</v>
      </c>
      <c r="H162" s="8">
        <v>44994</v>
      </c>
      <c r="I162" s="9">
        <v>43243</v>
      </c>
      <c r="J162" s="9">
        <v>43250</v>
      </c>
      <c r="K162" s="7">
        <v>43250</v>
      </c>
      <c r="L162" s="95" t="s">
        <v>31</v>
      </c>
      <c r="M162" s="9">
        <v>43257</v>
      </c>
      <c r="N162" s="9">
        <v>43433</v>
      </c>
      <c r="O162" s="9">
        <v>43418</v>
      </c>
      <c r="P162" s="10" t="s">
        <v>35</v>
      </c>
      <c r="Q162" s="76">
        <v>365</v>
      </c>
      <c r="R162" s="97">
        <f t="shared" si="8"/>
        <v>1</v>
      </c>
      <c r="S162" s="75">
        <f t="shared" si="9"/>
        <v>8259</v>
      </c>
      <c r="T162" s="124" t="s">
        <v>716</v>
      </c>
      <c r="U162" s="8">
        <v>43438</v>
      </c>
      <c r="W162" s="6" t="s">
        <v>33</v>
      </c>
      <c r="X162" s="95">
        <v>44608</v>
      </c>
    </row>
    <row r="163" spans="1:24" ht="30" x14ac:dyDescent="0.25">
      <c r="A163" s="6" t="s">
        <v>117</v>
      </c>
      <c r="B163" s="94" t="s">
        <v>66</v>
      </c>
      <c r="C163" s="6" t="s">
        <v>717</v>
      </c>
      <c r="D163" s="140">
        <v>11133975</v>
      </c>
      <c r="E163" s="6" t="s">
        <v>247</v>
      </c>
      <c r="F163" s="6" t="s">
        <v>528</v>
      </c>
      <c r="G163" s="6" t="s">
        <v>718</v>
      </c>
      <c r="H163" s="8">
        <v>45051</v>
      </c>
      <c r="I163" s="9">
        <v>43243</v>
      </c>
      <c r="J163" s="9">
        <v>43250</v>
      </c>
      <c r="K163" s="7">
        <v>43250</v>
      </c>
      <c r="L163" s="95" t="s">
        <v>31</v>
      </c>
      <c r="M163" s="9">
        <v>43257</v>
      </c>
      <c r="N163" s="9"/>
      <c r="O163" s="9"/>
      <c r="P163" s="10"/>
      <c r="Q163" s="76"/>
      <c r="R163" s="97" t="str">
        <f t="shared" si="8"/>
        <v/>
      </c>
      <c r="S163" s="75" t="str">
        <f t="shared" si="9"/>
        <v/>
      </c>
      <c r="T163" s="124" t="s">
        <v>620</v>
      </c>
      <c r="W163" s="6" t="s">
        <v>84</v>
      </c>
      <c r="X163" s="95">
        <v>44502</v>
      </c>
    </row>
    <row r="164" spans="1:24" x14ac:dyDescent="0.25">
      <c r="A164" s="6" t="s">
        <v>117</v>
      </c>
      <c r="B164" s="94" t="s">
        <v>719</v>
      </c>
      <c r="C164" s="6" t="s">
        <v>720</v>
      </c>
      <c r="D164" s="140">
        <v>11120936</v>
      </c>
      <c r="E164" s="6" t="s">
        <v>247</v>
      </c>
      <c r="F164" s="6" t="s">
        <v>134</v>
      </c>
      <c r="G164" s="6" t="s">
        <v>721</v>
      </c>
      <c r="H164" s="8">
        <v>45075</v>
      </c>
      <c r="I164" s="9">
        <v>43243</v>
      </c>
      <c r="J164" s="9">
        <v>43250</v>
      </c>
      <c r="K164" s="7">
        <v>43250</v>
      </c>
      <c r="L164" s="95" t="s">
        <v>31</v>
      </c>
      <c r="M164" s="9">
        <v>43257</v>
      </c>
      <c r="N164" s="9">
        <v>43560</v>
      </c>
      <c r="O164" s="9">
        <v>43544</v>
      </c>
      <c r="P164" s="10" t="s">
        <v>35</v>
      </c>
      <c r="Q164" s="76">
        <v>2191</v>
      </c>
      <c r="R164" s="97">
        <f t="shared" si="8"/>
        <v>6.0027397260273974</v>
      </c>
      <c r="S164" s="75">
        <f t="shared" si="9"/>
        <v>49576.627397260272</v>
      </c>
      <c r="T164" s="128" t="s">
        <v>722</v>
      </c>
      <c r="U164" s="8">
        <v>43560</v>
      </c>
      <c r="W164" s="6" t="s">
        <v>33</v>
      </c>
      <c r="X164" s="95">
        <v>40859</v>
      </c>
    </row>
    <row r="165" spans="1:24" x14ac:dyDescent="0.25">
      <c r="A165" s="6" t="s">
        <v>117</v>
      </c>
      <c r="B165" s="94" t="s">
        <v>723</v>
      </c>
      <c r="C165" s="6" t="s">
        <v>724</v>
      </c>
      <c r="D165" s="140">
        <v>11524050</v>
      </c>
      <c r="E165" s="6" t="s">
        <v>725</v>
      </c>
      <c r="F165" s="6" t="s">
        <v>205</v>
      </c>
      <c r="G165" s="6" t="s">
        <v>726</v>
      </c>
      <c r="H165" s="8">
        <v>45114</v>
      </c>
      <c r="I165" s="9">
        <v>43243</v>
      </c>
      <c r="J165" s="9">
        <v>43250</v>
      </c>
      <c r="K165" s="7">
        <v>43250</v>
      </c>
      <c r="L165" s="95" t="s">
        <v>31</v>
      </c>
      <c r="M165" s="9">
        <v>43257</v>
      </c>
      <c r="N165" s="8">
        <v>43558</v>
      </c>
      <c r="O165" s="9">
        <v>43542</v>
      </c>
      <c r="P165" s="10" t="s">
        <v>35</v>
      </c>
      <c r="Q165" s="76">
        <v>730</v>
      </c>
      <c r="R165" s="97">
        <f t="shared" si="8"/>
        <v>2</v>
      </c>
      <c r="S165" s="75">
        <f t="shared" si="9"/>
        <v>16518</v>
      </c>
      <c r="T165" s="128" t="s">
        <v>320</v>
      </c>
      <c r="U165" s="8">
        <v>43558</v>
      </c>
      <c r="W165" s="6" t="s">
        <v>84</v>
      </c>
      <c r="X165" s="95">
        <v>38183</v>
      </c>
    </row>
    <row r="166" spans="1:24" x14ac:dyDescent="0.25">
      <c r="A166" s="6" t="s">
        <v>117</v>
      </c>
      <c r="B166" s="94" t="s">
        <v>727</v>
      </c>
      <c r="C166" s="6" t="s">
        <v>728</v>
      </c>
      <c r="D166" s="140">
        <v>11037609</v>
      </c>
      <c r="E166" s="6" t="s">
        <v>729</v>
      </c>
      <c r="F166" s="6" t="s">
        <v>121</v>
      </c>
      <c r="G166" s="6" t="s">
        <v>730</v>
      </c>
      <c r="H166" s="8">
        <v>43976</v>
      </c>
      <c r="I166" s="8">
        <v>43251</v>
      </c>
      <c r="J166" s="8">
        <v>43251</v>
      </c>
      <c r="K166" s="95">
        <v>43209</v>
      </c>
      <c r="L166" s="95" t="s">
        <v>31</v>
      </c>
      <c r="M166" s="8">
        <v>43213</v>
      </c>
      <c r="N166" s="9">
        <v>43262</v>
      </c>
      <c r="O166" s="9">
        <v>43259</v>
      </c>
      <c r="P166" s="6" t="s">
        <v>35</v>
      </c>
      <c r="Q166" s="96">
        <v>365</v>
      </c>
      <c r="R166" s="97">
        <f t="shared" si="8"/>
        <v>1</v>
      </c>
      <c r="S166" s="75">
        <f t="shared" si="9"/>
        <v>8259</v>
      </c>
      <c r="T166" s="124" t="s">
        <v>731</v>
      </c>
      <c r="U166" s="8">
        <v>43263</v>
      </c>
      <c r="V166" s="6" t="s">
        <v>350</v>
      </c>
      <c r="W166" s="6" t="s">
        <v>33</v>
      </c>
      <c r="X166" s="95">
        <v>43273</v>
      </c>
    </row>
    <row r="167" spans="1:24" x14ac:dyDescent="0.25">
      <c r="A167" s="107" t="s">
        <v>117</v>
      </c>
      <c r="B167" s="106" t="s">
        <v>732</v>
      </c>
      <c r="C167" s="107" t="s">
        <v>733</v>
      </c>
      <c r="D167" s="142">
        <v>11015109</v>
      </c>
      <c r="E167" s="6" t="s">
        <v>386</v>
      </c>
      <c r="F167" s="107" t="s">
        <v>121</v>
      </c>
      <c r="G167" s="107" t="s">
        <v>734</v>
      </c>
      <c r="H167" s="108">
        <v>43985</v>
      </c>
      <c r="I167" s="108">
        <v>43251</v>
      </c>
      <c r="J167" s="108">
        <v>43251</v>
      </c>
      <c r="K167" s="109">
        <v>43299</v>
      </c>
      <c r="L167" s="109" t="s">
        <v>31</v>
      </c>
      <c r="M167" s="108">
        <v>43266</v>
      </c>
      <c r="N167" s="108">
        <v>43292</v>
      </c>
      <c r="O167" s="108">
        <v>43279</v>
      </c>
      <c r="P167" s="107" t="s">
        <v>35</v>
      </c>
      <c r="Q167" s="110">
        <v>1095</v>
      </c>
      <c r="R167" s="97">
        <f t="shared" si="8"/>
        <v>3</v>
      </c>
      <c r="S167" s="75">
        <f t="shared" si="9"/>
        <v>24777</v>
      </c>
      <c r="T167" s="129"/>
      <c r="U167" s="108">
        <v>43600</v>
      </c>
      <c r="W167" s="6" t="s">
        <v>33</v>
      </c>
      <c r="X167" s="95">
        <v>43372</v>
      </c>
    </row>
    <row r="168" spans="1:24" x14ac:dyDescent="0.25">
      <c r="A168" s="6" t="s">
        <v>117</v>
      </c>
      <c r="B168" s="94" t="s">
        <v>735</v>
      </c>
      <c r="C168" s="6" t="s">
        <v>736</v>
      </c>
      <c r="D168" s="140">
        <v>11126393</v>
      </c>
      <c r="E168" s="6" t="s">
        <v>104</v>
      </c>
      <c r="F168" s="6" t="s">
        <v>437</v>
      </c>
      <c r="G168" s="6" t="s">
        <v>737</v>
      </c>
      <c r="H168" s="8">
        <v>43917</v>
      </c>
      <c r="I168" s="8">
        <v>43251</v>
      </c>
      <c r="J168" s="8">
        <v>43251</v>
      </c>
      <c r="K168" s="95">
        <v>43264</v>
      </c>
      <c r="L168" s="95" t="s">
        <v>31</v>
      </c>
      <c r="M168" s="8">
        <v>43266</v>
      </c>
      <c r="N168" s="8">
        <v>43532</v>
      </c>
      <c r="O168" s="8">
        <v>43423</v>
      </c>
      <c r="P168" s="6" t="s">
        <v>35</v>
      </c>
      <c r="Q168" s="96">
        <v>1095</v>
      </c>
      <c r="R168" s="97">
        <f t="shared" si="8"/>
        <v>3</v>
      </c>
      <c r="S168" s="75">
        <f t="shared" si="9"/>
        <v>24777</v>
      </c>
      <c r="T168" s="124" t="s">
        <v>159</v>
      </c>
      <c r="U168" s="8">
        <v>43532</v>
      </c>
      <c r="W168" s="6" t="s">
        <v>33</v>
      </c>
      <c r="X168" s="95">
        <v>44107</v>
      </c>
    </row>
    <row r="169" spans="1:24" x14ac:dyDescent="0.25">
      <c r="A169" s="6" t="s">
        <v>168</v>
      </c>
      <c r="B169" s="94" t="s">
        <v>738</v>
      </c>
      <c r="C169" s="6" t="s">
        <v>739</v>
      </c>
      <c r="D169" s="140">
        <v>11915972</v>
      </c>
      <c r="E169" s="6" t="s">
        <v>740</v>
      </c>
      <c r="F169" s="10" t="s">
        <v>44</v>
      </c>
      <c r="G169" s="6" t="s">
        <v>741</v>
      </c>
      <c r="H169" s="8">
        <v>45385</v>
      </c>
      <c r="I169" s="8">
        <v>43815</v>
      </c>
      <c r="J169" s="8">
        <v>43836</v>
      </c>
      <c r="R169" s="97" t="str">
        <f t="shared" si="8"/>
        <v/>
      </c>
      <c r="S169" s="75" t="str">
        <f t="shared" si="9"/>
        <v/>
      </c>
      <c r="T169" s="124" t="s">
        <v>742</v>
      </c>
      <c r="U169" s="8">
        <v>45007</v>
      </c>
      <c r="W169" s="6" t="s">
        <v>84</v>
      </c>
      <c r="X169" s="95">
        <v>45422</v>
      </c>
    </row>
    <row r="170" spans="1:24" x14ac:dyDescent="0.25">
      <c r="A170" s="6" t="s">
        <v>70</v>
      </c>
      <c r="B170" s="94" t="s">
        <v>743</v>
      </c>
      <c r="C170" s="6" t="s">
        <v>744</v>
      </c>
      <c r="D170" s="140">
        <v>11327285</v>
      </c>
      <c r="E170" s="6" t="s">
        <v>175</v>
      </c>
      <c r="F170" s="107" t="s">
        <v>205</v>
      </c>
      <c r="G170" s="6" t="s">
        <v>745</v>
      </c>
      <c r="H170" s="8">
        <v>44114</v>
      </c>
      <c r="I170" s="8">
        <v>43262</v>
      </c>
      <c r="J170" s="8">
        <v>43263</v>
      </c>
      <c r="K170" s="95">
        <v>43264</v>
      </c>
      <c r="L170" s="95" t="s">
        <v>31</v>
      </c>
      <c r="M170" s="8">
        <v>43266</v>
      </c>
      <c r="R170" s="97" t="str">
        <f t="shared" si="8"/>
        <v/>
      </c>
      <c r="S170" s="75" t="str">
        <f t="shared" si="9"/>
        <v/>
      </c>
      <c r="T170" s="124" t="s">
        <v>253</v>
      </c>
      <c r="U170" s="8">
        <v>43700</v>
      </c>
      <c r="V170" s="6" t="s">
        <v>36</v>
      </c>
      <c r="W170" s="6" t="s">
        <v>33</v>
      </c>
      <c r="X170" s="95">
        <v>54235</v>
      </c>
    </row>
    <row r="171" spans="1:24" x14ac:dyDescent="0.25">
      <c r="A171" s="6" t="s">
        <v>37</v>
      </c>
      <c r="B171" s="94" t="s">
        <v>488</v>
      </c>
      <c r="C171" s="6" t="s">
        <v>746</v>
      </c>
      <c r="D171" s="140">
        <v>12168906</v>
      </c>
      <c r="E171" s="6" t="s">
        <v>747</v>
      </c>
      <c r="F171" s="10" t="s">
        <v>62</v>
      </c>
      <c r="G171" s="6" t="s">
        <v>748</v>
      </c>
      <c r="H171" s="8">
        <v>46032</v>
      </c>
      <c r="I171" s="8">
        <v>43259</v>
      </c>
      <c r="J171" s="8">
        <v>43259</v>
      </c>
      <c r="K171" s="95">
        <v>43259</v>
      </c>
      <c r="L171" s="95" t="s">
        <v>359</v>
      </c>
      <c r="R171" s="97" t="str">
        <f t="shared" si="8"/>
        <v/>
      </c>
      <c r="S171" s="75" t="str">
        <f t="shared" si="9"/>
        <v/>
      </c>
      <c r="U171" s="8">
        <v>43264</v>
      </c>
      <c r="W171" s="6" t="s">
        <v>33</v>
      </c>
      <c r="X171" s="95">
        <v>47610</v>
      </c>
    </row>
    <row r="172" spans="1:24" x14ac:dyDescent="0.25">
      <c r="A172" s="6" t="s">
        <v>85</v>
      </c>
      <c r="B172" s="94" t="s">
        <v>388</v>
      </c>
      <c r="C172" s="6" t="s">
        <v>749</v>
      </c>
      <c r="D172" s="140">
        <v>12133433</v>
      </c>
      <c r="E172" s="6" t="s">
        <v>199</v>
      </c>
      <c r="F172" s="6" t="s">
        <v>134</v>
      </c>
      <c r="G172" s="6" t="s">
        <v>750</v>
      </c>
      <c r="H172" s="8">
        <v>46659</v>
      </c>
      <c r="I172" s="8">
        <v>43262</v>
      </c>
      <c r="J172" s="8">
        <v>43263</v>
      </c>
      <c r="K172" s="95">
        <v>43271</v>
      </c>
      <c r="L172" s="95" t="s">
        <v>31</v>
      </c>
      <c r="M172" s="95">
        <v>43271</v>
      </c>
      <c r="N172" s="8">
        <v>43398</v>
      </c>
      <c r="O172" s="8">
        <v>43398</v>
      </c>
      <c r="P172" s="6" t="s">
        <v>35</v>
      </c>
      <c r="Q172" s="96">
        <v>365</v>
      </c>
      <c r="R172" s="97">
        <f t="shared" si="8"/>
        <v>1</v>
      </c>
      <c r="S172" s="75">
        <f t="shared" si="9"/>
        <v>8259</v>
      </c>
      <c r="U172" s="8">
        <v>43419</v>
      </c>
      <c r="W172" s="6" t="s">
        <v>33</v>
      </c>
      <c r="X172" s="95">
        <v>46642</v>
      </c>
    </row>
    <row r="173" spans="1:24" x14ac:dyDescent="0.25">
      <c r="A173" s="6" t="s">
        <v>85</v>
      </c>
      <c r="B173" s="94" t="s">
        <v>751</v>
      </c>
      <c r="C173" s="6" t="s">
        <v>752</v>
      </c>
      <c r="D173" s="140">
        <v>11302668</v>
      </c>
      <c r="E173" s="6" t="s">
        <v>607</v>
      </c>
      <c r="F173" s="6" t="s">
        <v>44</v>
      </c>
      <c r="G173" s="6" t="s">
        <v>753</v>
      </c>
      <c r="H173" s="8">
        <v>46773</v>
      </c>
      <c r="I173" s="8">
        <v>43262</v>
      </c>
      <c r="J173" s="8">
        <v>43263</v>
      </c>
      <c r="K173" s="95">
        <v>43264</v>
      </c>
      <c r="L173" s="95" t="s">
        <v>31</v>
      </c>
      <c r="M173" s="8">
        <v>43266</v>
      </c>
      <c r="N173" s="8">
        <v>43347</v>
      </c>
      <c r="O173" s="8">
        <v>43333</v>
      </c>
      <c r="P173" s="107" t="s">
        <v>35</v>
      </c>
      <c r="Q173" s="96">
        <v>2190</v>
      </c>
      <c r="R173" s="97">
        <f t="shared" si="8"/>
        <v>6</v>
      </c>
      <c r="S173" s="75">
        <f t="shared" si="9"/>
        <v>49554</v>
      </c>
      <c r="U173" s="8">
        <v>43353</v>
      </c>
      <c r="W173" s="6" t="s">
        <v>33</v>
      </c>
      <c r="X173" s="95">
        <v>45531</v>
      </c>
    </row>
    <row r="174" spans="1:24" s="112" customFormat="1" x14ac:dyDescent="0.25">
      <c r="A174" s="107" t="s">
        <v>85</v>
      </c>
      <c r="B174" s="106" t="s">
        <v>250</v>
      </c>
      <c r="C174" s="107" t="s">
        <v>754</v>
      </c>
      <c r="D174" s="142">
        <v>12168075</v>
      </c>
      <c r="E174" s="107" t="s">
        <v>656</v>
      </c>
      <c r="F174" s="107" t="s">
        <v>44</v>
      </c>
      <c r="G174" s="107" t="s">
        <v>755</v>
      </c>
      <c r="H174" s="108">
        <v>47243</v>
      </c>
      <c r="I174" s="108">
        <v>43262</v>
      </c>
      <c r="J174" s="108">
        <v>43263</v>
      </c>
      <c r="K174" s="109">
        <v>43271</v>
      </c>
      <c r="L174" s="109" t="s">
        <v>31</v>
      </c>
      <c r="M174" s="109">
        <v>43271</v>
      </c>
      <c r="N174" s="108">
        <v>43290</v>
      </c>
      <c r="O174" s="108">
        <v>43256</v>
      </c>
      <c r="P174" s="107" t="s">
        <v>35</v>
      </c>
      <c r="Q174" s="110">
        <v>730</v>
      </c>
      <c r="R174" s="97">
        <f t="shared" si="8"/>
        <v>2</v>
      </c>
      <c r="S174" s="75">
        <f t="shared" si="9"/>
        <v>16518</v>
      </c>
      <c r="T174" s="129"/>
      <c r="U174" s="108">
        <v>43291</v>
      </c>
      <c r="V174" s="6"/>
      <c r="W174" s="6" t="s">
        <v>33</v>
      </c>
      <c r="X174" s="95">
        <v>46734</v>
      </c>
    </row>
    <row r="175" spans="1:24" s="99" customFormat="1" x14ac:dyDescent="0.25">
      <c r="A175" s="6" t="s">
        <v>85</v>
      </c>
      <c r="B175" s="94" t="s">
        <v>183</v>
      </c>
      <c r="C175" s="6" t="s">
        <v>756</v>
      </c>
      <c r="D175" s="140">
        <v>12180204</v>
      </c>
      <c r="E175" s="6" t="s">
        <v>656</v>
      </c>
      <c r="F175" s="6" t="s">
        <v>44</v>
      </c>
      <c r="G175" s="6" t="s">
        <v>757</v>
      </c>
      <c r="H175" s="8">
        <v>48019</v>
      </c>
      <c r="I175" s="8">
        <v>43262</v>
      </c>
      <c r="J175" s="8">
        <v>43263</v>
      </c>
      <c r="K175" s="95">
        <v>43278</v>
      </c>
      <c r="L175" s="95" t="s">
        <v>31</v>
      </c>
      <c r="M175" s="8">
        <v>43280</v>
      </c>
      <c r="N175" s="8">
        <v>43347</v>
      </c>
      <c r="O175" s="8">
        <v>43343</v>
      </c>
      <c r="P175" s="6" t="s">
        <v>35</v>
      </c>
      <c r="Q175" s="96">
        <v>730</v>
      </c>
      <c r="R175" s="97">
        <f t="shared" si="8"/>
        <v>2</v>
      </c>
      <c r="S175" s="75">
        <f t="shared" si="9"/>
        <v>16518</v>
      </c>
      <c r="T175" s="124"/>
      <c r="U175" s="8">
        <v>43405</v>
      </c>
      <c r="V175" s="6"/>
      <c r="W175" s="6" t="s">
        <v>33</v>
      </c>
      <c r="X175" s="95">
        <v>52158</v>
      </c>
    </row>
    <row r="176" spans="1:24" s="99" customFormat="1" ht="45" x14ac:dyDescent="0.25">
      <c r="A176" s="6" t="s">
        <v>85</v>
      </c>
      <c r="B176" s="94" t="s">
        <v>323</v>
      </c>
      <c r="C176" s="6" t="s">
        <v>758</v>
      </c>
      <c r="D176" s="140">
        <v>12101229</v>
      </c>
      <c r="E176" s="6" t="s">
        <v>759</v>
      </c>
      <c r="F176" s="6" t="s">
        <v>44</v>
      </c>
      <c r="G176" s="6" t="s">
        <v>760</v>
      </c>
      <c r="H176" s="8">
        <v>49734</v>
      </c>
      <c r="I176" s="8">
        <v>43262</v>
      </c>
      <c r="J176" s="8">
        <v>43263</v>
      </c>
      <c r="K176" s="95">
        <v>43264</v>
      </c>
      <c r="L176" s="95" t="s">
        <v>31</v>
      </c>
      <c r="M176" s="8">
        <v>43266</v>
      </c>
      <c r="N176" s="8">
        <v>43315</v>
      </c>
      <c r="O176" s="8">
        <v>43389</v>
      </c>
      <c r="P176" s="6" t="s">
        <v>35</v>
      </c>
      <c r="Q176" s="96">
        <v>1095</v>
      </c>
      <c r="R176" s="97">
        <f t="shared" si="8"/>
        <v>3</v>
      </c>
      <c r="S176" s="75">
        <f t="shared" si="9"/>
        <v>24777</v>
      </c>
      <c r="T176" s="124" t="s">
        <v>761</v>
      </c>
      <c r="U176" s="8">
        <v>43461</v>
      </c>
      <c r="V176" s="6"/>
      <c r="W176" s="6" t="s">
        <v>33</v>
      </c>
      <c r="X176" s="95">
        <v>56448</v>
      </c>
    </row>
    <row r="177" spans="1:24" x14ac:dyDescent="0.25">
      <c r="A177" s="6" t="s">
        <v>85</v>
      </c>
      <c r="B177" s="94" t="s">
        <v>762</v>
      </c>
      <c r="C177" s="6" t="s">
        <v>763</v>
      </c>
      <c r="D177" s="140">
        <v>11669198</v>
      </c>
      <c r="E177" s="6" t="s">
        <v>607</v>
      </c>
      <c r="F177" s="6" t="s">
        <v>44</v>
      </c>
      <c r="G177" s="6" t="s">
        <v>764</v>
      </c>
      <c r="H177" s="8">
        <v>53634</v>
      </c>
      <c r="I177" s="8">
        <v>43262</v>
      </c>
      <c r="J177" s="8">
        <v>43263</v>
      </c>
      <c r="K177" s="95">
        <v>43271</v>
      </c>
      <c r="L177" s="95" t="s">
        <v>31</v>
      </c>
      <c r="M177" s="95">
        <v>43271</v>
      </c>
      <c r="N177" s="8">
        <v>43413</v>
      </c>
      <c r="O177" s="8">
        <v>43403</v>
      </c>
      <c r="P177" s="6" t="s">
        <v>35</v>
      </c>
      <c r="Q177" s="96">
        <v>1095</v>
      </c>
      <c r="R177" s="97">
        <f t="shared" si="8"/>
        <v>3</v>
      </c>
      <c r="S177" s="75">
        <f t="shared" si="9"/>
        <v>24777</v>
      </c>
      <c r="U177" s="8">
        <v>43417</v>
      </c>
      <c r="V177" s="100"/>
      <c r="W177" s="100" t="s">
        <v>33</v>
      </c>
      <c r="X177" s="104">
        <v>50702</v>
      </c>
    </row>
    <row r="178" spans="1:24" x14ac:dyDescent="0.25">
      <c r="A178" s="6" t="s">
        <v>85</v>
      </c>
      <c r="B178" s="94" t="s">
        <v>765</v>
      </c>
      <c r="C178" s="6" t="s">
        <v>766</v>
      </c>
      <c r="D178" s="140">
        <v>11630648</v>
      </c>
      <c r="E178" s="6" t="s">
        <v>759</v>
      </c>
      <c r="F178" s="6" t="s">
        <v>44</v>
      </c>
      <c r="G178" s="6" t="s">
        <v>767</v>
      </c>
      <c r="H178" s="8">
        <v>59528</v>
      </c>
      <c r="I178" s="8">
        <v>43262</v>
      </c>
      <c r="J178" s="8">
        <v>43263</v>
      </c>
      <c r="K178" s="95">
        <v>43278</v>
      </c>
      <c r="L178" s="95" t="s">
        <v>31</v>
      </c>
      <c r="M178" s="8">
        <v>43280</v>
      </c>
      <c r="N178" s="8">
        <v>43388</v>
      </c>
      <c r="O178" s="8">
        <v>43376</v>
      </c>
      <c r="P178" s="6" t="s">
        <v>35</v>
      </c>
      <c r="Q178" s="96">
        <v>1461</v>
      </c>
      <c r="R178" s="97">
        <f t="shared" si="8"/>
        <v>4.0027397260273974</v>
      </c>
      <c r="S178" s="75">
        <f t="shared" si="9"/>
        <v>33058.627397260272</v>
      </c>
      <c r="U178" s="8">
        <v>43391</v>
      </c>
      <c r="W178" s="6" t="s">
        <v>84</v>
      </c>
      <c r="X178" s="95">
        <v>52655</v>
      </c>
    </row>
    <row r="179" spans="1:24" x14ac:dyDescent="0.25">
      <c r="A179" s="6" t="s">
        <v>85</v>
      </c>
      <c r="B179" s="94" t="s">
        <v>590</v>
      </c>
      <c r="C179" s="6" t="s">
        <v>768</v>
      </c>
      <c r="D179" s="140">
        <v>12118882</v>
      </c>
      <c r="E179" s="6" t="s">
        <v>99</v>
      </c>
      <c r="F179" s="6" t="s">
        <v>205</v>
      </c>
      <c r="G179" s="6" t="s">
        <v>769</v>
      </c>
      <c r="H179" s="8">
        <v>46554</v>
      </c>
      <c r="I179" s="8">
        <v>43262</v>
      </c>
      <c r="J179" s="8">
        <v>43263</v>
      </c>
      <c r="K179" s="95">
        <v>43271</v>
      </c>
      <c r="L179" s="95" t="s">
        <v>31</v>
      </c>
      <c r="M179" s="95">
        <v>43271</v>
      </c>
      <c r="N179" s="8">
        <v>43399</v>
      </c>
      <c r="O179" s="8">
        <v>43395</v>
      </c>
      <c r="P179" s="6" t="s">
        <v>35</v>
      </c>
      <c r="Q179" s="96">
        <v>1095</v>
      </c>
      <c r="R179" s="97">
        <f t="shared" si="8"/>
        <v>3</v>
      </c>
      <c r="S179" s="75">
        <f t="shared" si="9"/>
        <v>24777</v>
      </c>
      <c r="U179" s="8">
        <v>43405</v>
      </c>
      <c r="W179" s="6" t="s">
        <v>33</v>
      </c>
      <c r="X179" s="95">
        <v>46620</v>
      </c>
    </row>
    <row r="180" spans="1:24" s="99" customFormat="1" x14ac:dyDescent="0.25">
      <c r="A180" s="6" t="s">
        <v>70</v>
      </c>
      <c r="B180" s="94" t="s">
        <v>770</v>
      </c>
      <c r="C180" s="6" t="s">
        <v>771</v>
      </c>
      <c r="D180" s="140">
        <v>11300224</v>
      </c>
      <c r="E180" s="6" t="s">
        <v>216</v>
      </c>
      <c r="F180" s="6" t="s">
        <v>29</v>
      </c>
      <c r="G180" s="6" t="s">
        <v>772</v>
      </c>
      <c r="H180" s="8">
        <v>50844</v>
      </c>
      <c r="I180" s="8">
        <v>43262</v>
      </c>
      <c r="J180" s="8">
        <v>43263</v>
      </c>
      <c r="K180" s="95">
        <v>43264</v>
      </c>
      <c r="L180" s="95" t="s">
        <v>31</v>
      </c>
      <c r="M180" s="8">
        <v>43266</v>
      </c>
      <c r="N180" s="8">
        <v>43332</v>
      </c>
      <c r="O180" s="8">
        <v>43314</v>
      </c>
      <c r="P180" s="6" t="s">
        <v>35</v>
      </c>
      <c r="Q180" s="96">
        <v>1460</v>
      </c>
      <c r="R180" s="97">
        <f t="shared" si="8"/>
        <v>4</v>
      </c>
      <c r="S180" s="75">
        <f t="shared" si="9"/>
        <v>33036</v>
      </c>
      <c r="T180" s="124" t="s">
        <v>773</v>
      </c>
      <c r="U180" s="8">
        <v>43332</v>
      </c>
      <c r="V180" s="100"/>
      <c r="W180" s="100" t="s">
        <v>84</v>
      </c>
      <c r="X180" s="104">
        <v>47382</v>
      </c>
    </row>
    <row r="181" spans="1:24" x14ac:dyDescent="0.25">
      <c r="A181" s="6" t="s">
        <v>70</v>
      </c>
      <c r="B181" s="94" t="s">
        <v>774</v>
      </c>
      <c r="C181" s="6" t="s">
        <v>775</v>
      </c>
      <c r="D181" s="140">
        <v>12004292</v>
      </c>
      <c r="E181" s="6" t="s">
        <v>446</v>
      </c>
      <c r="F181" s="6" t="s">
        <v>44</v>
      </c>
      <c r="G181" s="6" t="s">
        <v>776</v>
      </c>
      <c r="H181" s="8">
        <v>59448</v>
      </c>
      <c r="I181" s="8">
        <v>43262</v>
      </c>
      <c r="J181" s="8">
        <v>43263</v>
      </c>
      <c r="K181" s="95">
        <v>43278</v>
      </c>
      <c r="L181" s="95" t="s">
        <v>31</v>
      </c>
      <c r="M181" s="8">
        <v>43280</v>
      </c>
      <c r="N181" s="8">
        <v>43371</v>
      </c>
      <c r="O181" s="8">
        <v>43369</v>
      </c>
      <c r="P181" s="6" t="s">
        <v>35</v>
      </c>
      <c r="Q181" s="96">
        <v>5965</v>
      </c>
      <c r="R181" s="97">
        <f t="shared" si="8"/>
        <v>16.342465753424658</v>
      </c>
      <c r="S181" s="75">
        <f t="shared" si="9"/>
        <v>134972.42465753425</v>
      </c>
      <c r="U181" s="8">
        <v>43374</v>
      </c>
      <c r="W181" s="6" t="s">
        <v>33</v>
      </c>
      <c r="X181" s="95">
        <v>51748</v>
      </c>
    </row>
    <row r="182" spans="1:24" s="112" customFormat="1" x14ac:dyDescent="0.25">
      <c r="A182" s="6" t="s">
        <v>70</v>
      </c>
      <c r="B182" s="94" t="s">
        <v>777</v>
      </c>
      <c r="C182" s="6" t="s">
        <v>778</v>
      </c>
      <c r="D182" s="140">
        <v>11064596</v>
      </c>
      <c r="E182" s="6" t="s">
        <v>314</v>
      </c>
      <c r="F182" s="6" t="s">
        <v>134</v>
      </c>
      <c r="G182" s="6" t="s">
        <v>779</v>
      </c>
      <c r="H182" s="8">
        <v>81001</v>
      </c>
      <c r="I182" s="8">
        <v>43262</v>
      </c>
      <c r="J182" s="8">
        <v>43263</v>
      </c>
      <c r="K182" s="95">
        <v>43264</v>
      </c>
      <c r="L182" s="95" t="s">
        <v>31</v>
      </c>
      <c r="M182" s="8">
        <v>43266</v>
      </c>
      <c r="N182" s="8">
        <v>43405</v>
      </c>
      <c r="O182" s="8">
        <v>43402</v>
      </c>
      <c r="P182" s="6" t="s">
        <v>35</v>
      </c>
      <c r="Q182" s="96">
        <v>7304</v>
      </c>
      <c r="R182" s="97">
        <f t="shared" si="8"/>
        <v>20.010958904109589</v>
      </c>
      <c r="S182" s="75">
        <f t="shared" si="9"/>
        <v>165270.50958904109</v>
      </c>
      <c r="T182" s="124" t="s">
        <v>780</v>
      </c>
      <c r="U182" s="8">
        <v>43413</v>
      </c>
      <c r="V182" s="6"/>
      <c r="W182" s="6" t="s">
        <v>84</v>
      </c>
      <c r="X182" s="95">
        <v>50123</v>
      </c>
    </row>
    <row r="183" spans="1:24" x14ac:dyDescent="0.25">
      <c r="A183" s="6" t="s">
        <v>70</v>
      </c>
      <c r="B183" s="94" t="s">
        <v>781</v>
      </c>
      <c r="C183" s="6" t="s">
        <v>782</v>
      </c>
      <c r="D183" s="140">
        <v>11983394</v>
      </c>
      <c r="E183" s="6" t="s">
        <v>783</v>
      </c>
      <c r="F183" s="6" t="s">
        <v>44</v>
      </c>
      <c r="G183" s="6" t="s">
        <v>784</v>
      </c>
      <c r="H183" s="8">
        <v>47211</v>
      </c>
      <c r="I183" s="8">
        <v>43262</v>
      </c>
      <c r="J183" s="8">
        <v>43263</v>
      </c>
      <c r="K183" s="95">
        <v>43278</v>
      </c>
      <c r="L183" s="95" t="s">
        <v>31</v>
      </c>
      <c r="M183" s="8">
        <v>43280</v>
      </c>
      <c r="N183" s="8">
        <v>43350</v>
      </c>
      <c r="O183" s="8">
        <v>43341</v>
      </c>
      <c r="P183" s="6" t="s">
        <v>35</v>
      </c>
      <c r="Q183" s="96">
        <v>120</v>
      </c>
      <c r="R183" s="97">
        <f t="shared" si="8"/>
        <v>0.32876712328767121</v>
      </c>
      <c r="S183" s="75">
        <f t="shared" si="9"/>
        <v>2715.2876712328766</v>
      </c>
      <c r="T183" s="124" t="s">
        <v>785</v>
      </c>
      <c r="U183" s="8">
        <v>43353</v>
      </c>
      <c r="W183" s="6" t="s">
        <v>33</v>
      </c>
      <c r="X183" s="95">
        <v>42856</v>
      </c>
    </row>
    <row r="184" spans="1:24" x14ac:dyDescent="0.25">
      <c r="A184" s="6" t="s">
        <v>70</v>
      </c>
      <c r="B184" s="94" t="s">
        <v>786</v>
      </c>
      <c r="C184" s="6" t="s">
        <v>787</v>
      </c>
      <c r="D184" s="140">
        <v>11624643</v>
      </c>
      <c r="E184" s="6" t="s">
        <v>162</v>
      </c>
      <c r="F184" s="6" t="s">
        <v>44</v>
      </c>
      <c r="G184" s="6" t="s">
        <v>788</v>
      </c>
      <c r="H184" s="8">
        <v>48104</v>
      </c>
      <c r="I184" s="8">
        <v>43262</v>
      </c>
      <c r="J184" s="8">
        <v>43263</v>
      </c>
      <c r="K184" s="95">
        <v>43278</v>
      </c>
      <c r="L184" s="95" t="s">
        <v>31</v>
      </c>
      <c r="M184" s="8">
        <v>43280</v>
      </c>
      <c r="N184" s="8">
        <v>43353</v>
      </c>
      <c r="O184" s="8">
        <v>43343</v>
      </c>
      <c r="P184" s="6" t="s">
        <v>35</v>
      </c>
      <c r="Q184" s="96">
        <v>1945</v>
      </c>
      <c r="R184" s="97">
        <f t="shared" si="8"/>
        <v>5.3287671232876717</v>
      </c>
      <c r="S184" s="75">
        <f t="shared" si="9"/>
        <v>44010.28767123288</v>
      </c>
      <c r="T184" s="124" t="s">
        <v>789</v>
      </c>
      <c r="U184" s="8">
        <v>43353</v>
      </c>
      <c r="W184" s="6" t="s">
        <v>33</v>
      </c>
      <c r="X184" s="95">
        <v>44215</v>
      </c>
    </row>
    <row r="185" spans="1:24" x14ac:dyDescent="0.25">
      <c r="A185" s="6" t="s">
        <v>70</v>
      </c>
      <c r="B185" s="94" t="s">
        <v>250</v>
      </c>
      <c r="C185" s="6" t="s">
        <v>790</v>
      </c>
      <c r="D185" s="140">
        <v>11623008</v>
      </c>
      <c r="E185" s="6" t="s">
        <v>289</v>
      </c>
      <c r="F185" s="6" t="s">
        <v>44</v>
      </c>
      <c r="G185" s="6" t="s">
        <v>791</v>
      </c>
      <c r="H185" s="8">
        <v>45879</v>
      </c>
      <c r="I185" s="8">
        <v>43262</v>
      </c>
      <c r="J185" s="8">
        <v>43263</v>
      </c>
      <c r="K185" s="95">
        <v>43278</v>
      </c>
      <c r="L185" s="95" t="s">
        <v>31</v>
      </c>
      <c r="M185" s="8">
        <v>43280</v>
      </c>
      <c r="N185" s="8">
        <v>43348</v>
      </c>
      <c r="O185" s="8">
        <v>43370</v>
      </c>
      <c r="P185" s="6" t="s">
        <v>35</v>
      </c>
      <c r="Q185" s="96">
        <v>1460</v>
      </c>
      <c r="R185" s="97">
        <f t="shared" si="8"/>
        <v>4</v>
      </c>
      <c r="S185" s="75">
        <f t="shared" si="9"/>
        <v>33036</v>
      </c>
      <c r="U185" s="8">
        <v>43398</v>
      </c>
      <c r="W185" s="6" t="s">
        <v>33</v>
      </c>
      <c r="X185" s="95">
        <v>44552</v>
      </c>
    </row>
    <row r="186" spans="1:24" x14ac:dyDescent="0.25">
      <c r="A186" s="107" t="s">
        <v>70</v>
      </c>
      <c r="B186" s="106" t="s">
        <v>792</v>
      </c>
      <c r="C186" s="107" t="s">
        <v>793</v>
      </c>
      <c r="D186" s="142">
        <v>12105833</v>
      </c>
      <c r="E186" s="107" t="s">
        <v>216</v>
      </c>
      <c r="F186" s="107" t="s">
        <v>44</v>
      </c>
      <c r="G186" s="107" t="s">
        <v>794</v>
      </c>
      <c r="H186" s="108">
        <v>46288</v>
      </c>
      <c r="I186" s="108">
        <v>43262</v>
      </c>
      <c r="J186" s="108">
        <v>43263</v>
      </c>
      <c r="K186" s="109">
        <v>43264</v>
      </c>
      <c r="L186" s="109" t="s">
        <v>31</v>
      </c>
      <c r="M186" s="108">
        <v>43266</v>
      </c>
      <c r="N186" s="108">
        <v>43329</v>
      </c>
      <c r="O186" s="108">
        <v>43320</v>
      </c>
      <c r="P186" s="107" t="s">
        <v>35</v>
      </c>
      <c r="Q186" s="110">
        <v>1095</v>
      </c>
      <c r="R186" s="97">
        <f t="shared" si="8"/>
        <v>3</v>
      </c>
      <c r="S186" s="75">
        <f t="shared" si="9"/>
        <v>24777</v>
      </c>
      <c r="T186" s="127"/>
      <c r="U186" s="108">
        <v>43340</v>
      </c>
      <c r="V186" s="100"/>
      <c r="W186" s="6" t="s">
        <v>33</v>
      </c>
      <c r="X186" s="104">
        <v>51481</v>
      </c>
    </row>
    <row r="187" spans="1:24" x14ac:dyDescent="0.25">
      <c r="A187" s="6" t="s">
        <v>70</v>
      </c>
      <c r="B187" s="94" t="s">
        <v>723</v>
      </c>
      <c r="C187" s="6" t="s">
        <v>795</v>
      </c>
      <c r="D187" s="140">
        <v>11353273</v>
      </c>
      <c r="E187" s="6" t="s">
        <v>162</v>
      </c>
      <c r="F187" s="107" t="s">
        <v>29</v>
      </c>
      <c r="G187" s="6" t="s">
        <v>796</v>
      </c>
      <c r="H187" s="8">
        <v>46337</v>
      </c>
      <c r="I187" s="8">
        <v>43262</v>
      </c>
      <c r="J187" s="8">
        <v>43263</v>
      </c>
      <c r="K187" s="95">
        <v>43264</v>
      </c>
      <c r="L187" s="95" t="s">
        <v>31</v>
      </c>
      <c r="M187" s="8">
        <v>43266</v>
      </c>
      <c r="N187" s="8">
        <v>43307</v>
      </c>
      <c r="O187" s="8">
        <v>43301</v>
      </c>
      <c r="P187" s="6" t="s">
        <v>35</v>
      </c>
      <c r="Q187" s="96">
        <v>1461</v>
      </c>
      <c r="R187" s="97">
        <f t="shared" si="8"/>
        <v>4.0027397260273974</v>
      </c>
      <c r="S187" s="75">
        <f t="shared" si="9"/>
        <v>33058.627397260272</v>
      </c>
      <c r="U187" s="8">
        <v>43326</v>
      </c>
      <c r="W187" s="6" t="s">
        <v>33</v>
      </c>
      <c r="X187" s="95">
        <v>45377</v>
      </c>
    </row>
    <row r="188" spans="1:24" x14ac:dyDescent="0.25">
      <c r="A188" s="6" t="s">
        <v>70</v>
      </c>
      <c r="B188" s="94" t="s">
        <v>797</v>
      </c>
      <c r="C188" s="6" t="s">
        <v>798</v>
      </c>
      <c r="D188" s="140">
        <v>11310016</v>
      </c>
      <c r="E188" s="6" t="s">
        <v>268</v>
      </c>
      <c r="F188" s="6" t="s">
        <v>205</v>
      </c>
      <c r="G188" s="6" t="s">
        <v>799</v>
      </c>
      <c r="H188" s="8">
        <v>46445</v>
      </c>
      <c r="I188" s="8">
        <v>43262</v>
      </c>
      <c r="J188" s="8">
        <v>43263</v>
      </c>
      <c r="K188" s="95">
        <v>43264</v>
      </c>
      <c r="L188" s="95" t="s">
        <v>31</v>
      </c>
      <c r="M188" s="8">
        <v>43266</v>
      </c>
      <c r="N188" s="8">
        <v>43368</v>
      </c>
      <c r="O188" s="8">
        <v>43363</v>
      </c>
      <c r="P188" s="6" t="s">
        <v>35</v>
      </c>
      <c r="Q188" s="96">
        <v>1461</v>
      </c>
      <c r="R188" s="97">
        <f t="shared" si="8"/>
        <v>4.0027397260273974</v>
      </c>
      <c r="S188" s="75">
        <f t="shared" si="9"/>
        <v>33058.627397260272</v>
      </c>
      <c r="U188" s="8">
        <v>43374</v>
      </c>
      <c r="W188" s="6" t="s">
        <v>33</v>
      </c>
      <c r="X188" s="95">
        <v>44900</v>
      </c>
    </row>
    <row r="189" spans="1:24" x14ac:dyDescent="0.25">
      <c r="A189" s="6" t="s">
        <v>70</v>
      </c>
      <c r="B189" s="94" t="s">
        <v>449</v>
      </c>
      <c r="C189" s="6" t="s">
        <v>800</v>
      </c>
      <c r="D189" s="140">
        <v>11980670</v>
      </c>
      <c r="E189" s="6" t="s">
        <v>588</v>
      </c>
      <c r="F189" s="107" t="s">
        <v>44</v>
      </c>
      <c r="G189" s="6" t="s">
        <v>801</v>
      </c>
      <c r="H189" s="8">
        <v>44833</v>
      </c>
      <c r="I189" s="8">
        <v>43262</v>
      </c>
      <c r="J189" s="8">
        <v>43263</v>
      </c>
      <c r="K189" s="95">
        <v>43278</v>
      </c>
      <c r="L189" s="95" t="s">
        <v>31</v>
      </c>
      <c r="M189" s="8">
        <v>43280</v>
      </c>
      <c r="N189" s="8">
        <v>43311</v>
      </c>
      <c r="O189" s="8">
        <v>43293</v>
      </c>
      <c r="P189" s="6" t="s">
        <v>35</v>
      </c>
      <c r="Q189" s="96">
        <v>608</v>
      </c>
      <c r="R189" s="97">
        <f t="shared" si="8"/>
        <v>1.6657534246575343</v>
      </c>
      <c r="S189" s="75">
        <f t="shared" si="9"/>
        <v>13757.457534246576</v>
      </c>
      <c r="T189" s="124" t="s">
        <v>802</v>
      </c>
      <c r="U189" s="8">
        <v>43348</v>
      </c>
      <c r="W189" s="6" t="s">
        <v>33</v>
      </c>
      <c r="X189" s="95">
        <v>50705</v>
      </c>
    </row>
    <row r="190" spans="1:24" ht="30" x14ac:dyDescent="0.25">
      <c r="A190" s="6" t="s">
        <v>70</v>
      </c>
      <c r="B190" s="94" t="s">
        <v>145</v>
      </c>
      <c r="C190" s="6" t="s">
        <v>803</v>
      </c>
      <c r="D190" s="140">
        <v>12106203</v>
      </c>
      <c r="E190" s="6" t="s">
        <v>289</v>
      </c>
      <c r="F190" s="6" t="s">
        <v>44</v>
      </c>
      <c r="G190" s="6" t="s">
        <v>804</v>
      </c>
      <c r="H190" s="8">
        <v>47987</v>
      </c>
      <c r="I190" s="8">
        <v>43262</v>
      </c>
      <c r="J190" s="8">
        <v>43263</v>
      </c>
      <c r="K190" s="95">
        <v>43271</v>
      </c>
      <c r="L190" s="95" t="s">
        <v>31</v>
      </c>
      <c r="M190" s="95">
        <v>43271</v>
      </c>
      <c r="N190" s="8">
        <v>43370</v>
      </c>
      <c r="O190" s="8">
        <v>43348</v>
      </c>
      <c r="P190" s="6" t="s">
        <v>69</v>
      </c>
      <c r="R190" s="97" t="str">
        <f t="shared" si="8"/>
        <v/>
      </c>
      <c r="S190" s="75" t="str">
        <f t="shared" si="9"/>
        <v/>
      </c>
      <c r="T190" s="124" t="s">
        <v>805</v>
      </c>
      <c r="U190" s="8">
        <v>43383</v>
      </c>
      <c r="W190" s="6" t="s">
        <v>33</v>
      </c>
      <c r="X190" s="95">
        <v>46277</v>
      </c>
    </row>
    <row r="191" spans="1:24" ht="30" x14ac:dyDescent="0.25">
      <c r="A191" s="6" t="s">
        <v>70</v>
      </c>
      <c r="B191" s="94" t="s">
        <v>806</v>
      </c>
      <c r="C191" s="6" t="s">
        <v>807</v>
      </c>
      <c r="D191" s="140">
        <v>11375379</v>
      </c>
      <c r="E191" s="6" t="s">
        <v>94</v>
      </c>
      <c r="F191" s="6" t="s">
        <v>44</v>
      </c>
      <c r="G191" s="6" t="s">
        <v>808</v>
      </c>
      <c r="H191" s="8">
        <v>46193</v>
      </c>
      <c r="I191" s="8">
        <v>43262</v>
      </c>
      <c r="J191" s="8">
        <v>43263</v>
      </c>
      <c r="K191" s="95">
        <v>43264</v>
      </c>
      <c r="L191" s="95" t="s">
        <v>31</v>
      </c>
      <c r="M191" s="8">
        <v>43266</v>
      </c>
      <c r="N191" s="8">
        <v>43413</v>
      </c>
      <c r="O191" s="8">
        <v>43375</v>
      </c>
      <c r="P191" s="6" t="s">
        <v>69</v>
      </c>
      <c r="R191" s="97" t="str">
        <f t="shared" si="8"/>
        <v/>
      </c>
      <c r="S191" s="75" t="str">
        <f t="shared" si="9"/>
        <v/>
      </c>
      <c r="T191" s="124" t="s">
        <v>809</v>
      </c>
      <c r="U191" s="8">
        <v>43417</v>
      </c>
      <c r="W191" s="6" t="s">
        <v>33</v>
      </c>
      <c r="X191" s="95">
        <v>45053</v>
      </c>
    </row>
    <row r="192" spans="1:24" x14ac:dyDescent="0.25">
      <c r="A192" s="107" t="s">
        <v>85</v>
      </c>
      <c r="B192" s="106" t="s">
        <v>810</v>
      </c>
      <c r="C192" s="107" t="s">
        <v>811</v>
      </c>
      <c r="D192" s="142">
        <v>11330055</v>
      </c>
      <c r="E192" s="107" t="s">
        <v>318</v>
      </c>
      <c r="F192" s="107" t="s">
        <v>205</v>
      </c>
      <c r="G192" s="107" t="s">
        <v>812</v>
      </c>
      <c r="H192" s="108">
        <v>46568</v>
      </c>
      <c r="I192" s="108">
        <v>43262</v>
      </c>
      <c r="J192" s="108">
        <v>43263</v>
      </c>
      <c r="K192" s="109">
        <v>43264</v>
      </c>
      <c r="L192" s="109" t="s">
        <v>31</v>
      </c>
      <c r="M192" s="108">
        <v>43266</v>
      </c>
      <c r="N192" s="108">
        <v>43283</v>
      </c>
      <c r="O192" s="108">
        <v>43277</v>
      </c>
      <c r="P192" s="107" t="s">
        <v>69</v>
      </c>
      <c r="Q192" s="110"/>
      <c r="R192" s="97" t="str">
        <f t="shared" si="8"/>
        <v/>
      </c>
      <c r="S192" s="75" t="str">
        <f t="shared" si="9"/>
        <v/>
      </c>
      <c r="T192" s="129" t="s">
        <v>813</v>
      </c>
      <c r="U192" s="108">
        <v>43287</v>
      </c>
      <c r="W192" s="6" t="s">
        <v>33</v>
      </c>
      <c r="X192" s="95">
        <v>55157</v>
      </c>
    </row>
    <row r="193" spans="1:24" x14ac:dyDescent="0.25">
      <c r="A193" s="6" t="s">
        <v>70</v>
      </c>
      <c r="B193" s="94" t="s">
        <v>814</v>
      </c>
      <c r="C193" s="6" t="s">
        <v>815</v>
      </c>
      <c r="D193" s="140">
        <v>12175719</v>
      </c>
      <c r="E193" s="6" t="s">
        <v>244</v>
      </c>
      <c r="F193" s="6" t="s">
        <v>44</v>
      </c>
      <c r="G193" s="6" t="s">
        <v>816</v>
      </c>
      <c r="H193" s="8">
        <v>47326</v>
      </c>
      <c r="I193" s="8">
        <v>43262</v>
      </c>
      <c r="J193" s="8">
        <v>43263</v>
      </c>
      <c r="K193" s="95">
        <v>43278</v>
      </c>
      <c r="L193" s="95" t="s">
        <v>31</v>
      </c>
      <c r="M193" s="8">
        <v>43279</v>
      </c>
      <c r="N193" s="8">
        <v>43370</v>
      </c>
      <c r="O193" s="8">
        <v>43361</v>
      </c>
      <c r="P193" s="12" t="s">
        <v>69</v>
      </c>
      <c r="R193" s="97" t="str">
        <f t="shared" si="8"/>
        <v/>
      </c>
      <c r="S193" s="75" t="str">
        <f t="shared" si="9"/>
        <v/>
      </c>
      <c r="U193" s="8">
        <v>43374</v>
      </c>
      <c r="W193" s="6" t="s">
        <v>33</v>
      </c>
      <c r="X193" s="95">
        <v>47738</v>
      </c>
    </row>
    <row r="194" spans="1:24" ht="30" x14ac:dyDescent="0.25">
      <c r="A194" s="6" t="s">
        <v>65</v>
      </c>
      <c r="B194" s="94" t="s">
        <v>817</v>
      </c>
      <c r="C194" s="6" t="s">
        <v>818</v>
      </c>
      <c r="D194" s="140">
        <v>11594828</v>
      </c>
      <c r="E194" s="6" t="s">
        <v>104</v>
      </c>
      <c r="F194" s="10" t="s">
        <v>44</v>
      </c>
      <c r="G194" s="6" t="s">
        <v>819</v>
      </c>
      <c r="H194" s="8">
        <v>49588</v>
      </c>
      <c r="I194" s="8">
        <v>43293</v>
      </c>
      <c r="J194" s="8">
        <v>43293</v>
      </c>
      <c r="K194" s="95">
        <v>43306</v>
      </c>
      <c r="L194" s="95" t="s">
        <v>31</v>
      </c>
      <c r="M194" s="8">
        <v>43312</v>
      </c>
      <c r="N194" s="8">
        <v>43336</v>
      </c>
      <c r="O194" s="8">
        <v>43328</v>
      </c>
      <c r="P194" s="101" t="s">
        <v>52</v>
      </c>
      <c r="R194" s="97" t="str">
        <f t="shared" si="8"/>
        <v/>
      </c>
      <c r="S194" s="75" t="str">
        <f t="shared" si="9"/>
        <v/>
      </c>
      <c r="T194" s="124" t="s">
        <v>700</v>
      </c>
      <c r="U194" s="8">
        <v>43348</v>
      </c>
      <c r="W194" s="6" t="s">
        <v>33</v>
      </c>
      <c r="X194" s="95">
        <v>43968</v>
      </c>
    </row>
    <row r="195" spans="1:24" x14ac:dyDescent="0.25">
      <c r="A195" s="6" t="s">
        <v>37</v>
      </c>
      <c r="B195" s="94" t="s">
        <v>820</v>
      </c>
      <c r="C195" s="6" t="s">
        <v>821</v>
      </c>
      <c r="D195" s="140">
        <v>12137894</v>
      </c>
      <c r="E195" s="6" t="s">
        <v>240</v>
      </c>
      <c r="F195" s="10" t="s">
        <v>44</v>
      </c>
      <c r="G195" s="6" t="s">
        <v>822</v>
      </c>
      <c r="H195" s="8">
        <v>45557</v>
      </c>
      <c r="I195" s="8">
        <v>43299</v>
      </c>
      <c r="J195" s="8">
        <v>43312</v>
      </c>
      <c r="K195" s="95">
        <v>43320</v>
      </c>
      <c r="L195" s="95" t="s">
        <v>31</v>
      </c>
      <c r="M195" s="8">
        <v>43320</v>
      </c>
      <c r="N195" s="8">
        <v>43348</v>
      </c>
      <c r="O195" s="8">
        <v>43329</v>
      </c>
      <c r="P195" s="101" t="s">
        <v>52</v>
      </c>
      <c r="R195" s="97" t="str">
        <f t="shared" si="8"/>
        <v/>
      </c>
      <c r="S195" s="75" t="str">
        <f t="shared" si="9"/>
        <v/>
      </c>
      <c r="T195" s="124" t="s">
        <v>823</v>
      </c>
      <c r="U195" s="8">
        <v>43348</v>
      </c>
      <c r="V195" s="107"/>
      <c r="W195" s="6" t="s">
        <v>33</v>
      </c>
      <c r="X195" s="109">
        <v>55212</v>
      </c>
    </row>
    <row r="196" spans="1:24" x14ac:dyDescent="0.25">
      <c r="A196" s="6" t="s">
        <v>85</v>
      </c>
      <c r="B196" s="94" t="s">
        <v>824</v>
      </c>
      <c r="C196" s="6" t="s">
        <v>825</v>
      </c>
      <c r="D196" s="140">
        <v>11630861</v>
      </c>
      <c r="E196" s="6" t="s">
        <v>826</v>
      </c>
      <c r="F196" s="6" t="s">
        <v>44</v>
      </c>
      <c r="G196" s="6" t="s">
        <v>827</v>
      </c>
      <c r="H196" s="8">
        <v>45329</v>
      </c>
      <c r="I196" s="8">
        <v>43262</v>
      </c>
      <c r="J196" s="8">
        <v>43263</v>
      </c>
      <c r="K196" s="95">
        <v>43278</v>
      </c>
      <c r="L196" s="95" t="s">
        <v>31</v>
      </c>
      <c r="M196" s="8">
        <v>43280</v>
      </c>
      <c r="N196" s="8">
        <v>43552</v>
      </c>
      <c r="O196" s="8">
        <v>43336</v>
      </c>
      <c r="P196" s="101" t="s">
        <v>182</v>
      </c>
      <c r="R196" s="97" t="str">
        <f t="shared" si="8"/>
        <v/>
      </c>
      <c r="S196" s="75" t="str">
        <f t="shared" si="9"/>
        <v/>
      </c>
      <c r="U196" s="8">
        <v>43552</v>
      </c>
      <c r="W196" s="6" t="s">
        <v>33</v>
      </c>
      <c r="X196" s="95">
        <v>44630</v>
      </c>
    </row>
    <row r="197" spans="1:24" ht="45" x14ac:dyDescent="0.25">
      <c r="A197" s="6" t="s">
        <v>85</v>
      </c>
      <c r="B197" s="94" t="s">
        <v>242</v>
      </c>
      <c r="C197" s="6" t="s">
        <v>828</v>
      </c>
      <c r="D197" s="140">
        <v>11905744</v>
      </c>
      <c r="E197" s="6" t="s">
        <v>73</v>
      </c>
      <c r="F197" s="10" t="s">
        <v>299</v>
      </c>
      <c r="G197" s="6" t="s">
        <v>829</v>
      </c>
      <c r="H197" s="8">
        <v>46597</v>
      </c>
      <c r="I197" s="8">
        <v>43306</v>
      </c>
      <c r="J197" s="8">
        <v>43306</v>
      </c>
      <c r="K197" s="95">
        <v>43319</v>
      </c>
      <c r="L197" s="95" t="s">
        <v>31</v>
      </c>
      <c r="M197" s="8">
        <v>43325</v>
      </c>
      <c r="N197" s="8">
        <v>43347</v>
      </c>
      <c r="O197" s="8">
        <v>43336</v>
      </c>
      <c r="P197" s="101" t="s">
        <v>52</v>
      </c>
      <c r="R197" s="97" t="str">
        <f t="shared" si="8"/>
        <v/>
      </c>
      <c r="S197" s="75" t="str">
        <f t="shared" si="9"/>
        <v/>
      </c>
      <c r="T197" s="124" t="s">
        <v>830</v>
      </c>
      <c r="U197" s="8">
        <v>43348</v>
      </c>
      <c r="W197" s="6" t="s">
        <v>84</v>
      </c>
      <c r="X197" s="95">
        <v>45211</v>
      </c>
    </row>
    <row r="198" spans="1:24" x14ac:dyDescent="0.25">
      <c r="A198" s="6" t="s">
        <v>85</v>
      </c>
      <c r="B198" s="94" t="s">
        <v>630</v>
      </c>
      <c r="C198" s="6" t="s">
        <v>831</v>
      </c>
      <c r="D198" s="140">
        <v>11362239</v>
      </c>
      <c r="E198" s="6" t="s">
        <v>261</v>
      </c>
      <c r="F198" s="10" t="s">
        <v>44</v>
      </c>
      <c r="G198" s="6" t="s">
        <v>832</v>
      </c>
      <c r="H198" s="8">
        <v>45704</v>
      </c>
      <c r="I198" s="8">
        <v>43306</v>
      </c>
      <c r="J198" s="8">
        <v>43306</v>
      </c>
      <c r="K198" s="95">
        <v>43319</v>
      </c>
      <c r="L198" s="95" t="s">
        <v>31</v>
      </c>
      <c r="M198" s="8">
        <v>43325</v>
      </c>
      <c r="N198" s="8">
        <v>43347</v>
      </c>
      <c r="O198" s="8">
        <v>43340</v>
      </c>
      <c r="P198" s="101" t="s">
        <v>182</v>
      </c>
      <c r="R198" s="97" t="str">
        <f t="shared" si="8"/>
        <v/>
      </c>
      <c r="S198" s="75" t="str">
        <f t="shared" si="9"/>
        <v/>
      </c>
      <c r="U198" s="8">
        <v>43348</v>
      </c>
      <c r="W198" s="6" t="s">
        <v>33</v>
      </c>
      <c r="X198" s="95">
        <v>45164</v>
      </c>
    </row>
    <row r="199" spans="1:24" x14ac:dyDescent="0.25">
      <c r="A199" s="6" t="s">
        <v>65</v>
      </c>
      <c r="B199" s="94" t="s">
        <v>833</v>
      </c>
      <c r="C199" s="6" t="s">
        <v>834</v>
      </c>
      <c r="D199" s="140">
        <v>11623293</v>
      </c>
      <c r="E199" s="6" t="s">
        <v>835</v>
      </c>
      <c r="F199" s="10" t="s">
        <v>44</v>
      </c>
      <c r="G199" s="6" t="s">
        <v>836</v>
      </c>
      <c r="H199" s="8">
        <v>59096</v>
      </c>
      <c r="I199" s="8">
        <v>43293</v>
      </c>
      <c r="J199" s="8">
        <v>43293</v>
      </c>
      <c r="K199" s="95">
        <v>43306</v>
      </c>
      <c r="L199" s="95" t="s">
        <v>31</v>
      </c>
      <c r="M199" s="8">
        <v>43312</v>
      </c>
      <c r="N199" s="8">
        <v>43460</v>
      </c>
      <c r="O199" s="8">
        <v>43342</v>
      </c>
      <c r="P199" s="6" t="s">
        <v>75</v>
      </c>
      <c r="R199" s="97" t="str">
        <f t="shared" si="8"/>
        <v/>
      </c>
      <c r="S199" s="75" t="str">
        <f t="shared" si="9"/>
        <v/>
      </c>
      <c r="U199" s="8">
        <v>43460</v>
      </c>
      <c r="W199" s="6" t="s">
        <v>33</v>
      </c>
      <c r="X199" s="95">
        <v>44014</v>
      </c>
    </row>
    <row r="200" spans="1:24" s="112" customFormat="1" x14ac:dyDescent="0.25">
      <c r="A200" s="6" t="s">
        <v>168</v>
      </c>
      <c r="B200" s="94" t="s">
        <v>837</v>
      </c>
      <c r="C200" s="6" t="s">
        <v>838</v>
      </c>
      <c r="D200" s="140">
        <v>11886566</v>
      </c>
      <c r="E200" s="6" t="s">
        <v>839</v>
      </c>
      <c r="F200" s="10" t="s">
        <v>44</v>
      </c>
      <c r="G200" s="6" t="s">
        <v>840</v>
      </c>
      <c r="H200" s="8">
        <v>46805</v>
      </c>
      <c r="I200" s="8">
        <v>44349</v>
      </c>
      <c r="J200" s="8">
        <v>44370</v>
      </c>
      <c r="K200" s="95">
        <v>44372</v>
      </c>
      <c r="L200" s="95" t="s">
        <v>359</v>
      </c>
      <c r="M200" s="8"/>
      <c r="N200" s="8"/>
      <c r="O200" s="8"/>
      <c r="P200" s="6"/>
      <c r="Q200" s="96"/>
      <c r="R200" s="97" t="str">
        <f t="shared" si="8"/>
        <v/>
      </c>
      <c r="S200" s="75" t="str">
        <f t="shared" si="9"/>
        <v/>
      </c>
      <c r="T200" s="124"/>
      <c r="U200" s="8"/>
      <c r="V200" s="6"/>
      <c r="W200" s="6" t="s">
        <v>33</v>
      </c>
      <c r="X200" s="7">
        <v>47816</v>
      </c>
    </row>
    <row r="201" spans="1:24" x14ac:dyDescent="0.25">
      <c r="A201" s="6" t="s">
        <v>168</v>
      </c>
      <c r="B201" s="94" t="s">
        <v>841</v>
      </c>
      <c r="C201" s="6" t="s">
        <v>842</v>
      </c>
      <c r="D201" s="140">
        <v>11503587</v>
      </c>
      <c r="E201" s="6" t="s">
        <v>714</v>
      </c>
      <c r="F201" s="10" t="s">
        <v>44</v>
      </c>
      <c r="G201" s="6" t="s">
        <v>843</v>
      </c>
      <c r="H201" s="8">
        <v>44148</v>
      </c>
      <c r="I201" s="8">
        <v>43489</v>
      </c>
      <c r="J201" s="8">
        <v>43488</v>
      </c>
      <c r="K201" s="95">
        <v>43507</v>
      </c>
      <c r="L201" s="95" t="s">
        <v>31</v>
      </c>
      <c r="M201" s="8">
        <v>43521</v>
      </c>
      <c r="N201" s="8">
        <v>43789</v>
      </c>
      <c r="O201" s="8">
        <v>43741</v>
      </c>
      <c r="P201" s="6" t="s">
        <v>90</v>
      </c>
      <c r="Q201" s="96">
        <v>357</v>
      </c>
      <c r="R201" s="97">
        <f t="shared" si="8"/>
        <v>0.9780821917808219</v>
      </c>
      <c r="S201" s="75">
        <f t="shared" si="9"/>
        <v>8077.9808219178085</v>
      </c>
      <c r="T201" s="124" t="s">
        <v>844</v>
      </c>
      <c r="U201" s="8">
        <v>43794</v>
      </c>
      <c r="V201" s="6" t="s">
        <v>36</v>
      </c>
      <c r="W201" s="6" t="s">
        <v>84</v>
      </c>
      <c r="X201" s="95">
        <v>36330</v>
      </c>
    </row>
    <row r="202" spans="1:24" x14ac:dyDescent="0.25">
      <c r="A202" s="6" t="s">
        <v>85</v>
      </c>
      <c r="B202" s="94" t="s">
        <v>845</v>
      </c>
      <c r="C202" s="6" t="s">
        <v>846</v>
      </c>
      <c r="D202" s="140">
        <v>11651892</v>
      </c>
      <c r="E202" s="6" t="s">
        <v>714</v>
      </c>
      <c r="F202" s="6" t="s">
        <v>134</v>
      </c>
      <c r="G202" s="6" t="s">
        <v>600</v>
      </c>
      <c r="H202" s="8">
        <v>46662</v>
      </c>
      <c r="I202" s="8">
        <v>43262</v>
      </c>
      <c r="J202" s="8">
        <v>43263</v>
      </c>
      <c r="K202" s="95">
        <v>43278</v>
      </c>
      <c r="L202" s="95" t="s">
        <v>31</v>
      </c>
      <c r="M202" s="8">
        <v>43280</v>
      </c>
      <c r="N202" s="8">
        <v>43616</v>
      </c>
      <c r="O202" s="8">
        <v>43588</v>
      </c>
      <c r="P202" s="6" t="s">
        <v>35</v>
      </c>
      <c r="Q202" s="96">
        <v>1826</v>
      </c>
      <c r="R202" s="97">
        <f t="shared" si="8"/>
        <v>5.0027397260273974</v>
      </c>
      <c r="S202" s="75">
        <f t="shared" si="9"/>
        <v>41317.627397260272</v>
      </c>
      <c r="T202" s="124" t="s">
        <v>601</v>
      </c>
      <c r="U202" s="8">
        <v>43616</v>
      </c>
      <c r="W202" s="6" t="s">
        <v>33</v>
      </c>
      <c r="X202" s="95">
        <v>45072</v>
      </c>
    </row>
    <row r="203" spans="1:24" x14ac:dyDescent="0.25">
      <c r="A203" s="6" t="s">
        <v>85</v>
      </c>
      <c r="B203" s="94" t="s">
        <v>847</v>
      </c>
      <c r="C203" s="6" t="s">
        <v>848</v>
      </c>
      <c r="D203" s="140">
        <v>12137267</v>
      </c>
      <c r="E203" s="6" t="s">
        <v>725</v>
      </c>
      <c r="F203" s="6" t="s">
        <v>29</v>
      </c>
      <c r="G203" s="89" t="s">
        <v>849</v>
      </c>
      <c r="H203" s="8">
        <v>47506</v>
      </c>
      <c r="I203" s="8">
        <v>43262</v>
      </c>
      <c r="J203" s="8">
        <v>43263</v>
      </c>
      <c r="K203" s="95">
        <v>43271</v>
      </c>
      <c r="L203" s="95" t="s">
        <v>31</v>
      </c>
      <c r="M203" s="95">
        <v>43271</v>
      </c>
      <c r="N203" s="8">
        <v>43532</v>
      </c>
      <c r="O203" s="8">
        <v>43343</v>
      </c>
      <c r="P203" s="6" t="s">
        <v>75</v>
      </c>
      <c r="R203" s="97" t="str">
        <f t="shared" si="8"/>
        <v/>
      </c>
      <c r="S203" s="75" t="str">
        <f t="shared" si="9"/>
        <v/>
      </c>
      <c r="T203" s="124" t="s">
        <v>187</v>
      </c>
      <c r="U203" s="8">
        <v>43532</v>
      </c>
      <c r="W203" s="6" t="s">
        <v>33</v>
      </c>
      <c r="X203" s="95">
        <v>46884</v>
      </c>
    </row>
    <row r="204" spans="1:24" x14ac:dyDescent="0.25">
      <c r="A204" s="6" t="s">
        <v>85</v>
      </c>
      <c r="B204" s="94" t="s">
        <v>850</v>
      </c>
      <c r="C204" s="6" t="s">
        <v>851</v>
      </c>
      <c r="D204" s="140">
        <v>12129526</v>
      </c>
      <c r="E204" s="6" t="s">
        <v>678</v>
      </c>
      <c r="F204" s="6" t="s">
        <v>134</v>
      </c>
      <c r="G204" s="6" t="s">
        <v>852</v>
      </c>
      <c r="H204" s="8">
        <v>46920</v>
      </c>
      <c r="I204" s="8">
        <v>43262</v>
      </c>
      <c r="J204" s="8">
        <v>43263</v>
      </c>
      <c r="K204" s="95">
        <v>43271</v>
      </c>
      <c r="L204" s="95" t="s">
        <v>31</v>
      </c>
      <c r="M204" s="95">
        <v>43271</v>
      </c>
      <c r="N204" s="8">
        <v>44273</v>
      </c>
      <c r="O204" s="8">
        <v>44263</v>
      </c>
      <c r="P204" s="6" t="s">
        <v>35</v>
      </c>
      <c r="Q204" s="96">
        <v>1826</v>
      </c>
      <c r="R204" s="97">
        <f t="shared" si="8"/>
        <v>5.0027397260273974</v>
      </c>
      <c r="S204" s="75">
        <f t="shared" si="9"/>
        <v>41317.627397260272</v>
      </c>
      <c r="T204" s="124" t="s">
        <v>853</v>
      </c>
      <c r="U204" s="8">
        <v>44273</v>
      </c>
      <c r="W204" s="6" t="s">
        <v>33</v>
      </c>
      <c r="X204" s="95">
        <v>46696</v>
      </c>
    </row>
    <row r="205" spans="1:24" x14ac:dyDescent="0.25">
      <c r="A205" s="6" t="s">
        <v>211</v>
      </c>
      <c r="B205" s="94" t="s">
        <v>854</v>
      </c>
      <c r="C205" s="6" t="s">
        <v>855</v>
      </c>
      <c r="D205" s="140">
        <v>12180075</v>
      </c>
      <c r="E205" s="6" t="s">
        <v>216</v>
      </c>
      <c r="F205" s="10" t="s">
        <v>29</v>
      </c>
      <c r="G205" s="6" t="s">
        <v>856</v>
      </c>
      <c r="H205" s="8">
        <v>47947</v>
      </c>
      <c r="I205" s="8">
        <v>43313</v>
      </c>
      <c r="J205" s="8">
        <v>43326</v>
      </c>
      <c r="K205" s="95">
        <v>43327</v>
      </c>
      <c r="L205" s="95" t="s">
        <v>31</v>
      </c>
      <c r="M205" s="8">
        <v>43334</v>
      </c>
      <c r="N205" s="8">
        <v>43354</v>
      </c>
      <c r="O205" s="8">
        <v>43347</v>
      </c>
      <c r="P205" s="101" t="s">
        <v>182</v>
      </c>
      <c r="R205" s="97" t="str">
        <f t="shared" si="8"/>
        <v/>
      </c>
      <c r="S205" s="75" t="str">
        <f t="shared" si="9"/>
        <v/>
      </c>
      <c r="U205" s="8">
        <v>43355</v>
      </c>
      <c r="W205" s="6" t="s">
        <v>33</v>
      </c>
      <c r="X205" s="95">
        <v>47242</v>
      </c>
    </row>
    <row r="206" spans="1:24" s="112" customFormat="1" x14ac:dyDescent="0.25">
      <c r="A206" s="6" t="s">
        <v>65</v>
      </c>
      <c r="B206" s="94" t="s">
        <v>857</v>
      </c>
      <c r="C206" s="6" t="s">
        <v>858</v>
      </c>
      <c r="D206" s="140">
        <v>12012830</v>
      </c>
      <c r="E206" s="6" t="s">
        <v>199</v>
      </c>
      <c r="F206" s="10" t="s">
        <v>44</v>
      </c>
      <c r="G206" s="6" t="s">
        <v>859</v>
      </c>
      <c r="H206" s="8">
        <v>44908</v>
      </c>
      <c r="I206" s="8">
        <v>43270</v>
      </c>
      <c r="J206" s="8">
        <v>43270</v>
      </c>
      <c r="K206" s="95">
        <v>43283</v>
      </c>
      <c r="L206" s="95" t="s">
        <v>31</v>
      </c>
      <c r="M206" s="8">
        <v>43291</v>
      </c>
      <c r="N206" s="8">
        <v>43357</v>
      </c>
      <c r="O206" s="8">
        <v>43348</v>
      </c>
      <c r="P206" s="101" t="s">
        <v>52</v>
      </c>
      <c r="Q206" s="96"/>
      <c r="R206" s="97" t="str">
        <f t="shared" si="8"/>
        <v/>
      </c>
      <c r="S206" s="75" t="str">
        <f t="shared" si="9"/>
        <v/>
      </c>
      <c r="T206" s="124" t="s">
        <v>860</v>
      </c>
      <c r="U206" s="8">
        <v>43360</v>
      </c>
      <c r="V206" s="6"/>
      <c r="W206" s="6" t="s">
        <v>33</v>
      </c>
      <c r="X206" s="95">
        <v>43673</v>
      </c>
    </row>
    <row r="207" spans="1:24" x14ac:dyDescent="0.25">
      <c r="A207" s="6" t="s">
        <v>85</v>
      </c>
      <c r="B207" s="94" t="s">
        <v>145</v>
      </c>
      <c r="C207" s="6" t="s">
        <v>861</v>
      </c>
      <c r="D207" s="140">
        <v>11587615</v>
      </c>
      <c r="E207" s="6" t="s">
        <v>147</v>
      </c>
      <c r="F207" s="6" t="s">
        <v>44</v>
      </c>
      <c r="G207" s="6" t="s">
        <v>862</v>
      </c>
      <c r="H207" s="8">
        <v>48444</v>
      </c>
      <c r="I207" s="8">
        <v>43262</v>
      </c>
      <c r="J207" s="8">
        <v>43263</v>
      </c>
      <c r="K207" s="95">
        <v>43278</v>
      </c>
      <c r="L207" s="95" t="s">
        <v>31</v>
      </c>
      <c r="M207" s="8">
        <v>43280</v>
      </c>
      <c r="N207" s="8">
        <v>43511</v>
      </c>
      <c r="O207" s="8">
        <v>43490</v>
      </c>
      <c r="P207" s="6" t="s">
        <v>35</v>
      </c>
      <c r="Q207" s="96">
        <v>1704</v>
      </c>
      <c r="R207" s="97">
        <f t="shared" si="8"/>
        <v>4.6684931506849319</v>
      </c>
      <c r="S207" s="75">
        <f t="shared" si="9"/>
        <v>38557.084931506848</v>
      </c>
      <c r="T207" s="124" t="s">
        <v>863</v>
      </c>
      <c r="U207" s="8">
        <v>43511</v>
      </c>
      <c r="W207" s="6" t="s">
        <v>33</v>
      </c>
      <c r="X207" s="95">
        <v>43969</v>
      </c>
    </row>
    <row r="208" spans="1:24" x14ac:dyDescent="0.25">
      <c r="A208" s="6" t="s">
        <v>85</v>
      </c>
      <c r="B208" s="94" t="s">
        <v>864</v>
      </c>
      <c r="C208" s="6" t="s">
        <v>865</v>
      </c>
      <c r="D208" s="140">
        <v>11622412</v>
      </c>
      <c r="E208" s="6" t="s">
        <v>866</v>
      </c>
      <c r="F208" s="6" t="s">
        <v>44</v>
      </c>
      <c r="G208" s="6" t="s">
        <v>867</v>
      </c>
      <c r="H208" s="8">
        <v>48637</v>
      </c>
      <c r="I208" s="8">
        <v>43262</v>
      </c>
      <c r="J208" s="8">
        <v>43263</v>
      </c>
      <c r="K208" s="95">
        <v>43278</v>
      </c>
      <c r="L208" s="95" t="s">
        <v>31</v>
      </c>
      <c r="M208" s="8">
        <v>43280</v>
      </c>
      <c r="N208" s="8">
        <v>44370</v>
      </c>
      <c r="O208" s="8">
        <v>44349</v>
      </c>
      <c r="P208" s="6" t="s">
        <v>75</v>
      </c>
      <c r="R208" s="97" t="str">
        <f t="shared" si="8"/>
        <v/>
      </c>
      <c r="S208" s="75" t="str">
        <f t="shared" si="9"/>
        <v/>
      </c>
      <c r="U208" s="8">
        <v>44375</v>
      </c>
      <c r="W208" s="6" t="s">
        <v>33</v>
      </c>
      <c r="X208" s="95">
        <v>45318</v>
      </c>
    </row>
    <row r="209" spans="1:24" x14ac:dyDescent="0.25">
      <c r="A209" s="6" t="s">
        <v>85</v>
      </c>
      <c r="B209" s="94" t="s">
        <v>66</v>
      </c>
      <c r="C209" s="6" t="s">
        <v>868</v>
      </c>
      <c r="D209" s="140">
        <v>12181381</v>
      </c>
      <c r="E209" s="6" t="s">
        <v>480</v>
      </c>
      <c r="F209" s="6" t="s">
        <v>205</v>
      </c>
      <c r="G209" s="6" t="s">
        <v>869</v>
      </c>
      <c r="H209" s="8">
        <v>49941</v>
      </c>
      <c r="I209" s="8">
        <v>43262</v>
      </c>
      <c r="J209" s="8">
        <v>43263</v>
      </c>
      <c r="K209" s="95">
        <v>43278</v>
      </c>
      <c r="L209" s="95" t="s">
        <v>31</v>
      </c>
      <c r="M209" s="8">
        <v>43280</v>
      </c>
      <c r="N209" s="8">
        <v>43287</v>
      </c>
      <c r="O209" s="8">
        <v>43405</v>
      </c>
      <c r="P209" s="6" t="s">
        <v>35</v>
      </c>
      <c r="Q209" s="96">
        <v>730</v>
      </c>
      <c r="R209" s="97">
        <f t="shared" si="8"/>
        <v>2</v>
      </c>
      <c r="S209" s="75">
        <f t="shared" si="9"/>
        <v>16518</v>
      </c>
      <c r="T209" s="124" t="s">
        <v>320</v>
      </c>
      <c r="U209" s="8">
        <v>43438</v>
      </c>
      <c r="W209" s="6" t="s">
        <v>33</v>
      </c>
      <c r="X209" s="95">
        <v>47292</v>
      </c>
    </row>
    <row r="210" spans="1:24" x14ac:dyDescent="0.25">
      <c r="A210" s="6" t="s">
        <v>85</v>
      </c>
      <c r="B210" s="94" t="s">
        <v>870</v>
      </c>
      <c r="C210" s="6" t="s">
        <v>871</v>
      </c>
      <c r="D210" s="140">
        <v>12174342</v>
      </c>
      <c r="E210" s="6" t="s">
        <v>289</v>
      </c>
      <c r="F210" s="6" t="s">
        <v>44</v>
      </c>
      <c r="G210" s="6" t="s">
        <v>872</v>
      </c>
      <c r="H210" s="8">
        <v>54919</v>
      </c>
      <c r="I210" s="8">
        <v>43262</v>
      </c>
      <c r="J210" s="8">
        <v>43263</v>
      </c>
      <c r="K210" s="95">
        <v>43278</v>
      </c>
      <c r="L210" s="95" t="s">
        <v>31</v>
      </c>
      <c r="M210" s="8">
        <v>43280</v>
      </c>
      <c r="N210" s="108">
        <v>43609</v>
      </c>
      <c r="O210" s="108">
        <v>43592</v>
      </c>
      <c r="P210" s="107" t="s">
        <v>35</v>
      </c>
      <c r="Q210" s="110">
        <v>0</v>
      </c>
      <c r="R210" s="97" t="str">
        <f t="shared" si="8"/>
        <v/>
      </c>
      <c r="S210" s="75" t="str">
        <f t="shared" si="9"/>
        <v/>
      </c>
      <c r="U210" s="8">
        <v>44749</v>
      </c>
      <c r="W210" s="6" t="s">
        <v>33</v>
      </c>
      <c r="X210" s="95">
        <v>52853</v>
      </c>
    </row>
    <row r="211" spans="1:24" x14ac:dyDescent="0.25">
      <c r="A211" s="6" t="s">
        <v>85</v>
      </c>
      <c r="B211" s="94" t="s">
        <v>873</v>
      </c>
      <c r="C211" s="6" t="s">
        <v>874</v>
      </c>
      <c r="D211" s="140">
        <v>11563845</v>
      </c>
      <c r="E211" s="6" t="s">
        <v>637</v>
      </c>
      <c r="F211" s="6" t="s">
        <v>29</v>
      </c>
      <c r="G211" s="89" t="s">
        <v>875</v>
      </c>
      <c r="H211" s="8">
        <v>45115</v>
      </c>
      <c r="I211" s="8">
        <v>43262</v>
      </c>
      <c r="J211" s="8">
        <v>43263</v>
      </c>
      <c r="K211" s="95">
        <v>43263</v>
      </c>
      <c r="L211" s="95" t="s">
        <v>31</v>
      </c>
      <c r="M211" s="8">
        <v>43266</v>
      </c>
      <c r="N211" s="8">
        <v>43532</v>
      </c>
      <c r="O211" s="8">
        <v>43318</v>
      </c>
      <c r="P211" s="6" t="s">
        <v>69</v>
      </c>
      <c r="R211" s="97" t="str">
        <f t="shared" si="8"/>
        <v/>
      </c>
      <c r="S211" s="75" t="str">
        <f t="shared" si="9"/>
        <v/>
      </c>
      <c r="T211" s="124" t="s">
        <v>265</v>
      </c>
      <c r="U211" s="8">
        <v>43532</v>
      </c>
      <c r="W211" s="6" t="s">
        <v>33</v>
      </c>
      <c r="X211" s="95">
        <v>53051</v>
      </c>
    </row>
    <row r="212" spans="1:24" ht="30" x14ac:dyDescent="0.25">
      <c r="A212" s="6" t="s">
        <v>85</v>
      </c>
      <c r="B212" s="94" t="s">
        <v>876</v>
      </c>
      <c r="C212" s="6" t="s">
        <v>877</v>
      </c>
      <c r="D212" s="140">
        <v>11820232</v>
      </c>
      <c r="E212" s="6" t="s">
        <v>878</v>
      </c>
      <c r="F212" s="10" t="s">
        <v>62</v>
      </c>
      <c r="G212" s="6">
        <v>6003164</v>
      </c>
      <c r="H212" s="8">
        <v>44228</v>
      </c>
      <c r="I212" s="8">
        <v>43299</v>
      </c>
      <c r="J212" s="8">
        <v>43301</v>
      </c>
      <c r="K212" s="95">
        <v>43306</v>
      </c>
      <c r="L212" s="95" t="s">
        <v>31</v>
      </c>
      <c r="M212" s="8">
        <v>43312</v>
      </c>
      <c r="N212" s="8">
        <v>43354</v>
      </c>
      <c r="O212" s="8">
        <v>43349</v>
      </c>
      <c r="P212" s="101" t="s">
        <v>52</v>
      </c>
      <c r="R212" s="97" t="str">
        <f t="shared" si="8"/>
        <v/>
      </c>
      <c r="S212" s="75" t="str">
        <f t="shared" si="9"/>
        <v/>
      </c>
      <c r="T212" s="124" t="s">
        <v>879</v>
      </c>
      <c r="U212" s="8">
        <v>43360</v>
      </c>
      <c r="V212" s="107"/>
      <c r="W212" s="107" t="s">
        <v>33</v>
      </c>
      <c r="X212" s="109">
        <v>40733</v>
      </c>
    </row>
    <row r="213" spans="1:24" x14ac:dyDescent="0.25">
      <c r="A213" s="6" t="s">
        <v>85</v>
      </c>
      <c r="B213" s="94" t="s">
        <v>202</v>
      </c>
      <c r="C213" s="6" t="s">
        <v>880</v>
      </c>
      <c r="D213" s="140">
        <v>11824697</v>
      </c>
      <c r="E213" s="6" t="s">
        <v>881</v>
      </c>
      <c r="F213" s="10" t="s">
        <v>148</v>
      </c>
      <c r="G213" s="6" t="s">
        <v>882</v>
      </c>
      <c r="H213" s="8">
        <v>49617</v>
      </c>
      <c r="I213" s="8">
        <v>43299</v>
      </c>
      <c r="J213" s="8">
        <v>43301</v>
      </c>
      <c r="K213" s="95">
        <v>43306</v>
      </c>
      <c r="L213" s="95" t="s">
        <v>31</v>
      </c>
      <c r="M213" s="8">
        <v>43312</v>
      </c>
      <c r="N213" s="8">
        <v>43369</v>
      </c>
      <c r="O213" s="8">
        <v>43350</v>
      </c>
      <c r="P213" s="6" t="s">
        <v>75</v>
      </c>
      <c r="R213" s="97" t="str">
        <f t="shared" si="8"/>
        <v/>
      </c>
      <c r="S213" s="75" t="str">
        <f t="shared" si="9"/>
        <v/>
      </c>
      <c r="T213" s="124" t="s">
        <v>883</v>
      </c>
      <c r="U213" s="8">
        <v>43374</v>
      </c>
      <c r="W213" s="6" t="s">
        <v>84</v>
      </c>
      <c r="X213" s="95">
        <v>42573</v>
      </c>
    </row>
    <row r="214" spans="1:24" x14ac:dyDescent="0.25">
      <c r="A214" s="6" t="s">
        <v>65</v>
      </c>
      <c r="B214" s="94" t="s">
        <v>884</v>
      </c>
      <c r="C214" s="6" t="s">
        <v>885</v>
      </c>
      <c r="D214" s="140">
        <v>11327353</v>
      </c>
      <c r="E214" s="6" t="s">
        <v>224</v>
      </c>
      <c r="F214" s="10" t="s">
        <v>363</v>
      </c>
      <c r="G214" s="6">
        <v>1221624</v>
      </c>
      <c r="H214" s="8">
        <v>46118</v>
      </c>
      <c r="I214" s="8">
        <v>43339</v>
      </c>
      <c r="J214" s="8">
        <v>43339</v>
      </c>
      <c r="K214" s="95">
        <v>43355</v>
      </c>
      <c r="L214" s="95" t="s">
        <v>31</v>
      </c>
      <c r="M214" s="8">
        <v>43360</v>
      </c>
      <c r="N214" s="8">
        <v>43608</v>
      </c>
      <c r="O214" s="8">
        <v>43588</v>
      </c>
      <c r="P214" s="6" t="s">
        <v>35</v>
      </c>
      <c r="Q214" s="96">
        <v>121</v>
      </c>
      <c r="R214" s="97">
        <f t="shared" si="8"/>
        <v>0.33150684931506852</v>
      </c>
      <c r="S214" s="75">
        <f t="shared" si="9"/>
        <v>2737.9150684931506</v>
      </c>
      <c r="T214" s="124" t="s">
        <v>886</v>
      </c>
      <c r="U214" s="8">
        <v>43608</v>
      </c>
      <c r="W214" s="6" t="s">
        <v>33</v>
      </c>
      <c r="X214" s="95">
        <v>45072</v>
      </c>
    </row>
    <row r="215" spans="1:24" ht="15.75" customHeight="1" x14ac:dyDescent="0.25">
      <c r="A215" s="6" t="s">
        <v>85</v>
      </c>
      <c r="B215" s="94" t="s">
        <v>238</v>
      </c>
      <c r="C215" s="6" t="s">
        <v>887</v>
      </c>
      <c r="D215" s="140">
        <v>12108977</v>
      </c>
      <c r="E215" s="6" t="s">
        <v>714</v>
      </c>
      <c r="F215" s="6" t="s">
        <v>205</v>
      </c>
      <c r="G215" s="6" t="s">
        <v>888</v>
      </c>
      <c r="H215" s="8">
        <v>46555</v>
      </c>
      <c r="I215" s="8">
        <v>43262</v>
      </c>
      <c r="J215" s="8">
        <v>43263</v>
      </c>
      <c r="K215" s="95">
        <v>43271</v>
      </c>
      <c r="L215" s="95" t="s">
        <v>31</v>
      </c>
      <c r="M215" s="95">
        <v>43271</v>
      </c>
      <c r="N215" s="8">
        <v>43546</v>
      </c>
      <c r="O215" s="8">
        <v>43532</v>
      </c>
      <c r="P215" s="6" t="s">
        <v>35</v>
      </c>
      <c r="Q215" s="96">
        <v>1826</v>
      </c>
      <c r="R215" s="97">
        <f t="shared" si="8"/>
        <v>5.0027397260273974</v>
      </c>
      <c r="S215" s="75">
        <f t="shared" si="9"/>
        <v>41317.627397260272</v>
      </c>
      <c r="T215" s="124" t="s">
        <v>889</v>
      </c>
      <c r="U215" s="8">
        <v>43546</v>
      </c>
      <c r="W215" s="6" t="s">
        <v>33</v>
      </c>
      <c r="X215" s="95">
        <v>46051</v>
      </c>
    </row>
    <row r="216" spans="1:24" x14ac:dyDescent="0.25">
      <c r="A216" s="6" t="s">
        <v>85</v>
      </c>
      <c r="B216" s="94" t="s">
        <v>890</v>
      </c>
      <c r="C216" s="6" t="s">
        <v>891</v>
      </c>
      <c r="D216" s="140">
        <v>11717880</v>
      </c>
      <c r="E216" s="6" t="s">
        <v>892</v>
      </c>
      <c r="F216" s="6" t="s">
        <v>205</v>
      </c>
      <c r="G216" s="6" t="s">
        <v>893</v>
      </c>
      <c r="H216" s="8">
        <v>46592</v>
      </c>
      <c r="I216" s="8">
        <v>43262</v>
      </c>
      <c r="J216" s="8">
        <v>43263</v>
      </c>
      <c r="K216" s="95">
        <v>43278</v>
      </c>
      <c r="L216" s="95" t="s">
        <v>31</v>
      </c>
      <c r="M216" s="8">
        <v>43280</v>
      </c>
      <c r="N216" s="8">
        <v>43620</v>
      </c>
      <c r="O216" s="8">
        <v>43588</v>
      </c>
      <c r="P216" s="6" t="s">
        <v>35</v>
      </c>
      <c r="Q216" s="96">
        <v>487</v>
      </c>
      <c r="R216" s="97">
        <f t="shared" si="8"/>
        <v>1.3342465753424657</v>
      </c>
      <c r="S216" s="75">
        <f t="shared" si="9"/>
        <v>11019.542465753426</v>
      </c>
      <c r="T216" s="124" t="s">
        <v>894</v>
      </c>
      <c r="U216" s="8">
        <v>43620</v>
      </c>
      <c r="W216" s="6" t="s">
        <v>33</v>
      </c>
      <c r="X216" s="95">
        <v>45729</v>
      </c>
    </row>
    <row r="217" spans="1:24" x14ac:dyDescent="0.25">
      <c r="A217" s="6" t="s">
        <v>85</v>
      </c>
      <c r="B217" s="94" t="s">
        <v>814</v>
      </c>
      <c r="C217" s="6" t="s">
        <v>895</v>
      </c>
      <c r="D217" s="140">
        <v>12174230</v>
      </c>
      <c r="E217" s="6" t="s">
        <v>261</v>
      </c>
      <c r="F217" s="6" t="s">
        <v>44</v>
      </c>
      <c r="G217" s="6" t="s">
        <v>896</v>
      </c>
      <c r="H217" s="8">
        <v>46642</v>
      </c>
      <c r="I217" s="8">
        <v>43262</v>
      </c>
      <c r="J217" s="8">
        <v>43263</v>
      </c>
      <c r="K217" s="95">
        <v>43278</v>
      </c>
      <c r="L217" s="95" t="s">
        <v>31</v>
      </c>
      <c r="M217" s="8">
        <v>43280</v>
      </c>
      <c r="R217" s="97" t="str">
        <f t="shared" si="8"/>
        <v/>
      </c>
      <c r="S217" s="75" t="str">
        <f t="shared" si="9"/>
        <v/>
      </c>
      <c r="W217" s="6" t="s">
        <v>33</v>
      </c>
      <c r="X217" s="95">
        <v>56376</v>
      </c>
    </row>
    <row r="218" spans="1:24" s="99" customFormat="1" x14ac:dyDescent="0.25">
      <c r="A218" s="6" t="s">
        <v>70</v>
      </c>
      <c r="B218" s="94" t="s">
        <v>188</v>
      </c>
      <c r="C218" s="6" t="s">
        <v>897</v>
      </c>
      <c r="D218" s="140">
        <v>11621643</v>
      </c>
      <c r="E218" s="6" t="s">
        <v>725</v>
      </c>
      <c r="F218" s="6" t="s">
        <v>29</v>
      </c>
      <c r="G218" s="6" t="s">
        <v>898</v>
      </c>
      <c r="H218" s="8">
        <v>64702</v>
      </c>
      <c r="I218" s="8">
        <v>43262</v>
      </c>
      <c r="J218" s="8">
        <v>43263</v>
      </c>
      <c r="K218" s="95">
        <v>43278</v>
      </c>
      <c r="L218" s="95" t="s">
        <v>31</v>
      </c>
      <c r="M218" s="8">
        <v>43280</v>
      </c>
      <c r="N218" s="8">
        <v>43552</v>
      </c>
      <c r="O218" s="8">
        <v>43320</v>
      </c>
      <c r="P218" s="6" t="s">
        <v>35</v>
      </c>
      <c r="Q218" s="96">
        <v>5113</v>
      </c>
      <c r="R218" s="97">
        <f t="shared" ref="R218:R281" si="10">IF(Q218&gt;0, Q218/365, "")</f>
        <v>14.008219178082191</v>
      </c>
      <c r="S218" s="75">
        <f t="shared" ref="S218:S281" si="11">IF(Q218&gt;0, SUM(Q218)*(8259/365), "")</f>
        <v>115693.88219178082</v>
      </c>
      <c r="T218" s="124" t="s">
        <v>899</v>
      </c>
      <c r="U218" s="8">
        <v>43552</v>
      </c>
      <c r="V218" s="6"/>
      <c r="W218" s="6" t="s">
        <v>33</v>
      </c>
      <c r="X218" s="95">
        <v>54600</v>
      </c>
    </row>
    <row r="219" spans="1:24" x14ac:dyDescent="0.25">
      <c r="A219" s="6" t="s">
        <v>70</v>
      </c>
      <c r="B219" s="94" t="s">
        <v>900</v>
      </c>
      <c r="C219" s="6" t="s">
        <v>901</v>
      </c>
      <c r="D219" s="140">
        <v>11336720</v>
      </c>
      <c r="E219" s="6" t="s">
        <v>866</v>
      </c>
      <c r="F219" s="6" t="s">
        <v>44</v>
      </c>
      <c r="G219" s="6" t="s">
        <v>902</v>
      </c>
      <c r="H219" s="8">
        <v>46890</v>
      </c>
      <c r="I219" s="8">
        <v>43262</v>
      </c>
      <c r="J219" s="8">
        <v>43263</v>
      </c>
      <c r="K219" s="95">
        <v>43264</v>
      </c>
      <c r="L219" s="95" t="s">
        <v>31</v>
      </c>
      <c r="M219" s="8">
        <v>43266</v>
      </c>
      <c r="R219" s="97" t="str">
        <f t="shared" si="10"/>
        <v/>
      </c>
      <c r="S219" s="75" t="str">
        <f t="shared" si="11"/>
        <v/>
      </c>
      <c r="T219" s="124" t="s">
        <v>903</v>
      </c>
      <c r="U219" s="8">
        <v>45007</v>
      </c>
      <c r="W219" s="6" t="s">
        <v>33</v>
      </c>
      <c r="X219" s="95">
        <v>45222</v>
      </c>
    </row>
    <row r="220" spans="1:24" x14ac:dyDescent="0.25">
      <c r="A220" s="6" t="s">
        <v>85</v>
      </c>
      <c r="B220" s="94" t="s">
        <v>423</v>
      </c>
      <c r="C220" s="6" t="s">
        <v>904</v>
      </c>
      <c r="D220" s="140">
        <v>12151415</v>
      </c>
      <c r="E220" s="6" t="s">
        <v>651</v>
      </c>
      <c r="F220" s="10" t="s">
        <v>44</v>
      </c>
      <c r="G220" s="6" t="s">
        <v>905</v>
      </c>
      <c r="H220" s="8">
        <v>50621</v>
      </c>
      <c r="I220" s="8">
        <v>43304</v>
      </c>
      <c r="J220" s="8">
        <v>43304</v>
      </c>
      <c r="K220" s="95">
        <v>43313</v>
      </c>
      <c r="L220" s="95" t="s">
        <v>31</v>
      </c>
      <c r="M220" s="8">
        <v>43320</v>
      </c>
      <c r="N220" s="8">
        <v>43357</v>
      </c>
      <c r="O220" s="8">
        <v>43350</v>
      </c>
      <c r="P220" s="101" t="s">
        <v>182</v>
      </c>
      <c r="R220" s="97" t="str">
        <f t="shared" si="10"/>
        <v/>
      </c>
      <c r="S220" s="75" t="str">
        <f t="shared" si="11"/>
        <v/>
      </c>
      <c r="U220" s="8">
        <v>43360</v>
      </c>
      <c r="V220" s="100"/>
      <c r="W220" s="100" t="s">
        <v>33</v>
      </c>
      <c r="X220" s="104">
        <v>54121</v>
      </c>
    </row>
    <row r="221" spans="1:24" x14ac:dyDescent="0.25">
      <c r="A221" s="6" t="s">
        <v>65</v>
      </c>
      <c r="B221" s="94" t="s">
        <v>250</v>
      </c>
      <c r="C221" s="6" t="s">
        <v>906</v>
      </c>
      <c r="D221" s="140">
        <v>12011019</v>
      </c>
      <c r="E221" s="6" t="s">
        <v>907</v>
      </c>
      <c r="F221" s="6" t="s">
        <v>143</v>
      </c>
      <c r="G221" s="6" t="s">
        <v>908</v>
      </c>
      <c r="H221" s="8">
        <v>47644</v>
      </c>
      <c r="I221" s="8">
        <v>43262</v>
      </c>
      <c r="J221" s="8">
        <v>43263</v>
      </c>
      <c r="K221" s="95">
        <v>43306</v>
      </c>
      <c r="L221" s="95" t="s">
        <v>31</v>
      </c>
      <c r="M221" s="8">
        <v>43312</v>
      </c>
      <c r="N221" s="8">
        <v>43811</v>
      </c>
      <c r="O221" s="8">
        <v>43801</v>
      </c>
      <c r="P221" s="6" t="s">
        <v>35</v>
      </c>
      <c r="Q221" s="96">
        <v>1095.75</v>
      </c>
      <c r="R221" s="97">
        <f t="shared" si="10"/>
        <v>3.0020547945205478</v>
      </c>
      <c r="S221" s="75">
        <f t="shared" si="11"/>
        <v>24793.970547945206</v>
      </c>
      <c r="T221" s="124" t="s">
        <v>301</v>
      </c>
      <c r="U221" s="8">
        <v>43811</v>
      </c>
      <c r="W221" s="6" t="s">
        <v>33</v>
      </c>
      <c r="X221" s="95">
        <v>43535</v>
      </c>
    </row>
    <row r="222" spans="1:24" x14ac:dyDescent="0.25">
      <c r="A222" s="6" t="s">
        <v>70</v>
      </c>
      <c r="B222" s="94" t="s">
        <v>909</v>
      </c>
      <c r="C222" s="6" t="s">
        <v>910</v>
      </c>
      <c r="D222" s="140">
        <v>11335316</v>
      </c>
      <c r="E222" s="6" t="s">
        <v>519</v>
      </c>
      <c r="F222" s="6" t="s">
        <v>205</v>
      </c>
      <c r="G222" s="6" t="s">
        <v>911</v>
      </c>
      <c r="H222" s="8">
        <v>47820</v>
      </c>
      <c r="I222" s="8">
        <v>43262</v>
      </c>
      <c r="J222" s="8">
        <v>43263</v>
      </c>
      <c r="K222" s="95">
        <v>43265</v>
      </c>
      <c r="L222" s="95" t="s">
        <v>31</v>
      </c>
      <c r="M222" s="95">
        <v>43271</v>
      </c>
      <c r="R222" s="97" t="str">
        <f t="shared" si="10"/>
        <v/>
      </c>
      <c r="S222" s="75" t="str">
        <f t="shared" si="11"/>
        <v/>
      </c>
      <c r="W222" s="6" t="s">
        <v>33</v>
      </c>
      <c r="X222" s="95">
        <v>45307</v>
      </c>
    </row>
    <row r="223" spans="1:24" x14ac:dyDescent="0.25">
      <c r="A223" s="6" t="s">
        <v>70</v>
      </c>
      <c r="B223" s="94" t="s">
        <v>912</v>
      </c>
      <c r="C223" s="6" t="s">
        <v>913</v>
      </c>
      <c r="D223" s="140">
        <v>11372794</v>
      </c>
      <c r="E223" s="6" t="s">
        <v>339</v>
      </c>
      <c r="F223" s="6" t="s">
        <v>44</v>
      </c>
      <c r="G223" s="6" t="s">
        <v>225</v>
      </c>
      <c r="H223" s="8">
        <v>47960</v>
      </c>
      <c r="I223" s="8">
        <v>43262</v>
      </c>
      <c r="J223" s="8">
        <v>43263</v>
      </c>
      <c r="K223" s="95">
        <v>43271</v>
      </c>
      <c r="L223" s="95" t="s">
        <v>31</v>
      </c>
      <c r="M223" s="95">
        <v>43271</v>
      </c>
      <c r="N223" s="108">
        <v>43307</v>
      </c>
      <c r="O223" s="108">
        <v>43301</v>
      </c>
      <c r="P223" s="107" t="s">
        <v>52</v>
      </c>
      <c r="Q223" s="110"/>
      <c r="R223" s="97" t="str">
        <f t="shared" si="10"/>
        <v/>
      </c>
      <c r="S223" s="75" t="str">
        <f t="shared" si="11"/>
        <v/>
      </c>
      <c r="U223" s="8">
        <v>44748</v>
      </c>
      <c r="W223" s="6" t="s">
        <v>33</v>
      </c>
      <c r="X223" s="95">
        <v>45628</v>
      </c>
    </row>
    <row r="224" spans="1:24" x14ac:dyDescent="0.25">
      <c r="A224" s="6" t="s">
        <v>65</v>
      </c>
      <c r="B224" s="94" t="s">
        <v>242</v>
      </c>
      <c r="C224" s="6" t="s">
        <v>914</v>
      </c>
      <c r="D224" s="140">
        <v>12149037</v>
      </c>
      <c r="E224" s="6" t="s">
        <v>490</v>
      </c>
      <c r="F224" s="10" t="s">
        <v>44</v>
      </c>
      <c r="G224" s="6" t="s">
        <v>915</v>
      </c>
      <c r="H224" s="8">
        <v>45806</v>
      </c>
      <c r="I224" s="8">
        <v>43333</v>
      </c>
      <c r="J224" s="8">
        <v>43333</v>
      </c>
      <c r="K224" s="95">
        <v>43334</v>
      </c>
      <c r="L224" s="95" t="s">
        <v>31</v>
      </c>
      <c r="M224" s="8">
        <v>43341</v>
      </c>
      <c r="N224" s="8">
        <v>43357</v>
      </c>
      <c r="O224" s="8">
        <v>43350</v>
      </c>
      <c r="P224" s="101" t="s">
        <v>52</v>
      </c>
      <c r="R224" s="97" t="str">
        <f t="shared" si="10"/>
        <v/>
      </c>
      <c r="S224" s="75" t="str">
        <f t="shared" si="11"/>
        <v/>
      </c>
      <c r="T224" s="124" t="s">
        <v>916</v>
      </c>
      <c r="U224" s="8">
        <v>43360</v>
      </c>
      <c r="W224" s="6" t="s">
        <v>33</v>
      </c>
      <c r="X224" s="95">
        <v>47484</v>
      </c>
    </row>
    <row r="225" spans="1:24" x14ac:dyDescent="0.25">
      <c r="A225" s="6" t="s">
        <v>70</v>
      </c>
      <c r="B225" s="94" t="s">
        <v>917</v>
      </c>
      <c r="C225" s="6" t="s">
        <v>918</v>
      </c>
      <c r="D225" s="140">
        <v>11373629</v>
      </c>
      <c r="E225" s="6" t="s">
        <v>464</v>
      </c>
      <c r="F225" s="6" t="s">
        <v>44</v>
      </c>
      <c r="G225" s="89" t="s">
        <v>919</v>
      </c>
      <c r="H225" s="8">
        <v>49289</v>
      </c>
      <c r="I225" s="8">
        <v>43262</v>
      </c>
      <c r="J225" s="8">
        <v>43263</v>
      </c>
      <c r="K225" s="95">
        <v>43271</v>
      </c>
      <c r="L225" s="95" t="s">
        <v>31</v>
      </c>
      <c r="M225" s="95">
        <v>43271</v>
      </c>
      <c r="N225" s="8">
        <v>43552</v>
      </c>
      <c r="O225" s="8">
        <v>43340</v>
      </c>
      <c r="P225" s="6" t="s">
        <v>69</v>
      </c>
      <c r="R225" s="97" t="str">
        <f t="shared" si="10"/>
        <v/>
      </c>
      <c r="S225" s="75" t="str">
        <f t="shared" si="11"/>
        <v/>
      </c>
      <c r="T225" s="124" t="s">
        <v>265</v>
      </c>
      <c r="U225" s="8">
        <v>43552</v>
      </c>
      <c r="W225" s="6" t="s">
        <v>33</v>
      </c>
      <c r="X225" s="95">
        <v>45297</v>
      </c>
    </row>
    <row r="226" spans="1:24" x14ac:dyDescent="0.25">
      <c r="A226" s="6" t="s">
        <v>70</v>
      </c>
      <c r="B226" s="94" t="s">
        <v>920</v>
      </c>
      <c r="C226" s="6" t="s">
        <v>921</v>
      </c>
      <c r="D226" s="140">
        <v>12163036</v>
      </c>
      <c r="E226" s="6" t="s">
        <v>651</v>
      </c>
      <c r="F226" s="6" t="s">
        <v>44</v>
      </c>
      <c r="G226" s="6" t="s">
        <v>922</v>
      </c>
      <c r="H226" s="8">
        <v>49620</v>
      </c>
      <c r="I226" s="8">
        <v>43262</v>
      </c>
      <c r="J226" s="8">
        <v>43263</v>
      </c>
      <c r="K226" s="95">
        <v>43271</v>
      </c>
      <c r="L226" s="95" t="s">
        <v>31</v>
      </c>
      <c r="M226" s="95">
        <v>43271</v>
      </c>
      <c r="N226" s="8">
        <v>43559</v>
      </c>
      <c r="O226" s="8">
        <v>43516</v>
      </c>
      <c r="P226" s="6" t="s">
        <v>35</v>
      </c>
      <c r="Q226" s="96">
        <v>365</v>
      </c>
      <c r="R226" s="97">
        <f t="shared" si="10"/>
        <v>1</v>
      </c>
      <c r="S226" s="75">
        <f t="shared" si="11"/>
        <v>8259</v>
      </c>
      <c r="T226" s="124" t="s">
        <v>159</v>
      </c>
      <c r="U226" s="8">
        <v>43559</v>
      </c>
      <c r="W226" s="6" t="s">
        <v>33</v>
      </c>
      <c r="X226" s="95">
        <v>47390</v>
      </c>
    </row>
    <row r="227" spans="1:24" x14ac:dyDescent="0.25">
      <c r="A227" s="6" t="s">
        <v>85</v>
      </c>
      <c r="B227" s="94" t="s">
        <v>923</v>
      </c>
      <c r="C227" s="6" t="s">
        <v>924</v>
      </c>
      <c r="D227" s="140">
        <v>11644062</v>
      </c>
      <c r="E227" s="6" t="s">
        <v>332</v>
      </c>
      <c r="F227" s="6" t="s">
        <v>62</v>
      </c>
      <c r="G227" s="6" t="s">
        <v>925</v>
      </c>
      <c r="H227" s="8">
        <v>45878</v>
      </c>
      <c r="I227" s="95">
        <v>43136</v>
      </c>
      <c r="J227" s="95">
        <v>43144</v>
      </c>
      <c r="K227" s="95">
        <v>43146</v>
      </c>
      <c r="L227" s="95" t="s">
        <v>31</v>
      </c>
      <c r="M227" s="8">
        <v>43213</v>
      </c>
      <c r="N227" s="8">
        <v>43357</v>
      </c>
      <c r="O227" s="8">
        <v>43353</v>
      </c>
      <c r="P227" s="101" t="s">
        <v>182</v>
      </c>
      <c r="R227" s="97" t="str">
        <f t="shared" si="10"/>
        <v/>
      </c>
      <c r="S227" s="75" t="str">
        <f t="shared" si="11"/>
        <v/>
      </c>
      <c r="U227" s="8">
        <v>43360</v>
      </c>
      <c r="W227" s="6" t="s">
        <v>33</v>
      </c>
      <c r="X227" s="95">
        <v>45274</v>
      </c>
    </row>
    <row r="228" spans="1:24" x14ac:dyDescent="0.25">
      <c r="A228" s="6" t="s">
        <v>65</v>
      </c>
      <c r="B228" s="94" t="s">
        <v>926</v>
      </c>
      <c r="C228" s="6" t="s">
        <v>927</v>
      </c>
      <c r="D228" s="140">
        <v>11350815</v>
      </c>
      <c r="E228" s="6" t="s">
        <v>928</v>
      </c>
      <c r="F228" s="10" t="s">
        <v>29</v>
      </c>
      <c r="G228" s="6" t="s">
        <v>929</v>
      </c>
      <c r="H228" s="8">
        <v>54159</v>
      </c>
      <c r="I228" s="8">
        <v>43293</v>
      </c>
      <c r="J228" s="8">
        <v>43299</v>
      </c>
      <c r="K228" s="95">
        <v>43299</v>
      </c>
      <c r="L228" s="95" t="s">
        <v>31</v>
      </c>
      <c r="M228" s="8">
        <v>43305</v>
      </c>
      <c r="N228" s="8">
        <v>43357</v>
      </c>
      <c r="O228" s="8">
        <v>43353</v>
      </c>
      <c r="P228" s="101" t="s">
        <v>182</v>
      </c>
      <c r="R228" s="97" t="str">
        <f t="shared" si="10"/>
        <v/>
      </c>
      <c r="S228" s="75" t="str">
        <f t="shared" si="11"/>
        <v/>
      </c>
      <c r="U228" s="8">
        <v>43360</v>
      </c>
      <c r="W228" s="6" t="s">
        <v>84</v>
      </c>
      <c r="X228" s="95">
        <v>47364</v>
      </c>
    </row>
    <row r="229" spans="1:24" s="112" customFormat="1" x14ac:dyDescent="0.25">
      <c r="A229" s="6" t="s">
        <v>70</v>
      </c>
      <c r="B229" s="94" t="s">
        <v>176</v>
      </c>
      <c r="C229" s="6" t="s">
        <v>930</v>
      </c>
      <c r="D229" s="140">
        <v>11367147</v>
      </c>
      <c r="E229" s="6" t="s">
        <v>714</v>
      </c>
      <c r="F229" s="6" t="s">
        <v>44</v>
      </c>
      <c r="G229" s="6" t="s">
        <v>931</v>
      </c>
      <c r="H229" s="8">
        <v>45580</v>
      </c>
      <c r="I229" s="8">
        <v>43262</v>
      </c>
      <c r="J229" s="8">
        <v>43263</v>
      </c>
      <c r="K229" s="95">
        <v>43264</v>
      </c>
      <c r="L229" s="95" t="s">
        <v>31</v>
      </c>
      <c r="M229" s="8">
        <v>43266</v>
      </c>
      <c r="N229" s="8"/>
      <c r="O229" s="8"/>
      <c r="P229" s="6"/>
      <c r="Q229" s="96"/>
      <c r="R229" s="97" t="str">
        <f t="shared" si="10"/>
        <v/>
      </c>
      <c r="S229" s="75" t="str">
        <f t="shared" si="11"/>
        <v/>
      </c>
      <c r="T229" s="124"/>
      <c r="U229" s="8"/>
      <c r="V229" s="6"/>
      <c r="W229" s="6" t="s">
        <v>33</v>
      </c>
      <c r="X229" s="95">
        <v>45641</v>
      </c>
    </row>
    <row r="230" spans="1:24" x14ac:dyDescent="0.25">
      <c r="A230" s="6" t="s">
        <v>65</v>
      </c>
      <c r="B230" s="94" t="s">
        <v>932</v>
      </c>
      <c r="C230" s="6" t="s">
        <v>933</v>
      </c>
      <c r="D230" s="140">
        <v>12138111</v>
      </c>
      <c r="E230" s="6" t="s">
        <v>153</v>
      </c>
      <c r="F230" s="10" t="s">
        <v>934</v>
      </c>
      <c r="G230" s="6" t="s">
        <v>935</v>
      </c>
      <c r="H230" s="8">
        <v>47590</v>
      </c>
      <c r="I230" s="8">
        <v>43278</v>
      </c>
      <c r="J230" s="8">
        <v>43278</v>
      </c>
      <c r="K230" s="95">
        <v>43292</v>
      </c>
      <c r="L230" s="95" t="s">
        <v>31</v>
      </c>
      <c r="M230" s="8">
        <v>43299</v>
      </c>
      <c r="N230" s="8">
        <v>43357</v>
      </c>
      <c r="O230" s="8">
        <v>43354</v>
      </c>
      <c r="P230" s="101" t="s">
        <v>182</v>
      </c>
      <c r="R230" s="97" t="str">
        <f t="shared" si="10"/>
        <v/>
      </c>
      <c r="S230" s="75" t="str">
        <f t="shared" si="11"/>
        <v/>
      </c>
      <c r="U230" s="8">
        <v>43360</v>
      </c>
      <c r="V230" s="100"/>
      <c r="W230" s="100" t="s">
        <v>33</v>
      </c>
      <c r="X230" s="104">
        <v>47715</v>
      </c>
    </row>
    <row r="231" spans="1:24" x14ac:dyDescent="0.25">
      <c r="A231" s="6" t="s">
        <v>70</v>
      </c>
      <c r="B231" s="94" t="s">
        <v>936</v>
      </c>
      <c r="C231" s="6" t="s">
        <v>937</v>
      </c>
      <c r="D231" s="140">
        <v>11357601</v>
      </c>
      <c r="E231" s="6" t="s">
        <v>236</v>
      </c>
      <c r="F231" s="6" t="s">
        <v>44</v>
      </c>
      <c r="G231" s="6" t="s">
        <v>938</v>
      </c>
      <c r="H231" s="8">
        <v>45617</v>
      </c>
      <c r="I231" s="8">
        <v>43262</v>
      </c>
      <c r="J231" s="8">
        <v>43263</v>
      </c>
      <c r="K231" s="95">
        <v>43264</v>
      </c>
      <c r="L231" s="95" t="s">
        <v>31</v>
      </c>
      <c r="M231" s="8">
        <v>43266</v>
      </c>
      <c r="N231" s="8">
        <v>43532</v>
      </c>
      <c r="O231" s="8">
        <v>43455</v>
      </c>
      <c r="P231" s="6" t="s">
        <v>35</v>
      </c>
      <c r="Q231" s="96">
        <v>1095</v>
      </c>
      <c r="R231" s="97">
        <f t="shared" si="10"/>
        <v>3</v>
      </c>
      <c r="S231" s="75">
        <f t="shared" si="11"/>
        <v>24777</v>
      </c>
      <c r="T231" s="124" t="s">
        <v>301</v>
      </c>
      <c r="U231" s="8">
        <v>43532</v>
      </c>
      <c r="W231" s="6" t="s">
        <v>33</v>
      </c>
      <c r="X231" s="95">
        <v>45578</v>
      </c>
    </row>
    <row r="232" spans="1:24" x14ac:dyDescent="0.25">
      <c r="A232" s="6" t="s">
        <v>70</v>
      </c>
      <c r="B232" s="94" t="s">
        <v>939</v>
      </c>
      <c r="C232" s="6" t="s">
        <v>940</v>
      </c>
      <c r="D232" s="140">
        <v>11596098</v>
      </c>
      <c r="E232" s="6" t="s">
        <v>941</v>
      </c>
      <c r="F232" s="6" t="s">
        <v>44</v>
      </c>
      <c r="G232" s="6" t="s">
        <v>942</v>
      </c>
      <c r="H232" s="8">
        <v>45523</v>
      </c>
      <c r="I232" s="8">
        <v>43262</v>
      </c>
      <c r="J232" s="8">
        <v>43263</v>
      </c>
      <c r="K232" s="95">
        <v>43278</v>
      </c>
      <c r="L232" s="95" t="s">
        <v>31</v>
      </c>
      <c r="M232" s="8">
        <v>43280</v>
      </c>
      <c r="N232" s="8">
        <v>44273</v>
      </c>
      <c r="O232" s="8">
        <v>43304</v>
      </c>
      <c r="P232" s="6" t="s">
        <v>69</v>
      </c>
      <c r="R232" s="97" t="str">
        <f t="shared" si="10"/>
        <v/>
      </c>
      <c r="S232" s="75" t="str">
        <f t="shared" si="11"/>
        <v/>
      </c>
      <c r="T232" s="124" t="s">
        <v>943</v>
      </c>
      <c r="U232" s="8">
        <v>44273</v>
      </c>
      <c r="W232" s="6" t="s">
        <v>33</v>
      </c>
      <c r="X232" s="95">
        <v>43822</v>
      </c>
    </row>
    <row r="233" spans="1:24" s="99" customFormat="1" x14ac:dyDescent="0.25">
      <c r="A233" s="6" t="s">
        <v>211</v>
      </c>
      <c r="B233" s="94" t="s">
        <v>944</v>
      </c>
      <c r="C233" s="6" t="s">
        <v>945</v>
      </c>
      <c r="D233" s="140">
        <v>11602469</v>
      </c>
      <c r="E233" s="6" t="s">
        <v>946</v>
      </c>
      <c r="F233" s="10" t="s">
        <v>299</v>
      </c>
      <c r="G233" s="6" t="s">
        <v>947</v>
      </c>
      <c r="H233" s="8">
        <v>47593</v>
      </c>
      <c r="I233" s="8">
        <v>43313</v>
      </c>
      <c r="J233" s="8">
        <v>43326</v>
      </c>
      <c r="K233" s="95">
        <v>43327</v>
      </c>
      <c r="L233" s="95" t="s">
        <v>31</v>
      </c>
      <c r="M233" s="8">
        <v>43334</v>
      </c>
      <c r="N233" s="8">
        <v>43357</v>
      </c>
      <c r="O233" s="8">
        <v>43354</v>
      </c>
      <c r="P233" s="101" t="s">
        <v>182</v>
      </c>
      <c r="Q233" s="96"/>
      <c r="R233" s="97" t="str">
        <f t="shared" si="10"/>
        <v/>
      </c>
      <c r="S233" s="75" t="str">
        <f t="shared" si="11"/>
        <v/>
      </c>
      <c r="T233" s="124"/>
      <c r="U233" s="8">
        <v>43360</v>
      </c>
      <c r="V233" s="107"/>
      <c r="W233" s="107" t="s">
        <v>33</v>
      </c>
      <c r="X233" s="109">
        <v>48324</v>
      </c>
    </row>
    <row r="234" spans="1:24" x14ac:dyDescent="0.25">
      <c r="A234" s="6" t="s">
        <v>211</v>
      </c>
      <c r="B234" s="94" t="s">
        <v>948</v>
      </c>
      <c r="C234" s="6" t="s">
        <v>949</v>
      </c>
      <c r="D234" s="140">
        <v>12157617</v>
      </c>
      <c r="E234" s="6" t="s">
        <v>950</v>
      </c>
      <c r="F234" s="10" t="s">
        <v>62</v>
      </c>
      <c r="G234" s="6" t="s">
        <v>951</v>
      </c>
      <c r="H234" s="8">
        <v>44242</v>
      </c>
      <c r="I234" s="8">
        <v>43313</v>
      </c>
      <c r="J234" s="8">
        <v>43326</v>
      </c>
      <c r="K234" s="95">
        <v>43327</v>
      </c>
      <c r="L234" s="95" t="s">
        <v>31</v>
      </c>
      <c r="M234" s="8">
        <v>43334</v>
      </c>
      <c r="N234" s="8">
        <v>43357</v>
      </c>
      <c r="O234" s="8">
        <v>43354</v>
      </c>
      <c r="P234" s="101" t="s">
        <v>52</v>
      </c>
      <c r="R234" s="97" t="str">
        <f t="shared" si="10"/>
        <v/>
      </c>
      <c r="S234" s="75" t="str">
        <f t="shared" si="11"/>
        <v/>
      </c>
      <c r="T234" s="124" t="s">
        <v>952</v>
      </c>
      <c r="U234" s="8">
        <v>43360</v>
      </c>
      <c r="W234" s="6" t="s">
        <v>33</v>
      </c>
      <c r="X234" s="95">
        <v>54095</v>
      </c>
    </row>
    <row r="235" spans="1:24" x14ac:dyDescent="0.25">
      <c r="A235" s="6" t="s">
        <v>70</v>
      </c>
      <c r="B235" s="94" t="s">
        <v>953</v>
      </c>
      <c r="C235" s="6" t="s">
        <v>954</v>
      </c>
      <c r="D235" s="140">
        <v>12157492</v>
      </c>
      <c r="E235" s="6" t="s">
        <v>656</v>
      </c>
      <c r="F235" s="6" t="s">
        <v>44</v>
      </c>
      <c r="G235" s="6" t="s">
        <v>955</v>
      </c>
      <c r="H235" s="8">
        <v>46450</v>
      </c>
      <c r="I235" s="8">
        <v>43262</v>
      </c>
      <c r="J235" s="8">
        <v>43263</v>
      </c>
      <c r="K235" s="95">
        <v>43271</v>
      </c>
      <c r="L235" s="95" t="s">
        <v>31</v>
      </c>
      <c r="M235" s="95">
        <v>43271</v>
      </c>
      <c r="N235" s="8">
        <v>43808</v>
      </c>
      <c r="O235" s="8">
        <v>43790</v>
      </c>
      <c r="P235" s="6" t="s">
        <v>182</v>
      </c>
      <c r="R235" s="97" t="str">
        <f t="shared" si="10"/>
        <v/>
      </c>
      <c r="S235" s="75" t="str">
        <f t="shared" si="11"/>
        <v/>
      </c>
      <c r="U235" s="8">
        <v>43808</v>
      </c>
      <c r="W235" s="6" t="s">
        <v>33</v>
      </c>
      <c r="X235" s="95">
        <v>47147</v>
      </c>
    </row>
    <row r="236" spans="1:24" x14ac:dyDescent="0.25">
      <c r="A236" s="6" t="s">
        <v>65</v>
      </c>
      <c r="B236" s="94" t="s">
        <v>956</v>
      </c>
      <c r="C236" s="6" t="s">
        <v>957</v>
      </c>
      <c r="D236" s="140">
        <v>11306615</v>
      </c>
      <c r="E236" s="6" t="s">
        <v>958</v>
      </c>
      <c r="F236" s="10" t="s">
        <v>29</v>
      </c>
      <c r="G236" s="6" t="s">
        <v>959</v>
      </c>
      <c r="H236" s="8">
        <v>43895</v>
      </c>
      <c r="I236" s="8">
        <v>43270</v>
      </c>
      <c r="J236" s="8">
        <v>43270</v>
      </c>
      <c r="K236" s="95">
        <v>43278</v>
      </c>
      <c r="L236" s="95" t="s">
        <v>31</v>
      </c>
      <c r="M236" s="8">
        <v>43280</v>
      </c>
      <c r="R236" s="97" t="str">
        <f t="shared" si="10"/>
        <v/>
      </c>
      <c r="S236" s="75" t="str">
        <f t="shared" si="11"/>
        <v/>
      </c>
      <c r="T236" s="124" t="s">
        <v>253</v>
      </c>
      <c r="U236" s="8">
        <v>43729</v>
      </c>
      <c r="V236" s="6" t="s">
        <v>36</v>
      </c>
      <c r="W236" s="6" t="s">
        <v>33</v>
      </c>
      <c r="X236" s="95">
        <v>46075</v>
      </c>
    </row>
    <row r="237" spans="1:24" x14ac:dyDescent="0.25">
      <c r="A237" s="6" t="s">
        <v>70</v>
      </c>
      <c r="B237" s="94" t="s">
        <v>960</v>
      </c>
      <c r="C237" s="6" t="s">
        <v>961</v>
      </c>
      <c r="D237" s="140">
        <v>11993632</v>
      </c>
      <c r="E237" s="6" t="s">
        <v>962</v>
      </c>
      <c r="F237" s="107" t="s">
        <v>29</v>
      </c>
      <c r="G237" s="6" t="s">
        <v>963</v>
      </c>
      <c r="H237" s="8">
        <v>44557</v>
      </c>
      <c r="I237" s="8">
        <v>43262</v>
      </c>
      <c r="J237" s="8">
        <v>43263</v>
      </c>
      <c r="K237" s="95">
        <v>43278</v>
      </c>
      <c r="L237" s="95" t="s">
        <v>31</v>
      </c>
      <c r="M237" s="8">
        <v>43280</v>
      </c>
      <c r="R237" s="97" t="str">
        <f t="shared" si="10"/>
        <v/>
      </c>
      <c r="S237" s="75" t="str">
        <f t="shared" si="11"/>
        <v/>
      </c>
      <c r="T237" s="124" t="s">
        <v>964</v>
      </c>
      <c r="U237" s="8">
        <v>44273</v>
      </c>
      <c r="W237" s="6" t="s">
        <v>33</v>
      </c>
      <c r="X237" s="95">
        <v>43138</v>
      </c>
    </row>
    <row r="238" spans="1:24" x14ac:dyDescent="0.25">
      <c r="A238" s="6" t="s">
        <v>65</v>
      </c>
      <c r="B238" s="94" t="s">
        <v>965</v>
      </c>
      <c r="C238" s="6" t="s">
        <v>966</v>
      </c>
      <c r="D238" s="140">
        <v>12184655</v>
      </c>
      <c r="E238" s="6" t="s">
        <v>651</v>
      </c>
      <c r="F238" s="10" t="s">
        <v>50</v>
      </c>
      <c r="G238" s="6" t="s">
        <v>967</v>
      </c>
      <c r="H238" s="8">
        <v>46348</v>
      </c>
      <c r="I238" s="8">
        <v>43273</v>
      </c>
      <c r="J238" s="8">
        <v>43273</v>
      </c>
      <c r="K238" s="95">
        <v>43292</v>
      </c>
      <c r="L238" s="95" t="s">
        <v>31</v>
      </c>
      <c r="M238" s="8">
        <v>43299</v>
      </c>
      <c r="N238" s="8">
        <v>43368</v>
      </c>
      <c r="O238" s="8">
        <v>43355</v>
      </c>
      <c r="P238" s="101" t="s">
        <v>52</v>
      </c>
      <c r="R238" s="97" t="str">
        <f t="shared" si="10"/>
        <v/>
      </c>
      <c r="S238" s="75" t="str">
        <f t="shared" si="11"/>
        <v/>
      </c>
      <c r="T238" s="124" t="s">
        <v>968</v>
      </c>
      <c r="U238" s="8">
        <v>43374</v>
      </c>
      <c r="W238" s="6" t="s">
        <v>33</v>
      </c>
      <c r="X238" s="95">
        <v>47799</v>
      </c>
    </row>
    <row r="239" spans="1:24" x14ac:dyDescent="0.25">
      <c r="A239" s="6" t="s">
        <v>70</v>
      </c>
      <c r="B239" s="94" t="s">
        <v>969</v>
      </c>
      <c r="C239" s="6" t="s">
        <v>970</v>
      </c>
      <c r="D239" s="140">
        <v>11608276</v>
      </c>
      <c r="E239" s="6" t="s">
        <v>88</v>
      </c>
      <c r="F239" s="10" t="s">
        <v>299</v>
      </c>
      <c r="G239" s="6" t="s">
        <v>971</v>
      </c>
      <c r="H239" s="8">
        <v>47722</v>
      </c>
      <c r="I239" s="8">
        <v>43306</v>
      </c>
      <c r="J239" s="8">
        <v>43306</v>
      </c>
      <c r="K239" s="95">
        <v>43327</v>
      </c>
      <c r="L239" s="95" t="s">
        <v>31</v>
      </c>
      <c r="M239" s="8">
        <v>43334</v>
      </c>
      <c r="N239" s="8">
        <v>43357</v>
      </c>
      <c r="O239" s="8">
        <v>43355</v>
      </c>
      <c r="P239" s="6" t="s">
        <v>75</v>
      </c>
      <c r="R239" s="97" t="str">
        <f t="shared" si="10"/>
        <v/>
      </c>
      <c r="S239" s="75" t="str">
        <f t="shared" si="11"/>
        <v/>
      </c>
      <c r="U239" s="8">
        <v>43360</v>
      </c>
      <c r="W239" s="6" t="s">
        <v>33</v>
      </c>
      <c r="X239" s="95">
        <v>44111</v>
      </c>
    </row>
    <row r="240" spans="1:24" x14ac:dyDescent="0.25">
      <c r="A240" s="6" t="s">
        <v>70</v>
      </c>
      <c r="B240" s="94" t="s">
        <v>972</v>
      </c>
      <c r="C240" s="6" t="s">
        <v>973</v>
      </c>
      <c r="D240" s="140">
        <v>11993649</v>
      </c>
      <c r="E240" s="6" t="s">
        <v>974</v>
      </c>
      <c r="F240" s="6" t="s">
        <v>44</v>
      </c>
      <c r="G240" s="6" t="s">
        <v>975</v>
      </c>
      <c r="H240" s="8">
        <v>45248</v>
      </c>
      <c r="I240" s="8">
        <v>43263</v>
      </c>
      <c r="J240" s="8">
        <v>43263</v>
      </c>
      <c r="K240" s="95">
        <v>43278</v>
      </c>
      <c r="L240" s="95" t="s">
        <v>31</v>
      </c>
      <c r="M240" s="8">
        <v>43280</v>
      </c>
      <c r="R240" s="97" t="str">
        <f t="shared" si="10"/>
        <v/>
      </c>
      <c r="S240" s="75" t="str">
        <f t="shared" si="11"/>
        <v/>
      </c>
      <c r="T240" s="124" t="s">
        <v>976</v>
      </c>
      <c r="U240" s="8">
        <v>44273</v>
      </c>
      <c r="W240" s="6" t="s">
        <v>33</v>
      </c>
      <c r="X240" s="95">
        <v>52718</v>
      </c>
    </row>
    <row r="241" spans="1:24" s="112" customFormat="1" x14ac:dyDescent="0.25">
      <c r="A241" s="6" t="s">
        <v>369</v>
      </c>
      <c r="B241" s="94" t="s">
        <v>977</v>
      </c>
      <c r="C241" s="6" t="s">
        <v>978</v>
      </c>
      <c r="D241" s="140">
        <v>12152548</v>
      </c>
      <c r="E241" s="6" t="s">
        <v>892</v>
      </c>
      <c r="F241" s="111" t="s">
        <v>979</v>
      </c>
      <c r="G241" s="6" t="s">
        <v>980</v>
      </c>
      <c r="H241" s="8">
        <v>50334</v>
      </c>
      <c r="I241" s="8">
        <v>43313</v>
      </c>
      <c r="J241" s="8">
        <v>43326</v>
      </c>
      <c r="K241" s="95">
        <v>43334</v>
      </c>
      <c r="L241" s="95" t="s">
        <v>31</v>
      </c>
      <c r="M241" s="8">
        <v>43341</v>
      </c>
      <c r="N241" s="8">
        <v>43384</v>
      </c>
      <c r="O241" s="8">
        <v>43355</v>
      </c>
      <c r="P241" s="101" t="s">
        <v>52</v>
      </c>
      <c r="Q241" s="96"/>
      <c r="R241" s="97" t="str">
        <f t="shared" si="10"/>
        <v/>
      </c>
      <c r="S241" s="75" t="str">
        <f t="shared" si="11"/>
        <v/>
      </c>
      <c r="T241" s="124"/>
      <c r="U241" s="8">
        <v>43391</v>
      </c>
      <c r="V241" s="6"/>
      <c r="W241" s="6" t="s">
        <v>84</v>
      </c>
      <c r="X241" s="95">
        <v>49054</v>
      </c>
    </row>
    <row r="242" spans="1:24" x14ac:dyDescent="0.25">
      <c r="A242" s="6" t="s">
        <v>117</v>
      </c>
      <c r="B242" s="94" t="s">
        <v>164</v>
      </c>
      <c r="C242" s="6" t="s">
        <v>981</v>
      </c>
      <c r="D242" s="140">
        <v>11102800</v>
      </c>
      <c r="E242" s="6" t="s">
        <v>428</v>
      </c>
      <c r="F242" s="6" t="s">
        <v>437</v>
      </c>
      <c r="G242" s="6" t="s">
        <v>982</v>
      </c>
      <c r="H242" s="8">
        <v>44226</v>
      </c>
      <c r="I242" s="9">
        <v>43266</v>
      </c>
      <c r="J242" s="7">
        <v>43266</v>
      </c>
      <c r="K242" s="7">
        <v>43271</v>
      </c>
      <c r="L242" s="95" t="s">
        <v>31</v>
      </c>
      <c r="M242" s="95">
        <v>43271</v>
      </c>
      <c r="N242" s="9">
        <v>43362</v>
      </c>
      <c r="O242" s="9">
        <v>43356</v>
      </c>
      <c r="P242" s="10" t="s">
        <v>35</v>
      </c>
      <c r="Q242" s="76">
        <v>1460</v>
      </c>
      <c r="R242" s="97">
        <f t="shared" si="10"/>
        <v>4</v>
      </c>
      <c r="S242" s="75">
        <f t="shared" si="11"/>
        <v>33036</v>
      </c>
      <c r="T242" s="128" t="s">
        <v>983</v>
      </c>
      <c r="U242" s="8">
        <v>43363</v>
      </c>
      <c r="V242" s="6" t="s">
        <v>350</v>
      </c>
      <c r="W242" s="6" t="s">
        <v>33</v>
      </c>
      <c r="X242" s="95">
        <v>41552</v>
      </c>
    </row>
    <row r="243" spans="1:24" s="99" customFormat="1" x14ac:dyDescent="0.25">
      <c r="A243" s="6" t="s">
        <v>117</v>
      </c>
      <c r="B243" s="94" t="s">
        <v>108</v>
      </c>
      <c r="C243" s="6" t="s">
        <v>984</v>
      </c>
      <c r="D243" s="140">
        <v>11953430</v>
      </c>
      <c r="E243" s="6" t="s">
        <v>328</v>
      </c>
      <c r="F243" s="6" t="s">
        <v>148</v>
      </c>
      <c r="G243" s="6" t="s">
        <v>985</v>
      </c>
      <c r="H243" s="8">
        <v>44483</v>
      </c>
      <c r="I243" s="9">
        <v>43266</v>
      </c>
      <c r="J243" s="7">
        <v>43266</v>
      </c>
      <c r="K243" s="7">
        <v>43271</v>
      </c>
      <c r="L243" s="95" t="s">
        <v>31</v>
      </c>
      <c r="M243" s="95">
        <v>43271</v>
      </c>
      <c r="N243" s="9">
        <v>43368</v>
      </c>
      <c r="O243" s="9">
        <v>43357</v>
      </c>
      <c r="P243" s="10" t="s">
        <v>35</v>
      </c>
      <c r="Q243" s="76">
        <v>730</v>
      </c>
      <c r="R243" s="97">
        <f t="shared" si="10"/>
        <v>2</v>
      </c>
      <c r="S243" s="75">
        <f t="shared" si="11"/>
        <v>16518</v>
      </c>
      <c r="T243" s="128"/>
      <c r="U243" s="8">
        <v>43374</v>
      </c>
      <c r="V243" s="6"/>
      <c r="W243" s="6" t="s">
        <v>33</v>
      </c>
      <c r="X243" s="95">
        <v>52552</v>
      </c>
    </row>
    <row r="244" spans="1:24" x14ac:dyDescent="0.25">
      <c r="A244" s="6" t="s">
        <v>117</v>
      </c>
      <c r="B244" s="94" t="s">
        <v>944</v>
      </c>
      <c r="C244" s="6" t="s">
        <v>986</v>
      </c>
      <c r="D244" s="140">
        <v>11054189</v>
      </c>
      <c r="E244" s="6" t="s">
        <v>446</v>
      </c>
      <c r="F244" s="6" t="s">
        <v>437</v>
      </c>
      <c r="G244" s="6" t="s">
        <v>987</v>
      </c>
      <c r="H244" s="8">
        <v>44606</v>
      </c>
      <c r="I244" s="9">
        <v>43266</v>
      </c>
      <c r="J244" s="7">
        <v>43266</v>
      </c>
      <c r="K244" s="7">
        <v>43271</v>
      </c>
      <c r="L244" s="95" t="s">
        <v>31</v>
      </c>
      <c r="M244" s="9">
        <v>43271</v>
      </c>
      <c r="N244" s="9">
        <v>43304</v>
      </c>
      <c r="O244" s="9">
        <v>43298</v>
      </c>
      <c r="P244" s="10" t="s">
        <v>35</v>
      </c>
      <c r="Q244" s="76">
        <v>973</v>
      </c>
      <c r="R244" s="97">
        <f t="shared" si="10"/>
        <v>2.6657534246575341</v>
      </c>
      <c r="S244" s="75">
        <f t="shared" si="11"/>
        <v>22016.457534246576</v>
      </c>
      <c r="T244" s="128"/>
      <c r="U244" s="8">
        <v>43326</v>
      </c>
      <c r="W244" s="6" t="s">
        <v>33</v>
      </c>
      <c r="X244" s="95">
        <v>41816</v>
      </c>
    </row>
    <row r="245" spans="1:24" x14ac:dyDescent="0.25">
      <c r="A245" s="6" t="s">
        <v>117</v>
      </c>
      <c r="B245" s="94" t="s">
        <v>988</v>
      </c>
      <c r="C245" s="6" t="s">
        <v>989</v>
      </c>
      <c r="D245" s="140">
        <v>11723191</v>
      </c>
      <c r="E245" s="6" t="s">
        <v>204</v>
      </c>
      <c r="F245" s="6" t="s">
        <v>455</v>
      </c>
      <c r="G245" s="6" t="s">
        <v>990</v>
      </c>
      <c r="H245" s="8">
        <v>44341</v>
      </c>
      <c r="I245" s="9">
        <v>43266</v>
      </c>
      <c r="J245" s="7">
        <v>43266</v>
      </c>
      <c r="K245" s="7">
        <v>43271</v>
      </c>
      <c r="L245" s="95" t="s">
        <v>31</v>
      </c>
      <c r="M245" s="95">
        <v>43271</v>
      </c>
      <c r="N245" s="9">
        <v>43433</v>
      </c>
      <c r="O245" s="9">
        <v>43420</v>
      </c>
      <c r="P245" s="10" t="s">
        <v>35</v>
      </c>
      <c r="Q245" s="76">
        <v>730</v>
      </c>
      <c r="R245" s="97">
        <f t="shared" si="10"/>
        <v>2</v>
      </c>
      <c r="S245" s="75">
        <f t="shared" si="11"/>
        <v>16518</v>
      </c>
      <c r="T245" s="124" t="s">
        <v>991</v>
      </c>
      <c r="U245" s="8">
        <v>43437</v>
      </c>
      <c r="W245" s="6" t="s">
        <v>33</v>
      </c>
      <c r="X245" s="95">
        <v>42538</v>
      </c>
    </row>
    <row r="246" spans="1:24" x14ac:dyDescent="0.25">
      <c r="A246" s="6" t="s">
        <v>117</v>
      </c>
      <c r="B246" s="94" t="s">
        <v>992</v>
      </c>
      <c r="C246" s="6" t="s">
        <v>993</v>
      </c>
      <c r="D246" s="140">
        <v>11614661</v>
      </c>
      <c r="E246" s="6" t="s">
        <v>460</v>
      </c>
      <c r="F246" s="6" t="s">
        <v>205</v>
      </c>
      <c r="G246" s="6" t="s">
        <v>994</v>
      </c>
      <c r="H246" s="8">
        <v>44397</v>
      </c>
      <c r="I246" s="9">
        <v>43266</v>
      </c>
      <c r="J246" s="7">
        <v>43266</v>
      </c>
      <c r="K246" s="7">
        <v>43271</v>
      </c>
      <c r="L246" s="95" t="s">
        <v>31</v>
      </c>
      <c r="M246" s="95">
        <v>43271</v>
      </c>
      <c r="N246" s="9">
        <v>43300</v>
      </c>
      <c r="O246" s="9">
        <v>43294</v>
      </c>
      <c r="P246" s="10" t="s">
        <v>35</v>
      </c>
      <c r="Q246" s="76">
        <v>485</v>
      </c>
      <c r="R246" s="97">
        <f t="shared" si="10"/>
        <v>1.3287671232876712</v>
      </c>
      <c r="S246" s="75">
        <f t="shared" si="11"/>
        <v>10974.287671232876</v>
      </c>
      <c r="T246" s="128" t="s">
        <v>400</v>
      </c>
      <c r="U246" s="8">
        <v>43301</v>
      </c>
      <c r="W246" s="6" t="s">
        <v>33</v>
      </c>
      <c r="X246" s="95">
        <v>43211</v>
      </c>
    </row>
    <row r="247" spans="1:24" x14ac:dyDescent="0.25">
      <c r="A247" s="6" t="s">
        <v>70</v>
      </c>
      <c r="B247" s="106" t="s">
        <v>995</v>
      </c>
      <c r="C247" s="6" t="s">
        <v>996</v>
      </c>
      <c r="D247" s="140">
        <v>12104160</v>
      </c>
      <c r="E247" s="6" t="s">
        <v>997</v>
      </c>
      <c r="F247" s="6" t="s">
        <v>62</v>
      </c>
      <c r="G247" s="6" t="s">
        <v>998</v>
      </c>
      <c r="H247" s="8">
        <v>47675</v>
      </c>
      <c r="I247" s="95">
        <v>43136</v>
      </c>
      <c r="J247" s="95">
        <v>43202</v>
      </c>
      <c r="K247" s="95">
        <v>43202</v>
      </c>
      <c r="L247" s="95" t="s">
        <v>31</v>
      </c>
      <c r="M247" s="8">
        <v>43206</v>
      </c>
      <c r="N247" s="8">
        <v>43371</v>
      </c>
      <c r="O247" s="8">
        <v>43356</v>
      </c>
      <c r="P247" s="101" t="s">
        <v>52</v>
      </c>
      <c r="R247" s="97" t="str">
        <f t="shared" si="10"/>
        <v/>
      </c>
      <c r="S247" s="75" t="str">
        <f t="shared" si="11"/>
        <v/>
      </c>
      <c r="T247" s="127" t="s">
        <v>999</v>
      </c>
      <c r="U247" s="8">
        <v>43374</v>
      </c>
      <c r="V247" s="107"/>
      <c r="W247" s="6" t="s">
        <v>33</v>
      </c>
      <c r="X247" s="109">
        <v>45985</v>
      </c>
    </row>
    <row r="248" spans="1:24" x14ac:dyDescent="0.25">
      <c r="A248" s="6" t="s">
        <v>117</v>
      </c>
      <c r="B248" s="94" t="s">
        <v>1000</v>
      </c>
      <c r="C248" s="6" t="s">
        <v>1001</v>
      </c>
      <c r="D248" s="140">
        <v>11276867</v>
      </c>
      <c r="E248" s="6" t="s">
        <v>298</v>
      </c>
      <c r="F248" s="6" t="s">
        <v>455</v>
      </c>
      <c r="G248" s="6" t="s">
        <v>1002</v>
      </c>
      <c r="H248" s="8">
        <v>45011</v>
      </c>
      <c r="I248" s="9">
        <v>43266</v>
      </c>
      <c r="J248" s="7">
        <v>43266</v>
      </c>
      <c r="K248" s="7">
        <v>43271</v>
      </c>
      <c r="L248" s="95" t="s">
        <v>31</v>
      </c>
      <c r="M248" s="95">
        <v>43271</v>
      </c>
      <c r="N248" s="9">
        <v>43433</v>
      </c>
      <c r="O248" s="9">
        <v>43423</v>
      </c>
      <c r="P248" s="10" t="s">
        <v>35</v>
      </c>
      <c r="Q248" s="76">
        <v>730</v>
      </c>
      <c r="R248" s="97">
        <f t="shared" si="10"/>
        <v>2</v>
      </c>
      <c r="S248" s="75">
        <f t="shared" si="11"/>
        <v>16518</v>
      </c>
      <c r="T248" s="128" t="s">
        <v>320</v>
      </c>
      <c r="U248" s="8">
        <v>43476</v>
      </c>
      <c r="W248" s="6" t="s">
        <v>84</v>
      </c>
      <c r="X248" s="95">
        <v>46107</v>
      </c>
    </row>
    <row r="249" spans="1:24" x14ac:dyDescent="0.25">
      <c r="A249" s="6" t="s">
        <v>117</v>
      </c>
      <c r="B249" s="94" t="s">
        <v>1003</v>
      </c>
      <c r="C249" s="6" t="s">
        <v>1004</v>
      </c>
      <c r="D249" s="140">
        <v>11578168</v>
      </c>
      <c r="E249" s="6" t="s">
        <v>1005</v>
      </c>
      <c r="F249" s="6" t="s">
        <v>277</v>
      </c>
      <c r="G249" s="6" t="s">
        <v>1006</v>
      </c>
      <c r="H249" s="8">
        <v>44454</v>
      </c>
      <c r="I249" s="9">
        <v>43266</v>
      </c>
      <c r="J249" s="7">
        <v>43266</v>
      </c>
      <c r="K249" s="7">
        <v>43271</v>
      </c>
      <c r="L249" s="95" t="s">
        <v>31</v>
      </c>
      <c r="M249" s="95">
        <v>43271</v>
      </c>
      <c r="N249" s="8">
        <v>43552</v>
      </c>
      <c r="O249" s="9">
        <v>43287</v>
      </c>
      <c r="P249" s="10" t="s">
        <v>35</v>
      </c>
      <c r="Q249" s="76">
        <v>1461</v>
      </c>
      <c r="R249" s="97">
        <f t="shared" si="10"/>
        <v>4.0027397260273974</v>
      </c>
      <c r="S249" s="75">
        <f t="shared" si="11"/>
        <v>33058.627397260272</v>
      </c>
      <c r="T249" s="128" t="s">
        <v>1007</v>
      </c>
      <c r="U249" s="8">
        <v>43552</v>
      </c>
      <c r="W249" s="6" t="s">
        <v>33</v>
      </c>
      <c r="X249" s="95">
        <v>42679</v>
      </c>
    </row>
    <row r="250" spans="1:24" x14ac:dyDescent="0.25">
      <c r="A250" s="6" t="s">
        <v>117</v>
      </c>
      <c r="B250" s="94" t="s">
        <v>1008</v>
      </c>
      <c r="C250" s="6" t="s">
        <v>1009</v>
      </c>
      <c r="D250" s="140">
        <v>11638577</v>
      </c>
      <c r="E250" s="6" t="s">
        <v>1010</v>
      </c>
      <c r="F250" s="6" t="s">
        <v>437</v>
      </c>
      <c r="G250" s="6" t="s">
        <v>1011</v>
      </c>
      <c r="H250" s="8">
        <v>44464</v>
      </c>
      <c r="I250" s="9">
        <v>43266</v>
      </c>
      <c r="J250" s="7">
        <v>43266</v>
      </c>
      <c r="K250" s="7">
        <v>43271</v>
      </c>
      <c r="L250" s="95" t="s">
        <v>31</v>
      </c>
      <c r="M250" s="95">
        <v>43271</v>
      </c>
      <c r="N250" s="9">
        <v>43452</v>
      </c>
      <c r="O250" s="9">
        <v>43445</v>
      </c>
      <c r="P250" s="10" t="s">
        <v>35</v>
      </c>
      <c r="Q250" s="76">
        <v>1095</v>
      </c>
      <c r="R250" s="97">
        <f t="shared" si="10"/>
        <v>3</v>
      </c>
      <c r="S250" s="75">
        <f t="shared" si="11"/>
        <v>24777</v>
      </c>
      <c r="T250" s="128"/>
      <c r="U250" s="8">
        <v>43455</v>
      </c>
      <c r="W250" s="6" t="s">
        <v>33</v>
      </c>
      <c r="X250" s="95">
        <v>43490</v>
      </c>
    </row>
    <row r="251" spans="1:24" x14ac:dyDescent="0.25">
      <c r="A251" s="6" t="s">
        <v>117</v>
      </c>
      <c r="B251" s="94" t="s">
        <v>1012</v>
      </c>
      <c r="C251" s="6" t="s">
        <v>1013</v>
      </c>
      <c r="D251" s="140">
        <v>11999810</v>
      </c>
      <c r="E251" s="6" t="s">
        <v>314</v>
      </c>
      <c r="F251" s="6" t="s">
        <v>455</v>
      </c>
      <c r="G251" s="6" t="s">
        <v>1014</v>
      </c>
      <c r="H251" s="8">
        <v>44625</v>
      </c>
      <c r="I251" s="9">
        <v>43266</v>
      </c>
      <c r="J251" s="7">
        <v>43266</v>
      </c>
      <c r="K251" s="7">
        <v>43271</v>
      </c>
      <c r="L251" s="95" t="s">
        <v>31</v>
      </c>
      <c r="M251" s="95">
        <v>43271</v>
      </c>
      <c r="N251" s="9">
        <v>43433</v>
      </c>
      <c r="O251" s="9">
        <v>43424</v>
      </c>
      <c r="P251" s="10" t="s">
        <v>35</v>
      </c>
      <c r="Q251" s="76">
        <v>243</v>
      </c>
      <c r="R251" s="97">
        <f t="shared" si="10"/>
        <v>0.66575342465753429</v>
      </c>
      <c r="S251" s="75">
        <f t="shared" si="11"/>
        <v>5498.4575342465751</v>
      </c>
      <c r="T251" s="124" t="s">
        <v>1015</v>
      </c>
      <c r="U251" s="8">
        <v>43438</v>
      </c>
      <c r="W251" s="6" t="s">
        <v>33</v>
      </c>
      <c r="X251" s="95">
        <v>50843</v>
      </c>
    </row>
    <row r="252" spans="1:24" s="99" customFormat="1" x14ac:dyDescent="0.25">
      <c r="A252" s="107" t="s">
        <v>117</v>
      </c>
      <c r="B252" s="106" t="s">
        <v>1016</v>
      </c>
      <c r="C252" s="107" t="s">
        <v>1017</v>
      </c>
      <c r="D252" s="142">
        <v>11234047</v>
      </c>
      <c r="E252" s="107" t="s">
        <v>1018</v>
      </c>
      <c r="F252" s="107" t="s">
        <v>134</v>
      </c>
      <c r="G252" s="107" t="s">
        <v>1019</v>
      </c>
      <c r="H252" s="108">
        <v>44445</v>
      </c>
      <c r="I252" s="54">
        <v>43269</v>
      </c>
      <c r="J252" s="55">
        <v>43269</v>
      </c>
      <c r="K252" s="55">
        <v>43271</v>
      </c>
      <c r="L252" s="109" t="s">
        <v>31</v>
      </c>
      <c r="M252" s="109">
        <v>43271</v>
      </c>
      <c r="N252" s="54">
        <v>43290</v>
      </c>
      <c r="O252" s="54">
        <v>43279</v>
      </c>
      <c r="P252" s="56" t="s">
        <v>35</v>
      </c>
      <c r="Q252" s="77">
        <v>2435</v>
      </c>
      <c r="R252" s="97">
        <f t="shared" si="10"/>
        <v>6.6712328767123283</v>
      </c>
      <c r="S252" s="75">
        <f t="shared" si="11"/>
        <v>55097.712328767127</v>
      </c>
      <c r="T252" s="131" t="s">
        <v>1020</v>
      </c>
      <c r="U252" s="108">
        <v>43290</v>
      </c>
      <c r="V252" s="6" t="s">
        <v>36</v>
      </c>
      <c r="W252" s="6" t="s">
        <v>33</v>
      </c>
      <c r="X252" s="95">
        <v>39454</v>
      </c>
    </row>
    <row r="253" spans="1:24" x14ac:dyDescent="0.25">
      <c r="A253" s="6" t="s">
        <v>117</v>
      </c>
      <c r="B253" s="94" t="s">
        <v>1021</v>
      </c>
      <c r="C253" s="6" t="s">
        <v>1022</v>
      </c>
      <c r="D253" s="140">
        <v>11259091</v>
      </c>
      <c r="E253" s="6" t="s">
        <v>61</v>
      </c>
      <c r="F253" s="6" t="s">
        <v>437</v>
      </c>
      <c r="G253" s="6" t="s">
        <v>1023</v>
      </c>
      <c r="H253" s="8">
        <v>45743</v>
      </c>
      <c r="I253" s="9">
        <v>43269</v>
      </c>
      <c r="J253" s="7">
        <v>43269</v>
      </c>
      <c r="K253" s="7">
        <v>43271</v>
      </c>
      <c r="L253" s="95" t="s">
        <v>31</v>
      </c>
      <c r="M253" s="95">
        <v>43271</v>
      </c>
      <c r="N253" s="9">
        <v>43361</v>
      </c>
      <c r="O253" s="9">
        <v>43356</v>
      </c>
      <c r="P253" s="10" t="s">
        <v>35</v>
      </c>
      <c r="Q253" s="76">
        <v>730</v>
      </c>
      <c r="R253" s="97">
        <f t="shared" si="10"/>
        <v>2</v>
      </c>
      <c r="S253" s="75">
        <f t="shared" si="11"/>
        <v>16518</v>
      </c>
      <c r="T253" s="128" t="s">
        <v>439</v>
      </c>
      <c r="U253" s="8">
        <v>43362</v>
      </c>
      <c r="W253" s="6" t="s">
        <v>33</v>
      </c>
      <c r="X253" s="95">
        <v>43370</v>
      </c>
    </row>
    <row r="254" spans="1:24" x14ac:dyDescent="0.25">
      <c r="A254" s="6" t="s">
        <v>117</v>
      </c>
      <c r="B254" s="94" t="s">
        <v>1024</v>
      </c>
      <c r="C254" s="6" t="s">
        <v>1025</v>
      </c>
      <c r="D254" s="140">
        <v>11893516</v>
      </c>
      <c r="E254" s="6" t="s">
        <v>1026</v>
      </c>
      <c r="F254" s="6" t="s">
        <v>299</v>
      </c>
      <c r="G254" s="6" t="s">
        <v>1027</v>
      </c>
      <c r="H254" s="8">
        <v>45841</v>
      </c>
      <c r="I254" s="9">
        <v>43269</v>
      </c>
      <c r="J254" s="7">
        <v>43269</v>
      </c>
      <c r="K254" s="7">
        <v>43271</v>
      </c>
      <c r="L254" s="95" t="s">
        <v>31</v>
      </c>
      <c r="M254" s="95">
        <v>43271</v>
      </c>
      <c r="N254" s="9">
        <v>43326</v>
      </c>
      <c r="O254" s="9">
        <v>43319</v>
      </c>
      <c r="P254" s="10" t="s">
        <v>35</v>
      </c>
      <c r="Q254" s="76">
        <v>365</v>
      </c>
      <c r="R254" s="97">
        <f t="shared" si="10"/>
        <v>1</v>
      </c>
      <c r="S254" s="75">
        <f t="shared" si="11"/>
        <v>8259</v>
      </c>
      <c r="T254" s="128"/>
      <c r="U254" s="8">
        <v>43332</v>
      </c>
      <c r="W254" s="6" t="s">
        <v>33</v>
      </c>
      <c r="X254" s="95">
        <v>43864</v>
      </c>
    </row>
    <row r="255" spans="1:24" x14ac:dyDescent="0.25">
      <c r="A255" s="6" t="s">
        <v>117</v>
      </c>
      <c r="B255" s="94" t="s">
        <v>1028</v>
      </c>
      <c r="C255" s="6" t="s">
        <v>1029</v>
      </c>
      <c r="D255" s="140">
        <v>11175984</v>
      </c>
      <c r="E255" s="6" t="s">
        <v>866</v>
      </c>
      <c r="F255" s="6" t="s">
        <v>455</v>
      </c>
      <c r="G255" s="6" t="s">
        <v>1030</v>
      </c>
      <c r="H255" s="8">
        <v>45868</v>
      </c>
      <c r="I255" s="8">
        <v>43269</v>
      </c>
      <c r="J255" s="8">
        <v>43269</v>
      </c>
      <c r="K255" s="95">
        <v>43271</v>
      </c>
      <c r="L255" s="95" t="s">
        <v>31</v>
      </c>
      <c r="M255" s="95">
        <v>43271</v>
      </c>
      <c r="N255" s="8">
        <v>43278</v>
      </c>
      <c r="O255" s="8">
        <v>43265</v>
      </c>
      <c r="P255" s="6" t="s">
        <v>35</v>
      </c>
      <c r="Q255" s="96">
        <v>975</v>
      </c>
      <c r="R255" s="97">
        <f t="shared" si="10"/>
        <v>2.6712328767123288</v>
      </c>
      <c r="S255" s="75">
        <f t="shared" si="11"/>
        <v>22061.712328767124</v>
      </c>
      <c r="T255" s="128" t="s">
        <v>400</v>
      </c>
      <c r="U255" s="8">
        <v>43279</v>
      </c>
      <c r="W255" s="6" t="s">
        <v>33</v>
      </c>
      <c r="X255" s="95">
        <v>47857</v>
      </c>
    </row>
    <row r="256" spans="1:24" s="80" customFormat="1" x14ac:dyDescent="0.25">
      <c r="A256" s="107" t="s">
        <v>117</v>
      </c>
      <c r="B256" s="106" t="s">
        <v>1031</v>
      </c>
      <c r="C256" s="107" t="s">
        <v>1032</v>
      </c>
      <c r="D256" s="142">
        <v>11307162</v>
      </c>
      <c r="E256" s="107" t="s">
        <v>1033</v>
      </c>
      <c r="F256" s="56" t="s">
        <v>121</v>
      </c>
      <c r="G256" s="107" t="s">
        <v>1034</v>
      </c>
      <c r="H256" s="108">
        <v>44697</v>
      </c>
      <c r="I256" s="108">
        <v>43269</v>
      </c>
      <c r="J256" s="109">
        <v>43269</v>
      </c>
      <c r="K256" s="109">
        <v>43271</v>
      </c>
      <c r="L256" s="109" t="s">
        <v>31</v>
      </c>
      <c r="M256" s="109">
        <v>43271</v>
      </c>
      <c r="N256" s="108">
        <v>43286</v>
      </c>
      <c r="O256" s="108">
        <v>43284</v>
      </c>
      <c r="P256" s="107" t="s">
        <v>35</v>
      </c>
      <c r="Q256" s="110">
        <v>365</v>
      </c>
      <c r="R256" s="97">
        <f t="shared" si="10"/>
        <v>1</v>
      </c>
      <c r="S256" s="75">
        <f t="shared" si="11"/>
        <v>8259</v>
      </c>
      <c r="T256" s="131"/>
      <c r="U256" s="108">
        <v>43287</v>
      </c>
      <c r="V256" s="6"/>
      <c r="W256" s="6" t="s">
        <v>33</v>
      </c>
      <c r="X256" s="95">
        <v>43900</v>
      </c>
    </row>
    <row r="257" spans="1:24" ht="30" x14ac:dyDescent="0.25">
      <c r="A257" s="6" t="s">
        <v>669</v>
      </c>
      <c r="B257" s="94" t="s">
        <v>1035</v>
      </c>
      <c r="C257" s="6" t="s">
        <v>1036</v>
      </c>
      <c r="D257" s="140">
        <v>11327610</v>
      </c>
      <c r="E257" s="6" t="s">
        <v>1037</v>
      </c>
      <c r="F257" s="10" t="s">
        <v>528</v>
      </c>
      <c r="G257" s="6" t="s">
        <v>1038</v>
      </c>
      <c r="H257" s="8">
        <v>44244</v>
      </c>
      <c r="I257" s="95">
        <v>43269</v>
      </c>
      <c r="J257" s="95">
        <v>43269</v>
      </c>
      <c r="K257" s="95">
        <v>43269</v>
      </c>
      <c r="L257" s="95" t="s">
        <v>31</v>
      </c>
      <c r="M257" s="95">
        <v>43272</v>
      </c>
      <c r="N257" s="8">
        <v>43383</v>
      </c>
      <c r="O257" s="8">
        <v>43371</v>
      </c>
      <c r="P257" s="6" t="s">
        <v>90</v>
      </c>
      <c r="Q257" s="96">
        <v>1460</v>
      </c>
      <c r="R257" s="97">
        <f t="shared" si="10"/>
        <v>4</v>
      </c>
      <c r="S257" s="75">
        <f t="shared" si="11"/>
        <v>33036</v>
      </c>
      <c r="T257" s="124" t="s">
        <v>1039</v>
      </c>
      <c r="U257" s="8">
        <v>43395</v>
      </c>
      <c r="V257" s="6" t="s">
        <v>36</v>
      </c>
      <c r="W257" s="6" t="s">
        <v>33</v>
      </c>
      <c r="X257" s="95">
        <v>50601</v>
      </c>
    </row>
    <row r="258" spans="1:24" s="112" customFormat="1" x14ac:dyDescent="0.25">
      <c r="A258" s="6" t="s">
        <v>117</v>
      </c>
      <c r="B258" s="94" t="s">
        <v>1040</v>
      </c>
      <c r="C258" s="6" t="s">
        <v>1041</v>
      </c>
      <c r="D258" s="140">
        <v>11040783</v>
      </c>
      <c r="E258" s="6" t="s">
        <v>304</v>
      </c>
      <c r="F258" s="6" t="s">
        <v>121</v>
      </c>
      <c r="G258" s="6" t="s">
        <v>1042</v>
      </c>
      <c r="H258" s="8">
        <v>44385</v>
      </c>
      <c r="I258" s="9">
        <v>43269</v>
      </c>
      <c r="J258" s="7">
        <v>43266</v>
      </c>
      <c r="K258" s="7">
        <v>43271</v>
      </c>
      <c r="L258" s="95" t="s">
        <v>31</v>
      </c>
      <c r="M258" s="95">
        <v>43271</v>
      </c>
      <c r="N258" s="9">
        <v>43306</v>
      </c>
      <c r="O258" s="9">
        <v>43294</v>
      </c>
      <c r="P258" s="12" t="s">
        <v>69</v>
      </c>
      <c r="Q258" s="76"/>
      <c r="R258" s="97" t="str">
        <f t="shared" si="10"/>
        <v/>
      </c>
      <c r="S258" s="75" t="str">
        <f t="shared" si="11"/>
        <v/>
      </c>
      <c r="T258" s="128"/>
      <c r="U258" s="8">
        <v>43307</v>
      </c>
      <c r="V258" s="107"/>
      <c r="W258" s="107" t="s">
        <v>84</v>
      </c>
      <c r="X258" s="109">
        <v>46406</v>
      </c>
    </row>
    <row r="259" spans="1:24" x14ac:dyDescent="0.25">
      <c r="A259" s="6" t="s">
        <v>117</v>
      </c>
      <c r="B259" s="94" t="s">
        <v>956</v>
      </c>
      <c r="C259" s="6" t="s">
        <v>1043</v>
      </c>
      <c r="D259" s="140">
        <v>11247638</v>
      </c>
      <c r="E259" s="6" t="s">
        <v>209</v>
      </c>
      <c r="F259" s="6" t="s">
        <v>693</v>
      </c>
      <c r="G259" s="6" t="s">
        <v>1044</v>
      </c>
      <c r="H259" s="8">
        <v>45922</v>
      </c>
      <c r="I259" s="9">
        <v>43269</v>
      </c>
      <c r="J259" s="7">
        <v>43269</v>
      </c>
      <c r="K259" s="7">
        <v>43271</v>
      </c>
      <c r="L259" s="95" t="s">
        <v>31</v>
      </c>
      <c r="M259" s="95">
        <v>43271</v>
      </c>
      <c r="N259" s="9"/>
      <c r="O259" s="9"/>
      <c r="P259" s="10" t="s">
        <v>249</v>
      </c>
      <c r="Q259" s="76"/>
      <c r="R259" s="97" t="str">
        <f t="shared" si="10"/>
        <v/>
      </c>
      <c r="S259" s="75" t="str">
        <f t="shared" si="11"/>
        <v/>
      </c>
      <c r="T259" s="128" t="s">
        <v>407</v>
      </c>
      <c r="U259" s="95">
        <v>43271</v>
      </c>
      <c r="W259" s="6" t="s">
        <v>33</v>
      </c>
      <c r="X259" s="95">
        <v>49078</v>
      </c>
    </row>
    <row r="260" spans="1:24" x14ac:dyDescent="0.25">
      <c r="A260" s="6" t="s">
        <v>168</v>
      </c>
      <c r="B260" s="94" t="s">
        <v>1045</v>
      </c>
      <c r="C260" s="6" t="s">
        <v>1046</v>
      </c>
      <c r="D260" s="140">
        <v>11630724</v>
      </c>
      <c r="E260" s="6" t="s">
        <v>1047</v>
      </c>
      <c r="F260" s="10" t="s">
        <v>44</v>
      </c>
      <c r="G260" s="6" t="s">
        <v>1048</v>
      </c>
      <c r="H260" s="8">
        <v>49805</v>
      </c>
      <c r="I260" s="8">
        <v>44350</v>
      </c>
      <c r="J260" s="8">
        <v>44371</v>
      </c>
      <c r="K260" s="95">
        <v>44372</v>
      </c>
      <c r="L260" s="95" t="s">
        <v>359</v>
      </c>
      <c r="R260" s="97" t="str">
        <f t="shared" si="10"/>
        <v/>
      </c>
      <c r="S260" s="75" t="str">
        <f t="shared" si="11"/>
        <v/>
      </c>
      <c r="W260" s="6" t="s">
        <v>84</v>
      </c>
      <c r="X260" s="7">
        <v>48019</v>
      </c>
    </row>
    <row r="261" spans="1:24" x14ac:dyDescent="0.25">
      <c r="A261" s="6" t="s">
        <v>117</v>
      </c>
      <c r="B261" s="94" t="s">
        <v>323</v>
      </c>
      <c r="C261" s="6" t="s">
        <v>1049</v>
      </c>
      <c r="D261" s="140">
        <v>11949447</v>
      </c>
      <c r="E261" s="6" t="s">
        <v>1050</v>
      </c>
      <c r="F261" s="6" t="s">
        <v>528</v>
      </c>
      <c r="G261" s="74" t="s">
        <v>1051</v>
      </c>
      <c r="H261" s="8">
        <v>45887</v>
      </c>
      <c r="I261" s="9">
        <v>43269</v>
      </c>
      <c r="J261" s="7">
        <v>43269</v>
      </c>
      <c r="K261" s="7">
        <v>43271</v>
      </c>
      <c r="L261" s="95" t="s">
        <v>31</v>
      </c>
      <c r="M261" s="95">
        <v>43271</v>
      </c>
      <c r="N261" s="9"/>
      <c r="O261" s="9"/>
      <c r="P261" s="10"/>
      <c r="Q261" s="76"/>
      <c r="R261" s="97" t="str">
        <f t="shared" si="10"/>
        <v/>
      </c>
      <c r="S261" s="75" t="str">
        <f t="shared" si="11"/>
        <v/>
      </c>
      <c r="T261" s="128"/>
      <c r="W261" s="6" t="s">
        <v>33</v>
      </c>
      <c r="X261" s="95">
        <v>43164</v>
      </c>
    </row>
    <row r="262" spans="1:24" x14ac:dyDescent="0.25">
      <c r="A262" s="6" t="s">
        <v>117</v>
      </c>
      <c r="B262" s="94" t="s">
        <v>86</v>
      </c>
      <c r="C262" s="6" t="s">
        <v>1052</v>
      </c>
      <c r="D262" s="140">
        <v>11239455</v>
      </c>
      <c r="E262" s="6" t="s">
        <v>289</v>
      </c>
      <c r="F262" s="6" t="s">
        <v>277</v>
      </c>
      <c r="G262" s="6" t="s">
        <v>1053</v>
      </c>
      <c r="H262" s="8">
        <v>45895</v>
      </c>
      <c r="I262" s="9">
        <v>43269</v>
      </c>
      <c r="J262" s="7">
        <v>43269</v>
      </c>
      <c r="K262" s="7">
        <v>43271</v>
      </c>
      <c r="L262" s="95" t="s">
        <v>31</v>
      </c>
      <c r="M262" s="95">
        <v>43271</v>
      </c>
      <c r="N262" s="9"/>
      <c r="O262" s="9"/>
      <c r="P262" s="10"/>
      <c r="Q262" s="76"/>
      <c r="R262" s="97" t="str">
        <f t="shared" si="10"/>
        <v/>
      </c>
      <c r="S262" s="75" t="str">
        <f t="shared" si="11"/>
        <v/>
      </c>
      <c r="T262" s="128"/>
      <c r="W262" s="6" t="s">
        <v>84</v>
      </c>
      <c r="X262" s="95">
        <v>48711</v>
      </c>
    </row>
    <row r="263" spans="1:24" x14ac:dyDescent="0.25">
      <c r="A263" s="6" t="s">
        <v>117</v>
      </c>
      <c r="B263" s="94" t="s">
        <v>1054</v>
      </c>
      <c r="C263" s="6" t="s">
        <v>1055</v>
      </c>
      <c r="D263" s="140">
        <v>11817957</v>
      </c>
      <c r="E263" s="6" t="s">
        <v>366</v>
      </c>
      <c r="F263" s="10" t="s">
        <v>277</v>
      </c>
      <c r="G263" s="6" t="s">
        <v>1056</v>
      </c>
      <c r="H263" s="8">
        <v>44691</v>
      </c>
      <c r="I263" s="8">
        <v>43269</v>
      </c>
      <c r="J263" s="95">
        <v>43269</v>
      </c>
      <c r="K263" s="7">
        <v>43271</v>
      </c>
      <c r="L263" s="95" t="s">
        <v>31</v>
      </c>
      <c r="M263" s="95">
        <v>43271</v>
      </c>
      <c r="N263" s="108">
        <v>44741</v>
      </c>
      <c r="O263" s="108">
        <v>44727</v>
      </c>
      <c r="P263" s="107" t="s">
        <v>35</v>
      </c>
      <c r="Q263" s="110">
        <v>710</v>
      </c>
      <c r="R263" s="97">
        <f t="shared" si="10"/>
        <v>1.9452054794520548</v>
      </c>
      <c r="S263" s="75">
        <f t="shared" si="11"/>
        <v>16065.452054794521</v>
      </c>
      <c r="T263" s="128"/>
      <c r="U263" s="8">
        <v>44749</v>
      </c>
      <c r="W263" s="6" t="s">
        <v>33</v>
      </c>
      <c r="X263" s="95">
        <v>43187</v>
      </c>
    </row>
    <row r="264" spans="1:24" x14ac:dyDescent="0.25">
      <c r="A264" s="6" t="s">
        <v>65</v>
      </c>
      <c r="B264" s="94" t="s">
        <v>1057</v>
      </c>
      <c r="C264" s="6" t="s">
        <v>1058</v>
      </c>
      <c r="D264" s="140">
        <v>11605783</v>
      </c>
      <c r="E264" s="6" t="s">
        <v>418</v>
      </c>
      <c r="F264" s="10" t="s">
        <v>139</v>
      </c>
      <c r="G264" s="6" t="s">
        <v>1059</v>
      </c>
      <c r="H264" s="8">
        <v>44826</v>
      </c>
      <c r="I264" s="8">
        <v>43270</v>
      </c>
      <c r="J264" s="8">
        <v>43270</v>
      </c>
      <c r="K264" s="95">
        <v>43292</v>
      </c>
      <c r="L264" s="95" t="s">
        <v>31</v>
      </c>
      <c r="M264" s="8">
        <v>43299</v>
      </c>
      <c r="N264" s="8">
        <v>43340</v>
      </c>
      <c r="O264" s="8">
        <v>43335</v>
      </c>
      <c r="P264" s="6" t="s">
        <v>35</v>
      </c>
      <c r="Q264" s="96">
        <v>243</v>
      </c>
      <c r="R264" s="97">
        <f t="shared" si="10"/>
        <v>0.66575342465753429</v>
      </c>
      <c r="S264" s="75">
        <f t="shared" si="11"/>
        <v>5498.4575342465751</v>
      </c>
      <c r="U264" s="8">
        <v>43348</v>
      </c>
      <c r="V264" s="100"/>
      <c r="W264" s="100" t="s">
        <v>33</v>
      </c>
      <c r="X264" s="104">
        <v>43838</v>
      </c>
    </row>
    <row r="265" spans="1:24" x14ac:dyDescent="0.25">
      <c r="A265" s="6" t="s">
        <v>65</v>
      </c>
      <c r="B265" s="94" t="s">
        <v>792</v>
      </c>
      <c r="C265" s="6" t="s">
        <v>1060</v>
      </c>
      <c r="D265" s="140">
        <v>11591974</v>
      </c>
      <c r="E265" s="6" t="s">
        <v>166</v>
      </c>
      <c r="F265" s="10" t="s">
        <v>44</v>
      </c>
      <c r="G265" s="6" t="s">
        <v>1061</v>
      </c>
      <c r="H265" s="8">
        <v>44698</v>
      </c>
      <c r="I265" s="8">
        <v>43270</v>
      </c>
      <c r="J265" s="8">
        <v>43270</v>
      </c>
      <c r="K265" s="95">
        <v>43306</v>
      </c>
      <c r="L265" s="95" t="s">
        <v>31</v>
      </c>
      <c r="M265" s="8">
        <v>43312</v>
      </c>
      <c r="N265" s="8">
        <v>43377</v>
      </c>
      <c r="O265" s="8">
        <v>43367</v>
      </c>
      <c r="P265" s="6" t="s">
        <v>35</v>
      </c>
      <c r="Q265" s="96">
        <v>730</v>
      </c>
      <c r="R265" s="97">
        <f t="shared" si="10"/>
        <v>2</v>
      </c>
      <c r="S265" s="75">
        <f t="shared" si="11"/>
        <v>16518</v>
      </c>
      <c r="U265" s="8">
        <v>43384</v>
      </c>
      <c r="W265" s="6" t="s">
        <v>33</v>
      </c>
      <c r="X265" s="95">
        <v>44669</v>
      </c>
    </row>
    <row r="266" spans="1:24" x14ac:dyDescent="0.25">
      <c r="A266" s="6" t="s">
        <v>65</v>
      </c>
      <c r="B266" s="94" t="s">
        <v>1062</v>
      </c>
      <c r="C266" s="6" t="s">
        <v>1063</v>
      </c>
      <c r="D266" s="140">
        <v>11557828</v>
      </c>
      <c r="E266" s="6" t="s">
        <v>1064</v>
      </c>
      <c r="F266" s="10" t="s">
        <v>528</v>
      </c>
      <c r="G266" s="6" t="s">
        <v>1065</v>
      </c>
      <c r="H266" s="8">
        <v>44097</v>
      </c>
      <c r="I266" s="8">
        <v>43270</v>
      </c>
      <c r="J266" s="8">
        <v>43270</v>
      </c>
      <c r="K266" s="95">
        <v>43278</v>
      </c>
      <c r="L266" s="95" t="s">
        <v>31</v>
      </c>
      <c r="M266" s="8">
        <v>43280</v>
      </c>
      <c r="N266" s="8">
        <v>43332</v>
      </c>
      <c r="O266" s="8">
        <v>43319</v>
      </c>
      <c r="P266" s="6" t="s">
        <v>35</v>
      </c>
      <c r="Q266" s="96">
        <v>365</v>
      </c>
      <c r="R266" s="97">
        <f t="shared" si="10"/>
        <v>1</v>
      </c>
      <c r="S266" s="75">
        <f t="shared" si="11"/>
        <v>8259</v>
      </c>
      <c r="U266" s="8">
        <v>43332</v>
      </c>
      <c r="W266" s="6" t="s">
        <v>33</v>
      </c>
      <c r="X266" s="95">
        <v>43240</v>
      </c>
    </row>
    <row r="267" spans="1:24" x14ac:dyDescent="0.25">
      <c r="A267" s="6" t="s">
        <v>65</v>
      </c>
      <c r="B267" s="94" t="s">
        <v>1066</v>
      </c>
      <c r="C267" s="6" t="s">
        <v>1067</v>
      </c>
      <c r="D267" s="140">
        <v>11613910</v>
      </c>
      <c r="E267" s="6" t="s">
        <v>125</v>
      </c>
      <c r="F267" s="10" t="s">
        <v>44</v>
      </c>
      <c r="G267" s="6" t="s">
        <v>1068</v>
      </c>
      <c r="H267" s="8">
        <v>43970</v>
      </c>
      <c r="I267" s="8">
        <v>43270</v>
      </c>
      <c r="J267" s="8">
        <v>43270</v>
      </c>
      <c r="K267" s="95">
        <v>43278</v>
      </c>
      <c r="L267" s="95" t="s">
        <v>31</v>
      </c>
      <c r="M267" s="8">
        <v>43280</v>
      </c>
      <c r="N267" s="8">
        <v>43347</v>
      </c>
      <c r="O267" s="8">
        <v>43341</v>
      </c>
      <c r="P267" s="6" t="s">
        <v>35</v>
      </c>
      <c r="Q267" s="96">
        <v>1095</v>
      </c>
      <c r="R267" s="97">
        <f t="shared" si="10"/>
        <v>3</v>
      </c>
      <c r="S267" s="75">
        <f t="shared" si="11"/>
        <v>24777</v>
      </c>
      <c r="T267" s="124" t="s">
        <v>1069</v>
      </c>
      <c r="U267" s="8">
        <v>43353</v>
      </c>
      <c r="V267" s="100" t="s">
        <v>36</v>
      </c>
      <c r="W267" s="100" t="s">
        <v>33</v>
      </c>
      <c r="X267" s="104">
        <v>49675</v>
      </c>
    </row>
    <row r="268" spans="1:24" x14ac:dyDescent="0.25">
      <c r="A268" s="6" t="s">
        <v>65</v>
      </c>
      <c r="B268" s="94" t="s">
        <v>1070</v>
      </c>
      <c r="C268" s="6" t="s">
        <v>1071</v>
      </c>
      <c r="D268" s="140">
        <v>12010131</v>
      </c>
      <c r="E268" s="6" t="s">
        <v>464</v>
      </c>
      <c r="F268" s="10" t="s">
        <v>81</v>
      </c>
      <c r="G268" s="6">
        <v>28804</v>
      </c>
      <c r="H268" s="8">
        <v>43822</v>
      </c>
      <c r="I268" s="8">
        <v>43270</v>
      </c>
      <c r="J268" s="8">
        <v>43270</v>
      </c>
      <c r="K268" s="95">
        <v>43283</v>
      </c>
      <c r="L268" s="95" t="s">
        <v>31</v>
      </c>
      <c r="M268" s="8">
        <v>43291</v>
      </c>
      <c r="N268" s="8">
        <v>43347</v>
      </c>
      <c r="O268" s="8">
        <v>43342</v>
      </c>
      <c r="P268" s="6" t="s">
        <v>90</v>
      </c>
      <c r="Q268" s="96">
        <v>1095</v>
      </c>
      <c r="R268" s="97">
        <f t="shared" si="10"/>
        <v>3</v>
      </c>
      <c r="S268" s="75">
        <f t="shared" si="11"/>
        <v>24777</v>
      </c>
      <c r="T268" s="124" t="s">
        <v>1072</v>
      </c>
      <c r="U268" s="8">
        <v>43354</v>
      </c>
      <c r="V268" s="6" t="s">
        <v>36</v>
      </c>
      <c r="W268" s="6" t="s">
        <v>33</v>
      </c>
      <c r="X268" s="95">
        <v>43063</v>
      </c>
    </row>
    <row r="269" spans="1:24" x14ac:dyDescent="0.25">
      <c r="A269" s="6" t="s">
        <v>65</v>
      </c>
      <c r="B269" s="94" t="s">
        <v>323</v>
      </c>
      <c r="C269" s="6" t="s">
        <v>1073</v>
      </c>
      <c r="D269" s="140">
        <v>11075920</v>
      </c>
      <c r="E269" s="6" t="s">
        <v>61</v>
      </c>
      <c r="F269" s="10" t="s">
        <v>205</v>
      </c>
      <c r="G269" s="6" t="s">
        <v>1074</v>
      </c>
      <c r="H269" s="8">
        <v>44381</v>
      </c>
      <c r="I269" s="8">
        <v>43270</v>
      </c>
      <c r="J269" s="8">
        <v>43270</v>
      </c>
      <c r="K269" s="95">
        <v>43283</v>
      </c>
      <c r="L269" s="95" t="s">
        <v>31</v>
      </c>
      <c r="M269" s="8">
        <v>43291</v>
      </c>
      <c r="N269" s="8">
        <v>43444</v>
      </c>
      <c r="O269" s="8">
        <v>43437</v>
      </c>
      <c r="P269" s="6" t="s">
        <v>35</v>
      </c>
      <c r="Q269" s="96">
        <v>365</v>
      </c>
      <c r="R269" s="97">
        <f t="shared" si="10"/>
        <v>1</v>
      </c>
      <c r="S269" s="75">
        <f t="shared" si="11"/>
        <v>8259</v>
      </c>
      <c r="T269" s="124" t="s">
        <v>1075</v>
      </c>
      <c r="U269" s="8">
        <v>43444</v>
      </c>
      <c r="V269" s="6" t="s">
        <v>36</v>
      </c>
      <c r="W269" s="6" t="s">
        <v>33</v>
      </c>
      <c r="X269" s="95">
        <v>50439</v>
      </c>
    </row>
    <row r="270" spans="1:24" x14ac:dyDescent="0.25">
      <c r="A270" s="6" t="s">
        <v>85</v>
      </c>
      <c r="B270" s="94" t="s">
        <v>1076</v>
      </c>
      <c r="C270" s="6" t="s">
        <v>1077</v>
      </c>
      <c r="D270" s="140">
        <v>11803737</v>
      </c>
      <c r="E270" s="6" t="s">
        <v>1078</v>
      </c>
      <c r="F270" s="10" t="s">
        <v>148</v>
      </c>
      <c r="G270" s="6" t="s">
        <v>1079</v>
      </c>
      <c r="H270" s="8">
        <v>2958125</v>
      </c>
      <c r="I270" s="8">
        <v>43304</v>
      </c>
      <c r="J270" s="8">
        <v>43304</v>
      </c>
      <c r="K270" s="95">
        <v>43306</v>
      </c>
      <c r="L270" s="95" t="s">
        <v>31</v>
      </c>
      <c r="M270" s="8">
        <v>43312</v>
      </c>
      <c r="N270" s="8">
        <v>43382</v>
      </c>
      <c r="O270" s="8">
        <v>43357</v>
      </c>
      <c r="P270" s="6" t="s">
        <v>75</v>
      </c>
      <c r="R270" s="97" t="str">
        <f t="shared" si="10"/>
        <v/>
      </c>
      <c r="S270" s="75" t="str">
        <f t="shared" si="11"/>
        <v/>
      </c>
      <c r="U270" s="8">
        <v>43391</v>
      </c>
      <c r="W270" s="6" t="s">
        <v>84</v>
      </c>
      <c r="X270" s="6" t="s">
        <v>683</v>
      </c>
    </row>
    <row r="271" spans="1:24" s="112" customFormat="1" ht="30" x14ac:dyDescent="0.25">
      <c r="A271" s="6" t="s">
        <v>211</v>
      </c>
      <c r="B271" s="94" t="s">
        <v>1080</v>
      </c>
      <c r="C271" s="6" t="s">
        <v>1081</v>
      </c>
      <c r="D271" s="140">
        <v>11476143</v>
      </c>
      <c r="E271" s="6" t="s">
        <v>1082</v>
      </c>
      <c r="F271" s="10" t="s">
        <v>62</v>
      </c>
      <c r="G271" s="6" t="s">
        <v>1083</v>
      </c>
      <c r="H271" s="8">
        <v>45958</v>
      </c>
      <c r="I271" s="8">
        <v>43332</v>
      </c>
      <c r="J271" s="8">
        <v>43332</v>
      </c>
      <c r="K271" s="95">
        <v>43334</v>
      </c>
      <c r="L271" s="95" t="s">
        <v>31</v>
      </c>
      <c r="M271" s="8">
        <v>43341</v>
      </c>
      <c r="N271" s="8">
        <v>43413</v>
      </c>
      <c r="O271" s="8">
        <v>43360</v>
      </c>
      <c r="P271" s="101" t="s">
        <v>52</v>
      </c>
      <c r="Q271" s="96"/>
      <c r="R271" s="97" t="str">
        <f t="shared" si="10"/>
        <v/>
      </c>
      <c r="S271" s="75" t="str">
        <f t="shared" si="11"/>
        <v/>
      </c>
      <c r="T271" s="124" t="s">
        <v>1084</v>
      </c>
      <c r="U271" s="8">
        <v>43417</v>
      </c>
      <c r="V271" s="6"/>
      <c r="W271" s="6" t="s">
        <v>33</v>
      </c>
      <c r="X271" s="95">
        <v>51268</v>
      </c>
    </row>
    <row r="272" spans="1:24" x14ac:dyDescent="0.25">
      <c r="A272" s="6" t="s">
        <v>211</v>
      </c>
      <c r="B272" s="94" t="s">
        <v>1085</v>
      </c>
      <c r="C272" s="6" t="s">
        <v>1086</v>
      </c>
      <c r="D272" s="140">
        <v>11579351</v>
      </c>
      <c r="E272" s="6" t="s">
        <v>498</v>
      </c>
      <c r="F272" s="10" t="s">
        <v>176</v>
      </c>
      <c r="G272" s="6">
        <v>2016016719</v>
      </c>
      <c r="H272" s="8">
        <v>46145</v>
      </c>
      <c r="I272" s="8">
        <v>43313</v>
      </c>
      <c r="J272" s="8">
        <v>43326</v>
      </c>
      <c r="K272" s="95">
        <v>43327</v>
      </c>
      <c r="L272" s="95" t="s">
        <v>31</v>
      </c>
      <c r="M272" s="8">
        <v>43334</v>
      </c>
      <c r="N272" s="8">
        <v>43412</v>
      </c>
      <c r="O272" s="8">
        <v>43361</v>
      </c>
      <c r="P272" s="6" t="s">
        <v>75</v>
      </c>
      <c r="R272" s="97" t="str">
        <f t="shared" si="10"/>
        <v/>
      </c>
      <c r="S272" s="75" t="str">
        <f t="shared" si="11"/>
        <v/>
      </c>
      <c r="U272" s="8">
        <v>43412</v>
      </c>
      <c r="W272" s="6" t="s">
        <v>33</v>
      </c>
      <c r="X272" s="95">
        <v>51680</v>
      </c>
    </row>
    <row r="273" spans="1:24" x14ac:dyDescent="0.25">
      <c r="A273" s="6" t="s">
        <v>65</v>
      </c>
      <c r="B273" s="94" t="s">
        <v>1087</v>
      </c>
      <c r="C273" s="6" t="s">
        <v>1088</v>
      </c>
      <c r="D273" s="140">
        <v>11614994</v>
      </c>
      <c r="E273" s="6" t="s">
        <v>1089</v>
      </c>
      <c r="F273" s="10" t="s">
        <v>299</v>
      </c>
      <c r="G273" s="6" t="s">
        <v>1090</v>
      </c>
      <c r="H273" s="8">
        <v>45350</v>
      </c>
      <c r="I273" s="8">
        <v>43335</v>
      </c>
      <c r="J273" s="8">
        <v>43335</v>
      </c>
      <c r="K273" s="95">
        <v>43341</v>
      </c>
      <c r="L273" s="95" t="s">
        <v>31</v>
      </c>
      <c r="M273" s="8">
        <v>43354</v>
      </c>
      <c r="N273" s="8">
        <v>43368</v>
      </c>
      <c r="O273" s="8">
        <v>43361</v>
      </c>
      <c r="P273" s="6" t="s">
        <v>75</v>
      </c>
      <c r="R273" s="97" t="str">
        <f t="shared" si="10"/>
        <v/>
      </c>
      <c r="S273" s="75" t="str">
        <f t="shared" si="11"/>
        <v/>
      </c>
      <c r="U273" s="8">
        <v>43374</v>
      </c>
      <c r="W273" s="6" t="s">
        <v>33</v>
      </c>
      <c r="X273" s="95">
        <v>45802</v>
      </c>
    </row>
    <row r="274" spans="1:24" x14ac:dyDescent="0.25">
      <c r="A274" s="6" t="s">
        <v>65</v>
      </c>
      <c r="B274" s="94" t="s">
        <v>1091</v>
      </c>
      <c r="C274" s="6" t="s">
        <v>1092</v>
      </c>
      <c r="D274" s="140">
        <v>12127407</v>
      </c>
      <c r="E274" s="6" t="s">
        <v>997</v>
      </c>
      <c r="F274" s="10" t="s">
        <v>44</v>
      </c>
      <c r="G274" s="6" t="s">
        <v>1093</v>
      </c>
      <c r="H274" s="8">
        <v>46330</v>
      </c>
      <c r="I274" s="8">
        <v>43333</v>
      </c>
      <c r="J274" s="8">
        <v>43333</v>
      </c>
      <c r="K274" s="95">
        <v>43334</v>
      </c>
      <c r="L274" s="95" t="s">
        <v>31</v>
      </c>
      <c r="M274" s="8">
        <v>43341</v>
      </c>
      <c r="N274" s="8">
        <v>43368</v>
      </c>
      <c r="O274" s="8">
        <v>43362</v>
      </c>
      <c r="P274" s="6" t="s">
        <v>75</v>
      </c>
      <c r="R274" s="97" t="str">
        <f t="shared" si="10"/>
        <v/>
      </c>
      <c r="S274" s="75" t="str">
        <f t="shared" si="11"/>
        <v/>
      </c>
      <c r="U274" s="8">
        <v>43374</v>
      </c>
      <c r="W274" s="6" t="s">
        <v>33</v>
      </c>
      <c r="X274" s="95">
        <v>47602</v>
      </c>
    </row>
    <row r="275" spans="1:24" ht="30" x14ac:dyDescent="0.25">
      <c r="A275" s="6" t="s">
        <v>65</v>
      </c>
      <c r="B275" s="94" t="s">
        <v>1094</v>
      </c>
      <c r="C275" s="6" t="s">
        <v>1095</v>
      </c>
      <c r="D275" s="140">
        <v>11306622</v>
      </c>
      <c r="E275" s="6" t="s">
        <v>1096</v>
      </c>
      <c r="F275" s="10" t="s">
        <v>29</v>
      </c>
      <c r="G275" s="6" t="s">
        <v>959</v>
      </c>
      <c r="H275" s="8">
        <v>44194</v>
      </c>
      <c r="I275" s="8">
        <v>43347</v>
      </c>
      <c r="J275" s="8">
        <v>43347</v>
      </c>
      <c r="K275" s="95">
        <v>43355</v>
      </c>
      <c r="L275" s="95" t="s">
        <v>31</v>
      </c>
      <c r="M275" s="8">
        <v>43356</v>
      </c>
      <c r="N275" s="8">
        <v>43371</v>
      </c>
      <c r="O275" s="8">
        <v>43364</v>
      </c>
      <c r="P275" s="6" t="s">
        <v>75</v>
      </c>
      <c r="R275" s="97" t="str">
        <f t="shared" si="10"/>
        <v/>
      </c>
      <c r="S275" s="75" t="str">
        <f t="shared" si="11"/>
        <v/>
      </c>
      <c r="U275" s="8">
        <v>43374</v>
      </c>
      <c r="W275" s="6" t="s">
        <v>33</v>
      </c>
      <c r="X275" s="95">
        <v>55525</v>
      </c>
    </row>
    <row r="276" spans="1:24" ht="30" x14ac:dyDescent="0.25">
      <c r="A276" s="6" t="s">
        <v>37</v>
      </c>
      <c r="B276" s="94" t="s">
        <v>1097</v>
      </c>
      <c r="C276" s="6" t="s">
        <v>1098</v>
      </c>
      <c r="D276" s="140">
        <v>11125448</v>
      </c>
      <c r="E276" s="6" t="s">
        <v>1099</v>
      </c>
      <c r="F276" s="10" t="s">
        <v>134</v>
      </c>
      <c r="G276" s="6" t="s">
        <v>1100</v>
      </c>
      <c r="H276" s="8">
        <v>52109</v>
      </c>
      <c r="I276" s="8">
        <v>43335</v>
      </c>
      <c r="J276" s="8">
        <v>43336</v>
      </c>
      <c r="K276" s="95">
        <v>43339</v>
      </c>
      <c r="L276" s="95" t="s">
        <v>31</v>
      </c>
      <c r="M276" s="8">
        <v>43349</v>
      </c>
      <c r="N276" s="8">
        <v>43374</v>
      </c>
      <c r="O276" s="8">
        <v>43367</v>
      </c>
      <c r="P276" s="101" t="s">
        <v>52</v>
      </c>
      <c r="R276" s="97" t="str">
        <f t="shared" si="10"/>
        <v/>
      </c>
      <c r="S276" s="75" t="str">
        <f t="shared" si="11"/>
        <v/>
      </c>
      <c r="T276" s="124" t="s">
        <v>1101</v>
      </c>
      <c r="U276" s="8">
        <v>43376</v>
      </c>
      <c r="W276" s="6" t="s">
        <v>33</v>
      </c>
      <c r="X276" s="95">
        <v>50325</v>
      </c>
    </row>
    <row r="277" spans="1:24" x14ac:dyDescent="0.25">
      <c r="A277" s="6" t="s">
        <v>65</v>
      </c>
      <c r="B277" s="94" t="s">
        <v>323</v>
      </c>
      <c r="C277" s="6" t="s">
        <v>1102</v>
      </c>
      <c r="D277" s="140">
        <v>11956110</v>
      </c>
      <c r="E277" s="6" t="s">
        <v>1103</v>
      </c>
      <c r="F277" s="10" t="s">
        <v>44</v>
      </c>
      <c r="G277" s="6" t="s">
        <v>1104</v>
      </c>
      <c r="H277" s="8">
        <v>44192</v>
      </c>
      <c r="I277" s="8">
        <v>43339</v>
      </c>
      <c r="J277" s="8">
        <v>43339</v>
      </c>
      <c r="K277" s="95">
        <v>43355</v>
      </c>
      <c r="L277" s="95" t="s">
        <v>31</v>
      </c>
      <c r="M277" s="8">
        <v>43360</v>
      </c>
      <c r="N277" s="8">
        <v>43537</v>
      </c>
      <c r="O277" s="8">
        <v>43368</v>
      </c>
      <c r="P277" s="6" t="s">
        <v>182</v>
      </c>
      <c r="R277" s="97" t="str">
        <f t="shared" si="10"/>
        <v/>
      </c>
      <c r="S277" s="75" t="str">
        <f t="shared" si="11"/>
        <v/>
      </c>
      <c r="U277" s="8">
        <v>43537</v>
      </c>
      <c r="W277" s="6" t="s">
        <v>33</v>
      </c>
      <c r="X277" s="95">
        <v>43498</v>
      </c>
    </row>
    <row r="278" spans="1:24" x14ac:dyDescent="0.25">
      <c r="A278" s="6" t="s">
        <v>70</v>
      </c>
      <c r="B278" s="94" t="s">
        <v>1105</v>
      </c>
      <c r="C278" s="6" t="s">
        <v>1106</v>
      </c>
      <c r="D278" s="140">
        <v>11917247</v>
      </c>
      <c r="E278" s="6" t="s">
        <v>1064</v>
      </c>
      <c r="F278" s="6" t="s">
        <v>148</v>
      </c>
      <c r="G278" s="6" t="s">
        <v>1107</v>
      </c>
      <c r="H278" s="8">
        <v>46137</v>
      </c>
      <c r="I278" s="95">
        <v>43136</v>
      </c>
      <c r="J278" s="95">
        <v>43136</v>
      </c>
      <c r="K278" s="95">
        <v>43143</v>
      </c>
      <c r="L278" s="95" t="s">
        <v>31</v>
      </c>
      <c r="M278" s="8">
        <v>43171</v>
      </c>
      <c r="N278" s="8">
        <v>43395</v>
      </c>
      <c r="O278" s="8">
        <v>43369</v>
      </c>
      <c r="P278" s="6" t="s">
        <v>75</v>
      </c>
      <c r="R278" s="97" t="str">
        <f t="shared" si="10"/>
        <v/>
      </c>
      <c r="S278" s="75" t="str">
        <f t="shared" si="11"/>
        <v/>
      </c>
      <c r="U278" s="8">
        <v>43396</v>
      </c>
      <c r="W278" s="6" t="s">
        <v>33</v>
      </c>
      <c r="X278" s="95">
        <v>42924</v>
      </c>
    </row>
    <row r="279" spans="1:24" x14ac:dyDescent="0.25">
      <c r="A279" s="6" t="s">
        <v>65</v>
      </c>
      <c r="B279" s="94" t="s">
        <v>242</v>
      </c>
      <c r="C279" s="6" t="s">
        <v>1108</v>
      </c>
      <c r="D279" s="140">
        <v>11337677</v>
      </c>
      <c r="E279" s="6" t="s">
        <v>1109</v>
      </c>
      <c r="F279" s="10" t="s">
        <v>363</v>
      </c>
      <c r="G279" s="6">
        <v>1244022</v>
      </c>
      <c r="H279" s="8">
        <v>44319</v>
      </c>
      <c r="I279" s="8">
        <v>43270</v>
      </c>
      <c r="J279" s="8">
        <v>43270</v>
      </c>
      <c r="K279" s="95">
        <v>43283</v>
      </c>
      <c r="L279" s="95" t="s">
        <v>31</v>
      </c>
      <c r="M279" s="8">
        <v>43291</v>
      </c>
      <c r="N279" s="8">
        <v>43552</v>
      </c>
      <c r="O279" s="8">
        <v>43312</v>
      </c>
      <c r="P279" s="6" t="s">
        <v>35</v>
      </c>
      <c r="Q279" s="96">
        <v>730</v>
      </c>
      <c r="R279" s="97">
        <f t="shared" si="10"/>
        <v>2</v>
      </c>
      <c r="S279" s="75">
        <f t="shared" si="11"/>
        <v>16518</v>
      </c>
      <c r="T279" s="124" t="s">
        <v>320</v>
      </c>
      <c r="U279" s="8">
        <v>43552</v>
      </c>
      <c r="W279" s="6" t="s">
        <v>33</v>
      </c>
      <c r="X279" s="95">
        <v>44637</v>
      </c>
    </row>
    <row r="280" spans="1:24" x14ac:dyDescent="0.25">
      <c r="A280" s="6" t="s">
        <v>85</v>
      </c>
      <c r="B280" s="94" t="s">
        <v>1110</v>
      </c>
      <c r="C280" s="6" t="s">
        <v>1111</v>
      </c>
      <c r="D280" s="140">
        <v>11889765</v>
      </c>
      <c r="E280" s="6" t="s">
        <v>236</v>
      </c>
      <c r="F280" s="10" t="s">
        <v>148</v>
      </c>
      <c r="G280" s="6" t="s">
        <v>1112</v>
      </c>
      <c r="H280" s="8">
        <v>50466</v>
      </c>
      <c r="I280" s="8">
        <v>43299</v>
      </c>
      <c r="J280" s="8">
        <v>43301</v>
      </c>
      <c r="K280" s="95">
        <v>43313</v>
      </c>
      <c r="L280" s="95" t="s">
        <v>31</v>
      </c>
      <c r="M280" s="8">
        <v>43320</v>
      </c>
      <c r="N280" s="8">
        <v>43395</v>
      </c>
      <c r="O280" s="8">
        <v>43369</v>
      </c>
      <c r="P280" s="6" t="s">
        <v>75</v>
      </c>
      <c r="R280" s="97" t="str">
        <f t="shared" si="10"/>
        <v/>
      </c>
      <c r="S280" s="75" t="str">
        <f t="shared" si="11"/>
        <v/>
      </c>
      <c r="U280" s="8">
        <v>43396</v>
      </c>
      <c r="W280" s="6" t="s">
        <v>33</v>
      </c>
      <c r="X280" s="95">
        <v>51405</v>
      </c>
    </row>
    <row r="281" spans="1:24" x14ac:dyDescent="0.25">
      <c r="A281" s="6" t="s">
        <v>65</v>
      </c>
      <c r="B281" s="94" t="s">
        <v>1113</v>
      </c>
      <c r="C281" s="6" t="s">
        <v>1114</v>
      </c>
      <c r="D281" s="140">
        <v>11375262</v>
      </c>
      <c r="E281" s="6" t="s">
        <v>1115</v>
      </c>
      <c r="F281" s="10" t="s">
        <v>29</v>
      </c>
      <c r="G281" s="6" t="s">
        <v>1116</v>
      </c>
      <c r="H281" s="8">
        <v>44365</v>
      </c>
      <c r="I281" s="8">
        <v>43270</v>
      </c>
      <c r="J281" s="8">
        <v>43270</v>
      </c>
      <c r="K281" s="95">
        <v>43283</v>
      </c>
      <c r="L281" s="95" t="s">
        <v>31</v>
      </c>
      <c r="M281" s="8">
        <v>43291</v>
      </c>
      <c r="N281" s="8">
        <v>44131</v>
      </c>
      <c r="O281" s="8">
        <v>43343</v>
      </c>
      <c r="P281" s="6" t="s">
        <v>75</v>
      </c>
      <c r="R281" s="97" t="str">
        <f t="shared" si="10"/>
        <v/>
      </c>
      <c r="S281" s="75" t="str">
        <f t="shared" si="11"/>
        <v/>
      </c>
      <c r="U281" s="8">
        <v>44131</v>
      </c>
      <c r="W281" s="6" t="s">
        <v>33</v>
      </c>
      <c r="X281" s="95">
        <v>54754</v>
      </c>
    </row>
    <row r="282" spans="1:24" x14ac:dyDescent="0.25">
      <c r="A282" s="6" t="s">
        <v>65</v>
      </c>
      <c r="B282" s="94" t="s">
        <v>1117</v>
      </c>
      <c r="C282" s="6" t="s">
        <v>1118</v>
      </c>
      <c r="D282" s="140">
        <v>11044182</v>
      </c>
      <c r="E282" s="6" t="s">
        <v>656</v>
      </c>
      <c r="F282" s="10" t="s">
        <v>44</v>
      </c>
      <c r="G282" s="6" t="s">
        <v>1119</v>
      </c>
      <c r="H282" s="8">
        <v>44137</v>
      </c>
      <c r="I282" s="8">
        <v>43270</v>
      </c>
      <c r="J282" s="8">
        <v>43270</v>
      </c>
      <c r="K282" s="95">
        <v>43283</v>
      </c>
      <c r="L282" s="95" t="s">
        <v>31</v>
      </c>
      <c r="M282" s="8">
        <v>43291</v>
      </c>
      <c r="R282" s="97" t="str">
        <f t="shared" ref="R282:R345" si="12">IF(Q282&gt;0, Q282/365, "")</f>
        <v/>
      </c>
      <c r="S282" s="75" t="str">
        <f t="shared" ref="S282:S345" si="13">IF(Q282&gt;0, SUM(Q282)*(8259/365), "")</f>
        <v/>
      </c>
      <c r="T282" s="124" t="s">
        <v>253</v>
      </c>
      <c r="U282" s="8">
        <v>43993</v>
      </c>
      <c r="V282" s="6" t="s">
        <v>36</v>
      </c>
      <c r="W282" s="6" t="s">
        <v>33</v>
      </c>
      <c r="X282" s="95">
        <v>51442</v>
      </c>
    </row>
    <row r="283" spans="1:24" x14ac:dyDescent="0.25">
      <c r="A283" s="6" t="s">
        <v>211</v>
      </c>
      <c r="B283" s="94" t="s">
        <v>1120</v>
      </c>
      <c r="C283" s="6" t="s">
        <v>1121</v>
      </c>
      <c r="D283" s="140">
        <v>11315856</v>
      </c>
      <c r="E283" s="6" t="s">
        <v>142</v>
      </c>
      <c r="F283" s="10" t="s">
        <v>134</v>
      </c>
      <c r="G283" s="6" t="s">
        <v>1122</v>
      </c>
      <c r="H283" s="8">
        <v>49264</v>
      </c>
      <c r="I283" s="8">
        <v>43313</v>
      </c>
      <c r="J283" s="8">
        <v>43326</v>
      </c>
      <c r="K283" s="95">
        <v>43327</v>
      </c>
      <c r="L283" s="95" t="s">
        <v>31</v>
      </c>
      <c r="M283" s="8">
        <v>43334</v>
      </c>
      <c r="N283" s="8">
        <v>43374</v>
      </c>
      <c r="O283" s="8">
        <v>43369</v>
      </c>
      <c r="P283" s="101" t="s">
        <v>182</v>
      </c>
      <c r="R283" s="97" t="str">
        <f t="shared" si="12"/>
        <v/>
      </c>
      <c r="S283" s="75" t="str">
        <f t="shared" si="13"/>
        <v/>
      </c>
      <c r="U283" s="8">
        <v>43376</v>
      </c>
      <c r="W283" s="6" t="s">
        <v>33</v>
      </c>
      <c r="X283" s="95">
        <v>49456</v>
      </c>
    </row>
    <row r="284" spans="1:24" x14ac:dyDescent="0.25">
      <c r="A284" s="6" t="s">
        <v>65</v>
      </c>
      <c r="B284" s="94" t="s">
        <v>1123</v>
      </c>
      <c r="C284" s="6" t="s">
        <v>1124</v>
      </c>
      <c r="D284" s="140">
        <v>12161971</v>
      </c>
      <c r="E284" s="6" t="s">
        <v>162</v>
      </c>
      <c r="F284" s="10" t="s">
        <v>44</v>
      </c>
      <c r="G284" s="6" t="s">
        <v>1125</v>
      </c>
      <c r="H284" s="8">
        <v>44274</v>
      </c>
      <c r="I284" s="8">
        <v>43270</v>
      </c>
      <c r="J284" s="8">
        <v>43270</v>
      </c>
      <c r="K284" s="95">
        <v>43283</v>
      </c>
      <c r="L284" s="95" t="s">
        <v>31</v>
      </c>
      <c r="M284" s="8">
        <v>43291</v>
      </c>
      <c r="R284" s="97" t="str">
        <f t="shared" si="12"/>
        <v/>
      </c>
      <c r="S284" s="75" t="str">
        <f t="shared" si="13"/>
        <v/>
      </c>
      <c r="T284" s="124" t="s">
        <v>253</v>
      </c>
      <c r="U284" s="8">
        <v>43834</v>
      </c>
      <c r="V284" s="6" t="s">
        <v>36</v>
      </c>
      <c r="W284" s="6" t="s">
        <v>33</v>
      </c>
      <c r="X284" s="95">
        <v>46406</v>
      </c>
    </row>
    <row r="285" spans="1:24" x14ac:dyDescent="0.25">
      <c r="A285" s="6" t="s">
        <v>65</v>
      </c>
      <c r="B285" s="94" t="s">
        <v>1126</v>
      </c>
      <c r="C285" s="6" t="s">
        <v>1127</v>
      </c>
      <c r="D285" s="140">
        <v>11350567</v>
      </c>
      <c r="E285" s="6" t="s">
        <v>907</v>
      </c>
      <c r="F285" s="10" t="s">
        <v>44</v>
      </c>
      <c r="G285" s="6" t="s">
        <v>1128</v>
      </c>
      <c r="H285" s="8">
        <v>44152</v>
      </c>
      <c r="I285" s="8">
        <v>43270</v>
      </c>
      <c r="J285" s="8">
        <v>43270</v>
      </c>
      <c r="K285" s="95">
        <v>43283</v>
      </c>
      <c r="L285" s="95" t="s">
        <v>31</v>
      </c>
      <c r="M285" s="8">
        <v>43291</v>
      </c>
      <c r="N285" s="8">
        <v>43490</v>
      </c>
      <c r="O285" s="8">
        <v>43482</v>
      </c>
      <c r="P285" s="6" t="s">
        <v>35</v>
      </c>
      <c r="Q285" s="96">
        <v>365</v>
      </c>
      <c r="R285" s="97">
        <f t="shared" si="12"/>
        <v>1</v>
      </c>
      <c r="S285" s="75">
        <f t="shared" si="13"/>
        <v>8259</v>
      </c>
      <c r="T285" s="124" t="s">
        <v>159</v>
      </c>
      <c r="U285" s="8">
        <v>43490</v>
      </c>
      <c r="W285" s="6" t="s">
        <v>33</v>
      </c>
      <c r="X285" s="95">
        <v>44453</v>
      </c>
    </row>
    <row r="286" spans="1:24" x14ac:dyDescent="0.25">
      <c r="A286" s="6" t="s">
        <v>65</v>
      </c>
      <c r="B286" s="94" t="s">
        <v>1129</v>
      </c>
      <c r="C286" s="6" t="s">
        <v>1130</v>
      </c>
      <c r="D286" s="140">
        <v>11603086</v>
      </c>
      <c r="E286" s="6" t="s">
        <v>514</v>
      </c>
      <c r="F286" s="10" t="s">
        <v>121</v>
      </c>
      <c r="G286" s="6" t="s">
        <v>1131</v>
      </c>
      <c r="H286" s="8">
        <v>44425</v>
      </c>
      <c r="I286" s="8">
        <v>43335</v>
      </c>
      <c r="J286" s="8">
        <v>43335</v>
      </c>
      <c r="K286" s="95">
        <v>43341</v>
      </c>
      <c r="L286" s="95" t="s">
        <v>31</v>
      </c>
      <c r="M286" s="8">
        <v>43354</v>
      </c>
      <c r="N286" s="8">
        <v>43374</v>
      </c>
      <c r="O286" s="8">
        <v>43369</v>
      </c>
      <c r="P286" s="6" t="s">
        <v>75</v>
      </c>
      <c r="R286" s="97" t="str">
        <f t="shared" si="12"/>
        <v/>
      </c>
      <c r="S286" s="75" t="str">
        <f t="shared" si="13"/>
        <v/>
      </c>
      <c r="U286" s="8">
        <v>43376</v>
      </c>
      <c r="W286" s="6" t="s">
        <v>33</v>
      </c>
      <c r="X286" s="95">
        <v>45190</v>
      </c>
    </row>
    <row r="287" spans="1:24" x14ac:dyDescent="0.25">
      <c r="A287" s="6" t="s">
        <v>65</v>
      </c>
      <c r="B287" s="94" t="s">
        <v>1132</v>
      </c>
      <c r="C287" s="6" t="s">
        <v>1133</v>
      </c>
      <c r="D287" s="140">
        <v>11979442</v>
      </c>
      <c r="E287" s="6" t="s">
        <v>950</v>
      </c>
      <c r="F287" s="10" t="s">
        <v>134</v>
      </c>
      <c r="G287" s="6" t="s">
        <v>1134</v>
      </c>
      <c r="H287" s="8">
        <v>44212</v>
      </c>
      <c r="I287" s="8">
        <v>43270</v>
      </c>
      <c r="J287" s="8">
        <v>43270</v>
      </c>
      <c r="K287" s="95">
        <v>43283</v>
      </c>
      <c r="L287" s="95" t="s">
        <v>31</v>
      </c>
      <c r="M287" s="8">
        <v>43291</v>
      </c>
      <c r="R287" s="97" t="str">
        <f t="shared" si="12"/>
        <v/>
      </c>
      <c r="S287" s="75" t="str">
        <f t="shared" si="13"/>
        <v/>
      </c>
      <c r="T287" s="124" t="s">
        <v>253</v>
      </c>
      <c r="U287" s="8">
        <v>44043</v>
      </c>
      <c r="V287" s="6" t="s">
        <v>36</v>
      </c>
      <c r="W287" s="6" t="s">
        <v>33</v>
      </c>
      <c r="X287" s="95">
        <v>43008</v>
      </c>
    </row>
    <row r="288" spans="1:24" x14ac:dyDescent="0.25">
      <c r="A288" s="6" t="s">
        <v>65</v>
      </c>
      <c r="B288" s="94" t="s">
        <v>496</v>
      </c>
      <c r="C288" s="6" t="s">
        <v>1135</v>
      </c>
      <c r="D288" s="140">
        <v>11297598</v>
      </c>
      <c r="E288" s="6" t="s">
        <v>527</v>
      </c>
      <c r="F288" s="10" t="s">
        <v>44</v>
      </c>
      <c r="G288" s="6" t="s">
        <v>1136</v>
      </c>
      <c r="H288" s="8">
        <v>44846</v>
      </c>
      <c r="I288" s="8">
        <v>43270</v>
      </c>
      <c r="J288" s="8">
        <v>43270</v>
      </c>
      <c r="K288" s="95">
        <v>43283</v>
      </c>
      <c r="L288" s="95" t="s">
        <v>31</v>
      </c>
      <c r="M288" s="8">
        <v>43291</v>
      </c>
      <c r="N288" s="108">
        <v>43333</v>
      </c>
      <c r="O288" s="108">
        <v>43329</v>
      </c>
      <c r="P288" s="107" t="s">
        <v>52</v>
      </c>
      <c r="Q288" s="110"/>
      <c r="R288" s="97" t="str">
        <f t="shared" si="12"/>
        <v/>
      </c>
      <c r="S288" s="75" t="str">
        <f t="shared" si="13"/>
        <v/>
      </c>
      <c r="U288" s="8">
        <v>44749</v>
      </c>
      <c r="W288" s="6" t="s">
        <v>33</v>
      </c>
      <c r="X288" s="95">
        <v>45977</v>
      </c>
    </row>
    <row r="289" spans="1:24" x14ac:dyDescent="0.25">
      <c r="A289" s="6" t="s">
        <v>65</v>
      </c>
      <c r="B289" s="94" t="s">
        <v>1137</v>
      </c>
      <c r="C289" s="6" t="s">
        <v>1138</v>
      </c>
      <c r="D289" s="140">
        <v>12111515</v>
      </c>
      <c r="E289" s="6" t="s">
        <v>332</v>
      </c>
      <c r="F289" s="10" t="s">
        <v>44</v>
      </c>
      <c r="G289" s="6" t="s">
        <v>1139</v>
      </c>
      <c r="H289" s="8">
        <v>44822</v>
      </c>
      <c r="I289" s="8">
        <v>43270</v>
      </c>
      <c r="J289" s="8">
        <v>43270</v>
      </c>
      <c r="K289" s="95">
        <v>43299</v>
      </c>
      <c r="L289" s="95" t="s">
        <v>31</v>
      </c>
      <c r="M289" s="8">
        <v>43305</v>
      </c>
      <c r="R289" s="97" t="str">
        <f t="shared" si="12"/>
        <v/>
      </c>
      <c r="S289" s="75" t="str">
        <f t="shared" si="13"/>
        <v/>
      </c>
      <c r="T289" s="129" t="s">
        <v>1140</v>
      </c>
      <c r="U289" s="8">
        <v>44783</v>
      </c>
      <c r="W289" s="6" t="s">
        <v>33</v>
      </c>
      <c r="X289" s="95">
        <v>46542</v>
      </c>
    </row>
    <row r="290" spans="1:24" x14ac:dyDescent="0.25">
      <c r="A290" s="6" t="s">
        <v>65</v>
      </c>
      <c r="B290" s="94" t="s">
        <v>145</v>
      </c>
      <c r="C290" s="6" t="s">
        <v>1141</v>
      </c>
      <c r="D290" s="140">
        <v>11304726</v>
      </c>
      <c r="E290" s="6" t="s">
        <v>418</v>
      </c>
      <c r="F290" s="10" t="s">
        <v>363</v>
      </c>
      <c r="G290" s="6">
        <v>1250685</v>
      </c>
      <c r="H290" s="8">
        <v>44736</v>
      </c>
      <c r="I290" s="8">
        <v>43270</v>
      </c>
      <c r="J290" s="8">
        <v>43270</v>
      </c>
      <c r="K290" s="95">
        <v>43299</v>
      </c>
      <c r="L290" s="95" t="s">
        <v>31</v>
      </c>
      <c r="M290" s="8">
        <v>43305</v>
      </c>
      <c r="N290" s="8">
        <v>43601</v>
      </c>
      <c r="O290" s="8">
        <v>43598</v>
      </c>
      <c r="P290" s="6" t="s">
        <v>35</v>
      </c>
      <c r="Q290" s="96">
        <v>1095</v>
      </c>
      <c r="R290" s="97">
        <f t="shared" si="12"/>
        <v>3</v>
      </c>
      <c r="S290" s="75">
        <f t="shared" si="13"/>
        <v>24777</v>
      </c>
      <c r="T290" s="124" t="s">
        <v>301</v>
      </c>
      <c r="U290" s="8">
        <v>43608</v>
      </c>
      <c r="W290" s="6" t="s">
        <v>33</v>
      </c>
      <c r="X290" s="95">
        <v>44758</v>
      </c>
    </row>
    <row r="291" spans="1:24" x14ac:dyDescent="0.25">
      <c r="A291" s="6" t="s">
        <v>65</v>
      </c>
      <c r="B291" s="94" t="s">
        <v>145</v>
      </c>
      <c r="C291" s="6" t="s">
        <v>1142</v>
      </c>
      <c r="D291" s="140">
        <v>11570109</v>
      </c>
      <c r="E291" s="6" t="s">
        <v>1143</v>
      </c>
      <c r="F291" s="10" t="s">
        <v>143</v>
      </c>
      <c r="G291" s="6" t="s">
        <v>1144</v>
      </c>
      <c r="H291" s="8">
        <v>43902</v>
      </c>
      <c r="I291" s="8">
        <v>43270</v>
      </c>
      <c r="J291" s="8">
        <v>43270</v>
      </c>
      <c r="K291" s="95">
        <v>43278</v>
      </c>
      <c r="L291" s="95" t="s">
        <v>31</v>
      </c>
      <c r="M291" s="8">
        <v>43280</v>
      </c>
      <c r="N291" s="8">
        <v>43319</v>
      </c>
      <c r="O291" s="8">
        <v>43318</v>
      </c>
      <c r="P291" s="6" t="s">
        <v>90</v>
      </c>
      <c r="Q291" s="96">
        <v>1095</v>
      </c>
      <c r="R291" s="97">
        <f t="shared" si="12"/>
        <v>3</v>
      </c>
      <c r="S291" s="75">
        <f t="shared" si="13"/>
        <v>24777</v>
      </c>
      <c r="T291" s="128" t="s">
        <v>1145</v>
      </c>
      <c r="U291" s="8">
        <v>43320</v>
      </c>
      <c r="V291" s="6" t="s">
        <v>36</v>
      </c>
      <c r="W291" s="6" t="s">
        <v>33</v>
      </c>
      <c r="X291" s="95">
        <v>43650</v>
      </c>
    </row>
    <row r="292" spans="1:24" x14ac:dyDescent="0.25">
      <c r="A292" s="6" t="s">
        <v>65</v>
      </c>
      <c r="B292" s="94" t="s">
        <v>1146</v>
      </c>
      <c r="C292" s="6" t="s">
        <v>1147</v>
      </c>
      <c r="D292" s="140">
        <v>11639215</v>
      </c>
      <c r="E292" s="6" t="s">
        <v>382</v>
      </c>
      <c r="F292" s="10" t="s">
        <v>44</v>
      </c>
      <c r="G292" s="6" t="s">
        <v>1148</v>
      </c>
      <c r="H292" s="8">
        <v>44754</v>
      </c>
      <c r="I292" s="8">
        <v>43270</v>
      </c>
      <c r="J292" s="8">
        <v>43270</v>
      </c>
      <c r="K292" s="95">
        <v>43292</v>
      </c>
      <c r="L292" s="95" t="s">
        <v>31</v>
      </c>
      <c r="M292" s="8">
        <v>43299</v>
      </c>
      <c r="R292" s="97" t="str">
        <f t="shared" si="12"/>
        <v/>
      </c>
      <c r="S292" s="75" t="str">
        <f t="shared" si="13"/>
        <v/>
      </c>
      <c r="T292" s="129" t="s">
        <v>1149</v>
      </c>
      <c r="U292" s="8">
        <v>44783</v>
      </c>
      <c r="W292" s="6" t="s">
        <v>33</v>
      </c>
      <c r="X292" s="95">
        <v>44545</v>
      </c>
    </row>
    <row r="293" spans="1:24" x14ac:dyDescent="0.25">
      <c r="A293" s="6" t="s">
        <v>65</v>
      </c>
      <c r="B293" s="94" t="s">
        <v>312</v>
      </c>
      <c r="C293" s="6" t="s">
        <v>1150</v>
      </c>
      <c r="D293" s="140">
        <v>1162498</v>
      </c>
      <c r="E293" s="6" t="s">
        <v>1151</v>
      </c>
      <c r="F293" s="10" t="s">
        <v>29</v>
      </c>
      <c r="G293" s="6" t="s">
        <v>1152</v>
      </c>
      <c r="H293" s="8">
        <v>44295</v>
      </c>
      <c r="I293" s="8">
        <v>43270</v>
      </c>
      <c r="J293" s="8">
        <v>43270</v>
      </c>
      <c r="K293" s="95">
        <v>43283</v>
      </c>
      <c r="L293" s="95" t="s">
        <v>31</v>
      </c>
      <c r="M293" s="8">
        <v>43291</v>
      </c>
      <c r="R293" s="97" t="str">
        <f t="shared" si="12"/>
        <v/>
      </c>
      <c r="S293" s="75" t="str">
        <f t="shared" si="13"/>
        <v/>
      </c>
      <c r="T293" s="129" t="s">
        <v>1153</v>
      </c>
      <c r="U293" s="8">
        <v>44783</v>
      </c>
      <c r="W293" s="6" t="s">
        <v>33</v>
      </c>
      <c r="X293" s="95">
        <v>43617</v>
      </c>
    </row>
    <row r="294" spans="1:24" x14ac:dyDescent="0.25">
      <c r="A294" s="6" t="s">
        <v>65</v>
      </c>
      <c r="B294" s="94" t="s">
        <v>1154</v>
      </c>
      <c r="C294" s="6" t="s">
        <v>1155</v>
      </c>
      <c r="D294" s="140">
        <v>11626468</v>
      </c>
      <c r="E294" s="6" t="s">
        <v>1156</v>
      </c>
      <c r="F294" s="10" t="s">
        <v>293</v>
      </c>
      <c r="G294" s="6" t="s">
        <v>1157</v>
      </c>
      <c r="H294" s="8">
        <v>44036</v>
      </c>
      <c r="I294" s="8">
        <v>43270</v>
      </c>
      <c r="J294" s="8">
        <v>43270</v>
      </c>
      <c r="K294" s="95">
        <v>43278</v>
      </c>
      <c r="L294" s="95" t="s">
        <v>31</v>
      </c>
      <c r="M294" s="8">
        <v>43280</v>
      </c>
      <c r="N294" s="8">
        <v>43355</v>
      </c>
      <c r="O294" s="8">
        <v>43328</v>
      </c>
      <c r="P294" s="6" t="s">
        <v>90</v>
      </c>
      <c r="Q294" s="96">
        <v>1095</v>
      </c>
      <c r="R294" s="97">
        <f t="shared" si="12"/>
        <v>3</v>
      </c>
      <c r="S294" s="75">
        <f t="shared" si="13"/>
        <v>24777</v>
      </c>
      <c r="T294" s="124" t="s">
        <v>1158</v>
      </c>
      <c r="U294" s="8">
        <v>43370</v>
      </c>
      <c r="V294" s="6" t="s">
        <v>36</v>
      </c>
      <c r="W294" s="6" t="s">
        <v>33</v>
      </c>
      <c r="X294" s="95">
        <v>44333</v>
      </c>
    </row>
    <row r="295" spans="1:24" x14ac:dyDescent="0.25">
      <c r="A295" s="6" t="s">
        <v>65</v>
      </c>
      <c r="B295" s="94" t="s">
        <v>1126</v>
      </c>
      <c r="C295" s="6" t="s">
        <v>1159</v>
      </c>
      <c r="D295" s="140">
        <v>11648213</v>
      </c>
      <c r="E295" s="6" t="s">
        <v>656</v>
      </c>
      <c r="F295" s="10" t="s">
        <v>44</v>
      </c>
      <c r="G295" s="6" t="s">
        <v>1160</v>
      </c>
      <c r="H295" s="8">
        <v>43923</v>
      </c>
      <c r="I295" s="8">
        <v>43270</v>
      </c>
      <c r="J295" s="8">
        <v>43270</v>
      </c>
      <c r="K295" s="95">
        <v>43278</v>
      </c>
      <c r="L295" s="95" t="s">
        <v>31</v>
      </c>
      <c r="M295" s="8">
        <v>43280</v>
      </c>
      <c r="N295" s="8">
        <v>43446</v>
      </c>
      <c r="O295" s="8">
        <v>43434</v>
      </c>
      <c r="P295" s="6" t="s">
        <v>35</v>
      </c>
      <c r="Q295" s="96">
        <v>1095</v>
      </c>
      <c r="R295" s="97">
        <f t="shared" si="12"/>
        <v>3</v>
      </c>
      <c r="S295" s="75">
        <f t="shared" si="13"/>
        <v>24777</v>
      </c>
      <c r="T295" s="124" t="s">
        <v>1161</v>
      </c>
      <c r="U295" s="8">
        <v>43452</v>
      </c>
      <c r="V295" s="6" t="s">
        <v>36</v>
      </c>
      <c r="W295" s="6" t="s">
        <v>33</v>
      </c>
      <c r="X295" s="95">
        <v>44452</v>
      </c>
    </row>
    <row r="296" spans="1:24" x14ac:dyDescent="0.25">
      <c r="A296" s="6" t="s">
        <v>65</v>
      </c>
      <c r="B296" s="94" t="s">
        <v>1162</v>
      </c>
      <c r="C296" s="6" t="s">
        <v>1163</v>
      </c>
      <c r="D296" s="140">
        <v>11973252</v>
      </c>
      <c r="E296" s="6" t="s">
        <v>714</v>
      </c>
      <c r="F296" s="10" t="s">
        <v>143</v>
      </c>
      <c r="G296" s="6" t="s">
        <v>1144</v>
      </c>
      <c r="H296" s="8">
        <v>44391</v>
      </c>
      <c r="I296" s="8">
        <v>43270</v>
      </c>
      <c r="J296" s="8">
        <v>43270</v>
      </c>
      <c r="K296" s="95">
        <v>43283</v>
      </c>
      <c r="L296" s="95" t="s">
        <v>31</v>
      </c>
      <c r="M296" s="8">
        <v>43291</v>
      </c>
      <c r="N296" s="8">
        <v>43552</v>
      </c>
      <c r="O296" s="8">
        <v>43318</v>
      </c>
      <c r="P296" s="6" t="s">
        <v>35</v>
      </c>
      <c r="Q296" s="96">
        <v>1095</v>
      </c>
      <c r="R296" s="97">
        <f t="shared" si="12"/>
        <v>3</v>
      </c>
      <c r="S296" s="75">
        <f t="shared" si="13"/>
        <v>24777</v>
      </c>
      <c r="T296" s="124" t="s">
        <v>301</v>
      </c>
      <c r="U296" s="8">
        <v>43552</v>
      </c>
      <c r="W296" s="6" t="s">
        <v>33</v>
      </c>
      <c r="X296" s="95">
        <v>51991</v>
      </c>
    </row>
    <row r="297" spans="1:24" x14ac:dyDescent="0.25">
      <c r="A297" s="6" t="s">
        <v>65</v>
      </c>
      <c r="B297" s="94" t="s">
        <v>1164</v>
      </c>
      <c r="C297" s="6" t="s">
        <v>1165</v>
      </c>
      <c r="D297" s="140">
        <v>11993927</v>
      </c>
      <c r="E297" s="6" t="s">
        <v>414</v>
      </c>
      <c r="F297" s="10" t="s">
        <v>277</v>
      </c>
      <c r="G297" s="6" t="s">
        <v>1166</v>
      </c>
      <c r="H297" s="8">
        <v>45275</v>
      </c>
      <c r="I297" s="8">
        <v>43272</v>
      </c>
      <c r="J297" s="8">
        <v>43272</v>
      </c>
      <c r="K297" s="95">
        <v>43283</v>
      </c>
      <c r="L297" s="95" t="s">
        <v>31</v>
      </c>
      <c r="M297" s="8">
        <v>43291</v>
      </c>
      <c r="R297" s="97" t="str">
        <f t="shared" si="12"/>
        <v/>
      </c>
      <c r="S297" s="75" t="str">
        <f t="shared" si="13"/>
        <v/>
      </c>
      <c r="T297" s="124" t="s">
        <v>253</v>
      </c>
      <c r="U297" s="8">
        <v>43731</v>
      </c>
      <c r="V297" s="6" t="s">
        <v>36</v>
      </c>
      <c r="W297" s="6" t="s">
        <v>33</v>
      </c>
      <c r="X297" s="95">
        <v>47212</v>
      </c>
    </row>
    <row r="298" spans="1:24" x14ac:dyDescent="0.25">
      <c r="A298" s="6" t="s">
        <v>65</v>
      </c>
      <c r="B298" s="94" t="s">
        <v>932</v>
      </c>
      <c r="C298" s="6" t="s">
        <v>1167</v>
      </c>
      <c r="D298" s="140">
        <v>11595249</v>
      </c>
      <c r="E298" s="6" t="s">
        <v>1168</v>
      </c>
      <c r="F298" s="10" t="s">
        <v>143</v>
      </c>
      <c r="G298" s="6" t="s">
        <v>1169</v>
      </c>
      <c r="H298" s="8">
        <v>43904</v>
      </c>
      <c r="I298" s="8">
        <v>43270</v>
      </c>
      <c r="J298" s="8">
        <v>43269</v>
      </c>
      <c r="K298" s="95">
        <v>43278</v>
      </c>
      <c r="L298" s="95" t="s">
        <v>31</v>
      </c>
      <c r="M298" s="8">
        <v>43280</v>
      </c>
      <c r="N298" s="8">
        <v>43383</v>
      </c>
      <c r="O298" s="8">
        <v>43371</v>
      </c>
      <c r="P298" s="6" t="s">
        <v>90</v>
      </c>
      <c r="Q298" s="96">
        <v>1095</v>
      </c>
      <c r="R298" s="97">
        <f t="shared" si="12"/>
        <v>3</v>
      </c>
      <c r="S298" s="75">
        <f t="shared" si="13"/>
        <v>24777</v>
      </c>
      <c r="T298" s="124" t="s">
        <v>1170</v>
      </c>
      <c r="U298" s="8">
        <v>43383</v>
      </c>
      <c r="V298" s="6" t="s">
        <v>36</v>
      </c>
      <c r="W298" s="6" t="s">
        <v>33</v>
      </c>
      <c r="X298" s="95">
        <v>44148</v>
      </c>
    </row>
    <row r="299" spans="1:24" x14ac:dyDescent="0.25">
      <c r="A299" s="6" t="s">
        <v>65</v>
      </c>
      <c r="B299" s="94" t="s">
        <v>1171</v>
      </c>
      <c r="C299" s="6" t="s">
        <v>1172</v>
      </c>
      <c r="D299" s="140">
        <v>11362791</v>
      </c>
      <c r="E299" s="6" t="s">
        <v>656</v>
      </c>
      <c r="F299" s="10" t="s">
        <v>44</v>
      </c>
      <c r="G299" s="6" t="s">
        <v>1173</v>
      </c>
      <c r="H299" s="8">
        <v>44958</v>
      </c>
      <c r="I299" s="8">
        <v>43272</v>
      </c>
      <c r="J299" s="8">
        <v>43272</v>
      </c>
      <c r="K299" s="95">
        <v>43283</v>
      </c>
      <c r="L299" s="95" t="s">
        <v>31</v>
      </c>
      <c r="M299" s="8">
        <v>43291</v>
      </c>
      <c r="N299" s="8">
        <v>43395</v>
      </c>
      <c r="O299" s="8">
        <v>43382</v>
      </c>
      <c r="P299" s="6" t="s">
        <v>35</v>
      </c>
      <c r="Q299" s="96">
        <v>1095</v>
      </c>
      <c r="R299" s="97">
        <f t="shared" si="12"/>
        <v>3</v>
      </c>
      <c r="S299" s="75">
        <f t="shared" si="13"/>
        <v>24777</v>
      </c>
      <c r="U299" s="8">
        <v>43395</v>
      </c>
      <c r="W299" s="6" t="s">
        <v>33</v>
      </c>
      <c r="X299" s="95">
        <v>44998</v>
      </c>
    </row>
    <row r="300" spans="1:24" x14ac:dyDescent="0.25">
      <c r="A300" s="6" t="s">
        <v>65</v>
      </c>
      <c r="B300" s="94" t="s">
        <v>1174</v>
      </c>
      <c r="C300" s="6" t="s">
        <v>1175</v>
      </c>
      <c r="D300" s="140">
        <v>11628895</v>
      </c>
      <c r="E300" s="6" t="s">
        <v>339</v>
      </c>
      <c r="F300" s="10" t="s">
        <v>139</v>
      </c>
      <c r="G300" s="6" t="s">
        <v>1176</v>
      </c>
      <c r="H300" s="8">
        <v>44951</v>
      </c>
      <c r="I300" s="8">
        <v>43272</v>
      </c>
      <c r="J300" s="8">
        <v>43272</v>
      </c>
      <c r="K300" s="95">
        <v>43283</v>
      </c>
      <c r="L300" s="95" t="s">
        <v>31</v>
      </c>
      <c r="M300" s="8">
        <v>43291</v>
      </c>
      <c r="N300" s="8">
        <v>43328</v>
      </c>
      <c r="O300" s="8">
        <v>43322</v>
      </c>
      <c r="P300" s="6" t="s">
        <v>35</v>
      </c>
      <c r="Q300" s="96">
        <v>730</v>
      </c>
      <c r="R300" s="97">
        <f t="shared" si="12"/>
        <v>2</v>
      </c>
      <c r="S300" s="75">
        <f t="shared" si="13"/>
        <v>16518</v>
      </c>
      <c r="U300" s="8">
        <v>43348</v>
      </c>
      <c r="W300" s="6" t="s">
        <v>33</v>
      </c>
      <c r="X300" s="95">
        <v>44613</v>
      </c>
    </row>
    <row r="301" spans="1:24" x14ac:dyDescent="0.25">
      <c r="A301" s="6" t="s">
        <v>117</v>
      </c>
      <c r="B301" s="94" t="s">
        <v>1177</v>
      </c>
      <c r="C301" s="6" t="s">
        <v>1178</v>
      </c>
      <c r="D301" s="140">
        <v>11137200</v>
      </c>
      <c r="E301" s="6" t="s">
        <v>366</v>
      </c>
      <c r="F301" s="6" t="s">
        <v>437</v>
      </c>
      <c r="G301" s="6" t="s">
        <v>1179</v>
      </c>
      <c r="H301" s="8">
        <v>45137</v>
      </c>
      <c r="I301" s="8">
        <v>43272</v>
      </c>
      <c r="J301" s="8">
        <v>43272</v>
      </c>
      <c r="K301" s="95">
        <v>43299</v>
      </c>
      <c r="L301" s="95" t="s">
        <v>31</v>
      </c>
      <c r="M301" s="8">
        <v>43305</v>
      </c>
      <c r="N301" s="8">
        <v>43360</v>
      </c>
      <c r="O301" s="8">
        <v>43367</v>
      </c>
      <c r="P301" s="6" t="s">
        <v>35</v>
      </c>
      <c r="Q301" s="96">
        <v>1215</v>
      </c>
      <c r="R301" s="97">
        <f t="shared" si="12"/>
        <v>3.3287671232876712</v>
      </c>
      <c r="S301" s="75">
        <f t="shared" si="13"/>
        <v>27492.287671232876</v>
      </c>
      <c r="T301" s="124" t="s">
        <v>1180</v>
      </c>
      <c r="U301" s="8">
        <v>43367</v>
      </c>
      <c r="W301" s="6" t="s">
        <v>33</v>
      </c>
      <c r="X301" s="95">
        <v>44616</v>
      </c>
    </row>
    <row r="302" spans="1:24" x14ac:dyDescent="0.25">
      <c r="A302" s="6" t="s">
        <v>117</v>
      </c>
      <c r="B302" s="94" t="s">
        <v>1181</v>
      </c>
      <c r="C302" s="6" t="s">
        <v>1182</v>
      </c>
      <c r="D302" s="140">
        <v>11635906</v>
      </c>
      <c r="E302" s="6" t="s">
        <v>559</v>
      </c>
      <c r="F302" s="10" t="s">
        <v>148</v>
      </c>
      <c r="G302" s="6" t="s">
        <v>1183</v>
      </c>
      <c r="H302" s="8">
        <v>44848</v>
      </c>
      <c r="I302" s="8">
        <v>43272</v>
      </c>
      <c r="J302" s="8">
        <v>43272</v>
      </c>
      <c r="K302" s="95">
        <v>43299</v>
      </c>
      <c r="L302" s="95" t="s">
        <v>31</v>
      </c>
      <c r="M302" s="8">
        <v>43305</v>
      </c>
      <c r="N302" s="8">
        <v>43369</v>
      </c>
      <c r="O302" s="8">
        <v>43362</v>
      </c>
      <c r="P302" s="6" t="s">
        <v>35</v>
      </c>
      <c r="Q302" s="96">
        <v>485</v>
      </c>
      <c r="R302" s="97">
        <f t="shared" si="12"/>
        <v>1.3287671232876712</v>
      </c>
      <c r="S302" s="75">
        <f t="shared" si="13"/>
        <v>10974.287671232876</v>
      </c>
      <c r="U302" s="8">
        <v>43374</v>
      </c>
      <c r="W302" s="6" t="s">
        <v>84</v>
      </c>
      <c r="X302" s="95">
        <v>46359</v>
      </c>
    </row>
    <row r="303" spans="1:24" x14ac:dyDescent="0.25">
      <c r="A303" s="6" t="s">
        <v>117</v>
      </c>
      <c r="B303" s="94" t="s">
        <v>630</v>
      </c>
      <c r="C303" s="6" t="s">
        <v>1184</v>
      </c>
      <c r="D303" s="140">
        <v>11230734</v>
      </c>
      <c r="E303" s="6" t="s">
        <v>1185</v>
      </c>
      <c r="F303" s="10" t="s">
        <v>121</v>
      </c>
      <c r="G303" s="6" t="s">
        <v>1186</v>
      </c>
      <c r="H303" s="8">
        <v>44878</v>
      </c>
      <c r="I303" s="8">
        <v>43272</v>
      </c>
      <c r="J303" s="8">
        <v>43272</v>
      </c>
      <c r="K303" s="95">
        <v>43299</v>
      </c>
      <c r="L303" s="95" t="s">
        <v>31</v>
      </c>
      <c r="M303" s="8">
        <v>43305</v>
      </c>
      <c r="N303" s="8">
        <v>43423</v>
      </c>
      <c r="O303" s="8">
        <v>43417</v>
      </c>
      <c r="P303" s="6" t="s">
        <v>35</v>
      </c>
      <c r="Q303" s="96">
        <v>730</v>
      </c>
      <c r="R303" s="97">
        <f t="shared" si="12"/>
        <v>2</v>
      </c>
      <c r="S303" s="75">
        <f t="shared" si="13"/>
        <v>16518</v>
      </c>
      <c r="T303" s="124" t="s">
        <v>561</v>
      </c>
      <c r="U303" s="8">
        <v>43433</v>
      </c>
      <c r="W303" s="6" t="s">
        <v>33</v>
      </c>
      <c r="X303" s="95">
        <v>41902</v>
      </c>
    </row>
    <row r="304" spans="1:24" x14ac:dyDescent="0.25">
      <c r="A304" s="6" t="s">
        <v>117</v>
      </c>
      <c r="B304" s="94" t="s">
        <v>1187</v>
      </c>
      <c r="C304" s="6" t="s">
        <v>1188</v>
      </c>
      <c r="D304" s="140">
        <v>10246927</v>
      </c>
      <c r="E304" s="6" t="s">
        <v>386</v>
      </c>
      <c r="F304" s="10" t="s">
        <v>121</v>
      </c>
      <c r="G304" s="6" t="s">
        <v>1189</v>
      </c>
      <c r="H304" s="8">
        <v>44940</v>
      </c>
      <c r="I304" s="8">
        <v>43272</v>
      </c>
      <c r="J304" s="8">
        <v>43272</v>
      </c>
      <c r="K304" s="95">
        <v>43299</v>
      </c>
      <c r="L304" s="95" t="s">
        <v>31</v>
      </c>
      <c r="M304" s="8">
        <v>43305</v>
      </c>
      <c r="N304" s="8">
        <v>43327</v>
      </c>
      <c r="O304" s="8">
        <v>43321</v>
      </c>
      <c r="P304" s="6" t="s">
        <v>35</v>
      </c>
      <c r="Q304" s="96">
        <v>365</v>
      </c>
      <c r="R304" s="97">
        <f t="shared" si="12"/>
        <v>1</v>
      </c>
      <c r="S304" s="75">
        <f t="shared" si="13"/>
        <v>8259</v>
      </c>
      <c r="T304" s="132"/>
      <c r="U304" s="8">
        <v>43340</v>
      </c>
      <c r="W304" s="6" t="s">
        <v>33</v>
      </c>
      <c r="X304" s="95">
        <v>43545</v>
      </c>
    </row>
    <row r="305" spans="1:24" x14ac:dyDescent="0.25">
      <c r="A305" s="6" t="s">
        <v>117</v>
      </c>
      <c r="B305" s="94" t="s">
        <v>1190</v>
      </c>
      <c r="C305" s="6" t="s">
        <v>1191</v>
      </c>
      <c r="D305" s="140">
        <v>11040265</v>
      </c>
      <c r="E305" s="6" t="s">
        <v>120</v>
      </c>
      <c r="F305" s="10" t="s">
        <v>121</v>
      </c>
      <c r="G305" s="6" t="s">
        <v>1192</v>
      </c>
      <c r="H305" s="8">
        <v>45017</v>
      </c>
      <c r="I305" s="8">
        <v>43272</v>
      </c>
      <c r="J305" s="8">
        <v>43272</v>
      </c>
      <c r="K305" s="95">
        <v>43299</v>
      </c>
      <c r="L305" s="95" t="s">
        <v>31</v>
      </c>
      <c r="M305" s="8">
        <v>43305</v>
      </c>
      <c r="N305" s="8">
        <v>43335</v>
      </c>
      <c r="O305" s="8">
        <v>43327</v>
      </c>
      <c r="P305" s="6" t="s">
        <v>35</v>
      </c>
      <c r="Q305" s="96">
        <v>365</v>
      </c>
      <c r="R305" s="97">
        <f t="shared" si="12"/>
        <v>1</v>
      </c>
      <c r="S305" s="75">
        <f t="shared" si="13"/>
        <v>8259</v>
      </c>
      <c r="U305" s="8">
        <v>43340</v>
      </c>
      <c r="W305" s="6" t="s">
        <v>33</v>
      </c>
      <c r="X305" s="95">
        <v>43513</v>
      </c>
    </row>
    <row r="306" spans="1:24" x14ac:dyDescent="0.25">
      <c r="A306" s="107" t="s">
        <v>117</v>
      </c>
      <c r="B306" s="106" t="s">
        <v>1193</v>
      </c>
      <c r="C306" s="113" t="s">
        <v>1194</v>
      </c>
      <c r="D306" s="144">
        <v>11985607</v>
      </c>
      <c r="E306" s="113" t="s">
        <v>552</v>
      </c>
      <c r="F306" s="56" t="s">
        <v>309</v>
      </c>
      <c r="G306" s="107" t="s">
        <v>1195</v>
      </c>
      <c r="H306" s="108">
        <v>45237</v>
      </c>
      <c r="I306" s="108">
        <v>43272</v>
      </c>
      <c r="J306" s="108">
        <v>43272</v>
      </c>
      <c r="K306" s="109">
        <v>43299</v>
      </c>
      <c r="L306" s="109" t="s">
        <v>31</v>
      </c>
      <c r="M306" s="108">
        <v>43305</v>
      </c>
      <c r="N306" s="108">
        <v>43357</v>
      </c>
      <c r="O306" s="108">
        <v>43355</v>
      </c>
      <c r="P306" s="107" t="s">
        <v>35</v>
      </c>
      <c r="Q306" s="110">
        <v>1461</v>
      </c>
      <c r="R306" s="97">
        <f t="shared" si="12"/>
        <v>4.0027397260273974</v>
      </c>
      <c r="S306" s="75">
        <f t="shared" si="13"/>
        <v>33058.627397260272</v>
      </c>
      <c r="T306" s="129" t="s">
        <v>474</v>
      </c>
      <c r="U306" s="108">
        <v>43360</v>
      </c>
      <c r="W306" s="6" t="s">
        <v>33</v>
      </c>
      <c r="X306" s="95">
        <v>41463</v>
      </c>
    </row>
    <row r="307" spans="1:24" x14ac:dyDescent="0.25">
      <c r="A307" s="6" t="s">
        <v>117</v>
      </c>
      <c r="B307" s="94" t="s">
        <v>1196</v>
      </c>
      <c r="C307" s="6" t="s">
        <v>1197</v>
      </c>
      <c r="D307" s="140">
        <v>11984447</v>
      </c>
      <c r="E307" s="6" t="s">
        <v>366</v>
      </c>
      <c r="F307" s="10" t="s">
        <v>44</v>
      </c>
      <c r="G307" s="6" t="s">
        <v>1198</v>
      </c>
      <c r="H307" s="8">
        <v>45716</v>
      </c>
      <c r="I307" s="8">
        <v>43272</v>
      </c>
      <c r="J307" s="8">
        <v>43272</v>
      </c>
      <c r="K307" s="95">
        <v>43299</v>
      </c>
      <c r="L307" s="95" t="s">
        <v>31</v>
      </c>
      <c r="M307" s="8">
        <v>43305</v>
      </c>
      <c r="N307" s="8">
        <v>43391</v>
      </c>
      <c r="O307" s="8">
        <v>43383</v>
      </c>
      <c r="P307" s="6" t="s">
        <v>35</v>
      </c>
      <c r="Q307" s="96">
        <v>730</v>
      </c>
      <c r="R307" s="97">
        <f t="shared" si="12"/>
        <v>2</v>
      </c>
      <c r="S307" s="75">
        <f t="shared" si="13"/>
        <v>16518</v>
      </c>
      <c r="T307" s="124" t="s">
        <v>561</v>
      </c>
      <c r="U307" s="8">
        <v>43395</v>
      </c>
      <c r="W307" s="6" t="s">
        <v>33</v>
      </c>
      <c r="X307" s="95">
        <v>41849</v>
      </c>
    </row>
    <row r="308" spans="1:24" x14ac:dyDescent="0.25">
      <c r="A308" s="6" t="s">
        <v>117</v>
      </c>
      <c r="B308" s="94" t="s">
        <v>1171</v>
      </c>
      <c r="C308" s="6" t="s">
        <v>1199</v>
      </c>
      <c r="D308" s="140">
        <v>1131505</v>
      </c>
      <c r="E308" s="6" t="s">
        <v>1200</v>
      </c>
      <c r="F308" s="10" t="s">
        <v>44</v>
      </c>
      <c r="G308" s="6" t="s">
        <v>1201</v>
      </c>
      <c r="H308" s="8">
        <v>45719</v>
      </c>
      <c r="I308" s="8">
        <v>43272</v>
      </c>
      <c r="J308" s="8">
        <v>43272</v>
      </c>
      <c r="K308" s="95">
        <v>43299</v>
      </c>
      <c r="L308" s="95" t="s">
        <v>31</v>
      </c>
      <c r="M308" s="8">
        <v>43305</v>
      </c>
      <c r="N308" s="8">
        <v>43402</v>
      </c>
      <c r="O308" s="8">
        <v>43385</v>
      </c>
      <c r="P308" s="6" t="s">
        <v>35</v>
      </c>
      <c r="Q308" s="96">
        <v>730</v>
      </c>
      <c r="R308" s="97">
        <f t="shared" si="12"/>
        <v>2</v>
      </c>
      <c r="S308" s="75">
        <f t="shared" si="13"/>
        <v>16518</v>
      </c>
      <c r="T308" s="124" t="s">
        <v>561</v>
      </c>
      <c r="U308" s="8">
        <v>43405</v>
      </c>
      <c r="W308" s="6" t="s">
        <v>33</v>
      </c>
      <c r="X308" s="95">
        <v>42801</v>
      </c>
    </row>
    <row r="309" spans="1:24" x14ac:dyDescent="0.25">
      <c r="A309" s="6" t="s">
        <v>211</v>
      </c>
      <c r="B309" s="94" t="s">
        <v>1202</v>
      </c>
      <c r="C309" s="6" t="s">
        <v>1203</v>
      </c>
      <c r="D309" s="140">
        <v>11352777</v>
      </c>
      <c r="E309" s="6" t="s">
        <v>946</v>
      </c>
      <c r="F309" s="10" t="s">
        <v>134</v>
      </c>
      <c r="G309" s="6" t="s">
        <v>1204</v>
      </c>
      <c r="H309" s="8">
        <v>52304</v>
      </c>
      <c r="I309" s="8">
        <v>43313</v>
      </c>
      <c r="J309" s="8">
        <v>43326</v>
      </c>
      <c r="K309" s="95">
        <v>43327</v>
      </c>
      <c r="L309" s="95" t="s">
        <v>31</v>
      </c>
      <c r="M309" s="8">
        <v>43334</v>
      </c>
      <c r="N309" s="8">
        <v>43374</v>
      </c>
      <c r="O309" s="8">
        <v>43370</v>
      </c>
      <c r="P309" s="101" t="s">
        <v>52</v>
      </c>
      <c r="R309" s="97" t="str">
        <f t="shared" si="12"/>
        <v/>
      </c>
      <c r="S309" s="75" t="str">
        <f t="shared" si="13"/>
        <v/>
      </c>
      <c r="T309" s="124" t="s">
        <v>1205</v>
      </c>
      <c r="U309" s="8">
        <v>43376</v>
      </c>
      <c r="W309" s="6" t="s">
        <v>33</v>
      </c>
      <c r="X309" s="95">
        <v>52217</v>
      </c>
    </row>
    <row r="310" spans="1:24" ht="30" x14ac:dyDescent="0.25">
      <c r="A310" s="6" t="s">
        <v>65</v>
      </c>
      <c r="B310" s="94" t="s">
        <v>884</v>
      </c>
      <c r="C310" s="6" t="s">
        <v>1206</v>
      </c>
      <c r="D310" s="140">
        <v>11651604</v>
      </c>
      <c r="E310" s="6" t="s">
        <v>114</v>
      </c>
      <c r="F310" s="10" t="s">
        <v>44</v>
      </c>
      <c r="G310" s="6" t="s">
        <v>1207</v>
      </c>
      <c r="H310" s="8">
        <v>46202</v>
      </c>
      <c r="I310" s="8">
        <v>43335</v>
      </c>
      <c r="J310" s="8">
        <v>43335</v>
      </c>
      <c r="K310" s="95">
        <v>43341</v>
      </c>
      <c r="L310" s="95" t="s">
        <v>31</v>
      </c>
      <c r="M310" s="8">
        <v>43354</v>
      </c>
      <c r="N310" s="8">
        <v>43377</v>
      </c>
      <c r="O310" s="8">
        <v>43370</v>
      </c>
      <c r="P310" s="101" t="s">
        <v>52</v>
      </c>
      <c r="R310" s="97" t="str">
        <f t="shared" si="12"/>
        <v/>
      </c>
      <c r="S310" s="75" t="str">
        <f t="shared" si="13"/>
        <v/>
      </c>
      <c r="T310" s="124" t="s">
        <v>1208</v>
      </c>
      <c r="U310" s="8">
        <v>43377</v>
      </c>
      <c r="W310" s="6" t="s">
        <v>33</v>
      </c>
      <c r="X310" s="95">
        <v>47211</v>
      </c>
    </row>
    <row r="311" spans="1:24" s="112" customFormat="1" x14ac:dyDescent="0.25">
      <c r="A311" s="107" t="s">
        <v>70</v>
      </c>
      <c r="B311" s="106" t="s">
        <v>1209</v>
      </c>
      <c r="C311" s="107" t="s">
        <v>1210</v>
      </c>
      <c r="D311" s="142">
        <v>11926343</v>
      </c>
      <c r="E311" s="107" t="s">
        <v>997</v>
      </c>
      <c r="F311" s="107" t="s">
        <v>29</v>
      </c>
      <c r="G311" s="107" t="s">
        <v>1211</v>
      </c>
      <c r="H311" s="108">
        <v>45420</v>
      </c>
      <c r="I311" s="108">
        <v>43262</v>
      </c>
      <c r="J311" s="108">
        <v>43263</v>
      </c>
      <c r="K311" s="109">
        <v>43278</v>
      </c>
      <c r="L311" s="109" t="s">
        <v>31</v>
      </c>
      <c r="M311" s="108">
        <v>43280</v>
      </c>
      <c r="N311" s="108">
        <v>43397</v>
      </c>
      <c r="O311" s="108">
        <v>43371</v>
      </c>
      <c r="P311" s="107" t="s">
        <v>75</v>
      </c>
      <c r="Q311" s="110"/>
      <c r="R311" s="97" t="str">
        <f t="shared" si="12"/>
        <v/>
      </c>
      <c r="S311" s="75" t="str">
        <f t="shared" si="13"/>
        <v/>
      </c>
      <c r="T311" s="129"/>
      <c r="U311" s="108">
        <v>43397</v>
      </c>
      <c r="V311" s="6"/>
      <c r="W311" s="6" t="s">
        <v>33</v>
      </c>
      <c r="X311" s="95">
        <v>42122</v>
      </c>
    </row>
    <row r="312" spans="1:24" s="112" customFormat="1" x14ac:dyDescent="0.25">
      <c r="A312" s="6" t="s">
        <v>70</v>
      </c>
      <c r="B312" s="94" t="s">
        <v>1212</v>
      </c>
      <c r="C312" s="6" t="s">
        <v>1213</v>
      </c>
      <c r="D312" s="140">
        <v>11915116</v>
      </c>
      <c r="E312" s="6" t="s">
        <v>607</v>
      </c>
      <c r="F312" s="6" t="s">
        <v>29</v>
      </c>
      <c r="G312" s="6" t="s">
        <v>1214</v>
      </c>
      <c r="H312" s="8">
        <v>45595</v>
      </c>
      <c r="I312" s="8">
        <v>43262</v>
      </c>
      <c r="J312" s="8">
        <v>43263</v>
      </c>
      <c r="K312" s="95">
        <v>43278</v>
      </c>
      <c r="L312" s="95" t="s">
        <v>31</v>
      </c>
      <c r="M312" s="8">
        <v>43280</v>
      </c>
      <c r="N312" s="8">
        <v>43552</v>
      </c>
      <c r="O312" s="8">
        <v>43371</v>
      </c>
      <c r="P312" s="101" t="s">
        <v>182</v>
      </c>
      <c r="Q312" s="96"/>
      <c r="R312" s="97" t="str">
        <f t="shared" si="12"/>
        <v/>
      </c>
      <c r="S312" s="75" t="str">
        <f t="shared" si="13"/>
        <v/>
      </c>
      <c r="T312" s="124"/>
      <c r="U312" s="8">
        <v>43552</v>
      </c>
      <c r="V312" s="6"/>
      <c r="W312" s="6" t="s">
        <v>33</v>
      </c>
      <c r="X312" s="95">
        <v>41777</v>
      </c>
    </row>
    <row r="313" spans="1:24" s="112" customFormat="1" x14ac:dyDescent="0.25">
      <c r="A313" s="6" t="s">
        <v>65</v>
      </c>
      <c r="B313" s="106" t="s">
        <v>1215</v>
      </c>
      <c r="C313" s="6" t="s">
        <v>1216</v>
      </c>
      <c r="D313" s="140">
        <v>11300904</v>
      </c>
      <c r="E313" s="6" t="s">
        <v>962</v>
      </c>
      <c r="F313" s="10" t="s">
        <v>29</v>
      </c>
      <c r="G313" s="6" t="s">
        <v>1217</v>
      </c>
      <c r="H313" s="8">
        <v>43979</v>
      </c>
      <c r="I313" s="8">
        <v>43270</v>
      </c>
      <c r="J313" s="8">
        <v>43270</v>
      </c>
      <c r="K313" s="95">
        <v>43278</v>
      </c>
      <c r="L313" s="95" t="s">
        <v>31</v>
      </c>
      <c r="M313" s="8">
        <v>43280</v>
      </c>
      <c r="N313" s="8">
        <v>43326</v>
      </c>
      <c r="O313" s="8">
        <v>43371</v>
      </c>
      <c r="P313" s="6" t="s">
        <v>75</v>
      </c>
      <c r="Q313" s="96"/>
      <c r="R313" s="97" t="str">
        <f t="shared" si="12"/>
        <v/>
      </c>
      <c r="S313" s="75" t="str">
        <f t="shared" si="13"/>
        <v/>
      </c>
      <c r="T313" s="129" t="s">
        <v>1218</v>
      </c>
      <c r="U313" s="8">
        <v>43405</v>
      </c>
      <c r="V313" s="6"/>
      <c r="W313" s="6" t="s">
        <v>33</v>
      </c>
      <c r="X313" s="95">
        <v>56209</v>
      </c>
    </row>
    <row r="314" spans="1:24" x14ac:dyDescent="0.25">
      <c r="A314" s="6" t="s">
        <v>70</v>
      </c>
      <c r="B314" s="94" t="s">
        <v>1219</v>
      </c>
      <c r="C314" s="6" t="s">
        <v>1220</v>
      </c>
      <c r="D314" s="140">
        <v>12121856</v>
      </c>
      <c r="E314" s="6" t="s">
        <v>547</v>
      </c>
      <c r="F314" s="10" t="s">
        <v>139</v>
      </c>
      <c r="G314" s="6" t="s">
        <v>1221</v>
      </c>
      <c r="H314" s="8">
        <v>49140</v>
      </c>
      <c r="I314" s="8">
        <v>43306</v>
      </c>
      <c r="J314" s="8">
        <v>43306</v>
      </c>
      <c r="K314" s="95">
        <v>43319</v>
      </c>
      <c r="L314" s="95" t="s">
        <v>31</v>
      </c>
      <c r="M314" s="8">
        <v>43325</v>
      </c>
      <c r="N314" s="8">
        <v>43532</v>
      </c>
      <c r="O314" s="8">
        <v>43371</v>
      </c>
      <c r="P314" s="101" t="s">
        <v>52</v>
      </c>
      <c r="R314" s="97" t="str">
        <f t="shared" si="12"/>
        <v/>
      </c>
      <c r="S314" s="75" t="str">
        <f t="shared" si="13"/>
        <v/>
      </c>
      <c r="T314" s="124" t="s">
        <v>1222</v>
      </c>
      <c r="U314" s="8">
        <v>43532</v>
      </c>
      <c r="W314" s="6" t="s">
        <v>33</v>
      </c>
      <c r="X314" s="95">
        <v>52717</v>
      </c>
    </row>
    <row r="315" spans="1:24" x14ac:dyDescent="0.25">
      <c r="A315" s="6" t="s">
        <v>211</v>
      </c>
      <c r="B315" s="94" t="s">
        <v>1223</v>
      </c>
      <c r="C315" s="6" t="s">
        <v>1224</v>
      </c>
      <c r="D315" s="140">
        <v>12131160</v>
      </c>
      <c r="E315" s="6" t="s">
        <v>244</v>
      </c>
      <c r="F315" s="10" t="s">
        <v>1225</v>
      </c>
      <c r="G315" s="6" t="s">
        <v>1226</v>
      </c>
      <c r="H315" s="8">
        <v>44936</v>
      </c>
      <c r="I315" s="8">
        <v>43313</v>
      </c>
      <c r="J315" s="8">
        <v>43326</v>
      </c>
      <c r="K315" s="95">
        <v>43334</v>
      </c>
      <c r="L315" s="95" t="s">
        <v>31</v>
      </c>
      <c r="M315" s="8">
        <v>43341</v>
      </c>
      <c r="N315" s="8">
        <v>43377</v>
      </c>
      <c r="O315" s="8">
        <v>43371</v>
      </c>
      <c r="P315" s="101" t="s">
        <v>182</v>
      </c>
      <c r="R315" s="97" t="str">
        <f t="shared" si="12"/>
        <v/>
      </c>
      <c r="S315" s="75" t="str">
        <f t="shared" si="13"/>
        <v/>
      </c>
      <c r="U315" s="8">
        <v>43376</v>
      </c>
      <c r="W315" s="6" t="s">
        <v>33</v>
      </c>
      <c r="X315" s="95">
        <v>50840</v>
      </c>
    </row>
    <row r="316" spans="1:24" x14ac:dyDescent="0.25">
      <c r="A316" s="6" t="s">
        <v>65</v>
      </c>
      <c r="B316" s="94" t="s">
        <v>1227</v>
      </c>
      <c r="C316" s="6" t="s">
        <v>1228</v>
      </c>
      <c r="D316" s="140">
        <v>11968461</v>
      </c>
      <c r="E316" s="6" t="s">
        <v>73</v>
      </c>
      <c r="F316" s="10" t="s">
        <v>62</v>
      </c>
      <c r="G316" s="6" t="s">
        <v>1229</v>
      </c>
      <c r="H316" s="8">
        <v>44982</v>
      </c>
      <c r="I316" s="8">
        <v>43348</v>
      </c>
      <c r="J316" s="8">
        <v>43348</v>
      </c>
      <c r="K316" s="95">
        <v>43362</v>
      </c>
      <c r="L316" s="95" t="s">
        <v>31</v>
      </c>
      <c r="M316" s="8">
        <v>43367</v>
      </c>
      <c r="N316" s="8">
        <v>43383</v>
      </c>
      <c r="O316" s="8">
        <v>43371</v>
      </c>
      <c r="P316" s="101" t="s">
        <v>182</v>
      </c>
      <c r="R316" s="97" t="str">
        <f t="shared" si="12"/>
        <v/>
      </c>
      <c r="S316" s="75" t="str">
        <f t="shared" si="13"/>
        <v/>
      </c>
      <c r="T316" s="124">
        <v>43371</v>
      </c>
      <c r="U316" s="8">
        <v>43441</v>
      </c>
      <c r="W316" s="6" t="s">
        <v>33</v>
      </c>
      <c r="X316" s="95">
        <v>42857</v>
      </c>
    </row>
    <row r="317" spans="1:24" x14ac:dyDescent="0.25">
      <c r="A317" s="6" t="s">
        <v>65</v>
      </c>
      <c r="B317" s="94" t="s">
        <v>1230</v>
      </c>
      <c r="C317" s="6" t="s">
        <v>1231</v>
      </c>
      <c r="D317" s="140">
        <v>11375497</v>
      </c>
      <c r="E317" s="6" t="s">
        <v>1232</v>
      </c>
      <c r="F317" s="10" t="s">
        <v>299</v>
      </c>
      <c r="G317" s="6" t="s">
        <v>1233</v>
      </c>
      <c r="H317" s="8">
        <v>44454</v>
      </c>
      <c r="I317" s="8">
        <v>43348</v>
      </c>
      <c r="J317" s="8">
        <v>43348</v>
      </c>
      <c r="K317" s="95">
        <v>43362</v>
      </c>
      <c r="L317" s="95" t="s">
        <v>31</v>
      </c>
      <c r="M317" s="8">
        <v>43367</v>
      </c>
      <c r="N317" s="8">
        <v>43377</v>
      </c>
      <c r="O317" s="8">
        <v>43371</v>
      </c>
      <c r="P317" s="6" t="s">
        <v>75</v>
      </c>
      <c r="R317" s="97" t="str">
        <f t="shared" si="12"/>
        <v/>
      </c>
      <c r="S317" s="75" t="str">
        <f t="shared" si="13"/>
        <v/>
      </c>
      <c r="U317" s="8">
        <v>43377</v>
      </c>
      <c r="W317" s="6" t="s">
        <v>33</v>
      </c>
      <c r="X317" s="95">
        <v>56081</v>
      </c>
    </row>
    <row r="318" spans="1:24" x14ac:dyDescent="0.25">
      <c r="A318" s="6" t="s">
        <v>65</v>
      </c>
      <c r="B318" s="94" t="s">
        <v>1234</v>
      </c>
      <c r="C318" s="6" t="s">
        <v>1235</v>
      </c>
      <c r="D318" s="140">
        <v>11956623</v>
      </c>
      <c r="E318" s="6" t="s">
        <v>1236</v>
      </c>
      <c r="F318" s="6" t="s">
        <v>44</v>
      </c>
      <c r="G318" s="6" t="s">
        <v>1237</v>
      </c>
      <c r="H318" s="8">
        <v>44845</v>
      </c>
      <c r="I318" s="8">
        <v>43272</v>
      </c>
      <c r="J318" s="8">
        <v>43272</v>
      </c>
      <c r="K318" s="95">
        <v>43283</v>
      </c>
      <c r="L318" s="95" t="s">
        <v>31</v>
      </c>
      <c r="M318" s="8">
        <v>43291</v>
      </c>
      <c r="R318" s="97" t="str">
        <f t="shared" si="12"/>
        <v/>
      </c>
      <c r="S318" s="75" t="str">
        <f t="shared" si="13"/>
        <v/>
      </c>
      <c r="T318" s="129" t="s">
        <v>1238</v>
      </c>
      <c r="U318" s="8">
        <v>44783</v>
      </c>
      <c r="W318" s="6" t="s">
        <v>33</v>
      </c>
      <c r="X318" s="95">
        <v>42755</v>
      </c>
    </row>
    <row r="319" spans="1:24" x14ac:dyDescent="0.25">
      <c r="A319" s="6" t="s">
        <v>65</v>
      </c>
      <c r="B319" s="94" t="s">
        <v>1239</v>
      </c>
      <c r="C319" s="6" t="s">
        <v>1240</v>
      </c>
      <c r="D319" s="140">
        <v>11597295</v>
      </c>
      <c r="E319" s="6" t="s">
        <v>615</v>
      </c>
      <c r="F319" s="10" t="s">
        <v>277</v>
      </c>
      <c r="G319" s="6" t="s">
        <v>1241</v>
      </c>
      <c r="H319" s="8">
        <v>45727</v>
      </c>
      <c r="I319" s="8">
        <v>43272</v>
      </c>
      <c r="J319" s="8">
        <v>43272</v>
      </c>
      <c r="K319" s="95">
        <v>43283</v>
      </c>
      <c r="L319" s="95" t="s">
        <v>31</v>
      </c>
      <c r="M319" s="8">
        <v>43291</v>
      </c>
      <c r="N319" s="8">
        <v>43895</v>
      </c>
      <c r="O319" s="8">
        <v>43888</v>
      </c>
      <c r="P319" s="6" t="s">
        <v>35</v>
      </c>
      <c r="Q319" s="96">
        <v>1095.75</v>
      </c>
      <c r="R319" s="97">
        <f t="shared" si="12"/>
        <v>3.0020547945205478</v>
      </c>
      <c r="S319" s="75">
        <f t="shared" si="13"/>
        <v>24793.970547945206</v>
      </c>
      <c r="U319" s="8">
        <v>43899</v>
      </c>
      <c r="W319" s="6" t="s">
        <v>33</v>
      </c>
      <c r="X319" s="95">
        <v>44169</v>
      </c>
    </row>
    <row r="320" spans="1:24" x14ac:dyDescent="0.25">
      <c r="A320" s="6" t="s">
        <v>65</v>
      </c>
      <c r="B320" s="94" t="s">
        <v>234</v>
      </c>
      <c r="C320" s="6" t="s">
        <v>1242</v>
      </c>
      <c r="D320" s="140">
        <v>11602513</v>
      </c>
      <c r="E320" s="6" t="s">
        <v>547</v>
      </c>
      <c r="F320" s="10" t="s">
        <v>143</v>
      </c>
      <c r="G320" s="6" t="s">
        <v>1243</v>
      </c>
      <c r="H320" s="8">
        <v>45700</v>
      </c>
      <c r="I320" s="8">
        <v>43272</v>
      </c>
      <c r="J320" s="8">
        <v>43272</v>
      </c>
      <c r="K320" s="95">
        <v>43283</v>
      </c>
      <c r="L320" s="95" t="s">
        <v>31</v>
      </c>
      <c r="M320" s="8">
        <v>43291</v>
      </c>
      <c r="N320" s="8">
        <v>43867</v>
      </c>
      <c r="O320" s="8">
        <v>43724</v>
      </c>
      <c r="P320" s="6" t="s">
        <v>75</v>
      </c>
      <c r="R320" s="97" t="str">
        <f t="shared" si="12"/>
        <v/>
      </c>
      <c r="S320" s="75" t="str">
        <f t="shared" si="13"/>
        <v/>
      </c>
      <c r="U320" s="8">
        <v>43868</v>
      </c>
      <c r="W320" s="6" t="s">
        <v>33</v>
      </c>
      <c r="X320" s="95">
        <v>43788</v>
      </c>
    </row>
    <row r="321" spans="1:24" x14ac:dyDescent="0.25">
      <c r="A321" s="6" t="s">
        <v>65</v>
      </c>
      <c r="B321" s="94" t="s">
        <v>173</v>
      </c>
      <c r="C321" s="6" t="s">
        <v>1244</v>
      </c>
      <c r="D321" s="140">
        <v>11315574</v>
      </c>
      <c r="E321" s="6" t="s">
        <v>209</v>
      </c>
      <c r="F321" s="10" t="s">
        <v>29</v>
      </c>
      <c r="G321" s="6" t="s">
        <v>1245</v>
      </c>
      <c r="H321" s="8">
        <v>45641</v>
      </c>
      <c r="I321" s="8">
        <v>43272</v>
      </c>
      <c r="J321" s="8">
        <v>43272</v>
      </c>
      <c r="K321" s="95">
        <v>43283</v>
      </c>
      <c r="L321" s="95" t="s">
        <v>31</v>
      </c>
      <c r="M321" s="8">
        <v>43291</v>
      </c>
      <c r="N321" s="8">
        <v>44124</v>
      </c>
      <c r="O321" s="8">
        <v>44091</v>
      </c>
      <c r="P321" s="6" t="s">
        <v>182</v>
      </c>
      <c r="R321" s="97" t="str">
        <f t="shared" si="12"/>
        <v/>
      </c>
      <c r="S321" s="75" t="str">
        <f t="shared" si="13"/>
        <v/>
      </c>
      <c r="U321" s="8">
        <v>44124</v>
      </c>
      <c r="W321" s="6" t="s">
        <v>33</v>
      </c>
      <c r="X321" s="95">
        <v>46232</v>
      </c>
    </row>
    <row r="322" spans="1:24" s="112" customFormat="1" x14ac:dyDescent="0.25">
      <c r="A322" s="6" t="s">
        <v>65</v>
      </c>
      <c r="B322" s="94" t="s">
        <v>97</v>
      </c>
      <c r="C322" s="6" t="s">
        <v>1246</v>
      </c>
      <c r="D322" s="140">
        <v>11373782</v>
      </c>
      <c r="E322" s="6" t="s">
        <v>339</v>
      </c>
      <c r="F322" s="10" t="s">
        <v>29</v>
      </c>
      <c r="G322" s="6" t="s">
        <v>1247</v>
      </c>
      <c r="H322" s="8">
        <v>45623</v>
      </c>
      <c r="I322" s="8">
        <v>43272</v>
      </c>
      <c r="J322" s="8">
        <v>43272</v>
      </c>
      <c r="K322" s="95">
        <v>43283</v>
      </c>
      <c r="L322" s="95" t="s">
        <v>31</v>
      </c>
      <c r="M322" s="8">
        <v>43291</v>
      </c>
      <c r="N322" s="8">
        <v>44301</v>
      </c>
      <c r="O322" s="8">
        <v>44287</v>
      </c>
      <c r="P322" s="6" t="s">
        <v>75</v>
      </c>
      <c r="Q322" s="96"/>
      <c r="R322" s="97" t="str">
        <f t="shared" si="12"/>
        <v/>
      </c>
      <c r="S322" s="75" t="str">
        <f t="shared" si="13"/>
        <v/>
      </c>
      <c r="T322" s="124"/>
      <c r="U322" s="8">
        <v>44301</v>
      </c>
      <c r="V322" s="6"/>
      <c r="W322" s="6" t="s">
        <v>33</v>
      </c>
      <c r="X322" s="95">
        <v>44735</v>
      </c>
    </row>
    <row r="323" spans="1:24" x14ac:dyDescent="0.25">
      <c r="A323" s="6" t="s">
        <v>65</v>
      </c>
      <c r="B323" s="94" t="s">
        <v>183</v>
      </c>
      <c r="C323" s="6" t="s">
        <v>1248</v>
      </c>
      <c r="D323" s="140">
        <v>12155639</v>
      </c>
      <c r="E323" s="6" t="s">
        <v>180</v>
      </c>
      <c r="F323" s="10" t="s">
        <v>29</v>
      </c>
      <c r="G323" s="6" t="s">
        <v>1249</v>
      </c>
      <c r="H323" s="8">
        <v>45483</v>
      </c>
      <c r="I323" s="8">
        <v>43272</v>
      </c>
      <c r="J323" s="8">
        <v>43272</v>
      </c>
      <c r="K323" s="95">
        <v>43283</v>
      </c>
      <c r="L323" s="95" t="s">
        <v>31</v>
      </c>
      <c r="M323" s="8">
        <v>43291</v>
      </c>
      <c r="N323" s="108">
        <v>43759</v>
      </c>
      <c r="O323" s="108">
        <v>43753</v>
      </c>
      <c r="P323" s="107" t="s">
        <v>52</v>
      </c>
      <c r="Q323" s="110"/>
      <c r="R323" s="97" t="str">
        <f t="shared" si="12"/>
        <v/>
      </c>
      <c r="S323" s="75" t="str">
        <f t="shared" si="13"/>
        <v/>
      </c>
      <c r="U323" s="8">
        <v>44749</v>
      </c>
      <c r="W323" s="6" t="s">
        <v>33</v>
      </c>
      <c r="X323" s="95">
        <v>46913</v>
      </c>
    </row>
    <row r="324" spans="1:24" x14ac:dyDescent="0.25">
      <c r="A324" s="6" t="s">
        <v>65</v>
      </c>
      <c r="B324" s="94" t="s">
        <v>1250</v>
      </c>
      <c r="C324" s="6" t="s">
        <v>1251</v>
      </c>
      <c r="D324" s="140">
        <v>11373798</v>
      </c>
      <c r="E324" s="6" t="s">
        <v>236</v>
      </c>
      <c r="F324" s="10" t="s">
        <v>29</v>
      </c>
      <c r="G324" s="6" t="s">
        <v>1247</v>
      </c>
      <c r="H324" s="8">
        <v>45352</v>
      </c>
      <c r="I324" s="8">
        <v>43272</v>
      </c>
      <c r="J324" s="8">
        <v>43272</v>
      </c>
      <c r="K324" s="95">
        <v>43283</v>
      </c>
      <c r="L324" s="95" t="s">
        <v>31</v>
      </c>
      <c r="M324" s="8">
        <v>43291</v>
      </c>
      <c r="N324" s="8">
        <v>44301</v>
      </c>
      <c r="O324" s="8">
        <v>44287</v>
      </c>
      <c r="P324" s="6" t="s">
        <v>75</v>
      </c>
      <c r="R324" s="97" t="str">
        <f t="shared" si="12"/>
        <v/>
      </c>
      <c r="S324" s="75" t="str">
        <f t="shared" si="13"/>
        <v/>
      </c>
      <c r="U324" s="8">
        <v>44301</v>
      </c>
      <c r="W324" s="6" t="s">
        <v>33</v>
      </c>
      <c r="X324" s="95">
        <v>44735</v>
      </c>
    </row>
    <row r="325" spans="1:24" x14ac:dyDescent="0.25">
      <c r="A325" s="6" t="s">
        <v>117</v>
      </c>
      <c r="B325" s="94" t="s">
        <v>1252</v>
      </c>
      <c r="C325" s="6" t="s">
        <v>1253</v>
      </c>
      <c r="D325" s="140">
        <v>11297780</v>
      </c>
      <c r="E325" s="6" t="s">
        <v>104</v>
      </c>
      <c r="F325" s="111" t="s">
        <v>979</v>
      </c>
      <c r="G325" s="6" t="s">
        <v>1254</v>
      </c>
      <c r="H325" s="8">
        <v>44850</v>
      </c>
      <c r="I325" s="8">
        <v>43272</v>
      </c>
      <c r="J325" s="8">
        <v>43272</v>
      </c>
      <c r="K325" s="95">
        <v>43299</v>
      </c>
      <c r="L325" s="95" t="s">
        <v>31</v>
      </c>
      <c r="M325" s="8">
        <v>43305</v>
      </c>
      <c r="R325" s="97" t="str">
        <f t="shared" si="12"/>
        <v/>
      </c>
      <c r="S325" s="75" t="str">
        <f t="shared" si="13"/>
        <v/>
      </c>
      <c r="T325" s="124" t="s">
        <v>253</v>
      </c>
      <c r="U325" s="8">
        <v>43986</v>
      </c>
      <c r="V325" s="6" t="s">
        <v>36</v>
      </c>
      <c r="W325" s="6" t="s">
        <v>33</v>
      </c>
      <c r="X325" s="95">
        <v>43163</v>
      </c>
    </row>
    <row r="326" spans="1:24" x14ac:dyDescent="0.25">
      <c r="A326" s="6" t="s">
        <v>65</v>
      </c>
      <c r="B326" s="94" t="s">
        <v>890</v>
      </c>
      <c r="C326" s="6" t="s">
        <v>1255</v>
      </c>
      <c r="D326" s="140">
        <v>12112074</v>
      </c>
      <c r="E326" s="6" t="s">
        <v>261</v>
      </c>
      <c r="F326" s="10" t="s">
        <v>277</v>
      </c>
      <c r="G326" s="6" t="s">
        <v>1256</v>
      </c>
      <c r="H326" s="8">
        <v>45153</v>
      </c>
      <c r="I326" s="8">
        <v>43272</v>
      </c>
      <c r="J326" s="8">
        <v>43272</v>
      </c>
      <c r="K326" s="95">
        <v>43283</v>
      </c>
      <c r="L326" s="95" t="s">
        <v>31</v>
      </c>
      <c r="M326" s="8">
        <v>43291</v>
      </c>
      <c r="R326" s="97" t="str">
        <f t="shared" si="12"/>
        <v/>
      </c>
      <c r="S326" s="75" t="str">
        <f t="shared" si="13"/>
        <v/>
      </c>
      <c r="T326" s="124" t="s">
        <v>1257</v>
      </c>
      <c r="U326" s="8">
        <v>45007</v>
      </c>
      <c r="W326" s="6" t="s">
        <v>33</v>
      </c>
      <c r="X326" s="95">
        <v>46655</v>
      </c>
    </row>
    <row r="327" spans="1:24" x14ac:dyDescent="0.25">
      <c r="A327" s="6" t="s">
        <v>65</v>
      </c>
      <c r="B327" s="94" t="s">
        <v>1258</v>
      </c>
      <c r="C327" s="6" t="s">
        <v>1259</v>
      </c>
      <c r="D327" s="140">
        <v>11897051</v>
      </c>
      <c r="E327" s="6" t="s">
        <v>216</v>
      </c>
      <c r="F327" s="10" t="s">
        <v>57</v>
      </c>
      <c r="G327" s="6" t="s">
        <v>1260</v>
      </c>
      <c r="H327" s="8">
        <v>45087</v>
      </c>
      <c r="I327" s="8">
        <v>43272</v>
      </c>
      <c r="J327" s="8">
        <v>43272</v>
      </c>
      <c r="K327" s="95">
        <v>43283</v>
      </c>
      <c r="L327" s="95" t="s">
        <v>31</v>
      </c>
      <c r="M327" s="8">
        <v>43291</v>
      </c>
      <c r="R327" s="97" t="str">
        <f t="shared" si="12"/>
        <v/>
      </c>
      <c r="S327" s="75" t="str">
        <f t="shared" si="13"/>
        <v/>
      </c>
      <c r="T327" s="129" t="s">
        <v>1261</v>
      </c>
      <c r="U327" s="8">
        <v>44783</v>
      </c>
      <c r="W327" s="6" t="s">
        <v>33</v>
      </c>
      <c r="X327" s="95">
        <v>40933</v>
      </c>
    </row>
    <row r="328" spans="1:24" ht="30" x14ac:dyDescent="0.25">
      <c r="A328" s="6" t="s">
        <v>65</v>
      </c>
      <c r="B328" s="94" t="s">
        <v>884</v>
      </c>
      <c r="C328" s="6" t="s">
        <v>1262</v>
      </c>
      <c r="D328" s="140">
        <v>11568189</v>
      </c>
      <c r="E328" s="6" t="s">
        <v>480</v>
      </c>
      <c r="F328" s="10" t="s">
        <v>44</v>
      </c>
      <c r="G328" s="6" t="s">
        <v>1263</v>
      </c>
      <c r="H328" s="8">
        <v>47351</v>
      </c>
      <c r="I328" s="8">
        <v>43335</v>
      </c>
      <c r="J328" s="8">
        <v>43335</v>
      </c>
      <c r="K328" s="95">
        <v>43341</v>
      </c>
      <c r="L328" s="95" t="s">
        <v>31</v>
      </c>
      <c r="M328" s="8">
        <v>43354</v>
      </c>
      <c r="N328" s="8">
        <v>43383</v>
      </c>
      <c r="O328" s="8">
        <v>43374</v>
      </c>
      <c r="P328" s="101" t="s">
        <v>52</v>
      </c>
      <c r="R328" s="97" t="str">
        <f t="shared" si="12"/>
        <v/>
      </c>
      <c r="S328" s="75" t="str">
        <f t="shared" si="13"/>
        <v/>
      </c>
      <c r="T328" s="124" t="s">
        <v>1264</v>
      </c>
      <c r="U328" s="8">
        <v>43383</v>
      </c>
      <c r="W328" s="6" t="s">
        <v>33</v>
      </c>
      <c r="X328" s="95">
        <v>53860</v>
      </c>
    </row>
    <row r="329" spans="1:24" x14ac:dyDescent="0.25">
      <c r="A329" s="6" t="s">
        <v>65</v>
      </c>
      <c r="B329" s="94" t="s">
        <v>1265</v>
      </c>
      <c r="C329" s="6" t="s">
        <v>1266</v>
      </c>
      <c r="D329" s="140">
        <v>11640611</v>
      </c>
      <c r="E329" s="6" t="s">
        <v>325</v>
      </c>
      <c r="F329" s="10" t="s">
        <v>81</v>
      </c>
      <c r="G329" s="6" t="s">
        <v>1267</v>
      </c>
      <c r="H329" s="8">
        <v>44834</v>
      </c>
      <c r="I329" s="8">
        <v>43272</v>
      </c>
      <c r="J329" s="8">
        <v>43272</v>
      </c>
      <c r="K329" s="95">
        <v>43283</v>
      </c>
      <c r="L329" s="95" t="s">
        <v>31</v>
      </c>
      <c r="M329" s="8">
        <v>43291</v>
      </c>
      <c r="R329" s="97" t="str">
        <f t="shared" si="12"/>
        <v/>
      </c>
      <c r="S329" s="75" t="str">
        <f t="shared" si="13"/>
        <v/>
      </c>
      <c r="T329" s="129" t="s">
        <v>1268</v>
      </c>
      <c r="U329" s="8">
        <v>44783</v>
      </c>
      <c r="W329" s="6" t="s">
        <v>33</v>
      </c>
      <c r="X329" s="95">
        <v>43710</v>
      </c>
    </row>
    <row r="330" spans="1:24" x14ac:dyDescent="0.25">
      <c r="A330" s="6" t="s">
        <v>117</v>
      </c>
      <c r="B330" s="94" t="s">
        <v>1269</v>
      </c>
      <c r="C330" s="6" t="s">
        <v>1270</v>
      </c>
      <c r="D330" s="140">
        <v>11094466</v>
      </c>
      <c r="E330" s="101" t="s">
        <v>1271</v>
      </c>
      <c r="F330" s="6" t="s">
        <v>437</v>
      </c>
      <c r="G330" s="6" t="s">
        <v>1272</v>
      </c>
      <c r="H330" s="8">
        <v>45181</v>
      </c>
      <c r="I330" s="8">
        <v>43272</v>
      </c>
      <c r="J330" s="8">
        <v>43272</v>
      </c>
      <c r="K330" s="95">
        <v>43299</v>
      </c>
      <c r="L330" s="95" t="s">
        <v>31</v>
      </c>
      <c r="M330" s="8">
        <v>43305</v>
      </c>
      <c r="N330" s="8">
        <v>43389</v>
      </c>
      <c r="O330" s="8">
        <v>43389</v>
      </c>
      <c r="P330" s="6" t="s">
        <v>35</v>
      </c>
      <c r="Q330" s="96">
        <v>365</v>
      </c>
      <c r="R330" s="97">
        <f t="shared" si="12"/>
        <v>1</v>
      </c>
      <c r="S330" s="75">
        <f t="shared" si="13"/>
        <v>8259</v>
      </c>
      <c r="T330" s="124" t="s">
        <v>159</v>
      </c>
      <c r="U330" s="8">
        <v>43559</v>
      </c>
      <c r="W330" s="6" t="s">
        <v>84</v>
      </c>
      <c r="X330" s="95">
        <v>38092</v>
      </c>
    </row>
    <row r="331" spans="1:24" x14ac:dyDescent="0.25">
      <c r="A331" s="6" t="s">
        <v>117</v>
      </c>
      <c r="B331" s="94" t="s">
        <v>1273</v>
      </c>
      <c r="C331" s="6" t="s">
        <v>1274</v>
      </c>
      <c r="D331" s="140">
        <v>11450911</v>
      </c>
      <c r="E331" s="6" t="s">
        <v>446</v>
      </c>
      <c r="F331" s="6" t="s">
        <v>277</v>
      </c>
      <c r="G331" s="6" t="s">
        <v>1275</v>
      </c>
      <c r="H331" s="8">
        <v>44840</v>
      </c>
      <c r="I331" s="8">
        <v>43272</v>
      </c>
      <c r="J331" s="8">
        <v>43272</v>
      </c>
      <c r="K331" s="95">
        <v>43299</v>
      </c>
      <c r="L331" s="7" t="s">
        <v>31</v>
      </c>
      <c r="M331" s="8">
        <v>43305</v>
      </c>
      <c r="N331" s="9">
        <v>45023</v>
      </c>
      <c r="O331" s="9">
        <v>45023</v>
      </c>
      <c r="P331" s="10" t="s">
        <v>35</v>
      </c>
      <c r="Q331" s="76">
        <v>6935</v>
      </c>
      <c r="R331" s="97">
        <f t="shared" si="12"/>
        <v>19</v>
      </c>
      <c r="S331" s="75">
        <f t="shared" si="13"/>
        <v>156921</v>
      </c>
      <c r="T331" s="128"/>
      <c r="U331" s="8">
        <v>45026</v>
      </c>
      <c r="W331" s="6" t="s">
        <v>84</v>
      </c>
      <c r="X331" s="95">
        <v>45251</v>
      </c>
    </row>
    <row r="332" spans="1:24" x14ac:dyDescent="0.25">
      <c r="A332" s="6" t="s">
        <v>117</v>
      </c>
      <c r="B332" s="94" t="s">
        <v>770</v>
      </c>
      <c r="C332" s="6" t="s">
        <v>1276</v>
      </c>
      <c r="D332" s="140">
        <v>11315847</v>
      </c>
      <c r="E332" s="6" t="s">
        <v>1277</v>
      </c>
      <c r="F332" s="6" t="s">
        <v>437</v>
      </c>
      <c r="G332" s="6" t="s">
        <v>1278</v>
      </c>
      <c r="H332" s="8">
        <v>45964</v>
      </c>
      <c r="I332" s="8">
        <v>43272</v>
      </c>
      <c r="J332" s="8">
        <v>43272</v>
      </c>
      <c r="K332" s="95">
        <v>43299</v>
      </c>
      <c r="L332" s="95" t="s">
        <v>31</v>
      </c>
      <c r="M332" s="8">
        <v>43305</v>
      </c>
      <c r="N332" s="108">
        <v>43370</v>
      </c>
      <c r="O332" s="108">
        <v>43362</v>
      </c>
      <c r="P332" s="107" t="s">
        <v>35</v>
      </c>
      <c r="Q332" s="110">
        <v>0</v>
      </c>
      <c r="R332" s="97" t="str">
        <f t="shared" si="12"/>
        <v/>
      </c>
      <c r="S332" s="75" t="str">
        <f t="shared" si="13"/>
        <v/>
      </c>
      <c r="U332" s="8">
        <v>44749</v>
      </c>
      <c r="W332" s="6" t="s">
        <v>33</v>
      </c>
      <c r="X332" s="95">
        <v>42702</v>
      </c>
    </row>
    <row r="333" spans="1:24" x14ac:dyDescent="0.25">
      <c r="A333" s="6" t="s">
        <v>70</v>
      </c>
      <c r="B333" s="94" t="s">
        <v>108</v>
      </c>
      <c r="C333" s="6" t="s">
        <v>1279</v>
      </c>
      <c r="D333" s="140">
        <v>11931466</v>
      </c>
      <c r="E333" s="6" t="s">
        <v>185</v>
      </c>
      <c r="F333" s="10" t="s">
        <v>44</v>
      </c>
      <c r="G333" s="6" t="s">
        <v>1280</v>
      </c>
      <c r="H333" s="8">
        <v>44706</v>
      </c>
      <c r="I333" s="8">
        <v>43306</v>
      </c>
      <c r="J333" s="8">
        <v>43306</v>
      </c>
      <c r="K333" s="95">
        <v>43319</v>
      </c>
      <c r="L333" s="95" t="s">
        <v>31</v>
      </c>
      <c r="M333" s="8">
        <v>43325</v>
      </c>
      <c r="R333" s="97" t="str">
        <f t="shared" si="12"/>
        <v/>
      </c>
      <c r="S333" s="75" t="str">
        <f t="shared" si="13"/>
        <v/>
      </c>
      <c r="T333" s="124" t="s">
        <v>253</v>
      </c>
      <c r="U333" s="8">
        <v>43730</v>
      </c>
      <c r="V333" s="6" t="s">
        <v>36</v>
      </c>
      <c r="W333" s="6" t="s">
        <v>33</v>
      </c>
      <c r="X333" s="95">
        <v>42068</v>
      </c>
    </row>
    <row r="334" spans="1:24" x14ac:dyDescent="0.25">
      <c r="A334" s="6" t="s">
        <v>117</v>
      </c>
      <c r="B334" s="94" t="s">
        <v>1281</v>
      </c>
      <c r="C334" s="6" t="s">
        <v>1282</v>
      </c>
      <c r="D334" s="140">
        <v>11713935</v>
      </c>
      <c r="E334" s="6" t="s">
        <v>386</v>
      </c>
      <c r="F334" s="10" t="s">
        <v>121</v>
      </c>
      <c r="G334" s="6" t="s">
        <v>1283</v>
      </c>
      <c r="H334" s="8">
        <v>44944</v>
      </c>
      <c r="I334" s="8">
        <v>43272</v>
      </c>
      <c r="J334" s="8">
        <v>43272</v>
      </c>
      <c r="K334" s="95">
        <v>43299</v>
      </c>
      <c r="L334" s="95" t="s">
        <v>31</v>
      </c>
      <c r="M334" s="8">
        <v>43305</v>
      </c>
      <c r="N334" s="108">
        <v>43413</v>
      </c>
      <c r="O334" s="108">
        <v>43409</v>
      </c>
      <c r="P334" s="107" t="s">
        <v>35</v>
      </c>
      <c r="Q334" s="110">
        <v>365</v>
      </c>
      <c r="R334" s="97">
        <f t="shared" si="12"/>
        <v>1</v>
      </c>
      <c r="S334" s="75">
        <f t="shared" si="13"/>
        <v>8259</v>
      </c>
      <c r="U334" s="8">
        <v>44749</v>
      </c>
      <c r="W334" s="6" t="s">
        <v>33</v>
      </c>
      <c r="X334" s="95">
        <v>43838</v>
      </c>
    </row>
    <row r="335" spans="1:24" x14ac:dyDescent="0.25">
      <c r="A335" s="6" t="s">
        <v>117</v>
      </c>
      <c r="B335" s="94" t="s">
        <v>1284</v>
      </c>
      <c r="C335" s="6" t="s">
        <v>1285</v>
      </c>
      <c r="D335" s="145">
        <v>12014929</v>
      </c>
      <c r="E335" s="6" t="s">
        <v>1200</v>
      </c>
      <c r="F335" s="10" t="s">
        <v>309</v>
      </c>
      <c r="G335" s="6" t="s">
        <v>1286</v>
      </c>
      <c r="H335" s="8">
        <v>44981</v>
      </c>
      <c r="I335" s="8">
        <v>43272</v>
      </c>
      <c r="J335" s="8">
        <v>43272</v>
      </c>
      <c r="K335" s="95">
        <v>43299</v>
      </c>
      <c r="L335" s="95" t="s">
        <v>31</v>
      </c>
      <c r="M335" s="8">
        <v>43305</v>
      </c>
      <c r="N335" s="8">
        <v>43619</v>
      </c>
      <c r="O335" s="8">
        <v>43612</v>
      </c>
      <c r="P335" s="6" t="s">
        <v>35</v>
      </c>
      <c r="Q335" s="96">
        <v>243</v>
      </c>
      <c r="R335" s="97">
        <f t="shared" si="12"/>
        <v>0.66575342465753429</v>
      </c>
      <c r="S335" s="75">
        <f t="shared" si="13"/>
        <v>5498.4575342465751</v>
      </c>
      <c r="T335" s="124" t="s">
        <v>1287</v>
      </c>
      <c r="U335" s="8">
        <v>43621</v>
      </c>
      <c r="W335" s="6" t="s">
        <v>33</v>
      </c>
      <c r="X335" s="95">
        <v>43645</v>
      </c>
    </row>
    <row r="336" spans="1:24" x14ac:dyDescent="0.25">
      <c r="A336" s="6" t="s">
        <v>117</v>
      </c>
      <c r="B336" s="94" t="s">
        <v>1288</v>
      </c>
      <c r="C336" s="6" t="s">
        <v>1289</v>
      </c>
      <c r="D336" s="140">
        <v>11778528</v>
      </c>
      <c r="E336" s="6" t="s">
        <v>446</v>
      </c>
      <c r="F336" s="10" t="s">
        <v>442</v>
      </c>
      <c r="G336" s="6" t="s">
        <v>1290</v>
      </c>
      <c r="H336" s="8">
        <v>45142</v>
      </c>
      <c r="I336" s="8">
        <v>43272</v>
      </c>
      <c r="J336" s="8">
        <v>43272</v>
      </c>
      <c r="K336" s="95">
        <v>43299</v>
      </c>
      <c r="L336" s="95" t="s">
        <v>31</v>
      </c>
      <c r="M336" s="8">
        <v>43305</v>
      </c>
      <c r="N336" s="108">
        <v>43473</v>
      </c>
      <c r="O336" s="108">
        <v>43448</v>
      </c>
      <c r="P336" s="107" t="s">
        <v>35</v>
      </c>
      <c r="Q336" s="110">
        <v>90</v>
      </c>
      <c r="R336" s="97">
        <f t="shared" si="12"/>
        <v>0.24657534246575341</v>
      </c>
      <c r="S336" s="75">
        <f t="shared" si="13"/>
        <v>2036.4657534246576</v>
      </c>
      <c r="U336" s="8">
        <v>44749</v>
      </c>
      <c r="W336" s="6" t="s">
        <v>33</v>
      </c>
      <c r="X336" s="95">
        <v>43972</v>
      </c>
    </row>
    <row r="337" spans="1:24" x14ac:dyDescent="0.25">
      <c r="A337" s="6" t="s">
        <v>65</v>
      </c>
      <c r="B337" s="94" t="s">
        <v>1291</v>
      </c>
      <c r="C337" s="6" t="s">
        <v>1292</v>
      </c>
      <c r="D337" s="140">
        <v>11594133</v>
      </c>
      <c r="E337" s="6" t="s">
        <v>199</v>
      </c>
      <c r="F337" s="6" t="s">
        <v>44</v>
      </c>
      <c r="G337" s="6" t="s">
        <v>1293</v>
      </c>
      <c r="H337" s="8">
        <v>46796</v>
      </c>
      <c r="I337" s="8">
        <v>43273</v>
      </c>
      <c r="J337" s="8">
        <v>43273</v>
      </c>
      <c r="K337" s="95">
        <v>43292</v>
      </c>
      <c r="L337" s="95" t="s">
        <v>31</v>
      </c>
      <c r="M337" s="8">
        <v>43299</v>
      </c>
      <c r="N337" s="8">
        <v>43368</v>
      </c>
      <c r="O337" s="8">
        <v>43356</v>
      </c>
      <c r="P337" s="6" t="s">
        <v>1294</v>
      </c>
      <c r="Q337" s="96">
        <v>1095</v>
      </c>
      <c r="R337" s="97">
        <f t="shared" si="12"/>
        <v>3</v>
      </c>
      <c r="S337" s="75">
        <f t="shared" si="13"/>
        <v>24777</v>
      </c>
      <c r="U337" s="8">
        <v>43374</v>
      </c>
      <c r="V337" s="100"/>
      <c r="W337" s="100" t="s">
        <v>33</v>
      </c>
      <c r="X337" s="104">
        <v>50939</v>
      </c>
    </row>
    <row r="338" spans="1:24" x14ac:dyDescent="0.25">
      <c r="A338" s="6" t="s">
        <v>65</v>
      </c>
      <c r="B338" s="94" t="s">
        <v>1295</v>
      </c>
      <c r="C338" s="6" t="s">
        <v>1296</v>
      </c>
      <c r="D338" s="140">
        <v>11643513</v>
      </c>
      <c r="E338" s="6" t="s">
        <v>318</v>
      </c>
      <c r="F338" s="10" t="s">
        <v>95</v>
      </c>
      <c r="G338" s="6" t="s">
        <v>1297</v>
      </c>
      <c r="H338" s="8">
        <v>45800</v>
      </c>
      <c r="I338" s="8">
        <v>43273</v>
      </c>
      <c r="J338" s="8">
        <v>43273</v>
      </c>
      <c r="K338" s="95">
        <v>43292</v>
      </c>
      <c r="L338" s="95" t="s">
        <v>31</v>
      </c>
      <c r="M338" s="8">
        <v>43299</v>
      </c>
      <c r="N338" s="8">
        <v>43382</v>
      </c>
      <c r="O338" s="8">
        <v>43376</v>
      </c>
      <c r="P338" s="6" t="s">
        <v>35</v>
      </c>
      <c r="Q338" s="96">
        <v>1095</v>
      </c>
      <c r="R338" s="97">
        <f t="shared" si="12"/>
        <v>3</v>
      </c>
      <c r="S338" s="75">
        <f t="shared" si="13"/>
        <v>24777</v>
      </c>
      <c r="U338" s="8">
        <v>43396</v>
      </c>
      <c r="V338" s="100"/>
      <c r="W338" s="100" t="s">
        <v>33</v>
      </c>
      <c r="X338" s="104">
        <v>44751</v>
      </c>
    </row>
    <row r="339" spans="1:24" x14ac:dyDescent="0.25">
      <c r="A339" s="6" t="s">
        <v>65</v>
      </c>
      <c r="B339" s="94" t="s">
        <v>1298</v>
      </c>
      <c r="C339" s="6" t="s">
        <v>1299</v>
      </c>
      <c r="D339" s="140">
        <v>11043676</v>
      </c>
      <c r="E339" s="6" t="s">
        <v>570</v>
      </c>
      <c r="F339" s="10" t="s">
        <v>44</v>
      </c>
      <c r="G339" s="6" t="s">
        <v>1300</v>
      </c>
      <c r="H339" s="8">
        <v>45998</v>
      </c>
      <c r="I339" s="8">
        <v>43273</v>
      </c>
      <c r="J339" s="8">
        <v>43273</v>
      </c>
      <c r="K339" s="95">
        <v>43292</v>
      </c>
      <c r="L339" s="95" t="s">
        <v>31</v>
      </c>
      <c r="M339" s="8">
        <v>43299</v>
      </c>
      <c r="N339" s="8">
        <v>43357</v>
      </c>
      <c r="O339" s="8">
        <v>43343</v>
      </c>
      <c r="P339" s="6" t="s">
        <v>35</v>
      </c>
      <c r="Q339" s="96">
        <v>365</v>
      </c>
      <c r="R339" s="97">
        <f t="shared" si="12"/>
        <v>1</v>
      </c>
      <c r="S339" s="75">
        <f t="shared" si="13"/>
        <v>8259</v>
      </c>
      <c r="U339" s="8">
        <v>43360</v>
      </c>
      <c r="V339" s="100"/>
      <c r="W339" s="100" t="s">
        <v>33</v>
      </c>
      <c r="X339" s="104">
        <v>45044</v>
      </c>
    </row>
    <row r="340" spans="1:24" x14ac:dyDescent="0.25">
      <c r="A340" s="6" t="s">
        <v>65</v>
      </c>
      <c r="B340" s="94" t="s">
        <v>1301</v>
      </c>
      <c r="C340" s="6" t="s">
        <v>1302</v>
      </c>
      <c r="D340" s="140">
        <v>12137023</v>
      </c>
      <c r="E340" s="6" t="s">
        <v>714</v>
      </c>
      <c r="F340" s="10" t="s">
        <v>190</v>
      </c>
      <c r="G340" s="6" t="s">
        <v>1303</v>
      </c>
      <c r="H340" s="8">
        <v>46201</v>
      </c>
      <c r="I340" s="8">
        <v>43273</v>
      </c>
      <c r="J340" s="8">
        <v>43273</v>
      </c>
      <c r="K340" s="95">
        <v>43292</v>
      </c>
      <c r="L340" s="95" t="s">
        <v>31</v>
      </c>
      <c r="M340" s="8">
        <v>43299</v>
      </c>
      <c r="N340" s="8">
        <v>43333</v>
      </c>
      <c r="O340" s="8">
        <v>43327</v>
      </c>
      <c r="P340" s="6" t="s">
        <v>35</v>
      </c>
      <c r="Q340" s="96">
        <v>1095</v>
      </c>
      <c r="R340" s="97">
        <f t="shared" si="12"/>
        <v>3</v>
      </c>
      <c r="S340" s="75">
        <f t="shared" si="13"/>
        <v>24777</v>
      </c>
      <c r="U340" s="8">
        <v>43340</v>
      </c>
      <c r="W340" s="6" t="s">
        <v>33</v>
      </c>
      <c r="X340" s="95">
        <v>46603</v>
      </c>
    </row>
    <row r="341" spans="1:24" x14ac:dyDescent="0.25">
      <c r="A341" s="6" t="s">
        <v>65</v>
      </c>
      <c r="B341" s="94" t="s">
        <v>1304</v>
      </c>
      <c r="C341" s="6" t="s">
        <v>1305</v>
      </c>
      <c r="D341" s="140">
        <v>11366364</v>
      </c>
      <c r="E341" s="6" t="s">
        <v>584</v>
      </c>
      <c r="F341" s="10" t="s">
        <v>134</v>
      </c>
      <c r="G341" s="6" t="s">
        <v>1306</v>
      </c>
      <c r="H341" s="8">
        <v>46345</v>
      </c>
      <c r="I341" s="8">
        <v>43273</v>
      </c>
      <c r="J341" s="8">
        <v>43273</v>
      </c>
      <c r="K341" s="95">
        <v>43292</v>
      </c>
      <c r="L341" s="95" t="s">
        <v>31</v>
      </c>
      <c r="M341" s="8">
        <v>43299</v>
      </c>
      <c r="N341" s="8">
        <v>43341</v>
      </c>
      <c r="O341" s="8">
        <v>43334</v>
      </c>
      <c r="P341" s="6" t="s">
        <v>35</v>
      </c>
      <c r="Q341" s="96">
        <v>730</v>
      </c>
      <c r="R341" s="97">
        <f t="shared" si="12"/>
        <v>2</v>
      </c>
      <c r="S341" s="75">
        <f t="shared" si="13"/>
        <v>16518</v>
      </c>
      <c r="U341" s="8">
        <v>43322</v>
      </c>
      <c r="W341" s="6" t="s">
        <v>33</v>
      </c>
      <c r="X341" s="95">
        <v>45237</v>
      </c>
    </row>
    <row r="342" spans="1:24" x14ac:dyDescent="0.25">
      <c r="A342" s="6" t="s">
        <v>65</v>
      </c>
      <c r="B342" s="94" t="s">
        <v>1307</v>
      </c>
      <c r="C342" s="6" t="s">
        <v>1308</v>
      </c>
      <c r="D342" s="140">
        <v>11992872</v>
      </c>
      <c r="E342" s="6" t="s">
        <v>570</v>
      </c>
      <c r="F342" s="10" t="s">
        <v>139</v>
      </c>
      <c r="G342" s="6" t="s">
        <v>1309</v>
      </c>
      <c r="H342" s="8">
        <v>46611</v>
      </c>
      <c r="I342" s="8">
        <v>43273</v>
      </c>
      <c r="J342" s="8">
        <v>43273</v>
      </c>
      <c r="K342" s="95">
        <v>43292</v>
      </c>
      <c r="L342" s="95" t="s">
        <v>31</v>
      </c>
      <c r="M342" s="8">
        <v>43299</v>
      </c>
      <c r="N342" s="8">
        <v>43364</v>
      </c>
      <c r="O342" s="8">
        <v>43360</v>
      </c>
      <c r="P342" s="6" t="s">
        <v>35</v>
      </c>
      <c r="Q342" s="96">
        <v>243</v>
      </c>
      <c r="R342" s="97">
        <f t="shared" si="12"/>
        <v>0.66575342465753429</v>
      </c>
      <c r="S342" s="75">
        <f t="shared" si="13"/>
        <v>5498.4575342465751</v>
      </c>
      <c r="U342" s="8">
        <v>43367</v>
      </c>
      <c r="W342" s="6" t="s">
        <v>33</v>
      </c>
      <c r="X342" s="95">
        <v>51952</v>
      </c>
    </row>
    <row r="343" spans="1:24" x14ac:dyDescent="0.25">
      <c r="A343" s="6" t="s">
        <v>65</v>
      </c>
      <c r="B343" s="94" t="s">
        <v>1310</v>
      </c>
      <c r="C343" s="6" t="s">
        <v>1311</v>
      </c>
      <c r="D343" s="140">
        <v>12157059</v>
      </c>
      <c r="E343" s="6" t="s">
        <v>656</v>
      </c>
      <c r="F343" s="10" t="s">
        <v>44</v>
      </c>
      <c r="G343" s="6" t="s">
        <v>1312</v>
      </c>
      <c r="H343" s="8">
        <v>46870</v>
      </c>
      <c r="I343" s="8">
        <v>43273</v>
      </c>
      <c r="J343" s="8">
        <v>43273</v>
      </c>
      <c r="K343" s="95">
        <v>43292</v>
      </c>
      <c r="L343" s="95" t="s">
        <v>31</v>
      </c>
      <c r="M343" s="8">
        <v>43299</v>
      </c>
      <c r="N343" s="8">
        <v>43383</v>
      </c>
      <c r="O343" s="8">
        <v>43375</v>
      </c>
      <c r="P343" s="6" t="s">
        <v>35</v>
      </c>
      <c r="Q343" s="96">
        <v>1095</v>
      </c>
      <c r="R343" s="97">
        <f t="shared" si="12"/>
        <v>3</v>
      </c>
      <c r="S343" s="75">
        <f t="shared" si="13"/>
        <v>24777</v>
      </c>
      <c r="U343" s="8">
        <v>43384</v>
      </c>
      <c r="W343" s="6" t="s">
        <v>33</v>
      </c>
      <c r="X343" s="95">
        <v>47255</v>
      </c>
    </row>
    <row r="344" spans="1:24" x14ac:dyDescent="0.25">
      <c r="A344" s="101" t="s">
        <v>65</v>
      </c>
      <c r="B344" s="102" t="s">
        <v>197</v>
      </c>
      <c r="C344" s="101" t="s">
        <v>1313</v>
      </c>
      <c r="D344" s="141">
        <v>12003276</v>
      </c>
      <c r="E344" s="101" t="s">
        <v>256</v>
      </c>
      <c r="F344" s="101" t="s">
        <v>139</v>
      </c>
      <c r="G344" s="101" t="s">
        <v>1314</v>
      </c>
      <c r="H344" s="103">
        <v>47207</v>
      </c>
      <c r="I344" s="103">
        <v>43273</v>
      </c>
      <c r="J344" s="103">
        <v>43273</v>
      </c>
      <c r="K344" s="95">
        <v>43292</v>
      </c>
      <c r="L344" s="95" t="s">
        <v>31</v>
      </c>
      <c r="M344" s="8">
        <v>43299</v>
      </c>
      <c r="N344" s="103">
        <v>43382</v>
      </c>
      <c r="O344" s="103">
        <v>43368</v>
      </c>
      <c r="P344" s="101" t="s">
        <v>69</v>
      </c>
      <c r="Q344" s="105"/>
      <c r="R344" s="97" t="str">
        <f t="shared" si="12"/>
        <v/>
      </c>
      <c r="S344" s="75" t="str">
        <f t="shared" si="13"/>
        <v/>
      </c>
      <c r="T344" s="125" t="s">
        <v>1315</v>
      </c>
      <c r="U344" s="8">
        <v>43368</v>
      </c>
      <c r="W344" s="6" t="s">
        <v>33</v>
      </c>
      <c r="X344" s="95">
        <v>43368</v>
      </c>
    </row>
    <row r="345" spans="1:24" x14ac:dyDescent="0.25">
      <c r="A345" s="6" t="s">
        <v>65</v>
      </c>
      <c r="B345" s="94" t="s">
        <v>242</v>
      </c>
      <c r="C345" s="6" t="s">
        <v>1316</v>
      </c>
      <c r="D345" s="140">
        <v>12114898</v>
      </c>
      <c r="E345" s="6" t="s">
        <v>304</v>
      </c>
      <c r="F345" s="10" t="s">
        <v>57</v>
      </c>
      <c r="G345" s="6" t="s">
        <v>1317</v>
      </c>
      <c r="H345" s="8">
        <v>46376</v>
      </c>
      <c r="I345" s="8">
        <v>43273</v>
      </c>
      <c r="J345" s="8">
        <v>43273</v>
      </c>
      <c r="K345" s="95">
        <v>43292</v>
      </c>
      <c r="L345" s="95" t="s">
        <v>31</v>
      </c>
      <c r="M345" s="8">
        <v>43299</v>
      </c>
      <c r="N345" s="8">
        <v>43339</v>
      </c>
      <c r="O345" s="8">
        <v>43333</v>
      </c>
      <c r="P345" s="6" t="s">
        <v>69</v>
      </c>
      <c r="R345" s="97" t="str">
        <f t="shared" si="12"/>
        <v/>
      </c>
      <c r="S345" s="75" t="str">
        <f t="shared" si="13"/>
        <v/>
      </c>
      <c r="U345" s="8">
        <v>43341</v>
      </c>
      <c r="W345" s="6" t="s">
        <v>33</v>
      </c>
      <c r="X345" s="95">
        <v>45680</v>
      </c>
    </row>
    <row r="346" spans="1:24" x14ac:dyDescent="0.25">
      <c r="A346" s="6" t="s">
        <v>65</v>
      </c>
      <c r="B346" s="94" t="s">
        <v>1318</v>
      </c>
      <c r="C346" s="6" t="s">
        <v>1319</v>
      </c>
      <c r="D346" s="140">
        <v>12001876</v>
      </c>
      <c r="E346" s="6" t="s">
        <v>73</v>
      </c>
      <c r="F346" s="10" t="s">
        <v>95</v>
      </c>
      <c r="G346" s="6" t="s">
        <v>1320</v>
      </c>
      <c r="H346" s="8">
        <v>46521</v>
      </c>
      <c r="I346" s="8">
        <v>43273</v>
      </c>
      <c r="J346" s="8">
        <v>43273</v>
      </c>
      <c r="K346" s="95">
        <v>43292</v>
      </c>
      <c r="L346" s="95" t="s">
        <v>31</v>
      </c>
      <c r="M346" s="8">
        <v>43299</v>
      </c>
      <c r="N346" s="8">
        <v>43362</v>
      </c>
      <c r="O346" s="8">
        <v>43356</v>
      </c>
      <c r="P346" s="6" t="s">
        <v>69</v>
      </c>
      <c r="R346" s="97" t="str">
        <f t="shared" ref="R346:R409" si="14">IF(Q346&gt;0, Q346/365, "")</f>
        <v/>
      </c>
      <c r="S346" s="75" t="str">
        <f t="shared" ref="S346:S409" si="15">IF(Q346&gt;0, SUM(Q346)*(8259/365), "")</f>
        <v/>
      </c>
      <c r="U346" s="8">
        <v>43364</v>
      </c>
      <c r="W346" s="6" t="s">
        <v>33</v>
      </c>
      <c r="X346" s="95">
        <v>42830</v>
      </c>
    </row>
    <row r="347" spans="1:24" s="112" customFormat="1" x14ac:dyDescent="0.25">
      <c r="A347" s="6" t="s">
        <v>65</v>
      </c>
      <c r="B347" s="94" t="s">
        <v>1321</v>
      </c>
      <c r="C347" s="6" t="s">
        <v>1322</v>
      </c>
      <c r="D347" s="140">
        <v>12136822</v>
      </c>
      <c r="E347" s="6" t="s">
        <v>73</v>
      </c>
      <c r="F347" s="10" t="s">
        <v>50</v>
      </c>
      <c r="G347" s="6" t="s">
        <v>1323</v>
      </c>
      <c r="H347" s="8">
        <v>46718</v>
      </c>
      <c r="I347" s="8">
        <v>43273</v>
      </c>
      <c r="J347" s="8">
        <v>43273</v>
      </c>
      <c r="K347" s="95">
        <v>43292</v>
      </c>
      <c r="L347" s="95" t="s">
        <v>31</v>
      </c>
      <c r="M347" s="8">
        <v>43299</v>
      </c>
      <c r="N347" s="8">
        <v>43371</v>
      </c>
      <c r="O347" s="8">
        <v>43367</v>
      </c>
      <c r="P347" s="6" t="s">
        <v>69</v>
      </c>
      <c r="Q347" s="96"/>
      <c r="R347" s="97" t="str">
        <f t="shared" si="14"/>
        <v/>
      </c>
      <c r="S347" s="75" t="str">
        <f t="shared" si="15"/>
        <v/>
      </c>
      <c r="T347" s="124"/>
      <c r="U347" s="8">
        <v>43376</v>
      </c>
      <c r="V347" s="6"/>
      <c r="W347" s="6" t="s">
        <v>33</v>
      </c>
      <c r="X347" s="95">
        <v>46993</v>
      </c>
    </row>
    <row r="348" spans="1:24" x14ac:dyDescent="0.25">
      <c r="A348" s="107" t="s">
        <v>65</v>
      </c>
      <c r="B348" s="106" t="s">
        <v>1324</v>
      </c>
      <c r="C348" s="107" t="s">
        <v>1325</v>
      </c>
      <c r="D348" s="142">
        <v>11296804</v>
      </c>
      <c r="E348" s="107" t="s">
        <v>1143</v>
      </c>
      <c r="F348" s="56" t="s">
        <v>100</v>
      </c>
      <c r="G348" s="107" t="s">
        <v>1326</v>
      </c>
      <c r="H348" s="108">
        <v>46883</v>
      </c>
      <c r="I348" s="108">
        <v>43273</v>
      </c>
      <c r="J348" s="108">
        <v>43273</v>
      </c>
      <c r="K348" s="109">
        <v>43292</v>
      </c>
      <c r="L348" s="109" t="s">
        <v>31</v>
      </c>
      <c r="M348" s="108">
        <v>43299</v>
      </c>
      <c r="N348" s="108">
        <v>44470</v>
      </c>
      <c r="O348" s="108">
        <v>44463</v>
      </c>
      <c r="P348" s="107" t="s">
        <v>90</v>
      </c>
      <c r="Q348" s="110">
        <v>2408</v>
      </c>
      <c r="R348" s="97">
        <f t="shared" si="14"/>
        <v>6.5972602739726032</v>
      </c>
      <c r="S348" s="75">
        <f t="shared" si="15"/>
        <v>54486.772602739729</v>
      </c>
      <c r="T348" s="127" t="s">
        <v>1327</v>
      </c>
      <c r="U348" s="108">
        <v>44473</v>
      </c>
      <c r="V348" s="6" t="s">
        <v>36</v>
      </c>
      <c r="W348" s="6" t="s">
        <v>84</v>
      </c>
      <c r="X348" s="95">
        <v>47226</v>
      </c>
    </row>
    <row r="349" spans="1:24" x14ac:dyDescent="0.25">
      <c r="A349" s="6" t="s">
        <v>65</v>
      </c>
      <c r="B349" s="94" t="s">
        <v>1328</v>
      </c>
      <c r="C349" s="6" t="s">
        <v>1329</v>
      </c>
      <c r="D349" s="140">
        <v>11313843</v>
      </c>
      <c r="E349" s="6" t="s">
        <v>240</v>
      </c>
      <c r="F349" s="10" t="s">
        <v>62</v>
      </c>
      <c r="G349" s="6" t="s">
        <v>241</v>
      </c>
      <c r="H349" s="8">
        <v>45935</v>
      </c>
      <c r="I349" s="8">
        <v>43348</v>
      </c>
      <c r="J349" s="8">
        <v>43348</v>
      </c>
      <c r="K349" s="95">
        <v>43362</v>
      </c>
      <c r="L349" s="95" t="s">
        <v>31</v>
      </c>
      <c r="M349" s="8">
        <v>43367</v>
      </c>
      <c r="N349" s="8">
        <v>43384</v>
      </c>
      <c r="O349" s="8">
        <v>43374</v>
      </c>
      <c r="P349" s="101" t="s">
        <v>182</v>
      </c>
      <c r="R349" s="97" t="str">
        <f t="shared" si="14"/>
        <v/>
      </c>
      <c r="S349" s="75" t="str">
        <f t="shared" si="15"/>
        <v/>
      </c>
      <c r="U349" s="8">
        <v>43391</v>
      </c>
      <c r="W349" s="6" t="s">
        <v>33</v>
      </c>
      <c r="X349" s="95">
        <v>46234</v>
      </c>
    </row>
    <row r="350" spans="1:24" x14ac:dyDescent="0.25">
      <c r="A350" s="6" t="s">
        <v>37</v>
      </c>
      <c r="B350" s="94" t="s">
        <v>873</v>
      </c>
      <c r="C350" s="6" t="s">
        <v>1330</v>
      </c>
      <c r="D350" s="140">
        <v>11215364</v>
      </c>
      <c r="E350" s="6" t="s">
        <v>1331</v>
      </c>
      <c r="F350" s="10" t="s">
        <v>29</v>
      </c>
      <c r="G350" s="6" t="s">
        <v>1332</v>
      </c>
      <c r="H350" s="8">
        <v>43760</v>
      </c>
      <c r="I350" s="8">
        <v>43353</v>
      </c>
      <c r="J350" s="8">
        <v>43355</v>
      </c>
      <c r="K350" s="95">
        <v>43356</v>
      </c>
      <c r="L350" s="95" t="s">
        <v>31</v>
      </c>
      <c r="M350" s="8">
        <v>43360</v>
      </c>
      <c r="N350" s="8">
        <v>43390</v>
      </c>
      <c r="O350" s="8">
        <v>43375</v>
      </c>
      <c r="P350" s="101" t="s">
        <v>182</v>
      </c>
      <c r="R350" s="97" t="str">
        <f t="shared" si="14"/>
        <v/>
      </c>
      <c r="S350" s="75" t="str">
        <f t="shared" si="15"/>
        <v/>
      </c>
      <c r="U350" s="8">
        <v>43391</v>
      </c>
      <c r="W350" s="6" t="s">
        <v>33</v>
      </c>
      <c r="X350" s="95">
        <v>50996</v>
      </c>
    </row>
    <row r="351" spans="1:24" ht="30" x14ac:dyDescent="0.25">
      <c r="A351" s="6" t="s">
        <v>65</v>
      </c>
      <c r="B351" s="94" t="s">
        <v>323</v>
      </c>
      <c r="C351" s="6" t="s">
        <v>1333</v>
      </c>
      <c r="D351" s="140">
        <v>11299027</v>
      </c>
      <c r="E351" s="6" t="s">
        <v>686</v>
      </c>
      <c r="F351" s="10" t="s">
        <v>1334</v>
      </c>
      <c r="G351" s="6" t="s">
        <v>1335</v>
      </c>
      <c r="H351" s="8">
        <v>44582</v>
      </c>
      <c r="I351" s="8">
        <v>43347</v>
      </c>
      <c r="J351" s="8">
        <v>43347</v>
      </c>
      <c r="K351" s="95">
        <v>43355</v>
      </c>
      <c r="L351" s="95" t="s">
        <v>31</v>
      </c>
      <c r="M351" s="8">
        <v>43360</v>
      </c>
      <c r="N351" s="8">
        <v>43377</v>
      </c>
      <c r="O351" s="8">
        <v>43375</v>
      </c>
      <c r="P351" s="101" t="s">
        <v>52</v>
      </c>
      <c r="R351" s="97" t="str">
        <f t="shared" si="14"/>
        <v/>
      </c>
      <c r="S351" s="75" t="str">
        <f t="shared" si="15"/>
        <v/>
      </c>
      <c r="T351" s="124" t="s">
        <v>1336</v>
      </c>
      <c r="U351" s="8">
        <v>43377</v>
      </c>
      <c r="W351" s="6" t="s">
        <v>33</v>
      </c>
      <c r="X351" s="95">
        <v>45879</v>
      </c>
    </row>
    <row r="352" spans="1:24" x14ac:dyDescent="0.25">
      <c r="A352" s="6" t="s">
        <v>65</v>
      </c>
      <c r="B352" s="98" t="s">
        <v>1337</v>
      </c>
      <c r="C352" s="6" t="s">
        <v>1338</v>
      </c>
      <c r="D352" s="140">
        <v>11310108</v>
      </c>
      <c r="E352" s="6" t="s">
        <v>866</v>
      </c>
      <c r="F352" s="10" t="s">
        <v>44</v>
      </c>
      <c r="G352" s="6" t="s">
        <v>1339</v>
      </c>
      <c r="H352" s="8">
        <v>51610</v>
      </c>
      <c r="I352" s="8">
        <v>43348</v>
      </c>
      <c r="J352" s="8">
        <v>43348</v>
      </c>
      <c r="K352" s="95">
        <v>43369</v>
      </c>
      <c r="L352" s="95" t="s">
        <v>31</v>
      </c>
      <c r="M352" s="8">
        <v>43374</v>
      </c>
      <c r="N352" s="8">
        <v>43384</v>
      </c>
      <c r="O352" s="8">
        <v>43375</v>
      </c>
      <c r="P352" s="101" t="s">
        <v>182</v>
      </c>
      <c r="R352" s="97" t="str">
        <f t="shared" si="14"/>
        <v/>
      </c>
      <c r="S352" s="75" t="str">
        <f t="shared" si="15"/>
        <v/>
      </c>
      <c r="U352" s="8">
        <v>43409</v>
      </c>
      <c r="W352" s="6" t="s">
        <v>33</v>
      </c>
      <c r="X352" s="95">
        <v>45895</v>
      </c>
    </row>
    <row r="353" spans="1:24" x14ac:dyDescent="0.25">
      <c r="A353" s="6" t="s">
        <v>211</v>
      </c>
      <c r="B353" s="94" t="s">
        <v>1340</v>
      </c>
      <c r="C353" s="6" t="s">
        <v>1341</v>
      </c>
      <c r="D353" s="140">
        <v>11053300</v>
      </c>
      <c r="E353" s="6" t="s">
        <v>43</v>
      </c>
      <c r="F353" s="10" t="s">
        <v>134</v>
      </c>
      <c r="G353" s="6" t="s">
        <v>1342</v>
      </c>
      <c r="H353" s="8">
        <v>225674</v>
      </c>
      <c r="I353" s="8">
        <v>43313</v>
      </c>
      <c r="J353" s="8">
        <v>43326</v>
      </c>
      <c r="K353" s="95">
        <v>43327</v>
      </c>
      <c r="L353" s="95" t="s">
        <v>31</v>
      </c>
      <c r="M353" s="8">
        <v>43334</v>
      </c>
      <c r="N353" s="8">
        <v>43389</v>
      </c>
      <c r="O353" s="8">
        <v>43377</v>
      </c>
      <c r="P353" s="101" t="s">
        <v>52</v>
      </c>
      <c r="R353" s="97" t="str">
        <f t="shared" si="14"/>
        <v/>
      </c>
      <c r="S353" s="75" t="str">
        <f t="shared" si="15"/>
        <v/>
      </c>
      <c r="T353" s="124" t="s">
        <v>1343</v>
      </c>
      <c r="U353" s="8">
        <v>43395</v>
      </c>
      <c r="W353" s="6" t="s">
        <v>84</v>
      </c>
      <c r="X353" s="95">
        <v>49606</v>
      </c>
    </row>
    <row r="354" spans="1:24" x14ac:dyDescent="0.25">
      <c r="A354" s="6" t="s">
        <v>65</v>
      </c>
      <c r="B354" s="94" t="s">
        <v>920</v>
      </c>
      <c r="C354" s="6" t="s">
        <v>1344</v>
      </c>
      <c r="D354" s="140">
        <v>11326845</v>
      </c>
      <c r="E354" s="6" t="s">
        <v>99</v>
      </c>
      <c r="F354" s="10" t="s">
        <v>528</v>
      </c>
      <c r="G354" s="6" t="s">
        <v>1345</v>
      </c>
      <c r="H354" s="8">
        <v>45405</v>
      </c>
      <c r="I354" s="8">
        <v>43339</v>
      </c>
      <c r="J354" s="8">
        <v>43339</v>
      </c>
      <c r="K354" s="95">
        <v>43355</v>
      </c>
      <c r="L354" s="95" t="s">
        <v>31</v>
      </c>
      <c r="M354" s="8">
        <v>43356</v>
      </c>
      <c r="N354" s="8">
        <v>43403</v>
      </c>
      <c r="O354" s="8">
        <v>43377</v>
      </c>
      <c r="P354" s="101" t="s">
        <v>182</v>
      </c>
      <c r="R354" s="97" t="str">
        <f t="shared" si="14"/>
        <v/>
      </c>
      <c r="S354" s="75" t="str">
        <f t="shared" si="15"/>
        <v/>
      </c>
      <c r="U354" s="8">
        <v>43411</v>
      </c>
      <c r="W354" s="6" t="s">
        <v>33</v>
      </c>
      <c r="X354" s="95">
        <v>44848</v>
      </c>
    </row>
    <row r="355" spans="1:24" ht="30" x14ac:dyDescent="0.25">
      <c r="A355" s="6" t="s">
        <v>65</v>
      </c>
      <c r="B355" s="94" t="s">
        <v>1346</v>
      </c>
      <c r="C355" s="6" t="s">
        <v>1347</v>
      </c>
      <c r="D355" s="140">
        <v>11202977</v>
      </c>
      <c r="E355" s="6" t="s">
        <v>615</v>
      </c>
      <c r="F355" s="10" t="s">
        <v>44</v>
      </c>
      <c r="G355" s="6" t="s">
        <v>1348</v>
      </c>
      <c r="H355" s="8">
        <v>61094</v>
      </c>
      <c r="I355" s="8">
        <v>43347</v>
      </c>
      <c r="J355" s="8">
        <v>43347</v>
      </c>
      <c r="K355" s="95">
        <v>43362</v>
      </c>
      <c r="L355" s="95" t="s">
        <v>31</v>
      </c>
      <c r="M355" s="8">
        <v>43367</v>
      </c>
      <c r="N355" s="8">
        <v>43388</v>
      </c>
      <c r="O355" s="8">
        <v>43377</v>
      </c>
      <c r="P355" s="101" t="s">
        <v>52</v>
      </c>
      <c r="R355" s="97" t="str">
        <f t="shared" si="14"/>
        <v/>
      </c>
      <c r="S355" s="75" t="str">
        <f t="shared" si="15"/>
        <v/>
      </c>
      <c r="T355" s="124" t="s">
        <v>1349</v>
      </c>
      <c r="U355" s="8">
        <v>43395</v>
      </c>
      <c r="W355" s="6" t="s">
        <v>84</v>
      </c>
      <c r="X355" s="95">
        <v>46499</v>
      </c>
    </row>
    <row r="356" spans="1:24" x14ac:dyDescent="0.25">
      <c r="A356" s="6" t="s">
        <v>65</v>
      </c>
      <c r="B356" s="94" t="s">
        <v>1350</v>
      </c>
      <c r="C356" s="6" t="s">
        <v>1351</v>
      </c>
      <c r="D356" s="140">
        <v>11987329</v>
      </c>
      <c r="E356" s="6" t="s">
        <v>157</v>
      </c>
      <c r="F356" s="10" t="s">
        <v>1352</v>
      </c>
      <c r="G356" s="6" t="s">
        <v>1353</v>
      </c>
      <c r="H356" s="8">
        <v>44225</v>
      </c>
      <c r="I356" s="8">
        <v>43348</v>
      </c>
      <c r="J356" s="8">
        <v>43348</v>
      </c>
      <c r="K356" s="95">
        <v>43362</v>
      </c>
      <c r="L356" s="95" t="s">
        <v>31</v>
      </c>
      <c r="M356" s="8">
        <v>43367</v>
      </c>
      <c r="N356" s="8">
        <v>43399</v>
      </c>
      <c r="O356" s="8">
        <v>43377</v>
      </c>
      <c r="P356" s="101" t="s">
        <v>182</v>
      </c>
      <c r="R356" s="97" t="str">
        <f t="shared" si="14"/>
        <v/>
      </c>
      <c r="S356" s="75" t="str">
        <f t="shared" si="15"/>
        <v/>
      </c>
      <c r="U356" s="8">
        <v>43399</v>
      </c>
      <c r="W356" s="6" t="s">
        <v>33</v>
      </c>
      <c r="X356" s="95">
        <v>51434</v>
      </c>
    </row>
    <row r="357" spans="1:24" ht="30" x14ac:dyDescent="0.25">
      <c r="A357" s="6" t="s">
        <v>65</v>
      </c>
      <c r="B357" s="94" t="s">
        <v>1354</v>
      </c>
      <c r="C357" s="6" t="s">
        <v>1355</v>
      </c>
      <c r="D357" s="140">
        <v>11311892</v>
      </c>
      <c r="E357" s="6" t="s">
        <v>835</v>
      </c>
      <c r="F357" s="10" t="s">
        <v>1334</v>
      </c>
      <c r="G357" s="6" t="s">
        <v>1356</v>
      </c>
      <c r="H357" s="8">
        <v>43995</v>
      </c>
      <c r="I357" s="8">
        <v>43348</v>
      </c>
      <c r="J357" s="8">
        <v>43348</v>
      </c>
      <c r="K357" s="95">
        <v>43362</v>
      </c>
      <c r="L357" s="95" t="s">
        <v>31</v>
      </c>
      <c r="M357" s="8">
        <v>43367</v>
      </c>
      <c r="N357" s="8">
        <v>43382</v>
      </c>
      <c r="O357" s="8">
        <v>43377</v>
      </c>
      <c r="P357" s="6" t="s">
        <v>75</v>
      </c>
      <c r="R357" s="97" t="str">
        <f t="shared" si="14"/>
        <v/>
      </c>
      <c r="S357" s="75" t="str">
        <f t="shared" si="15"/>
        <v/>
      </c>
      <c r="U357" s="8">
        <v>43391</v>
      </c>
      <c r="W357" s="6" t="s">
        <v>33</v>
      </c>
      <c r="X357" s="95">
        <v>46290</v>
      </c>
    </row>
    <row r="358" spans="1:24" x14ac:dyDescent="0.25">
      <c r="A358" s="6" t="s">
        <v>65</v>
      </c>
      <c r="B358" s="94" t="s">
        <v>1357</v>
      </c>
      <c r="C358" s="6" t="s">
        <v>1358</v>
      </c>
      <c r="D358" s="140">
        <v>11578128</v>
      </c>
      <c r="E358" s="6" t="s">
        <v>185</v>
      </c>
      <c r="F358" s="10" t="s">
        <v>528</v>
      </c>
      <c r="G358" s="6" t="s">
        <v>1359</v>
      </c>
      <c r="H358" s="8">
        <v>44553</v>
      </c>
      <c r="I358" s="8">
        <v>43270</v>
      </c>
      <c r="J358" s="8">
        <v>43270</v>
      </c>
      <c r="K358" s="95">
        <v>43306</v>
      </c>
      <c r="L358" s="95" t="s">
        <v>31</v>
      </c>
      <c r="M358" s="8">
        <v>43312</v>
      </c>
      <c r="N358" s="8">
        <v>43389</v>
      </c>
      <c r="O358" s="8">
        <v>43378</v>
      </c>
      <c r="P358" s="101" t="s">
        <v>182</v>
      </c>
      <c r="R358" s="97" t="str">
        <f t="shared" si="14"/>
        <v/>
      </c>
      <c r="S358" s="75" t="str">
        <f t="shared" si="15"/>
        <v/>
      </c>
      <c r="U358" s="8">
        <v>43391</v>
      </c>
      <c r="W358" s="6" t="s">
        <v>33</v>
      </c>
      <c r="X358" s="95">
        <v>43768</v>
      </c>
    </row>
    <row r="359" spans="1:24" x14ac:dyDescent="0.25">
      <c r="A359" s="6" t="s">
        <v>65</v>
      </c>
      <c r="B359" s="94" t="s">
        <v>496</v>
      </c>
      <c r="C359" s="6" t="s">
        <v>1360</v>
      </c>
      <c r="D359" s="140">
        <v>11298347</v>
      </c>
      <c r="E359" s="6" t="s">
        <v>997</v>
      </c>
      <c r="F359" s="10" t="s">
        <v>44</v>
      </c>
      <c r="G359" s="6" t="s">
        <v>1361</v>
      </c>
      <c r="H359" s="8">
        <v>44754</v>
      </c>
      <c r="I359" s="8">
        <v>43347</v>
      </c>
      <c r="J359" s="8">
        <v>43347</v>
      </c>
      <c r="K359" s="95">
        <v>43362</v>
      </c>
      <c r="L359" s="95" t="s">
        <v>31</v>
      </c>
      <c r="M359" s="8">
        <v>43367</v>
      </c>
      <c r="N359" s="8">
        <v>43382</v>
      </c>
      <c r="O359" s="8">
        <v>43378</v>
      </c>
      <c r="P359" s="101" t="s">
        <v>182</v>
      </c>
      <c r="R359" s="97" t="str">
        <f t="shared" si="14"/>
        <v/>
      </c>
      <c r="S359" s="75" t="str">
        <f t="shared" si="15"/>
        <v/>
      </c>
      <c r="U359" s="8">
        <v>43404</v>
      </c>
      <c r="W359" s="6" t="s">
        <v>33</v>
      </c>
      <c r="X359" s="95">
        <v>45977</v>
      </c>
    </row>
    <row r="360" spans="1:24" x14ac:dyDescent="0.25">
      <c r="A360" s="6" t="s">
        <v>65</v>
      </c>
      <c r="B360" s="94" t="s">
        <v>522</v>
      </c>
      <c r="C360" s="6" t="s">
        <v>1362</v>
      </c>
      <c r="D360" s="140">
        <v>11311282</v>
      </c>
      <c r="E360" s="6" t="s">
        <v>268</v>
      </c>
      <c r="F360" s="10" t="s">
        <v>57</v>
      </c>
      <c r="G360" s="6" t="s">
        <v>1363</v>
      </c>
      <c r="H360" s="8">
        <v>46070</v>
      </c>
      <c r="I360" s="8">
        <v>43273</v>
      </c>
      <c r="J360" s="8">
        <v>43273</v>
      </c>
      <c r="R360" s="97" t="str">
        <f t="shared" si="14"/>
        <v/>
      </c>
      <c r="S360" s="75" t="str">
        <f t="shared" si="15"/>
        <v/>
      </c>
      <c r="W360" s="6" t="s">
        <v>33</v>
      </c>
      <c r="X360" s="95">
        <v>45145</v>
      </c>
    </row>
    <row r="361" spans="1:24" x14ac:dyDescent="0.25">
      <c r="A361" s="6" t="s">
        <v>65</v>
      </c>
      <c r="B361" s="94" t="s">
        <v>108</v>
      </c>
      <c r="C361" s="6" t="s">
        <v>1364</v>
      </c>
      <c r="D361" s="140">
        <v>11278549</v>
      </c>
      <c r="E361" s="6" t="s">
        <v>678</v>
      </c>
      <c r="F361" s="10" t="s">
        <v>57</v>
      </c>
      <c r="G361" s="6" t="s">
        <v>1365</v>
      </c>
      <c r="H361" s="8">
        <v>47082</v>
      </c>
      <c r="I361" s="8">
        <v>43273</v>
      </c>
      <c r="J361" s="8">
        <v>43273</v>
      </c>
      <c r="K361" s="95">
        <v>43292</v>
      </c>
      <c r="L361" s="95" t="s">
        <v>31</v>
      </c>
      <c r="M361" s="8">
        <v>43299</v>
      </c>
      <c r="R361" s="97" t="str">
        <f t="shared" si="14"/>
        <v/>
      </c>
      <c r="S361" s="75" t="str">
        <f t="shared" si="15"/>
        <v/>
      </c>
      <c r="W361" s="6" t="s">
        <v>33</v>
      </c>
      <c r="X361" s="95">
        <v>45500</v>
      </c>
    </row>
    <row r="362" spans="1:24" x14ac:dyDescent="0.25">
      <c r="A362" s="6" t="s">
        <v>65</v>
      </c>
      <c r="B362" s="94" t="s">
        <v>1366</v>
      </c>
      <c r="C362" s="6" t="s">
        <v>1367</v>
      </c>
      <c r="D362" s="140">
        <v>11041613</v>
      </c>
      <c r="E362" s="6" t="s">
        <v>540</v>
      </c>
      <c r="F362" s="10" t="s">
        <v>134</v>
      </c>
      <c r="G362" s="6" t="s">
        <v>1368</v>
      </c>
      <c r="H362" s="8">
        <v>45840</v>
      </c>
      <c r="I362" s="8">
        <v>43273</v>
      </c>
      <c r="J362" s="8">
        <v>43273</v>
      </c>
      <c r="K362" s="95">
        <v>43292</v>
      </c>
      <c r="L362" s="95" t="s">
        <v>31</v>
      </c>
      <c r="M362" s="8">
        <v>43299</v>
      </c>
      <c r="N362" s="8">
        <v>43507</v>
      </c>
      <c r="O362" s="8">
        <v>43481</v>
      </c>
      <c r="P362" s="6" t="s">
        <v>35</v>
      </c>
      <c r="Q362" s="96">
        <v>730</v>
      </c>
      <c r="R362" s="97">
        <f t="shared" si="14"/>
        <v>2</v>
      </c>
      <c r="S362" s="75">
        <f t="shared" si="15"/>
        <v>16518</v>
      </c>
      <c r="T362" s="124" t="s">
        <v>320</v>
      </c>
      <c r="U362" s="8">
        <v>43507</v>
      </c>
      <c r="W362" s="6" t="s">
        <v>33</v>
      </c>
      <c r="X362" s="95">
        <v>45015</v>
      </c>
    </row>
    <row r="363" spans="1:24" x14ac:dyDescent="0.25">
      <c r="A363" s="6" t="s">
        <v>168</v>
      </c>
      <c r="B363" s="94" t="s">
        <v>1369</v>
      </c>
      <c r="C363" s="6" t="s">
        <v>1370</v>
      </c>
      <c r="D363" s="140">
        <v>11036198</v>
      </c>
      <c r="E363" s="6" t="s">
        <v>1371</v>
      </c>
      <c r="F363" s="10" t="s">
        <v>205</v>
      </c>
      <c r="G363" s="6" t="s">
        <v>1372</v>
      </c>
      <c r="H363" s="8">
        <v>48469</v>
      </c>
      <c r="I363" s="8">
        <v>43888</v>
      </c>
      <c r="J363" s="8">
        <v>44064</v>
      </c>
      <c r="K363" s="95">
        <v>44070</v>
      </c>
      <c r="L363" s="95" t="s">
        <v>31</v>
      </c>
      <c r="M363" s="8">
        <v>44099</v>
      </c>
      <c r="N363" s="8">
        <v>44965</v>
      </c>
      <c r="O363" s="8">
        <v>44946</v>
      </c>
      <c r="P363" s="6" t="s">
        <v>35</v>
      </c>
      <c r="Q363" s="96">
        <v>2190</v>
      </c>
      <c r="R363" s="97">
        <f t="shared" si="14"/>
        <v>6</v>
      </c>
      <c r="S363" s="75">
        <f t="shared" si="15"/>
        <v>49554</v>
      </c>
      <c r="T363" s="8"/>
      <c r="U363" s="8">
        <v>45121</v>
      </c>
      <c r="W363" s="6" t="s">
        <v>84</v>
      </c>
      <c r="X363" s="95">
        <v>50271</v>
      </c>
    </row>
    <row r="364" spans="1:24" x14ac:dyDescent="0.25">
      <c r="A364" s="6" t="s">
        <v>65</v>
      </c>
      <c r="B364" s="94" t="s">
        <v>1373</v>
      </c>
      <c r="C364" s="6" t="s">
        <v>1374</v>
      </c>
      <c r="D364" s="140">
        <v>12117158</v>
      </c>
      <c r="E364" s="6" t="s">
        <v>747</v>
      </c>
      <c r="F364" s="10" t="s">
        <v>44</v>
      </c>
      <c r="G364" s="6" t="s">
        <v>1375</v>
      </c>
      <c r="H364" s="8">
        <v>46013</v>
      </c>
      <c r="I364" s="8">
        <v>43273</v>
      </c>
      <c r="J364" s="8">
        <v>43273</v>
      </c>
      <c r="K364" s="95">
        <v>43292</v>
      </c>
      <c r="L364" s="95" t="s">
        <v>31</v>
      </c>
      <c r="M364" s="8">
        <v>43299</v>
      </c>
      <c r="R364" s="97" t="str">
        <f t="shared" si="14"/>
        <v/>
      </c>
      <c r="S364" s="75" t="str">
        <f t="shared" si="15"/>
        <v/>
      </c>
      <c r="T364" s="124" t="s">
        <v>1376</v>
      </c>
      <c r="W364" s="6" t="s">
        <v>33</v>
      </c>
      <c r="X364" s="95">
        <v>54517</v>
      </c>
    </row>
    <row r="365" spans="1:24" x14ac:dyDescent="0.25">
      <c r="A365" s="6" t="s">
        <v>65</v>
      </c>
      <c r="B365" s="94" t="s">
        <v>1377</v>
      </c>
      <c r="C365" s="6" t="s">
        <v>1378</v>
      </c>
      <c r="D365" s="140">
        <v>12141551</v>
      </c>
      <c r="E365" s="6" t="s">
        <v>261</v>
      </c>
      <c r="F365" s="10" t="s">
        <v>81</v>
      </c>
      <c r="G365" s="6" t="s">
        <v>1379</v>
      </c>
      <c r="H365" s="8">
        <v>46082</v>
      </c>
      <c r="I365" s="8">
        <v>43273</v>
      </c>
      <c r="J365" s="8">
        <v>43273</v>
      </c>
      <c r="K365" s="95">
        <v>43292</v>
      </c>
      <c r="L365" s="95" t="s">
        <v>31</v>
      </c>
      <c r="M365" s="8">
        <v>43299</v>
      </c>
      <c r="N365" s="8">
        <v>43580</v>
      </c>
      <c r="O365" s="8">
        <v>43574</v>
      </c>
      <c r="P365" s="6" t="s">
        <v>35</v>
      </c>
      <c r="Q365" s="96">
        <v>1095</v>
      </c>
      <c r="R365" s="97">
        <f t="shared" si="14"/>
        <v>3</v>
      </c>
      <c r="S365" s="75">
        <f t="shared" si="15"/>
        <v>24777</v>
      </c>
      <c r="T365" s="124" t="s">
        <v>301</v>
      </c>
      <c r="U365" s="8">
        <v>43580</v>
      </c>
      <c r="W365" s="6" t="s">
        <v>33</v>
      </c>
      <c r="X365" s="95">
        <v>52505</v>
      </c>
    </row>
    <row r="366" spans="1:24" x14ac:dyDescent="0.25">
      <c r="A366" s="6" t="s">
        <v>65</v>
      </c>
      <c r="B366" s="94" t="s">
        <v>250</v>
      </c>
      <c r="C366" s="6" t="s">
        <v>1380</v>
      </c>
      <c r="D366" s="140">
        <v>11357749</v>
      </c>
      <c r="E366" s="6" t="s">
        <v>607</v>
      </c>
      <c r="F366" s="10" t="s">
        <v>29</v>
      </c>
      <c r="G366" s="6" t="s">
        <v>1381</v>
      </c>
      <c r="H366" s="8">
        <v>46447</v>
      </c>
      <c r="I366" s="8">
        <v>43273</v>
      </c>
      <c r="J366" s="8">
        <v>43273</v>
      </c>
      <c r="K366" s="95">
        <v>43292</v>
      </c>
      <c r="L366" s="95" t="s">
        <v>31</v>
      </c>
      <c r="M366" s="8">
        <v>43299</v>
      </c>
      <c r="N366" s="8">
        <v>43490</v>
      </c>
      <c r="O366" s="8">
        <v>43473</v>
      </c>
      <c r="P366" s="6" t="s">
        <v>35</v>
      </c>
      <c r="Q366" s="96">
        <v>1095</v>
      </c>
      <c r="R366" s="97">
        <f t="shared" si="14"/>
        <v>3</v>
      </c>
      <c r="S366" s="75">
        <f t="shared" si="15"/>
        <v>24777</v>
      </c>
      <c r="T366" s="124" t="s">
        <v>301</v>
      </c>
      <c r="U366" s="8">
        <v>43490</v>
      </c>
      <c r="W366" s="6" t="s">
        <v>33</v>
      </c>
      <c r="X366" s="95">
        <v>45178</v>
      </c>
    </row>
    <row r="367" spans="1:24" x14ac:dyDescent="0.25">
      <c r="A367" s="6" t="s">
        <v>65</v>
      </c>
      <c r="B367" s="94" t="s">
        <v>1382</v>
      </c>
      <c r="C367" s="6" t="s">
        <v>1383</v>
      </c>
      <c r="D367" s="140">
        <v>12171098</v>
      </c>
      <c r="E367" s="6" t="s">
        <v>866</v>
      </c>
      <c r="F367" s="10" t="s">
        <v>1384</v>
      </c>
      <c r="G367" s="6" t="s">
        <v>1385</v>
      </c>
      <c r="H367" s="8">
        <v>46478</v>
      </c>
      <c r="I367" s="8">
        <v>43273</v>
      </c>
      <c r="J367" s="8">
        <v>43273</v>
      </c>
      <c r="K367" s="95">
        <v>43292</v>
      </c>
      <c r="L367" s="95" t="s">
        <v>31</v>
      </c>
      <c r="M367" s="8">
        <v>43299</v>
      </c>
      <c r="R367" s="97" t="str">
        <f t="shared" si="14"/>
        <v/>
      </c>
      <c r="S367" s="75" t="str">
        <f t="shared" si="15"/>
        <v/>
      </c>
      <c r="W367" s="6" t="s">
        <v>33</v>
      </c>
      <c r="X367" s="95">
        <v>47777</v>
      </c>
    </row>
    <row r="368" spans="1:24" ht="30" x14ac:dyDescent="0.25">
      <c r="A368" s="6" t="s">
        <v>65</v>
      </c>
      <c r="B368" s="94" t="s">
        <v>1386</v>
      </c>
      <c r="C368" s="6" t="s">
        <v>1387</v>
      </c>
      <c r="D368" s="140">
        <v>11595565</v>
      </c>
      <c r="E368" s="6" t="s">
        <v>570</v>
      </c>
      <c r="F368" s="10" t="s">
        <v>57</v>
      </c>
      <c r="G368" s="6" t="s">
        <v>1388</v>
      </c>
      <c r="H368" s="8">
        <v>71820</v>
      </c>
      <c r="I368" s="8">
        <v>43348</v>
      </c>
      <c r="J368" s="8">
        <v>43348</v>
      </c>
      <c r="K368" s="95">
        <v>43369</v>
      </c>
      <c r="L368" s="95" t="s">
        <v>31</v>
      </c>
      <c r="M368" s="8">
        <v>43374</v>
      </c>
      <c r="N368" s="8">
        <v>43384</v>
      </c>
      <c r="O368" s="8">
        <v>43382</v>
      </c>
      <c r="P368" s="101" t="s">
        <v>52</v>
      </c>
      <c r="R368" s="97" t="str">
        <f t="shared" si="14"/>
        <v/>
      </c>
      <c r="S368" s="75" t="str">
        <f t="shared" si="15"/>
        <v/>
      </c>
      <c r="T368" s="124" t="s">
        <v>1389</v>
      </c>
      <c r="U368" s="8">
        <v>43391</v>
      </c>
      <c r="W368" s="6" t="s">
        <v>84</v>
      </c>
      <c r="X368" s="95">
        <v>50300</v>
      </c>
    </row>
    <row r="369" spans="1:24" ht="30" x14ac:dyDescent="0.25">
      <c r="A369" s="6" t="s">
        <v>65</v>
      </c>
      <c r="B369" s="94" t="s">
        <v>1390</v>
      </c>
      <c r="C369" s="6" t="s">
        <v>1391</v>
      </c>
      <c r="D369" s="140">
        <v>11565314</v>
      </c>
      <c r="E369" s="6" t="s">
        <v>547</v>
      </c>
      <c r="F369" s="10" t="s">
        <v>528</v>
      </c>
      <c r="G369" s="6" t="s">
        <v>1392</v>
      </c>
      <c r="H369" s="8">
        <v>46945</v>
      </c>
      <c r="I369" s="8">
        <v>43273</v>
      </c>
      <c r="J369" s="8">
        <v>43273</v>
      </c>
      <c r="K369" s="95">
        <v>43292</v>
      </c>
      <c r="L369" s="95" t="s">
        <v>31</v>
      </c>
      <c r="M369" s="8">
        <v>43299</v>
      </c>
      <c r="R369" s="97" t="str">
        <f t="shared" si="14"/>
        <v/>
      </c>
      <c r="S369" s="75" t="str">
        <f t="shared" si="15"/>
        <v/>
      </c>
      <c r="T369" s="124" t="s">
        <v>620</v>
      </c>
      <c r="W369" s="6" t="s">
        <v>33</v>
      </c>
      <c r="X369" s="95">
        <v>43802</v>
      </c>
    </row>
    <row r="370" spans="1:24" x14ac:dyDescent="0.25">
      <c r="A370" s="101" t="s">
        <v>65</v>
      </c>
      <c r="B370" s="102" t="s">
        <v>250</v>
      </c>
      <c r="C370" s="101" t="s">
        <v>1393</v>
      </c>
      <c r="D370" s="141">
        <v>12012299</v>
      </c>
      <c r="E370" s="101" t="s">
        <v>656</v>
      </c>
      <c r="F370" s="101" t="s">
        <v>57</v>
      </c>
      <c r="G370" s="101" t="s">
        <v>1394</v>
      </c>
      <c r="H370" s="103">
        <v>47630</v>
      </c>
      <c r="I370" s="103">
        <v>43278</v>
      </c>
      <c r="J370" s="103">
        <v>43278</v>
      </c>
      <c r="K370" s="95">
        <v>43292</v>
      </c>
      <c r="L370" s="95" t="s">
        <v>31</v>
      </c>
      <c r="M370" s="8">
        <v>43299</v>
      </c>
      <c r="N370" s="103">
        <v>43375</v>
      </c>
      <c r="O370" s="103">
        <v>43360</v>
      </c>
      <c r="P370" s="6" t="s">
        <v>35</v>
      </c>
      <c r="Q370" s="105">
        <v>1095</v>
      </c>
      <c r="R370" s="97">
        <f t="shared" si="14"/>
        <v>3</v>
      </c>
      <c r="S370" s="75">
        <f t="shared" si="15"/>
        <v>24777</v>
      </c>
      <c r="T370" s="125"/>
      <c r="U370" s="8">
        <v>43405</v>
      </c>
      <c r="W370" s="6" t="s">
        <v>33</v>
      </c>
      <c r="X370" s="95">
        <v>42800</v>
      </c>
    </row>
    <row r="371" spans="1:24" x14ac:dyDescent="0.25">
      <c r="A371" s="6" t="s">
        <v>65</v>
      </c>
      <c r="B371" s="94" t="s">
        <v>1395</v>
      </c>
      <c r="C371" s="6" t="s">
        <v>1396</v>
      </c>
      <c r="D371" s="140">
        <v>11358927</v>
      </c>
      <c r="E371" s="6" t="s">
        <v>490</v>
      </c>
      <c r="F371" s="10" t="s">
        <v>44</v>
      </c>
      <c r="G371" s="6" t="s">
        <v>1397</v>
      </c>
      <c r="H371" s="8">
        <v>47685</v>
      </c>
      <c r="I371" s="8">
        <v>43278</v>
      </c>
      <c r="J371" s="8">
        <v>43278</v>
      </c>
      <c r="K371" s="95">
        <v>43292</v>
      </c>
      <c r="L371" s="95" t="s">
        <v>31</v>
      </c>
      <c r="M371" s="8">
        <v>43299</v>
      </c>
      <c r="N371" s="8">
        <v>43374</v>
      </c>
      <c r="O371" s="8">
        <v>43424</v>
      </c>
      <c r="P371" s="6" t="s">
        <v>69</v>
      </c>
      <c r="R371" s="97" t="str">
        <f t="shared" si="14"/>
        <v/>
      </c>
      <c r="S371" s="75" t="str">
        <f t="shared" si="15"/>
        <v/>
      </c>
      <c r="T371" s="124" t="s">
        <v>265</v>
      </c>
      <c r="U371" s="8">
        <v>43482</v>
      </c>
      <c r="W371" s="6" t="s">
        <v>33</v>
      </c>
      <c r="X371" s="95">
        <v>43151</v>
      </c>
    </row>
    <row r="372" spans="1:24" x14ac:dyDescent="0.25">
      <c r="A372" s="6" t="s">
        <v>70</v>
      </c>
      <c r="B372" s="94" t="s">
        <v>1398</v>
      </c>
      <c r="C372" s="6" t="s">
        <v>1399</v>
      </c>
      <c r="D372" s="140">
        <v>11302183</v>
      </c>
      <c r="E372" s="6" t="s">
        <v>1400</v>
      </c>
      <c r="F372" s="6" t="s">
        <v>528</v>
      </c>
      <c r="G372" s="6" t="s">
        <v>1401</v>
      </c>
      <c r="H372" s="8">
        <v>45116</v>
      </c>
      <c r="I372" s="8">
        <v>43262</v>
      </c>
      <c r="J372" s="8">
        <v>43263</v>
      </c>
      <c r="K372" s="95">
        <v>43271</v>
      </c>
      <c r="L372" s="95" t="s">
        <v>31</v>
      </c>
      <c r="M372" s="95">
        <v>43271</v>
      </c>
      <c r="N372" s="8">
        <v>43552</v>
      </c>
      <c r="O372" s="8">
        <v>43383</v>
      </c>
      <c r="P372" s="101" t="s">
        <v>182</v>
      </c>
      <c r="R372" s="97" t="str">
        <f t="shared" si="14"/>
        <v/>
      </c>
      <c r="S372" s="75" t="str">
        <f t="shared" si="15"/>
        <v/>
      </c>
      <c r="U372" s="8">
        <v>43552</v>
      </c>
      <c r="W372" s="6" t="s">
        <v>33</v>
      </c>
      <c r="X372" s="95">
        <v>45801</v>
      </c>
    </row>
    <row r="373" spans="1:24" x14ac:dyDescent="0.25">
      <c r="A373" s="6" t="s">
        <v>65</v>
      </c>
      <c r="B373" s="94" t="s">
        <v>1402</v>
      </c>
      <c r="C373" s="6" t="s">
        <v>1403</v>
      </c>
      <c r="D373" s="140">
        <v>12153619</v>
      </c>
      <c r="E373" s="6" t="s">
        <v>1143</v>
      </c>
      <c r="F373" s="10" t="s">
        <v>528</v>
      </c>
      <c r="G373" s="6" t="s">
        <v>1404</v>
      </c>
      <c r="H373" s="8">
        <v>48315</v>
      </c>
      <c r="I373" s="8">
        <v>43333</v>
      </c>
      <c r="J373" s="8">
        <v>43333</v>
      </c>
      <c r="K373" s="95">
        <v>43334</v>
      </c>
      <c r="L373" s="95" t="s">
        <v>31</v>
      </c>
      <c r="M373" s="8">
        <v>43341</v>
      </c>
      <c r="N373" s="8">
        <v>43403</v>
      </c>
      <c r="O373" s="8">
        <v>43383</v>
      </c>
      <c r="P373" s="101" t="s">
        <v>182</v>
      </c>
      <c r="R373" s="97" t="str">
        <f t="shared" si="14"/>
        <v/>
      </c>
      <c r="S373" s="75" t="str">
        <f t="shared" si="15"/>
        <v/>
      </c>
      <c r="U373" s="8">
        <v>43411</v>
      </c>
      <c r="V373" s="107"/>
      <c r="W373" s="107" t="s">
        <v>33</v>
      </c>
      <c r="X373" s="109">
        <v>47135</v>
      </c>
    </row>
    <row r="374" spans="1:24" ht="30" x14ac:dyDescent="0.25">
      <c r="A374" s="6" t="s">
        <v>65</v>
      </c>
      <c r="B374" s="94" t="s">
        <v>1405</v>
      </c>
      <c r="C374" s="6" t="s">
        <v>1406</v>
      </c>
      <c r="D374" s="140">
        <v>11355957</v>
      </c>
      <c r="E374" s="6" t="s">
        <v>1103</v>
      </c>
      <c r="F374" s="10" t="s">
        <v>44</v>
      </c>
      <c r="G374" s="6" t="s">
        <v>1407</v>
      </c>
      <c r="H374" s="8">
        <v>52340</v>
      </c>
      <c r="I374" s="8">
        <v>43293</v>
      </c>
      <c r="J374" s="8">
        <v>43299</v>
      </c>
      <c r="K374" s="95">
        <v>43313</v>
      </c>
      <c r="L374" s="95" t="s">
        <v>31</v>
      </c>
      <c r="M374" s="8">
        <v>43320</v>
      </c>
      <c r="N374" s="8">
        <v>43384</v>
      </c>
      <c r="O374" s="8">
        <v>43384</v>
      </c>
      <c r="P374" s="101" t="s">
        <v>52</v>
      </c>
      <c r="R374" s="97" t="str">
        <f t="shared" si="14"/>
        <v/>
      </c>
      <c r="S374" s="75" t="str">
        <f t="shared" si="15"/>
        <v/>
      </c>
      <c r="T374" s="124" t="s">
        <v>1408</v>
      </c>
      <c r="U374" s="8">
        <v>43397</v>
      </c>
      <c r="W374" s="6" t="s">
        <v>33</v>
      </c>
      <c r="X374" s="95">
        <v>54373</v>
      </c>
    </row>
    <row r="375" spans="1:24" x14ac:dyDescent="0.25">
      <c r="A375" s="6" t="s">
        <v>70</v>
      </c>
      <c r="B375" s="94" t="s">
        <v>1409</v>
      </c>
      <c r="C375" s="6" t="s">
        <v>1410</v>
      </c>
      <c r="D375" s="140">
        <v>11301969</v>
      </c>
      <c r="E375" s="6" t="s">
        <v>584</v>
      </c>
      <c r="F375" s="6" t="s">
        <v>134</v>
      </c>
      <c r="G375" s="6" t="s">
        <v>1411</v>
      </c>
      <c r="H375" s="8">
        <v>53092</v>
      </c>
      <c r="I375" s="8">
        <v>43304</v>
      </c>
      <c r="J375" s="8">
        <v>43304</v>
      </c>
      <c r="K375" s="95">
        <v>43313</v>
      </c>
      <c r="L375" s="95" t="s">
        <v>31</v>
      </c>
      <c r="M375" s="95">
        <v>43320</v>
      </c>
      <c r="N375" s="8">
        <v>43388</v>
      </c>
      <c r="O375" s="8">
        <v>43384</v>
      </c>
      <c r="P375" s="6" t="s">
        <v>75</v>
      </c>
      <c r="R375" s="97" t="str">
        <f t="shared" si="14"/>
        <v/>
      </c>
      <c r="S375" s="75" t="str">
        <f t="shared" si="15"/>
        <v/>
      </c>
      <c r="U375" s="8">
        <v>43389</v>
      </c>
      <c r="W375" s="6" t="s">
        <v>33</v>
      </c>
      <c r="X375" s="95">
        <v>45939</v>
      </c>
    </row>
    <row r="376" spans="1:24" ht="30" x14ac:dyDescent="0.25">
      <c r="A376" s="6" t="s">
        <v>85</v>
      </c>
      <c r="B376" s="94" t="s">
        <v>1412</v>
      </c>
      <c r="C376" s="6" t="s">
        <v>1413</v>
      </c>
      <c r="D376" s="140">
        <v>12181794</v>
      </c>
      <c r="E376" s="6" t="s">
        <v>261</v>
      </c>
      <c r="F376" s="10" t="s">
        <v>121</v>
      </c>
      <c r="G376" s="6" t="s">
        <v>1414</v>
      </c>
      <c r="H376" s="8">
        <v>45084</v>
      </c>
      <c r="I376" s="8">
        <v>43304</v>
      </c>
      <c r="J376" s="8">
        <v>43304</v>
      </c>
      <c r="K376" s="95">
        <v>43313</v>
      </c>
      <c r="L376" s="95" t="s">
        <v>31</v>
      </c>
      <c r="M376" s="8">
        <v>43320</v>
      </c>
      <c r="N376" s="8">
        <v>43392</v>
      </c>
      <c r="O376" s="8">
        <v>43385</v>
      </c>
      <c r="P376" s="101" t="s">
        <v>52</v>
      </c>
      <c r="R376" s="97" t="str">
        <f t="shared" si="14"/>
        <v/>
      </c>
      <c r="S376" s="75" t="str">
        <f t="shared" si="15"/>
        <v/>
      </c>
      <c r="T376" s="124" t="s">
        <v>1415</v>
      </c>
      <c r="U376" s="8">
        <v>43395</v>
      </c>
      <c r="V376" s="107"/>
      <c r="W376" s="107" t="s">
        <v>33</v>
      </c>
      <c r="X376" s="109">
        <v>47789</v>
      </c>
    </row>
    <row r="377" spans="1:24" ht="30" x14ac:dyDescent="0.25">
      <c r="A377" s="6" t="s">
        <v>37</v>
      </c>
      <c r="B377" s="94" t="s">
        <v>590</v>
      </c>
      <c r="C377" s="6" t="s">
        <v>1416</v>
      </c>
      <c r="D377" s="140">
        <v>11291140</v>
      </c>
      <c r="E377" s="6" t="s">
        <v>409</v>
      </c>
      <c r="F377" s="10" t="s">
        <v>50</v>
      </c>
      <c r="G377" s="6" t="s">
        <v>1417</v>
      </c>
      <c r="H377" s="8">
        <v>46607</v>
      </c>
      <c r="I377" s="8">
        <v>43334</v>
      </c>
      <c r="J377" s="8">
        <v>43347</v>
      </c>
      <c r="K377" s="95">
        <v>43350</v>
      </c>
      <c r="L377" s="95" t="s">
        <v>31</v>
      </c>
      <c r="M377" s="8">
        <v>43360</v>
      </c>
      <c r="N377" s="8">
        <v>43395</v>
      </c>
      <c r="O377" s="8">
        <v>43388</v>
      </c>
      <c r="P377" s="101" t="s">
        <v>52</v>
      </c>
      <c r="R377" s="97" t="str">
        <f t="shared" si="14"/>
        <v/>
      </c>
      <c r="S377" s="75" t="str">
        <f t="shared" si="15"/>
        <v/>
      </c>
      <c r="T377" s="124" t="s">
        <v>1418</v>
      </c>
      <c r="U377" s="8">
        <v>43396</v>
      </c>
      <c r="W377" s="6" t="s">
        <v>33</v>
      </c>
      <c r="X377" s="95">
        <v>50834</v>
      </c>
    </row>
    <row r="378" spans="1:24" x14ac:dyDescent="0.25">
      <c r="A378" s="6" t="s">
        <v>65</v>
      </c>
      <c r="B378" s="94" t="s">
        <v>1419</v>
      </c>
      <c r="C378" s="6" t="s">
        <v>1420</v>
      </c>
      <c r="D378" s="140">
        <v>12114561</v>
      </c>
      <c r="E378" s="6" t="s">
        <v>1421</v>
      </c>
      <c r="F378" s="10" t="s">
        <v>44</v>
      </c>
      <c r="G378" s="6" t="s">
        <v>1422</v>
      </c>
      <c r="H378" s="8">
        <v>44307</v>
      </c>
      <c r="I378" s="8">
        <v>43348</v>
      </c>
      <c r="J378" s="8">
        <v>43348</v>
      </c>
      <c r="K378" s="95">
        <v>43369</v>
      </c>
      <c r="L378" s="95" t="s">
        <v>31</v>
      </c>
      <c r="M378" s="8">
        <v>43374</v>
      </c>
      <c r="N378" s="8">
        <v>43402</v>
      </c>
      <c r="O378" s="8">
        <v>43388</v>
      </c>
      <c r="P378" s="101" t="s">
        <v>182</v>
      </c>
      <c r="R378" s="97" t="str">
        <f t="shared" si="14"/>
        <v/>
      </c>
      <c r="S378" s="75" t="str">
        <f t="shared" si="15"/>
        <v/>
      </c>
      <c r="U378" s="8">
        <v>43403</v>
      </c>
      <c r="W378" s="6" t="s">
        <v>33</v>
      </c>
      <c r="X378" s="95">
        <v>46530</v>
      </c>
    </row>
    <row r="379" spans="1:24" ht="30" x14ac:dyDescent="0.25">
      <c r="A379" s="6" t="s">
        <v>168</v>
      </c>
      <c r="B379" s="94" t="s">
        <v>1423</v>
      </c>
      <c r="C379" s="6" t="s">
        <v>1424</v>
      </c>
      <c r="D379" s="140">
        <v>1851354</v>
      </c>
      <c r="E379" s="6" t="s">
        <v>34</v>
      </c>
      <c r="F379" s="10" t="s">
        <v>205</v>
      </c>
      <c r="G379" s="6" t="s">
        <v>1425</v>
      </c>
      <c r="H379" s="8">
        <v>51057</v>
      </c>
      <c r="I379" s="8">
        <v>43888</v>
      </c>
      <c r="J379" s="8">
        <v>43901</v>
      </c>
      <c r="K379" s="95">
        <v>44056</v>
      </c>
      <c r="L379" s="95" t="s">
        <v>31</v>
      </c>
      <c r="M379" s="8">
        <v>44076</v>
      </c>
      <c r="N379" s="8">
        <v>44498</v>
      </c>
      <c r="O379" s="8">
        <v>44385</v>
      </c>
      <c r="P379" s="6" t="s">
        <v>75</v>
      </c>
      <c r="R379" s="97" t="str">
        <f t="shared" si="14"/>
        <v/>
      </c>
      <c r="S379" s="75" t="str">
        <f t="shared" si="15"/>
        <v/>
      </c>
      <c r="T379" s="124" t="s">
        <v>1426</v>
      </c>
      <c r="U379" s="8">
        <v>44498</v>
      </c>
      <c r="W379" s="6" t="s">
        <v>84</v>
      </c>
      <c r="X379" s="95">
        <v>48038</v>
      </c>
    </row>
    <row r="380" spans="1:24" x14ac:dyDescent="0.25">
      <c r="A380" s="6" t="s">
        <v>65</v>
      </c>
      <c r="B380" s="94" t="s">
        <v>873</v>
      </c>
      <c r="C380" s="6" t="s">
        <v>1427</v>
      </c>
      <c r="D380" s="140">
        <v>11590574</v>
      </c>
      <c r="E380" s="6" t="s">
        <v>570</v>
      </c>
      <c r="F380" s="10" t="s">
        <v>139</v>
      </c>
      <c r="G380" s="6" t="s">
        <v>1428</v>
      </c>
      <c r="H380" s="8">
        <v>49197</v>
      </c>
      <c r="I380" s="8">
        <v>43278</v>
      </c>
      <c r="J380" s="8">
        <v>43278</v>
      </c>
      <c r="K380" s="95">
        <v>43306</v>
      </c>
      <c r="L380" s="95" t="s">
        <v>31</v>
      </c>
      <c r="M380" s="8">
        <v>43312</v>
      </c>
      <c r="N380" s="108">
        <v>43371</v>
      </c>
      <c r="O380" s="108">
        <v>43350</v>
      </c>
      <c r="P380" s="107" t="s">
        <v>35</v>
      </c>
      <c r="Q380" s="110">
        <v>179</v>
      </c>
      <c r="R380" s="97">
        <f t="shared" si="14"/>
        <v>0.49041095890410957</v>
      </c>
      <c r="S380" s="75">
        <f t="shared" si="15"/>
        <v>4050.3041095890412</v>
      </c>
      <c r="U380" s="8">
        <v>44750</v>
      </c>
      <c r="W380" s="6" t="s">
        <v>33</v>
      </c>
      <c r="X380" s="95">
        <v>43887</v>
      </c>
    </row>
    <row r="381" spans="1:24" x14ac:dyDescent="0.25">
      <c r="A381" s="6" t="s">
        <v>65</v>
      </c>
      <c r="B381" s="94" t="s">
        <v>250</v>
      </c>
      <c r="C381" s="6" t="s">
        <v>1429</v>
      </c>
      <c r="D381" s="140">
        <v>12145884</v>
      </c>
      <c r="E381" s="6" t="s">
        <v>157</v>
      </c>
      <c r="F381" s="10" t="s">
        <v>143</v>
      </c>
      <c r="G381" s="6" t="s">
        <v>1430</v>
      </c>
      <c r="H381" s="8">
        <v>49119</v>
      </c>
      <c r="I381" s="8">
        <v>43278</v>
      </c>
      <c r="J381" s="8">
        <v>43278</v>
      </c>
      <c r="K381" s="95">
        <v>43299</v>
      </c>
      <c r="L381" s="95" t="s">
        <v>31</v>
      </c>
      <c r="M381" s="8">
        <v>43305</v>
      </c>
      <c r="N381" s="108">
        <v>44637</v>
      </c>
      <c r="O381" s="108">
        <v>44574</v>
      </c>
      <c r="P381" s="107" t="s">
        <v>35</v>
      </c>
      <c r="Q381" s="110">
        <v>1362</v>
      </c>
      <c r="R381" s="97">
        <f t="shared" si="14"/>
        <v>3.7315068493150685</v>
      </c>
      <c r="S381" s="75">
        <f t="shared" si="15"/>
        <v>30818.51506849315</v>
      </c>
      <c r="U381" s="8">
        <v>44749</v>
      </c>
      <c r="W381" s="6" t="s">
        <v>33</v>
      </c>
      <c r="X381" s="95">
        <v>47776</v>
      </c>
    </row>
    <row r="382" spans="1:24" x14ac:dyDescent="0.25">
      <c r="A382" s="6" t="s">
        <v>65</v>
      </c>
      <c r="B382" s="94" t="s">
        <v>1431</v>
      </c>
      <c r="C382" s="6" t="s">
        <v>1432</v>
      </c>
      <c r="D382" s="140">
        <v>11375512</v>
      </c>
      <c r="E382" s="6" t="s">
        <v>339</v>
      </c>
      <c r="F382" s="10" t="s">
        <v>100</v>
      </c>
      <c r="G382" s="6" t="s">
        <v>1433</v>
      </c>
      <c r="H382" s="8">
        <v>49082</v>
      </c>
      <c r="I382" s="8">
        <v>43278</v>
      </c>
      <c r="J382" s="8">
        <v>43278</v>
      </c>
      <c r="K382" s="95">
        <v>43299</v>
      </c>
      <c r="L382" s="95" t="s">
        <v>31</v>
      </c>
      <c r="M382" s="8">
        <v>43305</v>
      </c>
      <c r="R382" s="97" t="str">
        <f t="shared" si="14"/>
        <v/>
      </c>
      <c r="S382" s="75" t="str">
        <f t="shared" si="15"/>
        <v/>
      </c>
      <c r="W382" s="6" t="s">
        <v>33</v>
      </c>
      <c r="X382" s="95">
        <v>55374</v>
      </c>
    </row>
    <row r="383" spans="1:24" x14ac:dyDescent="0.25">
      <c r="A383" s="6" t="s">
        <v>65</v>
      </c>
      <c r="B383" s="94" t="s">
        <v>1434</v>
      </c>
      <c r="C383" s="6" t="s">
        <v>1435</v>
      </c>
      <c r="D383" s="140">
        <v>11296800</v>
      </c>
      <c r="E383" s="6" t="s">
        <v>185</v>
      </c>
      <c r="F383" s="10" t="s">
        <v>100</v>
      </c>
      <c r="G383" s="6" t="s">
        <v>1436</v>
      </c>
      <c r="H383" s="8">
        <v>48805</v>
      </c>
      <c r="I383" s="8">
        <v>43278</v>
      </c>
      <c r="J383" s="8">
        <v>43278</v>
      </c>
      <c r="K383" s="95">
        <v>43306</v>
      </c>
      <c r="L383" s="95" t="s">
        <v>31</v>
      </c>
      <c r="M383" s="8">
        <v>43312</v>
      </c>
      <c r="N383" s="8">
        <v>43468</v>
      </c>
      <c r="O383" s="8">
        <v>43460</v>
      </c>
      <c r="P383" s="6" t="s">
        <v>35</v>
      </c>
      <c r="Q383" s="96">
        <v>365</v>
      </c>
      <c r="R383" s="97">
        <f t="shared" si="14"/>
        <v>1</v>
      </c>
      <c r="S383" s="75">
        <f t="shared" si="15"/>
        <v>8259</v>
      </c>
      <c r="T383" s="124" t="s">
        <v>1437</v>
      </c>
      <c r="U383" s="8">
        <v>43468</v>
      </c>
      <c r="W383" s="6" t="s">
        <v>84</v>
      </c>
      <c r="X383" s="95">
        <v>47227</v>
      </c>
    </row>
    <row r="384" spans="1:24" x14ac:dyDescent="0.25">
      <c r="A384" s="6" t="s">
        <v>65</v>
      </c>
      <c r="B384" s="94" t="s">
        <v>1438</v>
      </c>
      <c r="C384" s="6" t="s">
        <v>1439</v>
      </c>
      <c r="D384" s="140">
        <v>11955037</v>
      </c>
      <c r="E384" s="6" t="s">
        <v>382</v>
      </c>
      <c r="F384" s="10" t="s">
        <v>44</v>
      </c>
      <c r="G384" s="6" t="s">
        <v>1440</v>
      </c>
      <c r="H384" s="8">
        <v>48543</v>
      </c>
      <c r="I384" s="8">
        <v>43278</v>
      </c>
      <c r="J384" s="8">
        <v>43278</v>
      </c>
      <c r="K384" s="95">
        <v>43299</v>
      </c>
      <c r="L384" s="95" t="s">
        <v>31</v>
      </c>
      <c r="M384" s="8">
        <v>43305</v>
      </c>
      <c r="N384" s="108">
        <v>43347</v>
      </c>
      <c r="O384" s="108">
        <v>43336</v>
      </c>
      <c r="P384" s="107" t="s">
        <v>75</v>
      </c>
      <c r="Q384" s="110"/>
      <c r="R384" s="97" t="str">
        <f t="shared" si="14"/>
        <v/>
      </c>
      <c r="S384" s="75" t="str">
        <f t="shared" si="15"/>
        <v/>
      </c>
      <c r="U384" s="8">
        <v>44750</v>
      </c>
      <c r="W384" s="6" t="s">
        <v>33</v>
      </c>
      <c r="X384" s="95">
        <v>52690</v>
      </c>
    </row>
    <row r="385" spans="1:24" x14ac:dyDescent="0.25">
      <c r="A385" s="6" t="s">
        <v>65</v>
      </c>
      <c r="B385" s="94" t="s">
        <v>1441</v>
      </c>
      <c r="C385" s="6" t="s">
        <v>1442</v>
      </c>
      <c r="D385" s="140">
        <v>11340669</v>
      </c>
      <c r="E385" s="6" t="s">
        <v>1443</v>
      </c>
      <c r="F385" s="10" t="s">
        <v>143</v>
      </c>
      <c r="G385" s="6" t="s">
        <v>1444</v>
      </c>
      <c r="H385" s="8">
        <v>47692</v>
      </c>
      <c r="I385" s="8">
        <v>43278</v>
      </c>
      <c r="J385" s="8">
        <v>43278</v>
      </c>
      <c r="K385" s="95">
        <v>43299</v>
      </c>
      <c r="L385" s="95" t="s">
        <v>31</v>
      </c>
      <c r="M385" s="8">
        <v>43305</v>
      </c>
      <c r="N385" s="8">
        <v>43885</v>
      </c>
      <c r="O385" s="8">
        <v>43872</v>
      </c>
      <c r="P385" s="6" t="s">
        <v>182</v>
      </c>
      <c r="R385" s="97" t="str">
        <f t="shared" si="14"/>
        <v/>
      </c>
      <c r="S385" s="75" t="str">
        <f t="shared" si="15"/>
        <v/>
      </c>
      <c r="U385" s="8">
        <v>43885</v>
      </c>
      <c r="W385" s="6" t="s">
        <v>33</v>
      </c>
      <c r="X385" s="95">
        <v>44666</v>
      </c>
    </row>
    <row r="386" spans="1:24" x14ac:dyDescent="0.25">
      <c r="A386" s="6" t="s">
        <v>65</v>
      </c>
      <c r="B386" s="94" t="s">
        <v>890</v>
      </c>
      <c r="C386" s="6" t="s">
        <v>1445</v>
      </c>
      <c r="D386" s="140">
        <v>12177336</v>
      </c>
      <c r="E386" s="6" t="s">
        <v>236</v>
      </c>
      <c r="F386" s="10" t="s">
        <v>148</v>
      </c>
      <c r="G386" s="6" t="s">
        <v>1446</v>
      </c>
      <c r="H386" s="8">
        <v>47270</v>
      </c>
      <c r="I386" s="8">
        <v>43278</v>
      </c>
      <c r="J386" s="8">
        <v>43278</v>
      </c>
      <c r="K386" s="95">
        <v>43292</v>
      </c>
      <c r="L386" s="95" t="s">
        <v>31</v>
      </c>
      <c r="M386" s="8">
        <v>43299</v>
      </c>
      <c r="N386" s="8">
        <v>44133</v>
      </c>
      <c r="O386" s="8">
        <v>43333</v>
      </c>
      <c r="P386" s="6" t="s">
        <v>75</v>
      </c>
      <c r="R386" s="97" t="str">
        <f t="shared" si="14"/>
        <v/>
      </c>
      <c r="S386" s="75" t="str">
        <f t="shared" si="15"/>
        <v/>
      </c>
      <c r="T386" s="124" t="s">
        <v>1447</v>
      </c>
      <c r="U386" s="8">
        <v>44134</v>
      </c>
      <c r="W386" s="6" t="s">
        <v>33</v>
      </c>
      <c r="X386" s="95">
        <v>47676</v>
      </c>
    </row>
    <row r="387" spans="1:24" x14ac:dyDescent="0.25">
      <c r="A387" s="6" t="s">
        <v>65</v>
      </c>
      <c r="B387" s="94" t="s">
        <v>1448</v>
      </c>
      <c r="C387" s="6" t="s">
        <v>1449</v>
      </c>
      <c r="D387" s="140">
        <v>11197358</v>
      </c>
      <c r="E387" s="6" t="s">
        <v>881</v>
      </c>
      <c r="F387" s="10" t="s">
        <v>100</v>
      </c>
      <c r="G387" s="114" t="s">
        <v>1450</v>
      </c>
      <c r="H387" s="8">
        <v>47665</v>
      </c>
      <c r="I387" s="8">
        <v>43278</v>
      </c>
      <c r="J387" s="8">
        <v>43278</v>
      </c>
      <c r="K387" s="95">
        <v>43306</v>
      </c>
      <c r="L387" s="95" t="s">
        <v>31</v>
      </c>
      <c r="M387" s="8">
        <v>43312</v>
      </c>
      <c r="P387" s="6" t="s">
        <v>628</v>
      </c>
      <c r="R387" s="97" t="str">
        <f t="shared" si="14"/>
        <v/>
      </c>
      <c r="S387" s="75" t="str">
        <f t="shared" si="15"/>
        <v/>
      </c>
      <c r="T387" s="124" t="s">
        <v>1451</v>
      </c>
      <c r="W387" s="6" t="s">
        <v>33</v>
      </c>
      <c r="X387" s="95">
        <v>50070</v>
      </c>
    </row>
    <row r="388" spans="1:24" x14ac:dyDescent="0.25">
      <c r="A388" s="6" t="s">
        <v>65</v>
      </c>
      <c r="B388" s="94" t="s">
        <v>1452</v>
      </c>
      <c r="C388" s="6" t="s">
        <v>1453</v>
      </c>
      <c r="D388" s="140">
        <v>11363260</v>
      </c>
      <c r="E388" s="6" t="s">
        <v>180</v>
      </c>
      <c r="F388" s="10" t="s">
        <v>121</v>
      </c>
      <c r="G388" s="6" t="s">
        <v>1454</v>
      </c>
      <c r="H388" s="8">
        <v>48507</v>
      </c>
      <c r="I388" s="8">
        <v>43278</v>
      </c>
      <c r="J388" s="8">
        <v>43278</v>
      </c>
      <c r="K388" s="95">
        <v>43292</v>
      </c>
      <c r="L388" s="95" t="s">
        <v>31</v>
      </c>
      <c r="M388" s="8">
        <v>43299</v>
      </c>
      <c r="N388" s="108">
        <v>43336</v>
      </c>
      <c r="O388" s="108">
        <v>43333</v>
      </c>
      <c r="P388" s="107" t="s">
        <v>52</v>
      </c>
      <c r="Q388" s="110"/>
      <c r="R388" s="97" t="str">
        <f t="shared" si="14"/>
        <v/>
      </c>
      <c r="S388" s="75" t="str">
        <f t="shared" si="15"/>
        <v/>
      </c>
      <c r="U388" s="8">
        <v>44749</v>
      </c>
      <c r="W388" s="6" t="s">
        <v>33</v>
      </c>
      <c r="X388" s="95">
        <v>46751</v>
      </c>
    </row>
    <row r="389" spans="1:24" x14ac:dyDescent="0.25">
      <c r="A389" s="6" t="s">
        <v>70</v>
      </c>
      <c r="B389" s="94" t="s">
        <v>323</v>
      </c>
      <c r="C389" s="6" t="s">
        <v>1455</v>
      </c>
      <c r="D389" s="140">
        <v>11612562</v>
      </c>
      <c r="E389" s="6" t="s">
        <v>714</v>
      </c>
      <c r="F389" s="6" t="s">
        <v>62</v>
      </c>
      <c r="G389" s="6" t="s">
        <v>1456</v>
      </c>
      <c r="H389" s="8">
        <v>44928</v>
      </c>
      <c r="I389" s="95">
        <v>43136</v>
      </c>
      <c r="J389" s="95">
        <v>43202</v>
      </c>
      <c r="K389" s="95">
        <v>43202</v>
      </c>
      <c r="L389" s="95" t="s">
        <v>31</v>
      </c>
      <c r="M389" s="8">
        <v>43206</v>
      </c>
      <c r="N389" s="8">
        <v>43389</v>
      </c>
      <c r="O389" s="8">
        <v>43389</v>
      </c>
      <c r="P389" s="101" t="s">
        <v>75</v>
      </c>
      <c r="R389" s="97" t="str">
        <f t="shared" si="14"/>
        <v/>
      </c>
      <c r="S389" s="75" t="str">
        <f t="shared" si="15"/>
        <v/>
      </c>
      <c r="U389" s="8">
        <v>43560</v>
      </c>
      <c r="W389" s="6" t="s">
        <v>33</v>
      </c>
      <c r="X389" s="95">
        <v>44322</v>
      </c>
    </row>
    <row r="390" spans="1:24" x14ac:dyDescent="0.25">
      <c r="A390" s="6" t="s">
        <v>65</v>
      </c>
      <c r="B390" s="94" t="s">
        <v>1457</v>
      </c>
      <c r="C390" s="6" t="s">
        <v>1458</v>
      </c>
      <c r="D390" s="140">
        <v>11561844</v>
      </c>
      <c r="E390" s="6" t="s">
        <v>1459</v>
      </c>
      <c r="F390" s="10" t="s">
        <v>277</v>
      </c>
      <c r="G390" s="6" t="s">
        <v>1460</v>
      </c>
      <c r="H390" s="8">
        <v>48403</v>
      </c>
      <c r="I390" s="8">
        <v>43278</v>
      </c>
      <c r="J390" s="8">
        <v>43278</v>
      </c>
      <c r="R390" s="97" t="str">
        <f t="shared" si="14"/>
        <v/>
      </c>
      <c r="S390" s="75" t="str">
        <f t="shared" si="15"/>
        <v/>
      </c>
      <c r="W390" s="6" t="s">
        <v>33</v>
      </c>
      <c r="X390" s="95">
        <v>44382</v>
      </c>
    </row>
    <row r="391" spans="1:24" x14ac:dyDescent="0.25">
      <c r="A391" s="6" t="s">
        <v>65</v>
      </c>
      <c r="B391" s="94" t="s">
        <v>197</v>
      </c>
      <c r="C391" s="6" t="s">
        <v>1461</v>
      </c>
      <c r="D391" s="140">
        <v>11355974</v>
      </c>
      <c r="E391" s="6" t="s">
        <v>714</v>
      </c>
      <c r="F391" s="10" t="s">
        <v>299</v>
      </c>
      <c r="G391" s="6" t="s">
        <v>1462</v>
      </c>
      <c r="H391" s="8">
        <v>48566</v>
      </c>
      <c r="I391" s="8">
        <v>43278</v>
      </c>
      <c r="J391" s="8">
        <v>43278</v>
      </c>
      <c r="K391" s="95">
        <v>43313</v>
      </c>
      <c r="L391" s="95" t="s">
        <v>31</v>
      </c>
      <c r="M391" s="8">
        <v>43320</v>
      </c>
      <c r="N391" s="8">
        <v>43326</v>
      </c>
      <c r="O391" s="8">
        <v>43479</v>
      </c>
      <c r="P391" s="6" t="s">
        <v>35</v>
      </c>
      <c r="Q391" s="96">
        <v>365</v>
      </c>
      <c r="R391" s="97">
        <f t="shared" si="14"/>
        <v>1</v>
      </c>
      <c r="S391" s="75">
        <f t="shared" si="15"/>
        <v>8259</v>
      </c>
      <c r="T391" s="124" t="s">
        <v>1463</v>
      </c>
      <c r="U391" s="8">
        <v>43490</v>
      </c>
      <c r="W391" s="6" t="s">
        <v>33</v>
      </c>
      <c r="X391" s="95">
        <v>55859</v>
      </c>
    </row>
    <row r="392" spans="1:24" x14ac:dyDescent="0.25">
      <c r="A392" s="6" t="s">
        <v>117</v>
      </c>
      <c r="B392" s="94" t="s">
        <v>1464</v>
      </c>
      <c r="C392" s="6" t="s">
        <v>1465</v>
      </c>
      <c r="D392" s="140">
        <v>11015134</v>
      </c>
      <c r="E392" s="6" t="s">
        <v>729</v>
      </c>
      <c r="F392" s="6" t="s">
        <v>1466</v>
      </c>
      <c r="G392" s="6" t="s">
        <v>1467</v>
      </c>
      <c r="H392" s="8">
        <v>45455</v>
      </c>
      <c r="I392" s="8">
        <v>43279</v>
      </c>
      <c r="J392" s="8">
        <v>43279</v>
      </c>
      <c r="K392" s="95">
        <v>43283</v>
      </c>
      <c r="L392" s="95" t="s">
        <v>31</v>
      </c>
      <c r="M392" s="8">
        <v>43291</v>
      </c>
      <c r="N392" s="8">
        <v>43388</v>
      </c>
      <c r="O392" s="8">
        <v>43364</v>
      </c>
      <c r="P392" s="6" t="s">
        <v>35</v>
      </c>
      <c r="Q392" s="96">
        <v>1704</v>
      </c>
      <c r="R392" s="97">
        <f t="shared" si="14"/>
        <v>4.6684931506849319</v>
      </c>
      <c r="S392" s="75">
        <f t="shared" si="15"/>
        <v>38557.084931506848</v>
      </c>
      <c r="U392" s="8">
        <v>43391</v>
      </c>
      <c r="W392" s="6" t="s">
        <v>33</v>
      </c>
      <c r="X392" s="95">
        <v>40560</v>
      </c>
    </row>
    <row r="393" spans="1:24" x14ac:dyDescent="0.25">
      <c r="A393" s="6" t="s">
        <v>168</v>
      </c>
      <c r="B393" s="94" t="s">
        <v>1468</v>
      </c>
      <c r="C393" s="6" t="s">
        <v>1469</v>
      </c>
      <c r="D393" s="140">
        <v>11887657</v>
      </c>
      <c r="E393" s="6" t="s">
        <v>946</v>
      </c>
      <c r="F393" s="10" t="s">
        <v>44</v>
      </c>
      <c r="G393" s="6" t="s">
        <v>1470</v>
      </c>
      <c r="H393" s="8">
        <v>45042</v>
      </c>
      <c r="I393" s="95">
        <v>43262</v>
      </c>
      <c r="J393" s="95">
        <v>43262</v>
      </c>
      <c r="K393" s="95">
        <v>43262</v>
      </c>
      <c r="L393" s="95" t="s">
        <v>31</v>
      </c>
      <c r="M393" s="8">
        <v>43264</v>
      </c>
      <c r="R393" s="97" t="str">
        <f t="shared" si="14"/>
        <v/>
      </c>
      <c r="S393" s="75" t="str">
        <f t="shared" si="15"/>
        <v/>
      </c>
      <c r="T393" s="124" t="s">
        <v>1471</v>
      </c>
      <c r="U393" s="8">
        <v>43801</v>
      </c>
      <c r="W393" s="6" t="s">
        <v>84</v>
      </c>
      <c r="X393" s="95">
        <v>43113</v>
      </c>
    </row>
    <row r="394" spans="1:24" ht="30" x14ac:dyDescent="0.25">
      <c r="A394" s="6" t="s">
        <v>37</v>
      </c>
      <c r="B394" s="94" t="s">
        <v>1472</v>
      </c>
      <c r="C394" s="6" t="s">
        <v>1473</v>
      </c>
      <c r="D394" s="140">
        <v>11279290</v>
      </c>
      <c r="E394" s="6" t="s">
        <v>1474</v>
      </c>
      <c r="F394" s="10" t="s">
        <v>205</v>
      </c>
      <c r="G394" s="6" t="s">
        <v>1475</v>
      </c>
      <c r="H394" s="8">
        <v>44102</v>
      </c>
      <c r="I394" s="95">
        <v>43178</v>
      </c>
      <c r="J394" s="95">
        <v>43178</v>
      </c>
      <c r="K394" s="95">
        <v>43178</v>
      </c>
      <c r="L394" s="95" t="s">
        <v>31</v>
      </c>
      <c r="M394" s="8">
        <v>43216</v>
      </c>
      <c r="N394" s="8">
        <v>43397</v>
      </c>
      <c r="O394" s="8">
        <v>43385</v>
      </c>
      <c r="P394" s="6" t="s">
        <v>90</v>
      </c>
      <c r="Q394" s="96">
        <v>3650</v>
      </c>
      <c r="R394" s="97">
        <f t="shared" si="14"/>
        <v>10</v>
      </c>
      <c r="S394" s="75">
        <f t="shared" si="15"/>
        <v>82590</v>
      </c>
      <c r="U394" s="8">
        <v>43397</v>
      </c>
      <c r="V394" s="6" t="s">
        <v>581</v>
      </c>
      <c r="W394" s="6" t="s">
        <v>33</v>
      </c>
      <c r="X394" s="95">
        <v>49596</v>
      </c>
    </row>
    <row r="395" spans="1:24" ht="30" x14ac:dyDescent="0.25">
      <c r="A395" s="6" t="s">
        <v>669</v>
      </c>
      <c r="B395" s="94" t="s">
        <v>1476</v>
      </c>
      <c r="C395" s="6" t="s">
        <v>1477</v>
      </c>
      <c r="D395" s="140">
        <v>11353976</v>
      </c>
      <c r="E395" s="6" t="s">
        <v>907</v>
      </c>
      <c r="F395" s="10" t="s">
        <v>293</v>
      </c>
      <c r="G395" s="6">
        <v>163398</v>
      </c>
      <c r="H395" s="8">
        <v>49144</v>
      </c>
      <c r="I395" s="8">
        <v>43290</v>
      </c>
      <c r="J395" s="8">
        <v>43290</v>
      </c>
      <c r="K395" s="95">
        <v>43292</v>
      </c>
      <c r="L395" s="95" t="s">
        <v>31</v>
      </c>
      <c r="M395" s="8">
        <v>43292</v>
      </c>
      <c r="N395" s="8">
        <v>43356</v>
      </c>
      <c r="O395" s="8">
        <v>43356</v>
      </c>
      <c r="P395" s="6" t="s">
        <v>35</v>
      </c>
      <c r="Q395" s="96">
        <v>4139</v>
      </c>
      <c r="R395" s="97">
        <f t="shared" si="14"/>
        <v>11.33972602739726</v>
      </c>
      <c r="S395" s="75">
        <f t="shared" si="15"/>
        <v>93654.797260273976</v>
      </c>
      <c r="T395" s="124" t="s">
        <v>1478</v>
      </c>
      <c r="U395" s="8">
        <v>43489</v>
      </c>
      <c r="W395" s="6" t="s">
        <v>33</v>
      </c>
      <c r="X395" s="95">
        <v>44795</v>
      </c>
    </row>
    <row r="396" spans="1:24" x14ac:dyDescent="0.25">
      <c r="A396" s="6" t="s">
        <v>65</v>
      </c>
      <c r="B396" s="94" t="s">
        <v>1479</v>
      </c>
      <c r="C396" s="6" t="s">
        <v>1480</v>
      </c>
      <c r="D396" s="140">
        <v>11329143</v>
      </c>
      <c r="E396" s="6" t="s">
        <v>698</v>
      </c>
      <c r="F396" s="10" t="s">
        <v>205</v>
      </c>
      <c r="G396" s="6" t="s">
        <v>1481</v>
      </c>
      <c r="H396" s="8">
        <v>49870</v>
      </c>
      <c r="I396" s="8">
        <v>43293</v>
      </c>
      <c r="J396" s="8">
        <v>43299</v>
      </c>
      <c r="K396" s="95">
        <v>43299</v>
      </c>
      <c r="L396" s="95" t="s">
        <v>31</v>
      </c>
      <c r="M396" s="8">
        <v>43305</v>
      </c>
      <c r="N396" s="8">
        <v>43382</v>
      </c>
      <c r="O396" s="8">
        <v>43371</v>
      </c>
      <c r="P396" s="6" t="s">
        <v>35</v>
      </c>
      <c r="Q396" s="96">
        <v>1095</v>
      </c>
      <c r="R396" s="97">
        <f t="shared" si="14"/>
        <v>3</v>
      </c>
      <c r="S396" s="75">
        <f t="shared" si="15"/>
        <v>24777</v>
      </c>
      <c r="T396" s="124" t="s">
        <v>1482</v>
      </c>
      <c r="U396" s="8">
        <v>43383</v>
      </c>
      <c r="W396" s="6" t="s">
        <v>84</v>
      </c>
      <c r="X396" s="95">
        <v>45789</v>
      </c>
    </row>
    <row r="397" spans="1:24" x14ac:dyDescent="0.25">
      <c r="A397" s="6" t="s">
        <v>65</v>
      </c>
      <c r="B397" s="94" t="s">
        <v>1483</v>
      </c>
      <c r="C397" s="6" t="s">
        <v>1484</v>
      </c>
      <c r="D397" s="140">
        <v>11276324</v>
      </c>
      <c r="E397" s="6" t="s">
        <v>80</v>
      </c>
      <c r="F397" s="10" t="s">
        <v>190</v>
      </c>
      <c r="G397" s="6" t="s">
        <v>1485</v>
      </c>
      <c r="H397" s="8">
        <v>52007</v>
      </c>
      <c r="I397" s="8">
        <v>43293</v>
      </c>
      <c r="J397" s="8">
        <v>43299</v>
      </c>
      <c r="K397" s="95">
        <v>43299</v>
      </c>
      <c r="L397" s="95" t="s">
        <v>31</v>
      </c>
      <c r="M397" s="8">
        <v>43305</v>
      </c>
      <c r="N397" s="8">
        <v>43333</v>
      </c>
      <c r="O397" s="8">
        <v>43327</v>
      </c>
      <c r="P397" s="6" t="s">
        <v>35</v>
      </c>
      <c r="Q397" s="96">
        <v>365</v>
      </c>
      <c r="R397" s="97">
        <f t="shared" si="14"/>
        <v>1</v>
      </c>
      <c r="S397" s="75">
        <f t="shared" si="15"/>
        <v>8259</v>
      </c>
      <c r="U397" s="8">
        <v>43340</v>
      </c>
      <c r="W397" s="6" t="s">
        <v>33</v>
      </c>
      <c r="X397" s="95">
        <v>54481</v>
      </c>
    </row>
    <row r="398" spans="1:24" x14ac:dyDescent="0.25">
      <c r="A398" s="6" t="s">
        <v>65</v>
      </c>
      <c r="B398" s="94" t="s">
        <v>1486</v>
      </c>
      <c r="C398" s="6" t="s">
        <v>1487</v>
      </c>
      <c r="D398" s="140">
        <v>11769745</v>
      </c>
      <c r="E398" s="6" t="s">
        <v>698</v>
      </c>
      <c r="F398" s="10" t="s">
        <v>205</v>
      </c>
      <c r="G398" s="6" t="s">
        <v>1488</v>
      </c>
      <c r="H398" s="8">
        <v>62194</v>
      </c>
      <c r="I398" s="8">
        <v>43293</v>
      </c>
      <c r="J398" s="8">
        <v>43299</v>
      </c>
      <c r="K398" s="95">
        <v>43299</v>
      </c>
      <c r="L398" s="95" t="s">
        <v>31</v>
      </c>
      <c r="M398" s="8">
        <v>43305</v>
      </c>
      <c r="N398" s="8">
        <v>43321</v>
      </c>
      <c r="O398" s="8">
        <v>43318</v>
      </c>
      <c r="P398" s="6" t="s">
        <v>35</v>
      </c>
      <c r="Q398" s="96">
        <v>365</v>
      </c>
      <c r="R398" s="97">
        <f t="shared" si="14"/>
        <v>1</v>
      </c>
      <c r="S398" s="75">
        <f t="shared" si="15"/>
        <v>8259</v>
      </c>
      <c r="U398" s="8">
        <v>43332</v>
      </c>
      <c r="W398" s="6" t="s">
        <v>33</v>
      </c>
      <c r="X398" s="95">
        <v>50697</v>
      </c>
    </row>
    <row r="399" spans="1:24" x14ac:dyDescent="0.25">
      <c r="A399" s="6" t="s">
        <v>65</v>
      </c>
      <c r="B399" s="94" t="s">
        <v>1057</v>
      </c>
      <c r="C399" s="6" t="s">
        <v>1489</v>
      </c>
      <c r="D399" s="140">
        <v>11558923</v>
      </c>
      <c r="E399" s="6" t="s">
        <v>157</v>
      </c>
      <c r="F399" s="10" t="s">
        <v>44</v>
      </c>
      <c r="G399" s="6" t="s">
        <v>1490</v>
      </c>
      <c r="H399" s="8">
        <v>84461</v>
      </c>
      <c r="I399" s="8">
        <v>43293</v>
      </c>
      <c r="J399" s="8">
        <v>43301</v>
      </c>
      <c r="K399" s="95">
        <v>43306</v>
      </c>
      <c r="L399" s="95" t="s">
        <v>31</v>
      </c>
      <c r="M399" s="8">
        <v>43312</v>
      </c>
      <c r="N399" s="8">
        <v>43418</v>
      </c>
      <c r="O399" s="8">
        <v>43410</v>
      </c>
      <c r="P399" s="6" t="s">
        <v>35</v>
      </c>
      <c r="Q399" s="96">
        <v>1095</v>
      </c>
      <c r="R399" s="97">
        <f t="shared" si="14"/>
        <v>3</v>
      </c>
      <c r="S399" s="75">
        <f t="shared" si="15"/>
        <v>24777</v>
      </c>
      <c r="U399" s="8">
        <v>43419</v>
      </c>
      <c r="W399" s="6" t="s">
        <v>84</v>
      </c>
      <c r="X399" s="95">
        <v>46074</v>
      </c>
    </row>
    <row r="400" spans="1:24" x14ac:dyDescent="0.25">
      <c r="A400" s="6" t="s">
        <v>65</v>
      </c>
      <c r="B400" s="94" t="s">
        <v>1491</v>
      </c>
      <c r="C400" s="6" t="s">
        <v>1492</v>
      </c>
      <c r="D400" s="140">
        <v>11074390</v>
      </c>
      <c r="E400" s="6" t="s">
        <v>1143</v>
      </c>
      <c r="F400" s="10" t="s">
        <v>205</v>
      </c>
      <c r="G400" s="6" t="s">
        <v>1493</v>
      </c>
      <c r="H400" s="8">
        <v>2958125</v>
      </c>
      <c r="I400" s="8">
        <v>43293</v>
      </c>
      <c r="J400" s="8">
        <v>43299</v>
      </c>
      <c r="K400" s="95">
        <v>43299</v>
      </c>
      <c r="L400" s="95" t="s">
        <v>31</v>
      </c>
      <c r="M400" s="8">
        <v>43305</v>
      </c>
      <c r="N400" s="8">
        <v>43433</v>
      </c>
      <c r="O400" s="8">
        <v>43425</v>
      </c>
      <c r="P400" s="6" t="s">
        <v>35</v>
      </c>
      <c r="Q400" s="96">
        <v>3287</v>
      </c>
      <c r="R400" s="97">
        <f t="shared" si="14"/>
        <v>9.0054794520547947</v>
      </c>
      <c r="S400" s="75">
        <f t="shared" si="15"/>
        <v>74376.254794520544</v>
      </c>
      <c r="T400" s="124" t="s">
        <v>1494</v>
      </c>
      <c r="U400" s="8">
        <v>43437</v>
      </c>
      <c r="V400" s="100"/>
      <c r="W400" s="100" t="s">
        <v>84</v>
      </c>
      <c r="X400" s="100" t="s">
        <v>683</v>
      </c>
    </row>
    <row r="401" spans="1:24" x14ac:dyDescent="0.25">
      <c r="A401" s="6" t="s">
        <v>65</v>
      </c>
      <c r="B401" s="94" t="s">
        <v>242</v>
      </c>
      <c r="C401" s="6" t="s">
        <v>1495</v>
      </c>
      <c r="D401" s="140">
        <v>11200847</v>
      </c>
      <c r="E401" s="6" t="s">
        <v>490</v>
      </c>
      <c r="F401" s="10" t="s">
        <v>134</v>
      </c>
      <c r="G401" s="6" t="s">
        <v>1496</v>
      </c>
      <c r="H401" s="8">
        <v>66287</v>
      </c>
      <c r="I401" s="8">
        <v>43293</v>
      </c>
      <c r="J401" s="8">
        <v>43299</v>
      </c>
      <c r="K401" s="95">
        <v>43313</v>
      </c>
      <c r="L401" s="95" t="s">
        <v>31</v>
      </c>
      <c r="M401" s="8">
        <v>43320</v>
      </c>
      <c r="N401" s="8">
        <v>43360</v>
      </c>
      <c r="O401" s="8">
        <v>43354</v>
      </c>
      <c r="P401" s="6" t="s">
        <v>35</v>
      </c>
      <c r="Q401" s="96">
        <v>1095</v>
      </c>
      <c r="R401" s="97">
        <f t="shared" si="14"/>
        <v>3</v>
      </c>
      <c r="S401" s="75">
        <f t="shared" si="15"/>
        <v>24777</v>
      </c>
      <c r="U401" s="8">
        <v>43360</v>
      </c>
      <c r="V401" s="100"/>
      <c r="W401" s="100" t="s">
        <v>84</v>
      </c>
      <c r="X401" s="104">
        <v>50769</v>
      </c>
    </row>
    <row r="402" spans="1:24" x14ac:dyDescent="0.25">
      <c r="A402" s="6" t="s">
        <v>65</v>
      </c>
      <c r="B402" s="94" t="s">
        <v>86</v>
      </c>
      <c r="C402" s="6" t="s">
        <v>1497</v>
      </c>
      <c r="D402" s="140">
        <v>12184707</v>
      </c>
      <c r="E402" s="6" t="s">
        <v>651</v>
      </c>
      <c r="F402" s="10" t="s">
        <v>29</v>
      </c>
      <c r="G402" s="6" t="s">
        <v>1498</v>
      </c>
      <c r="H402" s="8">
        <v>49484</v>
      </c>
      <c r="I402" s="8">
        <v>43293</v>
      </c>
      <c r="J402" s="8">
        <v>43293</v>
      </c>
      <c r="K402" s="95">
        <v>43319</v>
      </c>
      <c r="L402" s="95" t="s">
        <v>31</v>
      </c>
      <c r="M402" s="8">
        <v>43325</v>
      </c>
      <c r="N402" s="8">
        <v>43355</v>
      </c>
      <c r="O402" s="8">
        <v>43350</v>
      </c>
      <c r="P402" s="12" t="s">
        <v>69</v>
      </c>
      <c r="R402" s="97" t="str">
        <f t="shared" si="14"/>
        <v/>
      </c>
      <c r="S402" s="75" t="str">
        <f t="shared" si="15"/>
        <v/>
      </c>
      <c r="U402" s="8">
        <v>43360</v>
      </c>
      <c r="W402" s="6" t="s">
        <v>33</v>
      </c>
      <c r="X402" s="95">
        <v>47210</v>
      </c>
    </row>
    <row r="403" spans="1:24" x14ac:dyDescent="0.25">
      <c r="A403" s="6" t="s">
        <v>65</v>
      </c>
      <c r="B403" s="94" t="s">
        <v>242</v>
      </c>
      <c r="C403" s="6" t="s">
        <v>1499</v>
      </c>
      <c r="D403" s="140">
        <v>12182258</v>
      </c>
      <c r="E403" s="6" t="s">
        <v>759</v>
      </c>
      <c r="F403" s="10" t="s">
        <v>44</v>
      </c>
      <c r="G403" s="6" t="s">
        <v>1500</v>
      </c>
      <c r="H403" s="8">
        <v>47696</v>
      </c>
      <c r="I403" s="8">
        <v>43278</v>
      </c>
      <c r="J403" s="8">
        <v>43278</v>
      </c>
      <c r="K403" s="95">
        <v>43313</v>
      </c>
      <c r="L403" s="95" t="s">
        <v>31</v>
      </c>
      <c r="M403" s="8">
        <v>43320</v>
      </c>
      <c r="N403" s="8">
        <v>43395</v>
      </c>
      <c r="O403" s="8">
        <v>43389</v>
      </c>
      <c r="P403" s="101" t="s">
        <v>182</v>
      </c>
      <c r="R403" s="97" t="str">
        <f t="shared" si="14"/>
        <v/>
      </c>
      <c r="S403" s="75" t="str">
        <f t="shared" si="15"/>
        <v/>
      </c>
      <c r="U403" s="8">
        <v>43396</v>
      </c>
      <c r="W403" s="6" t="s">
        <v>33</v>
      </c>
      <c r="X403" s="95">
        <v>47918</v>
      </c>
    </row>
    <row r="404" spans="1:24" x14ac:dyDescent="0.25">
      <c r="A404" s="6" t="s">
        <v>70</v>
      </c>
      <c r="B404" s="94" t="s">
        <v>1501</v>
      </c>
      <c r="C404" s="6" t="s">
        <v>1502</v>
      </c>
      <c r="D404" s="140">
        <v>11365880</v>
      </c>
      <c r="E404" s="6" t="s">
        <v>1503</v>
      </c>
      <c r="F404" s="10" t="s">
        <v>44</v>
      </c>
      <c r="G404" s="6" t="s">
        <v>1504</v>
      </c>
      <c r="H404" s="8">
        <v>44051</v>
      </c>
      <c r="I404" s="8">
        <v>43306</v>
      </c>
      <c r="J404" s="8">
        <v>43306</v>
      </c>
      <c r="K404" s="95">
        <v>43313</v>
      </c>
      <c r="L404" s="95" t="s">
        <v>31</v>
      </c>
      <c r="M404" s="8">
        <v>43320</v>
      </c>
      <c r="N404" s="8">
        <v>43395</v>
      </c>
      <c r="O404" s="8">
        <v>43389</v>
      </c>
      <c r="P404" s="101" t="s">
        <v>182</v>
      </c>
      <c r="R404" s="97" t="str">
        <f t="shared" si="14"/>
        <v/>
      </c>
      <c r="S404" s="75" t="str">
        <f t="shared" si="15"/>
        <v/>
      </c>
      <c r="U404" s="8">
        <v>43396</v>
      </c>
      <c r="W404" s="6" t="s">
        <v>33</v>
      </c>
      <c r="X404" s="95">
        <v>45293</v>
      </c>
    </row>
    <row r="405" spans="1:24" x14ac:dyDescent="0.25">
      <c r="A405" s="6" t="s">
        <v>65</v>
      </c>
      <c r="B405" s="94" t="s">
        <v>1505</v>
      </c>
      <c r="C405" s="6" t="s">
        <v>1506</v>
      </c>
      <c r="D405" s="140">
        <v>11591667</v>
      </c>
      <c r="E405" s="6" t="s">
        <v>224</v>
      </c>
      <c r="F405" s="10" t="s">
        <v>121</v>
      </c>
      <c r="G405" s="6" t="s">
        <v>1507</v>
      </c>
      <c r="H405" s="8">
        <v>44252</v>
      </c>
      <c r="I405" s="8">
        <v>43348</v>
      </c>
      <c r="J405" s="8">
        <v>43348</v>
      </c>
      <c r="K405" s="95">
        <v>43362</v>
      </c>
      <c r="L405" s="95" t="s">
        <v>31</v>
      </c>
      <c r="M405" s="8">
        <v>43367</v>
      </c>
      <c r="N405" s="8">
        <v>43391</v>
      </c>
      <c r="O405" s="8">
        <v>43389</v>
      </c>
      <c r="P405" s="6" t="s">
        <v>75</v>
      </c>
      <c r="R405" s="97" t="str">
        <f t="shared" si="14"/>
        <v/>
      </c>
      <c r="S405" s="75" t="str">
        <f t="shared" si="15"/>
        <v/>
      </c>
      <c r="U405" s="8">
        <v>43391</v>
      </c>
      <c r="W405" s="6" t="s">
        <v>33</v>
      </c>
      <c r="X405" s="95">
        <v>54088</v>
      </c>
    </row>
    <row r="406" spans="1:24" x14ac:dyDescent="0.25">
      <c r="A406" s="6" t="s">
        <v>65</v>
      </c>
      <c r="B406" s="94" t="s">
        <v>1508</v>
      </c>
      <c r="C406" s="6" t="s">
        <v>1509</v>
      </c>
      <c r="D406" s="140">
        <v>12153929</v>
      </c>
      <c r="E406" s="6" t="s">
        <v>637</v>
      </c>
      <c r="F406" s="10" t="s">
        <v>528</v>
      </c>
      <c r="G406" s="6" t="s">
        <v>1510</v>
      </c>
      <c r="H406" s="8">
        <v>45623</v>
      </c>
      <c r="I406" s="8">
        <v>43278</v>
      </c>
      <c r="J406" s="8">
        <v>43278</v>
      </c>
      <c r="K406" s="95">
        <v>43283</v>
      </c>
      <c r="L406" s="95" t="s">
        <v>31</v>
      </c>
      <c r="M406" s="8">
        <v>43291</v>
      </c>
      <c r="N406" s="8">
        <v>43395</v>
      </c>
      <c r="O406" s="8">
        <v>43390</v>
      </c>
      <c r="P406" s="101" t="s">
        <v>182</v>
      </c>
      <c r="R406" s="97" t="str">
        <f t="shared" si="14"/>
        <v/>
      </c>
      <c r="S406" s="75" t="str">
        <f t="shared" si="15"/>
        <v/>
      </c>
      <c r="U406" s="8">
        <v>43396</v>
      </c>
      <c r="W406" s="6" t="s">
        <v>33</v>
      </c>
      <c r="X406" s="95">
        <v>46652</v>
      </c>
    </row>
    <row r="407" spans="1:24" ht="30" x14ac:dyDescent="0.25">
      <c r="A407" s="6" t="s">
        <v>65</v>
      </c>
      <c r="B407" s="94" t="s">
        <v>1511</v>
      </c>
      <c r="C407" s="6" t="s">
        <v>1512</v>
      </c>
      <c r="D407" s="140">
        <v>12134390</v>
      </c>
      <c r="E407" s="6" t="s">
        <v>1103</v>
      </c>
      <c r="F407" s="10" t="s">
        <v>190</v>
      </c>
      <c r="G407" s="6" t="s">
        <v>1513</v>
      </c>
      <c r="H407" s="8">
        <v>44641</v>
      </c>
      <c r="I407" s="8">
        <v>43333</v>
      </c>
      <c r="J407" s="8">
        <v>43333</v>
      </c>
      <c r="K407" s="95">
        <v>43334</v>
      </c>
      <c r="L407" s="95" t="s">
        <v>31</v>
      </c>
      <c r="M407" s="8">
        <v>43341</v>
      </c>
      <c r="N407" s="8">
        <v>43395</v>
      </c>
      <c r="O407" s="8">
        <v>43390</v>
      </c>
      <c r="P407" s="101" t="s">
        <v>52</v>
      </c>
      <c r="R407" s="97" t="str">
        <f t="shared" si="14"/>
        <v/>
      </c>
      <c r="S407" s="75" t="str">
        <f t="shared" si="15"/>
        <v/>
      </c>
      <c r="T407" s="124" t="s">
        <v>341</v>
      </c>
      <c r="U407" s="8">
        <v>43396</v>
      </c>
      <c r="W407" s="6" t="s">
        <v>33</v>
      </c>
      <c r="X407" s="95">
        <v>56908</v>
      </c>
    </row>
    <row r="408" spans="1:24" x14ac:dyDescent="0.25">
      <c r="A408" s="6" t="s">
        <v>65</v>
      </c>
      <c r="B408" s="94" t="s">
        <v>956</v>
      </c>
      <c r="C408" s="6" t="s">
        <v>1514</v>
      </c>
      <c r="D408" s="140">
        <v>11343742</v>
      </c>
      <c r="E408" s="6" t="s">
        <v>185</v>
      </c>
      <c r="F408" s="10" t="s">
        <v>44</v>
      </c>
      <c r="G408" s="6" t="s">
        <v>1515</v>
      </c>
      <c r="H408" s="8">
        <v>45386</v>
      </c>
      <c r="I408" s="8">
        <v>43347</v>
      </c>
      <c r="J408" s="8">
        <v>43347</v>
      </c>
      <c r="K408" s="95">
        <v>43347</v>
      </c>
      <c r="L408" s="95" t="s">
        <v>31</v>
      </c>
      <c r="M408" s="8">
        <v>43367</v>
      </c>
      <c r="N408" s="8">
        <v>43399</v>
      </c>
      <c r="O408" s="8">
        <v>43391</v>
      </c>
      <c r="P408" s="101" t="s">
        <v>52</v>
      </c>
      <c r="R408" s="97" t="str">
        <f t="shared" si="14"/>
        <v/>
      </c>
      <c r="S408" s="75" t="str">
        <f t="shared" si="15"/>
        <v/>
      </c>
      <c r="T408" s="124" t="s">
        <v>1516</v>
      </c>
      <c r="U408" s="8">
        <v>43403</v>
      </c>
      <c r="W408" s="6" t="s">
        <v>33</v>
      </c>
      <c r="X408" s="95">
        <v>46833</v>
      </c>
    </row>
    <row r="409" spans="1:24" x14ac:dyDescent="0.25">
      <c r="A409" s="6" t="s">
        <v>65</v>
      </c>
      <c r="B409" s="94" t="s">
        <v>1234</v>
      </c>
      <c r="C409" s="6" t="s">
        <v>1517</v>
      </c>
      <c r="D409" s="140">
        <v>12179673</v>
      </c>
      <c r="E409" s="6" t="s">
        <v>80</v>
      </c>
      <c r="F409" s="10" t="s">
        <v>81</v>
      </c>
      <c r="G409" s="6" t="s">
        <v>1518</v>
      </c>
      <c r="H409" s="8">
        <v>49793</v>
      </c>
      <c r="I409" s="8">
        <v>43293</v>
      </c>
      <c r="J409" s="8">
        <v>43299</v>
      </c>
      <c r="K409" s="95">
        <v>43313</v>
      </c>
      <c r="L409" s="95" t="s">
        <v>31</v>
      </c>
      <c r="M409" s="8">
        <v>43320</v>
      </c>
      <c r="N409" s="8">
        <v>43410</v>
      </c>
      <c r="O409" s="8">
        <v>43395</v>
      </c>
      <c r="P409" s="101" t="s">
        <v>182</v>
      </c>
      <c r="R409" s="97" t="str">
        <f t="shared" si="14"/>
        <v/>
      </c>
      <c r="S409" s="75" t="str">
        <f t="shared" si="15"/>
        <v/>
      </c>
      <c r="U409" s="8">
        <v>43412</v>
      </c>
      <c r="W409" s="6" t="s">
        <v>33</v>
      </c>
      <c r="X409" s="95">
        <v>47979</v>
      </c>
    </row>
    <row r="410" spans="1:24" ht="30" x14ac:dyDescent="0.25">
      <c r="A410" s="6" t="s">
        <v>65</v>
      </c>
      <c r="B410" s="94" t="s">
        <v>1519</v>
      </c>
      <c r="C410" s="6" t="s">
        <v>1520</v>
      </c>
      <c r="D410" s="140">
        <v>11059800</v>
      </c>
      <c r="E410" s="6" t="s">
        <v>1089</v>
      </c>
      <c r="F410" s="10" t="s">
        <v>29</v>
      </c>
      <c r="G410" s="6" t="s">
        <v>1521</v>
      </c>
      <c r="H410" s="8">
        <v>46342</v>
      </c>
      <c r="I410" s="8">
        <v>43347</v>
      </c>
      <c r="J410" s="8">
        <v>43347</v>
      </c>
      <c r="K410" s="95">
        <v>43355</v>
      </c>
      <c r="L410" s="95" t="s">
        <v>31</v>
      </c>
      <c r="M410" s="8">
        <v>43356</v>
      </c>
      <c r="N410" s="8">
        <v>43404</v>
      </c>
      <c r="O410" s="8">
        <v>43396</v>
      </c>
      <c r="P410" s="101" t="s">
        <v>52</v>
      </c>
      <c r="R410" s="97" t="str">
        <f t="shared" ref="R410:R419" si="16">IF(Q410&gt;0, Q410/365, "")</f>
        <v/>
      </c>
      <c r="S410" s="75" t="str">
        <f t="shared" ref="S410:S473" si="17">IF(Q410&gt;0, SUM(Q410)*(8259/365), "")</f>
        <v/>
      </c>
      <c r="T410" s="124" t="s">
        <v>1522</v>
      </c>
      <c r="U410" s="8">
        <v>43405</v>
      </c>
      <c r="W410" s="6" t="s">
        <v>33</v>
      </c>
      <c r="X410" s="95">
        <v>51636</v>
      </c>
    </row>
    <row r="411" spans="1:24" x14ac:dyDescent="0.25">
      <c r="A411" s="6" t="s">
        <v>65</v>
      </c>
      <c r="B411" s="94" t="s">
        <v>1523</v>
      </c>
      <c r="C411" s="6" t="s">
        <v>1524</v>
      </c>
      <c r="D411" s="140">
        <v>11635587</v>
      </c>
      <c r="E411" s="6" t="s">
        <v>1525</v>
      </c>
      <c r="F411" s="10" t="s">
        <v>139</v>
      </c>
      <c r="G411" s="6" t="s">
        <v>1526</v>
      </c>
      <c r="H411" s="8">
        <v>57863</v>
      </c>
      <c r="I411" s="8">
        <v>43293</v>
      </c>
      <c r="J411" s="8">
        <v>43299</v>
      </c>
      <c r="K411" s="95">
        <v>43299</v>
      </c>
      <c r="L411" s="95" t="s">
        <v>31</v>
      </c>
      <c r="M411" s="8">
        <v>43305</v>
      </c>
      <c r="N411" s="8">
        <v>43404</v>
      </c>
      <c r="O411" s="8">
        <v>43397</v>
      </c>
      <c r="P411" s="6" t="s">
        <v>75</v>
      </c>
      <c r="R411" s="97" t="str">
        <f t="shared" si="16"/>
        <v/>
      </c>
      <c r="S411" s="75" t="str">
        <f t="shared" si="17"/>
        <v/>
      </c>
      <c r="U411" s="8">
        <v>43405</v>
      </c>
      <c r="W411" s="6" t="s">
        <v>33</v>
      </c>
      <c r="X411" s="95">
        <v>46728</v>
      </c>
    </row>
    <row r="412" spans="1:24" x14ac:dyDescent="0.25">
      <c r="A412" s="6" t="s">
        <v>85</v>
      </c>
      <c r="B412" s="94" t="s">
        <v>1527</v>
      </c>
      <c r="C412" s="6" t="s">
        <v>1528</v>
      </c>
      <c r="D412" s="140">
        <v>11948465</v>
      </c>
      <c r="E412" s="6" t="s">
        <v>1529</v>
      </c>
      <c r="F412" s="10" t="s">
        <v>44</v>
      </c>
      <c r="G412" s="6" t="s">
        <v>1530</v>
      </c>
      <c r="H412" s="8">
        <v>44448</v>
      </c>
      <c r="I412" s="8">
        <v>43306</v>
      </c>
      <c r="J412" s="8">
        <v>43306</v>
      </c>
      <c r="K412" s="95">
        <v>43319</v>
      </c>
      <c r="L412" s="95" t="s">
        <v>31</v>
      </c>
      <c r="M412" s="8">
        <v>43325</v>
      </c>
      <c r="N412" s="8">
        <v>43404</v>
      </c>
      <c r="O412" s="8">
        <v>43397</v>
      </c>
      <c r="P412" s="101" t="s">
        <v>52</v>
      </c>
      <c r="R412" s="97" t="str">
        <f t="shared" si="16"/>
        <v/>
      </c>
      <c r="S412" s="75" t="str">
        <f t="shared" si="17"/>
        <v/>
      </c>
      <c r="T412" s="124" t="s">
        <v>1531</v>
      </c>
      <c r="U412" s="8">
        <v>43405</v>
      </c>
      <c r="W412" s="6" t="s">
        <v>33</v>
      </c>
      <c r="X412" s="95">
        <v>41977</v>
      </c>
    </row>
    <row r="413" spans="1:24" x14ac:dyDescent="0.25">
      <c r="A413" s="6" t="s">
        <v>65</v>
      </c>
      <c r="B413" s="94" t="s">
        <v>1532</v>
      </c>
      <c r="C413" s="6" t="s">
        <v>1533</v>
      </c>
      <c r="D413" s="140">
        <v>11375457</v>
      </c>
      <c r="E413" s="6" t="s">
        <v>490</v>
      </c>
      <c r="F413" s="10" t="s">
        <v>44</v>
      </c>
      <c r="G413" s="6" t="s">
        <v>1534</v>
      </c>
      <c r="H413" s="8">
        <v>51011</v>
      </c>
      <c r="I413" s="8">
        <v>43293</v>
      </c>
      <c r="J413" s="8">
        <v>43299</v>
      </c>
      <c r="K413" s="95">
        <v>43299</v>
      </c>
      <c r="L413" s="95" t="s">
        <v>31</v>
      </c>
      <c r="M413" s="8">
        <v>43305</v>
      </c>
      <c r="N413" s="108">
        <v>43388</v>
      </c>
      <c r="O413" s="108">
        <v>43369</v>
      </c>
      <c r="P413" s="107" t="s">
        <v>52</v>
      </c>
      <c r="Q413" s="110"/>
      <c r="R413" s="97" t="str">
        <f t="shared" si="16"/>
        <v/>
      </c>
      <c r="S413" s="75" t="str">
        <f t="shared" si="17"/>
        <v/>
      </c>
      <c r="U413" s="8">
        <v>44750</v>
      </c>
      <c r="W413" s="6" t="s">
        <v>33</v>
      </c>
      <c r="X413" s="95">
        <v>45193</v>
      </c>
    </row>
    <row r="414" spans="1:24" x14ac:dyDescent="0.25">
      <c r="A414" s="6" t="s">
        <v>65</v>
      </c>
      <c r="B414" s="94" t="s">
        <v>1535</v>
      </c>
      <c r="C414" s="6" t="s">
        <v>1536</v>
      </c>
      <c r="D414" s="140">
        <v>11976503</v>
      </c>
      <c r="E414" s="6" t="s">
        <v>540</v>
      </c>
      <c r="F414" s="10" t="s">
        <v>44</v>
      </c>
      <c r="G414" s="6" t="s">
        <v>1537</v>
      </c>
      <c r="H414" s="8">
        <v>51434</v>
      </c>
      <c r="I414" s="8">
        <v>43293</v>
      </c>
      <c r="J414" s="8">
        <v>43299</v>
      </c>
      <c r="K414" s="95">
        <v>43306</v>
      </c>
      <c r="L414" s="95" t="s">
        <v>31</v>
      </c>
      <c r="M414" s="8">
        <v>43307</v>
      </c>
      <c r="N414" s="108">
        <v>43539</v>
      </c>
      <c r="O414" s="108">
        <v>43532</v>
      </c>
      <c r="P414" s="107" t="s">
        <v>35</v>
      </c>
      <c r="Q414" s="110">
        <v>2244</v>
      </c>
      <c r="R414" s="97">
        <f t="shared" si="16"/>
        <v>6.1479452054794521</v>
      </c>
      <c r="S414" s="75">
        <f t="shared" si="17"/>
        <v>50775.879452054796</v>
      </c>
      <c r="U414" s="8">
        <v>44750</v>
      </c>
      <c r="W414" s="6" t="s">
        <v>33</v>
      </c>
      <c r="X414" s="95">
        <v>52802</v>
      </c>
    </row>
    <row r="415" spans="1:24" x14ac:dyDescent="0.25">
      <c r="A415" s="6" t="s">
        <v>65</v>
      </c>
      <c r="B415" s="94" t="s">
        <v>512</v>
      </c>
      <c r="C415" s="6" t="s">
        <v>1538</v>
      </c>
      <c r="D415" s="140">
        <v>11999447</v>
      </c>
      <c r="E415" s="6" t="s">
        <v>1539</v>
      </c>
      <c r="F415" s="10" t="s">
        <v>57</v>
      </c>
      <c r="G415" s="6" t="s">
        <v>1540</v>
      </c>
      <c r="H415" s="8">
        <v>52053</v>
      </c>
      <c r="I415" s="8">
        <v>43293</v>
      </c>
      <c r="J415" s="8">
        <v>43299</v>
      </c>
      <c r="K415" s="95">
        <v>43299</v>
      </c>
      <c r="L415" s="95" t="s">
        <v>31</v>
      </c>
      <c r="M415" s="8">
        <v>43305</v>
      </c>
      <c r="N415" s="8">
        <v>43467</v>
      </c>
      <c r="O415" s="8">
        <v>43430</v>
      </c>
      <c r="P415" s="6" t="s">
        <v>35</v>
      </c>
      <c r="Q415" s="96">
        <v>1095</v>
      </c>
      <c r="R415" s="97">
        <f t="shared" si="16"/>
        <v>3</v>
      </c>
      <c r="S415" s="75">
        <f t="shared" si="17"/>
        <v>24777</v>
      </c>
      <c r="T415" s="124" t="s">
        <v>1541</v>
      </c>
      <c r="U415" s="8">
        <v>43467</v>
      </c>
      <c r="W415" s="6" t="s">
        <v>84</v>
      </c>
      <c r="X415" s="95">
        <v>46257</v>
      </c>
    </row>
    <row r="416" spans="1:24" x14ac:dyDescent="0.25">
      <c r="A416" s="6" t="s">
        <v>65</v>
      </c>
      <c r="B416" s="94" t="s">
        <v>1542</v>
      </c>
      <c r="C416" s="6" t="s">
        <v>1543</v>
      </c>
      <c r="D416" s="140">
        <v>12119355</v>
      </c>
      <c r="E416" s="6" t="s">
        <v>94</v>
      </c>
      <c r="F416" s="10" t="s">
        <v>143</v>
      </c>
      <c r="G416" s="6">
        <v>213460</v>
      </c>
      <c r="H416" s="8">
        <v>52759</v>
      </c>
      <c r="I416" s="8">
        <v>43293</v>
      </c>
      <c r="J416" s="8">
        <v>43299</v>
      </c>
      <c r="K416" s="95">
        <v>43299</v>
      </c>
      <c r="L416" s="95" t="s">
        <v>31</v>
      </c>
      <c r="M416" s="8">
        <v>43305</v>
      </c>
      <c r="N416" s="8">
        <v>43867</v>
      </c>
      <c r="O416" s="8">
        <v>43763</v>
      </c>
      <c r="P416" s="6" t="s">
        <v>75</v>
      </c>
      <c r="R416" s="97" t="str">
        <f t="shared" si="16"/>
        <v/>
      </c>
      <c r="S416" s="75" t="str">
        <f t="shared" si="17"/>
        <v/>
      </c>
      <c r="U416" s="8">
        <v>43868</v>
      </c>
      <c r="W416" s="6" t="s">
        <v>84</v>
      </c>
      <c r="X416" s="95">
        <v>49391</v>
      </c>
    </row>
    <row r="417" spans="1:24" x14ac:dyDescent="0.25">
      <c r="A417" s="6" t="s">
        <v>65</v>
      </c>
      <c r="B417" s="94" t="s">
        <v>108</v>
      </c>
      <c r="C417" s="6" t="s">
        <v>1544</v>
      </c>
      <c r="D417" s="140">
        <v>11296522</v>
      </c>
      <c r="E417" s="6" t="s">
        <v>490</v>
      </c>
      <c r="F417" s="10" t="s">
        <v>139</v>
      </c>
      <c r="G417" s="6" t="s">
        <v>1545</v>
      </c>
      <c r="H417" s="8">
        <v>52831</v>
      </c>
      <c r="I417" s="8">
        <v>43293</v>
      </c>
      <c r="J417" s="8">
        <v>43299</v>
      </c>
      <c r="K417" s="95">
        <v>43299</v>
      </c>
      <c r="L417" s="95" t="s">
        <v>31</v>
      </c>
      <c r="M417" s="8">
        <v>43305</v>
      </c>
      <c r="N417" s="108">
        <v>43319</v>
      </c>
      <c r="O417" s="108">
        <v>43313</v>
      </c>
      <c r="P417" s="107" t="s">
        <v>35</v>
      </c>
      <c r="Q417" s="110">
        <v>0</v>
      </c>
      <c r="R417" s="97" t="str">
        <f t="shared" si="16"/>
        <v/>
      </c>
      <c r="S417" s="75" t="str">
        <f t="shared" si="17"/>
        <v/>
      </c>
      <c r="U417" s="8">
        <v>44750</v>
      </c>
      <c r="W417" s="6" t="s">
        <v>84</v>
      </c>
      <c r="X417" s="95">
        <v>49117</v>
      </c>
    </row>
    <row r="418" spans="1:24" ht="30" x14ac:dyDescent="0.25">
      <c r="A418" s="6" t="s">
        <v>117</v>
      </c>
      <c r="B418" s="94" t="s">
        <v>594</v>
      </c>
      <c r="C418" s="6" t="s">
        <v>1546</v>
      </c>
      <c r="D418" s="140">
        <v>11741217</v>
      </c>
      <c r="E418" s="6" t="s">
        <v>298</v>
      </c>
      <c r="F418" s="6" t="s">
        <v>148</v>
      </c>
      <c r="G418" s="6" t="s">
        <v>1547</v>
      </c>
      <c r="H418" s="8">
        <v>45459</v>
      </c>
      <c r="I418" s="8">
        <v>43343</v>
      </c>
      <c r="J418" s="8">
        <v>43343</v>
      </c>
      <c r="K418" s="95">
        <v>43348</v>
      </c>
      <c r="L418" s="95" t="s">
        <v>31</v>
      </c>
      <c r="M418" s="8">
        <v>43353</v>
      </c>
      <c r="N418" s="8">
        <v>43404</v>
      </c>
      <c r="O418" s="8">
        <v>43397</v>
      </c>
      <c r="P418" s="101" t="s">
        <v>52</v>
      </c>
      <c r="R418" s="97" t="str">
        <f t="shared" si="16"/>
        <v/>
      </c>
      <c r="S418" s="75" t="str">
        <f t="shared" si="17"/>
        <v/>
      </c>
      <c r="T418" s="124" t="s">
        <v>1548</v>
      </c>
      <c r="U418" s="8">
        <v>43409</v>
      </c>
      <c r="W418" s="6" t="s">
        <v>84</v>
      </c>
      <c r="X418" s="95">
        <v>42906</v>
      </c>
    </row>
    <row r="419" spans="1:24" x14ac:dyDescent="0.25">
      <c r="A419" s="6" t="s">
        <v>65</v>
      </c>
      <c r="B419" s="94" t="s">
        <v>1549</v>
      </c>
      <c r="C419" s="6" t="s">
        <v>1550</v>
      </c>
      <c r="D419" s="140">
        <v>12111090</v>
      </c>
      <c r="E419" s="6" t="s">
        <v>706</v>
      </c>
      <c r="F419" s="10" t="s">
        <v>29</v>
      </c>
      <c r="G419" s="6" t="s">
        <v>1551</v>
      </c>
      <c r="H419" s="8">
        <v>67641</v>
      </c>
      <c r="I419" s="8">
        <v>43293</v>
      </c>
      <c r="J419" s="8">
        <v>43299</v>
      </c>
      <c r="K419" s="95">
        <v>43299</v>
      </c>
      <c r="L419" s="95" t="s">
        <v>31</v>
      </c>
      <c r="M419" s="8">
        <v>43305</v>
      </c>
      <c r="N419" s="108">
        <v>43685</v>
      </c>
      <c r="O419" s="108">
        <v>43676</v>
      </c>
      <c r="P419" s="107" t="s">
        <v>35</v>
      </c>
      <c r="Q419" s="110">
        <v>16</v>
      </c>
      <c r="R419" s="97">
        <f t="shared" si="16"/>
        <v>4.3835616438356165E-2</v>
      </c>
      <c r="S419" s="75">
        <f t="shared" si="17"/>
        <v>362.03835616438357</v>
      </c>
      <c r="U419" s="8">
        <v>44750</v>
      </c>
      <c r="W419" s="6" t="s">
        <v>84</v>
      </c>
      <c r="X419" s="95">
        <v>56476</v>
      </c>
    </row>
    <row r="420" spans="1:24" x14ac:dyDescent="0.25">
      <c r="A420" s="6" t="s">
        <v>65</v>
      </c>
      <c r="B420" s="94" t="s">
        <v>1552</v>
      </c>
      <c r="C420" s="6" t="s">
        <v>1553</v>
      </c>
      <c r="D420" s="140">
        <v>11935233</v>
      </c>
      <c r="E420" s="6" t="s">
        <v>714</v>
      </c>
      <c r="F420" s="10" t="s">
        <v>363</v>
      </c>
      <c r="G420" s="6">
        <v>1091957</v>
      </c>
      <c r="H420" s="8">
        <v>70166</v>
      </c>
      <c r="I420" s="8">
        <v>43293</v>
      </c>
      <c r="J420" s="8">
        <v>43299</v>
      </c>
      <c r="K420" s="95">
        <v>43299</v>
      </c>
      <c r="L420" s="95" t="s">
        <v>31</v>
      </c>
      <c r="M420" s="8">
        <v>43305</v>
      </c>
      <c r="N420" s="8">
        <v>43697</v>
      </c>
      <c r="O420" s="8">
        <v>43691</v>
      </c>
      <c r="P420" s="6" t="s">
        <v>35</v>
      </c>
      <c r="Q420" s="96">
        <v>365</v>
      </c>
      <c r="R420" s="97">
        <v>1</v>
      </c>
      <c r="S420" s="75">
        <f t="shared" si="17"/>
        <v>8259</v>
      </c>
      <c r="T420" s="124">
        <v>43691</v>
      </c>
      <c r="U420" s="8">
        <v>43729</v>
      </c>
      <c r="W420" s="6" t="s">
        <v>84</v>
      </c>
      <c r="X420" s="95">
        <v>50420</v>
      </c>
    </row>
    <row r="421" spans="1:24" x14ac:dyDescent="0.25">
      <c r="A421" s="6" t="s">
        <v>65</v>
      </c>
      <c r="B421" s="94" t="s">
        <v>610</v>
      </c>
      <c r="C421" s="6" t="s">
        <v>1554</v>
      </c>
      <c r="D421" s="140">
        <v>11646403</v>
      </c>
      <c r="E421" s="6" t="s">
        <v>706</v>
      </c>
      <c r="F421" s="10" t="s">
        <v>44</v>
      </c>
      <c r="G421" s="6" t="s">
        <v>1555</v>
      </c>
      <c r="H421" s="8">
        <v>72494</v>
      </c>
      <c r="I421" s="8">
        <v>43293</v>
      </c>
      <c r="J421" s="8">
        <v>43293</v>
      </c>
      <c r="K421" s="95">
        <v>43306</v>
      </c>
      <c r="L421" s="95" t="s">
        <v>31</v>
      </c>
      <c r="M421" s="8">
        <v>43312</v>
      </c>
      <c r="N421" s="8">
        <v>43444</v>
      </c>
      <c r="O421" s="8">
        <v>43438</v>
      </c>
      <c r="P421" s="6" t="s">
        <v>35</v>
      </c>
      <c r="Q421" s="96">
        <v>365</v>
      </c>
      <c r="R421" s="97">
        <f t="shared" ref="R421:R484" si="18">IF(Q421&gt;0, Q421/365, "")</f>
        <v>1</v>
      </c>
      <c r="S421" s="75">
        <f t="shared" si="17"/>
        <v>8259</v>
      </c>
      <c r="T421" s="124" t="s">
        <v>1556</v>
      </c>
      <c r="U421" s="8">
        <v>43461</v>
      </c>
      <c r="W421" s="6" t="s">
        <v>84</v>
      </c>
      <c r="X421" s="95">
        <v>54247</v>
      </c>
    </row>
    <row r="422" spans="1:24" x14ac:dyDescent="0.25">
      <c r="A422" s="6" t="s">
        <v>65</v>
      </c>
      <c r="B422" s="94" t="s">
        <v>1557</v>
      </c>
      <c r="C422" s="6" t="s">
        <v>1558</v>
      </c>
      <c r="D422" s="140">
        <v>11559785</v>
      </c>
      <c r="E422" s="6" t="s">
        <v>314</v>
      </c>
      <c r="F422" s="10" t="s">
        <v>44</v>
      </c>
      <c r="G422" s="6" t="s">
        <v>1559</v>
      </c>
      <c r="H422" s="8">
        <v>74368</v>
      </c>
      <c r="I422" s="8">
        <v>43293</v>
      </c>
      <c r="J422" s="8">
        <v>43293</v>
      </c>
      <c r="K422" s="95">
        <v>43306</v>
      </c>
      <c r="L422" s="95" t="s">
        <v>31</v>
      </c>
      <c r="M422" s="8">
        <v>43312</v>
      </c>
      <c r="R422" s="97" t="str">
        <f t="shared" si="18"/>
        <v/>
      </c>
      <c r="S422" s="75" t="str">
        <f t="shared" si="17"/>
        <v/>
      </c>
      <c r="W422" s="6" t="s">
        <v>84</v>
      </c>
      <c r="X422" s="95">
        <v>46707</v>
      </c>
    </row>
    <row r="423" spans="1:24" x14ac:dyDescent="0.25">
      <c r="A423" s="6" t="s">
        <v>65</v>
      </c>
      <c r="B423" s="94" t="s">
        <v>1560</v>
      </c>
      <c r="C423" s="6" t="s">
        <v>1561</v>
      </c>
      <c r="D423" s="140">
        <v>11902040</v>
      </c>
      <c r="E423" s="6" t="s">
        <v>997</v>
      </c>
      <c r="F423" s="10" t="s">
        <v>44</v>
      </c>
      <c r="G423" s="6" t="s">
        <v>1562</v>
      </c>
      <c r="H423" s="8">
        <v>62028</v>
      </c>
      <c r="I423" s="8">
        <v>43293</v>
      </c>
      <c r="J423" s="8">
        <v>43301</v>
      </c>
      <c r="K423" s="95">
        <v>43319</v>
      </c>
      <c r="L423" s="95" t="s">
        <v>31</v>
      </c>
      <c r="M423" s="8">
        <v>43325</v>
      </c>
      <c r="N423" s="108">
        <v>43388</v>
      </c>
      <c r="O423" s="108">
        <v>43383</v>
      </c>
      <c r="P423" s="107" t="s">
        <v>35</v>
      </c>
      <c r="Q423" s="110">
        <v>0</v>
      </c>
      <c r="R423" s="97" t="str">
        <f t="shared" si="18"/>
        <v/>
      </c>
      <c r="S423" s="75" t="str">
        <f t="shared" si="17"/>
        <v/>
      </c>
      <c r="U423" s="8">
        <v>44776</v>
      </c>
      <c r="W423" s="6" t="s">
        <v>84</v>
      </c>
      <c r="X423" s="95">
        <v>51543</v>
      </c>
    </row>
    <row r="424" spans="1:24" x14ac:dyDescent="0.25">
      <c r="A424" s="6" t="s">
        <v>65</v>
      </c>
      <c r="B424" s="94" t="s">
        <v>920</v>
      </c>
      <c r="C424" s="6" t="s">
        <v>1563</v>
      </c>
      <c r="D424" s="140">
        <v>11308088</v>
      </c>
      <c r="E424" s="6" t="s">
        <v>289</v>
      </c>
      <c r="F424" s="10" t="s">
        <v>143</v>
      </c>
      <c r="G424" s="6" t="s">
        <v>1564</v>
      </c>
      <c r="H424" s="8">
        <v>46813</v>
      </c>
      <c r="I424" s="8">
        <v>43348</v>
      </c>
      <c r="J424" s="8">
        <v>43348</v>
      </c>
      <c r="K424" s="95">
        <v>43362</v>
      </c>
      <c r="L424" s="95" t="s">
        <v>31</v>
      </c>
      <c r="M424" s="8">
        <v>43367</v>
      </c>
      <c r="N424" s="8">
        <v>43894</v>
      </c>
      <c r="O424" s="8">
        <v>43731</v>
      </c>
      <c r="P424" s="6" t="s">
        <v>75</v>
      </c>
      <c r="R424" s="97" t="str">
        <f t="shared" si="18"/>
        <v/>
      </c>
      <c r="S424" s="75" t="str">
        <f t="shared" si="17"/>
        <v/>
      </c>
      <c r="U424" s="8">
        <v>43931</v>
      </c>
      <c r="W424" s="6" t="s">
        <v>33</v>
      </c>
      <c r="X424" s="95">
        <v>45522</v>
      </c>
    </row>
    <row r="425" spans="1:24" x14ac:dyDescent="0.25">
      <c r="A425" s="6" t="s">
        <v>65</v>
      </c>
      <c r="B425" s="94" t="s">
        <v>594</v>
      </c>
      <c r="C425" s="6" t="s">
        <v>1565</v>
      </c>
      <c r="D425" s="140">
        <v>11336983</v>
      </c>
      <c r="E425" s="6" t="s">
        <v>1566</v>
      </c>
      <c r="F425" s="10" t="s">
        <v>29</v>
      </c>
      <c r="G425" s="6" t="s">
        <v>1567</v>
      </c>
      <c r="H425" s="8">
        <v>45897</v>
      </c>
      <c r="I425" s="8">
        <v>43273</v>
      </c>
      <c r="J425" s="8">
        <v>43273</v>
      </c>
      <c r="K425" s="95">
        <v>43292</v>
      </c>
      <c r="L425" s="95" t="s">
        <v>31</v>
      </c>
      <c r="M425" s="8">
        <v>43299</v>
      </c>
      <c r="N425" s="8">
        <v>43412</v>
      </c>
      <c r="O425" s="8">
        <v>43399</v>
      </c>
      <c r="P425" s="6" t="s">
        <v>75</v>
      </c>
      <c r="R425" s="97" t="str">
        <f t="shared" si="18"/>
        <v/>
      </c>
      <c r="S425" s="75" t="str">
        <f t="shared" si="17"/>
        <v/>
      </c>
      <c r="T425" s="124" t="s">
        <v>1218</v>
      </c>
      <c r="U425" s="8">
        <v>43412</v>
      </c>
      <c r="W425" s="6" t="s">
        <v>33</v>
      </c>
      <c r="X425" s="95">
        <v>45041</v>
      </c>
    </row>
    <row r="426" spans="1:24" x14ac:dyDescent="0.25">
      <c r="A426" s="6" t="s">
        <v>65</v>
      </c>
      <c r="B426" s="94" t="s">
        <v>1087</v>
      </c>
      <c r="C426" s="6" t="s">
        <v>1568</v>
      </c>
      <c r="D426" s="140">
        <v>12158742</v>
      </c>
      <c r="E426" s="6" t="s">
        <v>1443</v>
      </c>
      <c r="F426" s="10" t="s">
        <v>205</v>
      </c>
      <c r="G426" s="6" t="s">
        <v>1569</v>
      </c>
      <c r="H426" s="8">
        <v>49203</v>
      </c>
      <c r="I426" s="8">
        <v>43293</v>
      </c>
      <c r="J426" s="8">
        <v>43299</v>
      </c>
      <c r="K426" s="95">
        <v>43313</v>
      </c>
      <c r="L426" s="95" t="s">
        <v>31</v>
      </c>
      <c r="M426" s="8">
        <v>43320</v>
      </c>
      <c r="R426" s="97" t="str">
        <f t="shared" si="18"/>
        <v/>
      </c>
      <c r="S426" s="75" t="str">
        <f t="shared" si="17"/>
        <v/>
      </c>
      <c r="T426" s="124" t="s">
        <v>1570</v>
      </c>
      <c r="W426" s="6" t="s">
        <v>33</v>
      </c>
      <c r="X426" s="95">
        <v>46942</v>
      </c>
    </row>
    <row r="427" spans="1:24" ht="30" x14ac:dyDescent="0.25">
      <c r="A427" s="6" t="s">
        <v>168</v>
      </c>
      <c r="B427" s="94" t="s">
        <v>1571</v>
      </c>
      <c r="C427" s="6" t="s">
        <v>1572</v>
      </c>
      <c r="D427" s="140">
        <v>11823666</v>
      </c>
      <c r="E427" s="6" t="s">
        <v>1573</v>
      </c>
      <c r="F427" s="10" t="s">
        <v>44</v>
      </c>
      <c r="G427" s="6" t="s">
        <v>1574</v>
      </c>
      <c r="H427" s="8">
        <v>47621</v>
      </c>
      <c r="I427" s="8">
        <v>44049</v>
      </c>
      <c r="J427" s="8">
        <v>44078</v>
      </c>
      <c r="K427" s="95">
        <v>44078</v>
      </c>
      <c r="L427" s="95" t="s">
        <v>359</v>
      </c>
      <c r="R427" s="97" t="str">
        <f t="shared" si="18"/>
        <v/>
      </c>
      <c r="S427" s="75" t="str">
        <f t="shared" si="17"/>
        <v/>
      </c>
      <c r="W427" s="6" t="s">
        <v>84</v>
      </c>
      <c r="X427" s="135">
        <v>47768</v>
      </c>
    </row>
    <row r="428" spans="1:24" x14ac:dyDescent="0.25">
      <c r="A428" s="107" t="s">
        <v>70</v>
      </c>
      <c r="B428" s="106" t="s">
        <v>594</v>
      </c>
      <c r="C428" s="107" t="s">
        <v>1575</v>
      </c>
      <c r="D428" s="142">
        <v>11961701</v>
      </c>
      <c r="E428" s="107" t="s">
        <v>289</v>
      </c>
      <c r="F428" s="56" t="s">
        <v>363</v>
      </c>
      <c r="G428" s="107">
        <v>1044556</v>
      </c>
      <c r="H428" s="108">
        <v>51717</v>
      </c>
      <c r="I428" s="108">
        <v>43299</v>
      </c>
      <c r="J428" s="108">
        <v>43301</v>
      </c>
      <c r="K428" s="109">
        <v>43306</v>
      </c>
      <c r="L428" s="109" t="s">
        <v>31</v>
      </c>
      <c r="M428" s="108">
        <v>43312</v>
      </c>
      <c r="N428" s="108">
        <v>43395</v>
      </c>
      <c r="O428" s="108">
        <v>43374</v>
      </c>
      <c r="P428" s="107" t="s">
        <v>35</v>
      </c>
      <c r="Q428" s="110">
        <v>730</v>
      </c>
      <c r="R428" s="97">
        <f t="shared" si="18"/>
        <v>2</v>
      </c>
      <c r="S428" s="75">
        <f t="shared" si="17"/>
        <v>16518</v>
      </c>
      <c r="T428" s="127" t="s">
        <v>561</v>
      </c>
      <c r="U428" s="108">
        <v>43395</v>
      </c>
      <c r="W428" s="6" t="s">
        <v>84</v>
      </c>
      <c r="X428" s="95">
        <v>52156</v>
      </c>
    </row>
    <row r="429" spans="1:24" x14ac:dyDescent="0.25">
      <c r="A429" s="6" t="s">
        <v>65</v>
      </c>
      <c r="B429" s="94" t="s">
        <v>1576</v>
      </c>
      <c r="C429" s="6" t="s">
        <v>1577</v>
      </c>
      <c r="D429" s="140">
        <v>11807687</v>
      </c>
      <c r="E429" s="6" t="s">
        <v>607</v>
      </c>
      <c r="F429" s="10" t="s">
        <v>528</v>
      </c>
      <c r="G429" s="6" t="s">
        <v>1578</v>
      </c>
      <c r="H429" s="8">
        <v>47712</v>
      </c>
      <c r="I429" s="8">
        <v>43278</v>
      </c>
      <c r="J429" s="8">
        <v>43278</v>
      </c>
      <c r="K429" s="95">
        <v>43306</v>
      </c>
      <c r="L429" s="95" t="s">
        <v>31</v>
      </c>
      <c r="M429" s="8">
        <v>43312</v>
      </c>
      <c r="N429" s="8">
        <v>43410</v>
      </c>
      <c r="O429" s="8">
        <v>43402</v>
      </c>
      <c r="P429" s="101" t="s">
        <v>182</v>
      </c>
      <c r="R429" s="97" t="str">
        <f t="shared" si="18"/>
        <v/>
      </c>
      <c r="S429" s="75" t="str">
        <f t="shared" si="17"/>
        <v/>
      </c>
      <c r="U429" s="8">
        <v>43411</v>
      </c>
      <c r="W429" s="6" t="s">
        <v>33</v>
      </c>
      <c r="X429" s="95">
        <v>51838</v>
      </c>
    </row>
    <row r="430" spans="1:24" x14ac:dyDescent="0.25">
      <c r="A430" s="6" t="s">
        <v>70</v>
      </c>
      <c r="B430" s="94" t="s">
        <v>1579</v>
      </c>
      <c r="C430" s="6" t="s">
        <v>1580</v>
      </c>
      <c r="D430" s="140">
        <v>11069003</v>
      </c>
      <c r="E430" s="6" t="s">
        <v>209</v>
      </c>
      <c r="F430" s="10" t="s">
        <v>44</v>
      </c>
      <c r="G430" s="6" t="s">
        <v>1581</v>
      </c>
      <c r="H430" s="8">
        <v>45592</v>
      </c>
      <c r="I430" s="8">
        <v>43361</v>
      </c>
      <c r="J430" s="8">
        <v>43361</v>
      </c>
      <c r="K430" s="95">
        <v>43376</v>
      </c>
      <c r="L430" s="95" t="s">
        <v>31</v>
      </c>
      <c r="M430" s="8">
        <v>43390</v>
      </c>
      <c r="N430" s="8">
        <v>43402</v>
      </c>
      <c r="O430" s="8">
        <v>43402</v>
      </c>
      <c r="P430" s="101" t="s">
        <v>182</v>
      </c>
      <c r="R430" s="97" t="str">
        <f t="shared" si="18"/>
        <v/>
      </c>
      <c r="S430" s="75" t="str">
        <f t="shared" si="17"/>
        <v/>
      </c>
      <c r="U430" s="8">
        <v>43420</v>
      </c>
      <c r="W430" s="6" t="s">
        <v>33</v>
      </c>
      <c r="X430" s="95">
        <v>54383</v>
      </c>
    </row>
    <row r="431" spans="1:24" x14ac:dyDescent="0.25">
      <c r="A431" s="6" t="s">
        <v>37</v>
      </c>
      <c r="B431" s="94" t="s">
        <v>1582</v>
      </c>
      <c r="C431" s="6" t="s">
        <v>1583</v>
      </c>
      <c r="D431" s="140">
        <v>11615045</v>
      </c>
      <c r="E431" s="6" t="s">
        <v>49</v>
      </c>
      <c r="F431" s="10" t="s">
        <v>81</v>
      </c>
      <c r="G431" s="6" t="s">
        <v>1584</v>
      </c>
      <c r="H431" s="8">
        <v>45406</v>
      </c>
      <c r="I431" s="8">
        <v>43342</v>
      </c>
      <c r="J431" s="8">
        <v>43350</v>
      </c>
      <c r="K431" s="95">
        <v>43350</v>
      </c>
      <c r="L431" s="95" t="s">
        <v>31</v>
      </c>
      <c r="M431" s="8">
        <v>43360</v>
      </c>
      <c r="N431" s="8">
        <v>43411</v>
      </c>
      <c r="O431" s="8">
        <v>43403</v>
      </c>
      <c r="P431" s="101" t="s">
        <v>182</v>
      </c>
      <c r="R431" s="97" t="str">
        <f t="shared" si="18"/>
        <v/>
      </c>
      <c r="S431" s="75" t="str">
        <f t="shared" si="17"/>
        <v/>
      </c>
      <c r="U431" s="8">
        <v>43411</v>
      </c>
      <c r="W431" s="6" t="s">
        <v>33</v>
      </c>
      <c r="X431" s="95">
        <v>44133</v>
      </c>
    </row>
    <row r="432" spans="1:24" x14ac:dyDescent="0.25">
      <c r="A432" s="6" t="s">
        <v>168</v>
      </c>
      <c r="B432" s="94" t="s">
        <v>1585</v>
      </c>
      <c r="C432" s="6" t="s">
        <v>1586</v>
      </c>
      <c r="D432" s="140">
        <v>11426458</v>
      </c>
      <c r="E432" s="6" t="s">
        <v>1587</v>
      </c>
      <c r="F432" s="10" t="s">
        <v>1588</v>
      </c>
      <c r="G432" s="6" t="s">
        <v>1589</v>
      </c>
      <c r="H432" s="8">
        <v>44304</v>
      </c>
      <c r="I432" s="8">
        <v>43622</v>
      </c>
      <c r="J432" s="8">
        <v>43634</v>
      </c>
      <c r="K432" s="95">
        <v>43634</v>
      </c>
      <c r="L432" s="95" t="s">
        <v>31</v>
      </c>
      <c r="M432" s="8">
        <v>43643</v>
      </c>
      <c r="N432" s="8">
        <v>43854</v>
      </c>
      <c r="O432" s="8">
        <v>43805</v>
      </c>
      <c r="P432" s="6" t="s">
        <v>75</v>
      </c>
      <c r="R432" s="97" t="str">
        <f t="shared" si="18"/>
        <v/>
      </c>
      <c r="S432" s="75" t="str">
        <f t="shared" si="17"/>
        <v/>
      </c>
      <c r="T432" s="151" t="s">
        <v>1590</v>
      </c>
      <c r="U432" s="8">
        <v>43854</v>
      </c>
      <c r="W432" s="6" t="s">
        <v>84</v>
      </c>
      <c r="X432" s="95">
        <v>37098</v>
      </c>
    </row>
    <row r="433" spans="1:24" x14ac:dyDescent="0.25">
      <c r="A433" s="6" t="s">
        <v>85</v>
      </c>
      <c r="B433" s="94" t="s">
        <v>1591</v>
      </c>
      <c r="C433" s="6" t="s">
        <v>1592</v>
      </c>
      <c r="D433" s="140">
        <v>11616391</v>
      </c>
      <c r="E433" s="6" t="s">
        <v>209</v>
      </c>
      <c r="F433" s="6" t="s">
        <v>44</v>
      </c>
      <c r="G433" s="6" t="s">
        <v>1593</v>
      </c>
      <c r="H433" s="8">
        <v>45673</v>
      </c>
      <c r="I433" s="8">
        <v>43262</v>
      </c>
      <c r="J433" s="8">
        <v>43263</v>
      </c>
      <c r="K433" s="95">
        <v>43278</v>
      </c>
      <c r="L433" s="95" t="s">
        <v>31</v>
      </c>
      <c r="M433" s="8">
        <v>43280</v>
      </c>
      <c r="N433" s="8">
        <v>43552</v>
      </c>
      <c r="O433" s="8">
        <v>43405</v>
      </c>
      <c r="P433" s="101" t="s">
        <v>182</v>
      </c>
      <c r="R433" s="97" t="str">
        <f t="shared" si="18"/>
        <v/>
      </c>
      <c r="S433" s="75" t="str">
        <f t="shared" si="17"/>
        <v/>
      </c>
      <c r="U433" s="8">
        <v>43552</v>
      </c>
      <c r="W433" s="6" t="s">
        <v>33</v>
      </c>
      <c r="X433" s="95">
        <v>45464</v>
      </c>
    </row>
    <row r="434" spans="1:24" x14ac:dyDescent="0.25">
      <c r="A434" s="6" t="s">
        <v>65</v>
      </c>
      <c r="B434" s="94" t="s">
        <v>1594</v>
      </c>
      <c r="C434" s="6" t="s">
        <v>1595</v>
      </c>
      <c r="D434" s="140">
        <v>11577180</v>
      </c>
      <c r="E434" s="6" t="s">
        <v>651</v>
      </c>
      <c r="F434" s="10" t="s">
        <v>44</v>
      </c>
      <c r="G434" s="6" t="s">
        <v>1596</v>
      </c>
      <c r="H434" s="8">
        <v>48697</v>
      </c>
      <c r="I434" s="8">
        <v>43335</v>
      </c>
      <c r="J434" s="8">
        <v>43335</v>
      </c>
      <c r="K434" s="95">
        <v>43341</v>
      </c>
      <c r="L434" s="95" t="s">
        <v>31</v>
      </c>
      <c r="M434" s="8">
        <v>43354</v>
      </c>
      <c r="N434" s="8">
        <v>43537</v>
      </c>
      <c r="O434" s="8">
        <v>43405</v>
      </c>
      <c r="P434" s="101" t="s">
        <v>52</v>
      </c>
      <c r="R434" s="97" t="str">
        <f t="shared" si="18"/>
        <v/>
      </c>
      <c r="S434" s="75" t="str">
        <f t="shared" si="17"/>
        <v/>
      </c>
      <c r="T434" s="124" t="s">
        <v>1597</v>
      </c>
      <c r="U434" s="8">
        <v>43537</v>
      </c>
      <c r="W434" s="6" t="s">
        <v>33</v>
      </c>
      <c r="X434" s="95">
        <v>44343</v>
      </c>
    </row>
    <row r="435" spans="1:24" x14ac:dyDescent="0.25">
      <c r="A435" s="6" t="s">
        <v>65</v>
      </c>
      <c r="B435" s="94" t="s">
        <v>1598</v>
      </c>
      <c r="C435" s="6" t="s">
        <v>1599</v>
      </c>
      <c r="D435" s="140">
        <v>11296631</v>
      </c>
      <c r="E435" s="6" t="s">
        <v>209</v>
      </c>
      <c r="F435" s="10" t="s">
        <v>44</v>
      </c>
      <c r="G435" s="6" t="s">
        <v>1600</v>
      </c>
      <c r="H435" s="8">
        <v>63627</v>
      </c>
      <c r="I435" s="8">
        <v>43347</v>
      </c>
      <c r="J435" s="8">
        <v>43347</v>
      </c>
      <c r="K435" s="95">
        <v>43362</v>
      </c>
      <c r="L435" s="95" t="s">
        <v>31</v>
      </c>
      <c r="M435" s="8">
        <v>43367</v>
      </c>
      <c r="N435" s="8">
        <v>43374</v>
      </c>
      <c r="O435" s="8">
        <v>43405</v>
      </c>
      <c r="P435" s="6" t="s">
        <v>75</v>
      </c>
      <c r="R435" s="97" t="str">
        <f t="shared" si="18"/>
        <v/>
      </c>
      <c r="S435" s="75" t="str">
        <f t="shared" si="17"/>
        <v/>
      </c>
      <c r="U435" s="8">
        <v>43537</v>
      </c>
      <c r="W435" s="6" t="s">
        <v>84</v>
      </c>
      <c r="X435" s="95">
        <v>54805</v>
      </c>
    </row>
    <row r="436" spans="1:24" x14ac:dyDescent="0.25">
      <c r="A436" s="6" t="s">
        <v>85</v>
      </c>
      <c r="B436" s="94" t="s">
        <v>1601</v>
      </c>
      <c r="C436" s="6" t="s">
        <v>1602</v>
      </c>
      <c r="D436" s="140">
        <v>11302846</v>
      </c>
      <c r="E436" s="6" t="s">
        <v>1603</v>
      </c>
      <c r="F436" s="10" t="s">
        <v>121</v>
      </c>
      <c r="G436" s="6" t="s">
        <v>1604</v>
      </c>
      <c r="H436" s="8">
        <v>55787</v>
      </c>
      <c r="I436" s="8">
        <v>43299</v>
      </c>
      <c r="J436" s="8">
        <v>43301</v>
      </c>
      <c r="K436" s="95">
        <v>43313</v>
      </c>
      <c r="L436" s="95" t="s">
        <v>31</v>
      </c>
      <c r="M436" s="8">
        <v>43320</v>
      </c>
      <c r="N436" s="8">
        <v>43508</v>
      </c>
      <c r="O436" s="8">
        <v>43430</v>
      </c>
      <c r="P436" s="6" t="s">
        <v>35</v>
      </c>
      <c r="Q436" s="96">
        <v>2312</v>
      </c>
      <c r="R436" s="97">
        <f t="shared" si="18"/>
        <v>6.3342465753424655</v>
      </c>
      <c r="S436" s="75">
        <f t="shared" si="17"/>
        <v>52314.542465753424</v>
      </c>
      <c r="T436" s="132" t="s">
        <v>1605</v>
      </c>
      <c r="U436" s="8">
        <v>43508</v>
      </c>
      <c r="W436" s="6" t="s">
        <v>84</v>
      </c>
      <c r="X436" s="95">
        <v>47825</v>
      </c>
    </row>
    <row r="437" spans="1:24" x14ac:dyDescent="0.25">
      <c r="A437" s="6" t="s">
        <v>85</v>
      </c>
      <c r="B437" s="94" t="s">
        <v>1606</v>
      </c>
      <c r="C437" s="6" t="s">
        <v>1607</v>
      </c>
      <c r="D437" s="140">
        <v>11991763</v>
      </c>
      <c r="E437" s="6" t="s">
        <v>714</v>
      </c>
      <c r="F437" s="10" t="s">
        <v>57</v>
      </c>
      <c r="G437" s="6" t="s">
        <v>1608</v>
      </c>
      <c r="H437" s="8">
        <v>52602</v>
      </c>
      <c r="I437" s="8">
        <v>43299</v>
      </c>
      <c r="J437" s="8">
        <v>43301</v>
      </c>
      <c r="K437" s="95">
        <v>43306</v>
      </c>
      <c r="L437" s="95" t="s">
        <v>31</v>
      </c>
      <c r="M437" s="8">
        <v>43312</v>
      </c>
      <c r="N437" s="8">
        <v>43628</v>
      </c>
      <c r="O437" s="8">
        <v>43602</v>
      </c>
      <c r="P437" s="6" t="s">
        <v>35</v>
      </c>
      <c r="Q437" s="96">
        <v>365</v>
      </c>
      <c r="R437" s="97">
        <f t="shared" si="18"/>
        <v>1</v>
      </c>
      <c r="S437" s="75">
        <f t="shared" si="17"/>
        <v>8259</v>
      </c>
      <c r="T437" s="124" t="s">
        <v>1609</v>
      </c>
      <c r="U437" s="8">
        <v>43628</v>
      </c>
      <c r="W437" s="6" t="s">
        <v>84</v>
      </c>
      <c r="X437" s="95">
        <v>44614</v>
      </c>
    </row>
    <row r="438" spans="1:24" s="112" customFormat="1" x14ac:dyDescent="0.25">
      <c r="A438" s="6" t="s">
        <v>85</v>
      </c>
      <c r="B438" s="94" t="s">
        <v>1610</v>
      </c>
      <c r="C438" s="6" t="s">
        <v>1611</v>
      </c>
      <c r="D438" s="140">
        <v>11658617</v>
      </c>
      <c r="E438" s="6" t="s">
        <v>409</v>
      </c>
      <c r="F438" s="10" t="s">
        <v>121</v>
      </c>
      <c r="G438" s="6" t="s">
        <v>1612</v>
      </c>
      <c r="H438" s="8">
        <v>44024</v>
      </c>
      <c r="I438" s="8">
        <v>43299</v>
      </c>
      <c r="J438" s="8">
        <v>43301</v>
      </c>
      <c r="K438" s="95">
        <v>43306</v>
      </c>
      <c r="L438" s="95" t="s">
        <v>31</v>
      </c>
      <c r="M438" s="8">
        <v>43312</v>
      </c>
      <c r="N438" s="8"/>
      <c r="O438" s="8"/>
      <c r="P438" s="6"/>
      <c r="Q438" s="96"/>
      <c r="R438" s="97" t="str">
        <f t="shared" si="18"/>
        <v/>
      </c>
      <c r="S438" s="75" t="str">
        <f t="shared" si="17"/>
        <v/>
      </c>
      <c r="T438" s="124"/>
      <c r="U438" s="8"/>
      <c r="V438" s="6"/>
      <c r="W438" s="6" t="s">
        <v>84</v>
      </c>
      <c r="X438" s="95">
        <v>42656</v>
      </c>
    </row>
    <row r="439" spans="1:24" x14ac:dyDescent="0.25">
      <c r="A439" s="6" t="s">
        <v>65</v>
      </c>
      <c r="B439" s="94" t="s">
        <v>1613</v>
      </c>
      <c r="C439" s="6" t="s">
        <v>1614</v>
      </c>
      <c r="D439" s="140">
        <v>11371599</v>
      </c>
      <c r="E439" s="6" t="s">
        <v>997</v>
      </c>
      <c r="F439" s="10" t="s">
        <v>139</v>
      </c>
      <c r="G439" s="6" t="s">
        <v>1615</v>
      </c>
      <c r="H439" s="8">
        <v>45842</v>
      </c>
      <c r="I439" s="8">
        <v>43348</v>
      </c>
      <c r="J439" s="8">
        <v>43348</v>
      </c>
      <c r="K439" s="95">
        <v>43369</v>
      </c>
      <c r="L439" s="95" t="s">
        <v>31</v>
      </c>
      <c r="M439" s="8">
        <v>43374</v>
      </c>
      <c r="N439" s="8">
        <v>43411</v>
      </c>
      <c r="O439" s="8">
        <v>43405</v>
      </c>
      <c r="P439" s="101" t="s">
        <v>182</v>
      </c>
      <c r="R439" s="97" t="str">
        <f t="shared" si="18"/>
        <v/>
      </c>
      <c r="S439" s="75" t="str">
        <f t="shared" si="17"/>
        <v/>
      </c>
      <c r="U439" s="8">
        <v>43411</v>
      </c>
      <c r="W439" s="6" t="s">
        <v>33</v>
      </c>
      <c r="X439" s="95">
        <v>45144</v>
      </c>
    </row>
    <row r="440" spans="1:24" x14ac:dyDescent="0.25">
      <c r="A440" s="6" t="s">
        <v>85</v>
      </c>
      <c r="B440" s="94" t="s">
        <v>1616</v>
      </c>
      <c r="C440" s="6" t="s">
        <v>1617</v>
      </c>
      <c r="D440" s="140">
        <v>11896065</v>
      </c>
      <c r="E440" s="6" t="s">
        <v>714</v>
      </c>
      <c r="F440" s="10" t="s">
        <v>57</v>
      </c>
      <c r="G440" s="6" t="s">
        <v>1618</v>
      </c>
      <c r="H440" s="8">
        <v>56163</v>
      </c>
      <c r="I440" s="8">
        <v>43299</v>
      </c>
      <c r="J440" s="8">
        <v>43301</v>
      </c>
      <c r="K440" s="95">
        <v>43306</v>
      </c>
      <c r="L440" s="95" t="s">
        <v>31</v>
      </c>
      <c r="M440" s="8">
        <v>43312</v>
      </c>
      <c r="N440" s="8">
        <v>44516</v>
      </c>
      <c r="O440" s="8">
        <v>44428</v>
      </c>
      <c r="P440" s="6" t="s">
        <v>35</v>
      </c>
      <c r="Q440" s="96">
        <v>4748</v>
      </c>
      <c r="R440" s="97">
        <f t="shared" si="18"/>
        <v>13.008219178082191</v>
      </c>
      <c r="S440" s="75">
        <f t="shared" si="17"/>
        <v>107434.88219178082</v>
      </c>
      <c r="U440" s="8">
        <v>44516</v>
      </c>
      <c r="W440" s="6" t="s">
        <v>84</v>
      </c>
      <c r="X440" s="95">
        <v>43120</v>
      </c>
    </row>
    <row r="441" spans="1:24" ht="30" x14ac:dyDescent="0.25">
      <c r="A441" s="6" t="s">
        <v>37</v>
      </c>
      <c r="B441" s="94" t="s">
        <v>1619</v>
      </c>
      <c r="C441" s="6" t="s">
        <v>1620</v>
      </c>
      <c r="D441" s="140">
        <v>12105096</v>
      </c>
      <c r="E441" s="6" t="s">
        <v>1621</v>
      </c>
      <c r="F441" s="10" t="s">
        <v>205</v>
      </c>
      <c r="G441" s="6" t="s">
        <v>1622</v>
      </c>
      <c r="H441" s="8">
        <v>44695</v>
      </c>
      <c r="I441" s="8">
        <v>43328</v>
      </c>
      <c r="J441" s="8">
        <v>43339</v>
      </c>
      <c r="K441" s="95">
        <v>43339</v>
      </c>
      <c r="L441" s="95" t="s">
        <v>31</v>
      </c>
      <c r="M441" s="8">
        <v>43349</v>
      </c>
      <c r="N441" s="8">
        <v>43439</v>
      </c>
      <c r="O441" s="8">
        <v>43419</v>
      </c>
      <c r="P441" s="6" t="s">
        <v>90</v>
      </c>
      <c r="Q441" s="96">
        <v>3652</v>
      </c>
      <c r="R441" s="97">
        <f t="shared" si="18"/>
        <v>10.005479452054795</v>
      </c>
      <c r="S441" s="75">
        <f t="shared" si="17"/>
        <v>82635.254794520544</v>
      </c>
      <c r="T441" s="124" t="s">
        <v>1623</v>
      </c>
      <c r="U441" s="8">
        <v>43439</v>
      </c>
      <c r="V441" s="6" t="s">
        <v>581</v>
      </c>
      <c r="W441" s="6" t="s">
        <v>33</v>
      </c>
      <c r="X441" s="95">
        <v>46185</v>
      </c>
    </row>
    <row r="442" spans="1:24" x14ac:dyDescent="0.25">
      <c r="A442" s="6" t="s">
        <v>85</v>
      </c>
      <c r="B442" s="94" t="s">
        <v>145</v>
      </c>
      <c r="C442" s="6" t="s">
        <v>1624</v>
      </c>
      <c r="D442" s="140">
        <v>12165500</v>
      </c>
      <c r="E442" s="6" t="s">
        <v>1143</v>
      </c>
      <c r="F442" s="10" t="s">
        <v>143</v>
      </c>
      <c r="G442" s="6" t="s">
        <v>1625</v>
      </c>
      <c r="H442" s="8">
        <v>51609</v>
      </c>
      <c r="I442" s="8">
        <v>43299</v>
      </c>
      <c r="J442" s="8">
        <v>43301</v>
      </c>
      <c r="K442" s="95">
        <v>43313</v>
      </c>
      <c r="L442" s="95" t="s">
        <v>31</v>
      </c>
      <c r="M442" s="8">
        <v>43320</v>
      </c>
      <c r="N442" s="8">
        <v>45168</v>
      </c>
      <c r="O442" s="8">
        <v>45168</v>
      </c>
      <c r="P442" s="6" t="s">
        <v>35</v>
      </c>
      <c r="Q442" s="96">
        <v>511</v>
      </c>
      <c r="R442" s="97">
        <f t="shared" si="18"/>
        <v>1.4</v>
      </c>
      <c r="S442" s="75">
        <f t="shared" si="17"/>
        <v>11562.6</v>
      </c>
      <c r="U442" s="8">
        <v>45189</v>
      </c>
      <c r="W442" s="6" t="s">
        <v>33</v>
      </c>
      <c r="X442" s="95">
        <v>46581</v>
      </c>
    </row>
    <row r="443" spans="1:24" ht="45" x14ac:dyDescent="0.25">
      <c r="A443" s="6" t="s">
        <v>25</v>
      </c>
      <c r="B443" s="94" t="s">
        <v>944</v>
      </c>
      <c r="C443" s="6" t="s">
        <v>1626</v>
      </c>
      <c r="D443" s="140">
        <v>11232472</v>
      </c>
      <c r="E443" s="6" t="s">
        <v>1443</v>
      </c>
      <c r="F443" s="10" t="s">
        <v>252</v>
      </c>
      <c r="G443" s="6">
        <v>51013614</v>
      </c>
      <c r="H443" s="8">
        <v>44071</v>
      </c>
      <c r="I443" s="8">
        <v>43594</v>
      </c>
      <c r="J443" s="8">
        <v>43594</v>
      </c>
      <c r="K443" s="95">
        <v>43641</v>
      </c>
      <c r="L443" s="95" t="s">
        <v>31</v>
      </c>
      <c r="M443" s="8">
        <v>43647</v>
      </c>
      <c r="N443" s="8">
        <v>44253</v>
      </c>
      <c r="O443" s="8">
        <v>43714</v>
      </c>
      <c r="P443" s="6" t="s">
        <v>90</v>
      </c>
      <c r="R443" s="97" t="str">
        <f t="shared" si="18"/>
        <v/>
      </c>
      <c r="S443" s="75" t="str">
        <f t="shared" si="17"/>
        <v/>
      </c>
      <c r="T443" s="124" t="s">
        <v>1627</v>
      </c>
      <c r="U443" s="8">
        <v>44783</v>
      </c>
      <c r="W443" s="6" t="s">
        <v>33</v>
      </c>
      <c r="X443" s="95">
        <v>49552</v>
      </c>
    </row>
    <row r="444" spans="1:24" x14ac:dyDescent="0.25">
      <c r="A444" s="6" t="s">
        <v>117</v>
      </c>
      <c r="B444" s="94" t="s">
        <v>1628</v>
      </c>
      <c r="C444" s="6" t="s">
        <v>1629</v>
      </c>
      <c r="D444" s="140">
        <v>11071846</v>
      </c>
      <c r="E444" s="6" t="s">
        <v>382</v>
      </c>
      <c r="F444" s="111" t="s">
        <v>979</v>
      </c>
      <c r="G444" s="6" t="s">
        <v>1630</v>
      </c>
      <c r="H444" s="8">
        <v>45008</v>
      </c>
      <c r="I444" s="9">
        <v>43236</v>
      </c>
      <c r="J444" s="9">
        <v>43236</v>
      </c>
      <c r="K444" s="7">
        <v>43236</v>
      </c>
      <c r="L444" s="95" t="s">
        <v>31</v>
      </c>
      <c r="M444" s="9">
        <v>43241</v>
      </c>
      <c r="N444" s="9">
        <v>43644</v>
      </c>
      <c r="O444" s="9">
        <v>43628</v>
      </c>
      <c r="P444" s="10" t="s">
        <v>35</v>
      </c>
      <c r="Q444" s="76">
        <v>730</v>
      </c>
      <c r="R444" s="97">
        <f t="shared" si="18"/>
        <v>2</v>
      </c>
      <c r="S444" s="75">
        <f t="shared" si="17"/>
        <v>16518</v>
      </c>
      <c r="T444" s="128" t="s">
        <v>320</v>
      </c>
      <c r="U444" s="8">
        <v>43644</v>
      </c>
      <c r="W444" s="6" t="s">
        <v>84</v>
      </c>
      <c r="X444" s="95">
        <v>46717</v>
      </c>
    </row>
    <row r="445" spans="1:24" x14ac:dyDescent="0.25">
      <c r="A445" s="6" t="s">
        <v>70</v>
      </c>
      <c r="B445" s="94" t="s">
        <v>1631</v>
      </c>
      <c r="C445" s="6" t="s">
        <v>1632</v>
      </c>
      <c r="D445" s="140">
        <v>12166659</v>
      </c>
      <c r="E445" s="6" t="s">
        <v>339</v>
      </c>
      <c r="F445" s="10" t="s">
        <v>143</v>
      </c>
      <c r="G445" s="6" t="s">
        <v>1633</v>
      </c>
      <c r="H445" s="8">
        <v>50443</v>
      </c>
      <c r="I445" s="8">
        <v>43299</v>
      </c>
      <c r="J445" s="8">
        <v>43301</v>
      </c>
      <c r="K445" s="95">
        <v>43313</v>
      </c>
      <c r="L445" s="95" t="s">
        <v>31</v>
      </c>
      <c r="M445" s="8">
        <v>43320</v>
      </c>
      <c r="N445" s="8">
        <v>43818</v>
      </c>
      <c r="O445" s="8">
        <v>43803</v>
      </c>
      <c r="P445" s="6" t="s">
        <v>182</v>
      </c>
      <c r="R445" s="97" t="str">
        <f t="shared" si="18"/>
        <v/>
      </c>
      <c r="S445" s="75" t="str">
        <f t="shared" si="17"/>
        <v/>
      </c>
      <c r="U445" s="8">
        <v>43818</v>
      </c>
      <c r="W445" s="6" t="s">
        <v>33</v>
      </c>
      <c r="X445" s="95">
        <v>47218</v>
      </c>
    </row>
    <row r="446" spans="1:24" x14ac:dyDescent="0.25">
      <c r="A446" s="6" t="s">
        <v>85</v>
      </c>
      <c r="B446" s="94" t="s">
        <v>1634</v>
      </c>
      <c r="C446" s="6" t="s">
        <v>1635</v>
      </c>
      <c r="D446" s="140">
        <v>12180728</v>
      </c>
      <c r="E446" s="6" t="s">
        <v>153</v>
      </c>
      <c r="F446" s="10" t="s">
        <v>139</v>
      </c>
      <c r="G446" s="6" t="s">
        <v>1636</v>
      </c>
      <c r="H446" s="8">
        <v>57715</v>
      </c>
      <c r="I446" s="8">
        <v>43299</v>
      </c>
      <c r="J446" s="8">
        <v>43301</v>
      </c>
      <c r="K446" s="95">
        <v>43313</v>
      </c>
      <c r="L446" s="95" t="s">
        <v>31</v>
      </c>
      <c r="M446" s="8">
        <v>43320</v>
      </c>
      <c r="R446" s="97" t="str">
        <f t="shared" si="18"/>
        <v/>
      </c>
      <c r="S446" s="75" t="str">
        <f t="shared" si="17"/>
        <v/>
      </c>
      <c r="W446" s="6" t="s">
        <v>84</v>
      </c>
      <c r="X446" s="95">
        <v>49954</v>
      </c>
    </row>
    <row r="447" spans="1:24" x14ac:dyDescent="0.25">
      <c r="A447" s="6" t="s">
        <v>70</v>
      </c>
      <c r="B447" s="94" t="s">
        <v>1637</v>
      </c>
      <c r="C447" s="6" t="s">
        <v>1638</v>
      </c>
      <c r="D447" s="140">
        <v>11928879</v>
      </c>
      <c r="E447" s="6" t="s">
        <v>866</v>
      </c>
      <c r="F447" s="10" t="s">
        <v>293</v>
      </c>
      <c r="G447" s="6">
        <v>141654</v>
      </c>
      <c r="H447" s="8">
        <v>57506</v>
      </c>
      <c r="I447" s="8">
        <v>43299</v>
      </c>
      <c r="J447" s="8">
        <v>43301</v>
      </c>
      <c r="K447" s="95">
        <v>43306</v>
      </c>
      <c r="L447" s="95" t="s">
        <v>31</v>
      </c>
      <c r="M447" s="8">
        <v>43312</v>
      </c>
      <c r="N447" s="108">
        <v>44250</v>
      </c>
      <c r="O447" s="108">
        <v>44244</v>
      </c>
      <c r="P447" s="107" t="s">
        <v>35</v>
      </c>
      <c r="Q447" s="110">
        <v>0</v>
      </c>
      <c r="R447" s="97" t="str">
        <f t="shared" si="18"/>
        <v/>
      </c>
      <c r="S447" s="75" t="str">
        <f t="shared" si="17"/>
        <v/>
      </c>
      <c r="U447" s="8">
        <v>44776</v>
      </c>
      <c r="W447" s="6" t="s">
        <v>84</v>
      </c>
      <c r="X447" s="95">
        <v>45804</v>
      </c>
    </row>
    <row r="448" spans="1:24" x14ac:dyDescent="0.25">
      <c r="A448" s="6" t="s">
        <v>70</v>
      </c>
      <c r="B448" s="94" t="s">
        <v>1639</v>
      </c>
      <c r="C448" s="6" t="s">
        <v>1640</v>
      </c>
      <c r="D448" s="140">
        <v>11613242</v>
      </c>
      <c r="E448" s="6" t="s">
        <v>472</v>
      </c>
      <c r="F448" s="10" t="s">
        <v>528</v>
      </c>
      <c r="G448" s="6" t="s">
        <v>1641</v>
      </c>
      <c r="H448" s="8">
        <v>43742</v>
      </c>
      <c r="I448" s="8">
        <v>43299</v>
      </c>
      <c r="J448" s="8">
        <v>43301</v>
      </c>
      <c r="K448" s="95">
        <v>43306</v>
      </c>
      <c r="L448" s="95" t="s">
        <v>31</v>
      </c>
      <c r="M448" s="8">
        <v>43312</v>
      </c>
      <c r="N448" s="8">
        <v>43412</v>
      </c>
      <c r="O448" s="8">
        <v>43406</v>
      </c>
      <c r="P448" s="6" t="s">
        <v>75</v>
      </c>
      <c r="R448" s="97" t="str">
        <f t="shared" si="18"/>
        <v/>
      </c>
      <c r="S448" s="75" t="str">
        <f t="shared" si="17"/>
        <v/>
      </c>
      <c r="T448" s="133" t="s">
        <v>1642</v>
      </c>
      <c r="U448" s="8">
        <v>43412</v>
      </c>
      <c r="W448" s="6" t="s">
        <v>33</v>
      </c>
      <c r="X448" s="95">
        <v>44241</v>
      </c>
    </row>
    <row r="449" spans="1:24" x14ac:dyDescent="0.25">
      <c r="A449" s="6" t="s">
        <v>70</v>
      </c>
      <c r="B449" s="94" t="s">
        <v>1094</v>
      </c>
      <c r="C449" s="6" t="s">
        <v>1643</v>
      </c>
      <c r="D449" s="140">
        <v>11225027</v>
      </c>
      <c r="E449" s="6" t="s">
        <v>142</v>
      </c>
      <c r="F449" s="10" t="s">
        <v>95</v>
      </c>
      <c r="G449" s="6" t="s">
        <v>1644</v>
      </c>
      <c r="H449" s="8">
        <v>50723</v>
      </c>
      <c r="I449" s="8">
        <v>43299</v>
      </c>
      <c r="J449" s="8">
        <v>43301</v>
      </c>
      <c r="K449" s="95">
        <v>43306</v>
      </c>
      <c r="L449" s="95" t="s">
        <v>31</v>
      </c>
      <c r="M449" s="8">
        <v>43312</v>
      </c>
      <c r="N449" s="8">
        <v>43504</v>
      </c>
      <c r="O449" s="8">
        <v>43497</v>
      </c>
      <c r="P449" s="6" t="s">
        <v>35</v>
      </c>
      <c r="Q449" s="96">
        <v>1947</v>
      </c>
      <c r="R449" s="97">
        <f t="shared" si="18"/>
        <v>5.3342465753424655</v>
      </c>
      <c r="S449" s="75">
        <f t="shared" si="17"/>
        <v>44055.542465753424</v>
      </c>
      <c r="T449" s="124" t="s">
        <v>1645</v>
      </c>
      <c r="U449" s="8">
        <v>43504</v>
      </c>
      <c r="W449" s="6" t="s">
        <v>84</v>
      </c>
      <c r="X449" s="95">
        <v>47554</v>
      </c>
    </row>
    <row r="450" spans="1:24" x14ac:dyDescent="0.25">
      <c r="A450" s="6" t="s">
        <v>70</v>
      </c>
      <c r="B450" s="94" t="s">
        <v>136</v>
      </c>
      <c r="C450" s="6" t="s">
        <v>1646</v>
      </c>
      <c r="D450" s="140">
        <v>11375465</v>
      </c>
      <c r="E450" s="6" t="s">
        <v>547</v>
      </c>
      <c r="F450" s="10" t="s">
        <v>143</v>
      </c>
      <c r="G450" s="6" t="s">
        <v>1647</v>
      </c>
      <c r="H450" s="8">
        <v>50926</v>
      </c>
      <c r="I450" s="8">
        <v>43299</v>
      </c>
      <c r="J450" s="8">
        <v>43301</v>
      </c>
      <c r="K450" s="95">
        <v>43313</v>
      </c>
      <c r="L450" s="95" t="s">
        <v>31</v>
      </c>
      <c r="M450" s="8">
        <v>43320</v>
      </c>
      <c r="N450" s="8">
        <v>43607</v>
      </c>
      <c r="O450" s="8">
        <v>43581</v>
      </c>
      <c r="P450" s="6" t="s">
        <v>35</v>
      </c>
      <c r="Q450" s="96">
        <v>4383</v>
      </c>
      <c r="R450" s="97">
        <f t="shared" si="18"/>
        <v>12.008219178082191</v>
      </c>
      <c r="S450" s="75">
        <f t="shared" si="17"/>
        <v>99175.882191780824</v>
      </c>
      <c r="U450" s="8">
        <v>43607</v>
      </c>
      <c r="W450" s="6" t="s">
        <v>84</v>
      </c>
      <c r="X450" s="95">
        <v>49862</v>
      </c>
    </row>
    <row r="451" spans="1:24" ht="30" x14ac:dyDescent="0.25">
      <c r="A451" s="6" t="s">
        <v>25</v>
      </c>
      <c r="B451" s="94" t="s">
        <v>1648</v>
      </c>
      <c r="C451" s="6" t="s">
        <v>1649</v>
      </c>
      <c r="D451" s="140">
        <v>11280149</v>
      </c>
      <c r="E451" s="6" t="s">
        <v>1650</v>
      </c>
      <c r="F451" s="10" t="s">
        <v>934</v>
      </c>
      <c r="G451" s="6" t="s">
        <v>1651</v>
      </c>
      <c r="H451" s="8">
        <v>45949</v>
      </c>
      <c r="I451" s="8">
        <v>43615</v>
      </c>
      <c r="J451" s="8">
        <v>43615</v>
      </c>
      <c r="K451" s="95">
        <v>43648</v>
      </c>
      <c r="L451" s="95" t="s">
        <v>31</v>
      </c>
      <c r="M451" s="8">
        <v>43655</v>
      </c>
      <c r="N451" s="8">
        <v>45069</v>
      </c>
      <c r="O451" s="8">
        <v>45062</v>
      </c>
      <c r="P451" s="6" t="s">
        <v>69</v>
      </c>
      <c r="R451" s="97" t="str">
        <f t="shared" si="18"/>
        <v/>
      </c>
      <c r="S451" s="75" t="str">
        <f t="shared" si="17"/>
        <v/>
      </c>
      <c r="T451" s="124" t="s">
        <v>1652</v>
      </c>
      <c r="U451" s="8">
        <v>45070</v>
      </c>
      <c r="W451" s="6" t="s">
        <v>33</v>
      </c>
      <c r="X451" s="95">
        <v>45784</v>
      </c>
    </row>
    <row r="452" spans="1:24" x14ac:dyDescent="0.25">
      <c r="A452" s="6" t="s">
        <v>37</v>
      </c>
      <c r="B452" s="94" t="s">
        <v>1653</v>
      </c>
      <c r="C452" s="6" t="s">
        <v>1654</v>
      </c>
      <c r="D452" s="140">
        <v>12165524</v>
      </c>
      <c r="E452" s="6" t="s">
        <v>1082</v>
      </c>
      <c r="F452" s="10" t="s">
        <v>134</v>
      </c>
      <c r="G452" s="6" t="s">
        <v>1655</v>
      </c>
      <c r="H452" s="8">
        <v>46074</v>
      </c>
      <c r="I452" s="8">
        <v>43299</v>
      </c>
      <c r="J452" s="8">
        <v>43328</v>
      </c>
      <c r="K452" s="95">
        <v>43328</v>
      </c>
      <c r="L452" s="95" t="s">
        <v>359</v>
      </c>
      <c r="R452" s="97" t="str">
        <f t="shared" si="18"/>
        <v/>
      </c>
      <c r="S452" s="75" t="str">
        <f t="shared" si="17"/>
        <v/>
      </c>
      <c r="U452" s="8">
        <v>43341</v>
      </c>
      <c r="W452" s="6" t="s">
        <v>33</v>
      </c>
      <c r="X452" s="95">
        <v>52885</v>
      </c>
    </row>
    <row r="453" spans="1:24" x14ac:dyDescent="0.25">
      <c r="A453" s="6" t="s">
        <v>70</v>
      </c>
      <c r="B453" s="94" t="s">
        <v>594</v>
      </c>
      <c r="C453" s="6" t="s">
        <v>1656</v>
      </c>
      <c r="D453" s="140">
        <v>11931233</v>
      </c>
      <c r="E453" s="6" t="s">
        <v>498</v>
      </c>
      <c r="F453" s="10" t="s">
        <v>139</v>
      </c>
      <c r="G453" s="6">
        <v>177481</v>
      </c>
      <c r="H453" s="8">
        <v>2958125</v>
      </c>
      <c r="I453" s="8">
        <v>43304</v>
      </c>
      <c r="J453" s="8">
        <v>43304</v>
      </c>
      <c r="K453" s="95">
        <v>43306</v>
      </c>
      <c r="L453" s="95" t="s">
        <v>31</v>
      </c>
      <c r="M453" s="8">
        <v>43312</v>
      </c>
      <c r="N453" s="8">
        <v>43360</v>
      </c>
      <c r="O453" s="8">
        <v>43356</v>
      </c>
      <c r="P453" s="6" t="s">
        <v>35</v>
      </c>
      <c r="Q453" s="96">
        <v>1460</v>
      </c>
      <c r="R453" s="97">
        <f t="shared" si="18"/>
        <v>4</v>
      </c>
      <c r="S453" s="75">
        <f t="shared" si="17"/>
        <v>33036</v>
      </c>
      <c r="U453" s="8">
        <v>43362</v>
      </c>
      <c r="W453" s="6" t="s">
        <v>84</v>
      </c>
      <c r="X453" s="6" t="s">
        <v>683</v>
      </c>
    </row>
    <row r="454" spans="1:24" x14ac:dyDescent="0.25">
      <c r="A454" s="6" t="s">
        <v>85</v>
      </c>
      <c r="B454" s="94" t="s">
        <v>1657</v>
      </c>
      <c r="C454" s="6" t="s">
        <v>1658</v>
      </c>
      <c r="D454" s="140">
        <v>11912222</v>
      </c>
      <c r="E454" s="6" t="s">
        <v>1659</v>
      </c>
      <c r="F454" s="10" t="s">
        <v>44</v>
      </c>
      <c r="G454" s="6" t="s">
        <v>1660</v>
      </c>
      <c r="H454" s="8">
        <v>51285</v>
      </c>
      <c r="I454" s="8">
        <v>43304</v>
      </c>
      <c r="J454" s="8">
        <v>43304</v>
      </c>
      <c r="K454" s="95">
        <v>43306</v>
      </c>
      <c r="L454" s="95" t="s">
        <v>31</v>
      </c>
      <c r="M454" s="8">
        <v>43312</v>
      </c>
      <c r="N454" s="8">
        <v>43341</v>
      </c>
      <c r="O454" s="8">
        <v>43332</v>
      </c>
      <c r="P454" s="6" t="s">
        <v>35</v>
      </c>
      <c r="Q454" s="96">
        <v>240</v>
      </c>
      <c r="R454" s="97">
        <f t="shared" si="18"/>
        <v>0.65753424657534243</v>
      </c>
      <c r="S454" s="75">
        <f t="shared" si="17"/>
        <v>5430.5753424657532</v>
      </c>
      <c r="U454" s="8">
        <v>43354</v>
      </c>
      <c r="W454" s="6" t="s">
        <v>84</v>
      </c>
      <c r="X454" s="95">
        <v>43504</v>
      </c>
    </row>
    <row r="455" spans="1:24" x14ac:dyDescent="0.25">
      <c r="A455" s="6" t="s">
        <v>85</v>
      </c>
      <c r="B455" s="94" t="s">
        <v>291</v>
      </c>
      <c r="C455" s="6" t="s">
        <v>1661</v>
      </c>
      <c r="D455" s="140">
        <v>12002618</v>
      </c>
      <c r="E455" s="6" t="s">
        <v>1662</v>
      </c>
      <c r="F455" s="10" t="s">
        <v>148</v>
      </c>
      <c r="G455" s="6" t="s">
        <v>1663</v>
      </c>
      <c r="H455" s="8">
        <v>55462</v>
      </c>
      <c r="I455" s="8">
        <v>43304</v>
      </c>
      <c r="J455" s="8">
        <v>43304</v>
      </c>
      <c r="K455" s="95">
        <v>43306</v>
      </c>
      <c r="L455" s="95" t="s">
        <v>31</v>
      </c>
      <c r="M455" s="8">
        <v>43312</v>
      </c>
      <c r="N455" s="8">
        <v>43438</v>
      </c>
      <c r="O455" s="8">
        <v>43424</v>
      </c>
      <c r="P455" s="6" t="s">
        <v>35</v>
      </c>
      <c r="Q455" s="96">
        <v>2921</v>
      </c>
      <c r="R455" s="97">
        <f t="shared" si="18"/>
        <v>8.0027397260273965</v>
      </c>
      <c r="S455" s="75">
        <f t="shared" si="17"/>
        <v>66094.627397260279</v>
      </c>
      <c r="U455" s="8">
        <v>43439</v>
      </c>
      <c r="W455" s="6" t="s">
        <v>84</v>
      </c>
      <c r="X455" s="95">
        <v>51850</v>
      </c>
    </row>
    <row r="456" spans="1:24" s="112" customFormat="1" x14ac:dyDescent="0.25">
      <c r="A456" s="6" t="s">
        <v>70</v>
      </c>
      <c r="B456" s="94" t="s">
        <v>1664</v>
      </c>
      <c r="C456" s="6" t="s">
        <v>1665</v>
      </c>
      <c r="D456" s="140">
        <v>11265666</v>
      </c>
      <c r="E456" s="6" t="s">
        <v>480</v>
      </c>
      <c r="F456" s="10" t="s">
        <v>44</v>
      </c>
      <c r="G456" s="6" t="s">
        <v>1666</v>
      </c>
      <c r="H456" s="8">
        <v>55439</v>
      </c>
      <c r="I456" s="8">
        <v>43304</v>
      </c>
      <c r="J456" s="8">
        <v>43304</v>
      </c>
      <c r="K456" s="95">
        <v>43306</v>
      </c>
      <c r="L456" s="95" t="s">
        <v>31</v>
      </c>
      <c r="M456" s="8">
        <v>43312</v>
      </c>
      <c r="N456" s="8">
        <v>43339</v>
      </c>
      <c r="O456" s="8">
        <v>43335</v>
      </c>
      <c r="P456" s="6" t="s">
        <v>35</v>
      </c>
      <c r="Q456" s="96">
        <v>3652</v>
      </c>
      <c r="R456" s="97">
        <f t="shared" si="18"/>
        <v>10.005479452054795</v>
      </c>
      <c r="S456" s="75">
        <f t="shared" si="17"/>
        <v>82635.254794520544</v>
      </c>
      <c r="T456" s="132" t="s">
        <v>1667</v>
      </c>
      <c r="U456" s="8">
        <v>43348</v>
      </c>
      <c r="V456" s="6"/>
      <c r="W456" s="6" t="s">
        <v>84</v>
      </c>
      <c r="X456" s="95">
        <v>49411</v>
      </c>
    </row>
    <row r="457" spans="1:24" x14ac:dyDescent="0.25">
      <c r="A457" s="6" t="s">
        <v>85</v>
      </c>
      <c r="B457" s="94" t="s">
        <v>1668</v>
      </c>
      <c r="C457" s="6" t="s">
        <v>1669</v>
      </c>
      <c r="D457" s="140">
        <v>11321474</v>
      </c>
      <c r="E457" s="6" t="s">
        <v>80</v>
      </c>
      <c r="F457" s="10" t="s">
        <v>44</v>
      </c>
      <c r="G457" s="6" t="s">
        <v>1670</v>
      </c>
      <c r="H457" s="8">
        <v>52657</v>
      </c>
      <c r="I457" s="8">
        <v>43304</v>
      </c>
      <c r="J457" s="8">
        <v>43304</v>
      </c>
      <c r="K457" s="95">
        <v>43313</v>
      </c>
      <c r="L457" s="95" t="s">
        <v>31</v>
      </c>
      <c r="M457" s="8">
        <v>43320</v>
      </c>
      <c r="N457" s="8">
        <v>43406</v>
      </c>
      <c r="O457" s="8">
        <v>43377</v>
      </c>
      <c r="P457" s="6" t="s">
        <v>35</v>
      </c>
      <c r="Q457" s="96">
        <v>1216</v>
      </c>
      <c r="R457" s="97">
        <f t="shared" si="18"/>
        <v>3.3315068493150686</v>
      </c>
      <c r="S457" s="75">
        <f t="shared" si="17"/>
        <v>27514.915068493152</v>
      </c>
      <c r="T457" s="124" t="s">
        <v>1671</v>
      </c>
      <c r="U457" s="8">
        <v>43413</v>
      </c>
      <c r="W457" s="6" t="s">
        <v>33</v>
      </c>
      <c r="X457" s="95">
        <v>44377</v>
      </c>
    </row>
    <row r="458" spans="1:24" x14ac:dyDescent="0.25">
      <c r="A458" s="6" t="s">
        <v>65</v>
      </c>
      <c r="B458" s="94" t="s">
        <v>1672</v>
      </c>
      <c r="C458" s="6" t="s">
        <v>1673</v>
      </c>
      <c r="D458" s="140">
        <v>12146885</v>
      </c>
      <c r="E458" s="6" t="s">
        <v>1151</v>
      </c>
      <c r="F458" s="10" t="s">
        <v>934</v>
      </c>
      <c r="G458" s="6" t="s">
        <v>1674</v>
      </c>
      <c r="H458" s="8">
        <v>45985</v>
      </c>
      <c r="I458" s="8">
        <v>43273</v>
      </c>
      <c r="J458" s="8">
        <v>43273</v>
      </c>
      <c r="K458" s="95">
        <v>43292</v>
      </c>
      <c r="L458" s="95" t="s">
        <v>31</v>
      </c>
      <c r="M458" s="8">
        <v>43299</v>
      </c>
      <c r="N458" s="8">
        <v>43412</v>
      </c>
      <c r="O458" s="8">
        <v>43409</v>
      </c>
      <c r="P458" s="101" t="s">
        <v>182</v>
      </c>
      <c r="R458" s="97" t="str">
        <f t="shared" si="18"/>
        <v/>
      </c>
      <c r="S458" s="75" t="str">
        <f t="shared" si="17"/>
        <v/>
      </c>
      <c r="U458" s="8">
        <v>43412</v>
      </c>
      <c r="W458" s="6" t="s">
        <v>33</v>
      </c>
      <c r="X458" s="95">
        <v>46641</v>
      </c>
    </row>
    <row r="459" spans="1:24" ht="45" x14ac:dyDescent="0.25">
      <c r="A459" s="6" t="s">
        <v>65</v>
      </c>
      <c r="B459" s="94" t="s">
        <v>1265</v>
      </c>
      <c r="C459" s="6" t="s">
        <v>1675</v>
      </c>
      <c r="D459" s="140">
        <v>12132275</v>
      </c>
      <c r="E459" s="6" t="s">
        <v>866</v>
      </c>
      <c r="F459" s="10" t="s">
        <v>44</v>
      </c>
      <c r="G459" s="6" t="s">
        <v>1676</v>
      </c>
      <c r="H459" s="115">
        <v>44890</v>
      </c>
      <c r="I459" s="8">
        <v>43333</v>
      </c>
      <c r="J459" s="8">
        <v>43333</v>
      </c>
      <c r="K459" s="95">
        <v>43334</v>
      </c>
      <c r="L459" s="95" t="s">
        <v>31</v>
      </c>
      <c r="M459" s="8">
        <v>43341</v>
      </c>
      <c r="N459" s="8">
        <v>43438</v>
      </c>
      <c r="O459" s="8">
        <v>43409</v>
      </c>
      <c r="P459" s="101" t="s">
        <v>52</v>
      </c>
      <c r="R459" s="97" t="str">
        <f t="shared" si="18"/>
        <v/>
      </c>
      <c r="S459" s="75" t="str">
        <f t="shared" si="17"/>
        <v/>
      </c>
      <c r="T459" s="124" t="s">
        <v>1677</v>
      </c>
      <c r="U459" s="8">
        <v>43438</v>
      </c>
      <c r="W459" s="6" t="s">
        <v>33</v>
      </c>
      <c r="X459" s="95">
        <v>46468</v>
      </c>
    </row>
    <row r="460" spans="1:24" x14ac:dyDescent="0.25">
      <c r="A460" s="6" t="s">
        <v>65</v>
      </c>
      <c r="B460" s="94" t="s">
        <v>1678</v>
      </c>
      <c r="C460" s="6" t="s">
        <v>1679</v>
      </c>
      <c r="D460" s="140">
        <v>11342301</v>
      </c>
      <c r="E460" s="6" t="s">
        <v>157</v>
      </c>
      <c r="F460" s="10" t="s">
        <v>934</v>
      </c>
      <c r="G460" s="6" t="s">
        <v>1680</v>
      </c>
      <c r="H460" s="8">
        <v>46354</v>
      </c>
      <c r="I460" s="8">
        <v>43347</v>
      </c>
      <c r="J460" s="8">
        <v>43347</v>
      </c>
      <c r="K460" s="95">
        <v>43344</v>
      </c>
      <c r="L460" s="95" t="s">
        <v>31</v>
      </c>
      <c r="M460" s="8">
        <v>43360</v>
      </c>
      <c r="N460" s="8">
        <v>43412</v>
      </c>
      <c r="O460" s="8">
        <v>43409</v>
      </c>
      <c r="P460" s="101" t="s">
        <v>182</v>
      </c>
      <c r="R460" s="97" t="str">
        <f t="shared" si="18"/>
        <v/>
      </c>
      <c r="S460" s="75" t="str">
        <f t="shared" si="17"/>
        <v/>
      </c>
      <c r="U460" s="8">
        <v>43412</v>
      </c>
      <c r="W460" s="6" t="s">
        <v>33</v>
      </c>
      <c r="X460" s="95">
        <v>46637</v>
      </c>
    </row>
    <row r="461" spans="1:24" x14ac:dyDescent="0.25">
      <c r="A461" s="6" t="s">
        <v>70</v>
      </c>
      <c r="B461" s="94" t="s">
        <v>1681</v>
      </c>
      <c r="C461" s="6" t="s">
        <v>1682</v>
      </c>
      <c r="D461" s="140">
        <v>11578093</v>
      </c>
      <c r="E461" s="6" t="s">
        <v>175</v>
      </c>
      <c r="F461" s="6" t="s">
        <v>44</v>
      </c>
      <c r="G461" s="6" t="s">
        <v>1683</v>
      </c>
      <c r="H461" s="8">
        <v>44936</v>
      </c>
      <c r="I461" s="8">
        <v>43262</v>
      </c>
      <c r="J461" s="8">
        <v>43263</v>
      </c>
      <c r="K461" s="95">
        <v>43278</v>
      </c>
      <c r="L461" s="95" t="s">
        <v>31</v>
      </c>
      <c r="M461" s="8">
        <v>43280</v>
      </c>
      <c r="N461" s="8">
        <v>43418</v>
      </c>
      <c r="O461" s="8">
        <v>43410</v>
      </c>
      <c r="P461" s="101" t="s">
        <v>182</v>
      </c>
      <c r="R461" s="97" t="str">
        <f t="shared" si="18"/>
        <v/>
      </c>
      <c r="S461" s="75" t="str">
        <f t="shared" si="17"/>
        <v/>
      </c>
      <c r="U461" s="8">
        <v>43431</v>
      </c>
      <c r="W461" s="6" t="s">
        <v>33</v>
      </c>
      <c r="X461" s="95">
        <v>43835</v>
      </c>
    </row>
    <row r="462" spans="1:24" x14ac:dyDescent="0.25">
      <c r="A462" s="6" t="s">
        <v>77</v>
      </c>
      <c r="B462" s="94" t="s">
        <v>312</v>
      </c>
      <c r="C462" s="6" t="s">
        <v>626</v>
      </c>
      <c r="D462" s="140">
        <v>11628459</v>
      </c>
      <c r="E462" s="6" t="s">
        <v>314</v>
      </c>
      <c r="F462" s="10" t="s">
        <v>29</v>
      </c>
      <c r="G462" s="6" t="s">
        <v>627</v>
      </c>
      <c r="H462" s="8">
        <v>45195</v>
      </c>
      <c r="I462" s="8">
        <v>43405</v>
      </c>
      <c r="J462" s="95">
        <v>43405</v>
      </c>
      <c r="K462" s="95">
        <v>43405</v>
      </c>
      <c r="L462" s="95" t="s">
        <v>31</v>
      </c>
      <c r="M462" s="8">
        <v>43409</v>
      </c>
      <c r="P462" s="6" t="s">
        <v>628</v>
      </c>
      <c r="R462" s="97" t="str">
        <f t="shared" si="18"/>
        <v/>
      </c>
      <c r="S462" s="75" t="str">
        <f t="shared" si="17"/>
        <v/>
      </c>
      <c r="T462" s="124" t="s">
        <v>629</v>
      </c>
      <c r="W462" s="6" t="s">
        <v>33</v>
      </c>
      <c r="X462" s="95">
        <v>45939</v>
      </c>
    </row>
    <row r="463" spans="1:24" x14ac:dyDescent="0.25">
      <c r="A463" s="6" t="s">
        <v>70</v>
      </c>
      <c r="B463" s="106" t="s">
        <v>1684</v>
      </c>
      <c r="C463" s="6" t="s">
        <v>1685</v>
      </c>
      <c r="D463" s="140">
        <v>12183406</v>
      </c>
      <c r="E463" s="6" t="s">
        <v>997</v>
      </c>
      <c r="F463" s="10" t="s">
        <v>528</v>
      </c>
      <c r="G463" s="6" t="s">
        <v>1686</v>
      </c>
      <c r="H463" s="8">
        <v>47523</v>
      </c>
      <c r="I463" s="8">
        <v>43306</v>
      </c>
      <c r="J463" s="8">
        <v>43306</v>
      </c>
      <c r="K463" s="95">
        <v>43319</v>
      </c>
      <c r="L463" s="95" t="s">
        <v>31</v>
      </c>
      <c r="M463" s="8">
        <v>43325</v>
      </c>
      <c r="N463" s="8">
        <v>43431</v>
      </c>
      <c r="O463" s="8">
        <v>43410</v>
      </c>
      <c r="P463" s="101" t="s">
        <v>182</v>
      </c>
      <c r="R463" s="97" t="str">
        <f t="shared" si="18"/>
        <v/>
      </c>
      <c r="S463" s="75" t="str">
        <f t="shared" si="17"/>
        <v/>
      </c>
      <c r="T463" s="127"/>
      <c r="U463" s="8">
        <v>43431</v>
      </c>
      <c r="W463" s="6" t="s">
        <v>33</v>
      </c>
      <c r="X463" s="95">
        <v>47174</v>
      </c>
    </row>
    <row r="464" spans="1:24" ht="30" x14ac:dyDescent="0.25">
      <c r="A464" s="6" t="s">
        <v>40</v>
      </c>
      <c r="B464" s="94" t="s">
        <v>1687</v>
      </c>
      <c r="C464" s="6" t="s">
        <v>1688</v>
      </c>
      <c r="D464" s="140">
        <v>11347722</v>
      </c>
      <c r="E464" s="6" t="s">
        <v>147</v>
      </c>
      <c r="F464" s="10" t="s">
        <v>44</v>
      </c>
      <c r="G464" s="6" t="s">
        <v>1689</v>
      </c>
      <c r="H464" s="8">
        <v>54714</v>
      </c>
      <c r="I464" s="8">
        <v>43304</v>
      </c>
      <c r="J464" s="8">
        <v>43304</v>
      </c>
      <c r="K464" s="95">
        <v>43313</v>
      </c>
      <c r="L464" s="95" t="s">
        <v>31</v>
      </c>
      <c r="M464" s="8">
        <v>43320</v>
      </c>
      <c r="N464" s="8">
        <v>43524</v>
      </c>
      <c r="O464" s="8">
        <v>43521</v>
      </c>
      <c r="P464" s="6" t="s">
        <v>45</v>
      </c>
      <c r="Q464" s="96">
        <v>3652</v>
      </c>
      <c r="R464" s="97">
        <f t="shared" si="18"/>
        <v>10.005479452054795</v>
      </c>
      <c r="S464" s="75">
        <f t="shared" si="17"/>
        <v>82635.254794520544</v>
      </c>
      <c r="T464" s="124" t="s">
        <v>1690</v>
      </c>
      <c r="U464" s="8">
        <v>43524</v>
      </c>
      <c r="W464" s="6" t="s">
        <v>84</v>
      </c>
      <c r="X464" s="95">
        <v>48226</v>
      </c>
    </row>
    <row r="465" spans="1:24" x14ac:dyDescent="0.25">
      <c r="A465" s="6" t="s">
        <v>70</v>
      </c>
      <c r="B465" s="94" t="s">
        <v>1691</v>
      </c>
      <c r="C465" s="6" t="s">
        <v>1692</v>
      </c>
      <c r="D465" s="140">
        <v>11218836</v>
      </c>
      <c r="E465" s="6" t="s">
        <v>1539</v>
      </c>
      <c r="F465" s="10" t="s">
        <v>100</v>
      </c>
      <c r="G465" s="6" t="s">
        <v>1693</v>
      </c>
      <c r="H465" s="8">
        <v>74173</v>
      </c>
      <c r="I465" s="8">
        <v>43304</v>
      </c>
      <c r="J465" s="8">
        <v>43304</v>
      </c>
      <c r="K465" s="95">
        <v>43313</v>
      </c>
      <c r="L465" s="95" t="s">
        <v>31</v>
      </c>
      <c r="M465" s="8">
        <v>43320</v>
      </c>
      <c r="N465" s="8">
        <v>44274</v>
      </c>
      <c r="O465" s="8">
        <v>44363</v>
      </c>
      <c r="P465" s="6" t="s">
        <v>69</v>
      </c>
      <c r="R465" s="97" t="str">
        <f t="shared" si="18"/>
        <v/>
      </c>
      <c r="S465" s="75" t="str">
        <f t="shared" si="17"/>
        <v/>
      </c>
      <c r="T465" s="124" t="s">
        <v>1694</v>
      </c>
      <c r="U465" s="8">
        <v>44274</v>
      </c>
      <c r="W465" s="6" t="s">
        <v>84</v>
      </c>
      <c r="X465" s="95">
        <v>51132</v>
      </c>
    </row>
    <row r="466" spans="1:24" x14ac:dyDescent="0.25">
      <c r="A466" s="6" t="s">
        <v>85</v>
      </c>
      <c r="B466" s="94" t="s">
        <v>659</v>
      </c>
      <c r="C466" s="6" t="s">
        <v>1695</v>
      </c>
      <c r="D466" s="140">
        <v>11953116</v>
      </c>
      <c r="E466" s="6" t="s">
        <v>881</v>
      </c>
      <c r="F466" s="10" t="s">
        <v>44</v>
      </c>
      <c r="G466" s="6" t="s">
        <v>1696</v>
      </c>
      <c r="H466" s="8">
        <v>56333</v>
      </c>
      <c r="I466" s="8">
        <v>43304</v>
      </c>
      <c r="J466" s="8">
        <v>43304</v>
      </c>
      <c r="K466" s="95">
        <v>43306</v>
      </c>
      <c r="L466" s="95" t="s">
        <v>31</v>
      </c>
      <c r="M466" s="8">
        <v>43312</v>
      </c>
      <c r="R466" s="97" t="str">
        <f t="shared" si="18"/>
        <v/>
      </c>
      <c r="S466" s="75" t="str">
        <f t="shared" si="17"/>
        <v/>
      </c>
      <c r="W466" s="6" t="s">
        <v>33</v>
      </c>
      <c r="X466" s="95">
        <v>42486</v>
      </c>
    </row>
    <row r="467" spans="1:24" x14ac:dyDescent="0.25">
      <c r="A467" s="6" t="s">
        <v>25</v>
      </c>
      <c r="B467" s="94" t="s">
        <v>554</v>
      </c>
      <c r="C467" s="6" t="s">
        <v>1697</v>
      </c>
      <c r="D467" s="140">
        <v>11046459</v>
      </c>
      <c r="E467" s="6" t="s">
        <v>142</v>
      </c>
      <c r="F467" s="10" t="s">
        <v>1384</v>
      </c>
      <c r="G467" s="6" t="s">
        <v>1698</v>
      </c>
      <c r="H467" s="8">
        <v>46234</v>
      </c>
      <c r="I467" s="8">
        <v>43600</v>
      </c>
      <c r="J467" s="8">
        <v>43600</v>
      </c>
      <c r="K467" s="95">
        <v>43620</v>
      </c>
      <c r="L467" s="95" t="s">
        <v>31</v>
      </c>
      <c r="M467" s="8">
        <v>43627</v>
      </c>
      <c r="N467" s="8">
        <v>44700</v>
      </c>
      <c r="O467" s="8">
        <v>44691</v>
      </c>
      <c r="P467" s="6" t="s">
        <v>35</v>
      </c>
      <c r="Q467" s="96">
        <v>487</v>
      </c>
      <c r="R467" s="97">
        <f t="shared" si="18"/>
        <v>1.3342465753424657</v>
      </c>
      <c r="S467" s="75">
        <f t="shared" si="17"/>
        <v>11019.542465753426</v>
      </c>
      <c r="U467" s="8">
        <v>44719</v>
      </c>
      <c r="W467" s="6" t="s">
        <v>33</v>
      </c>
      <c r="X467" s="95">
        <v>52839</v>
      </c>
    </row>
    <row r="468" spans="1:24" x14ac:dyDescent="0.25">
      <c r="A468" s="6" t="s">
        <v>70</v>
      </c>
      <c r="B468" s="94" t="s">
        <v>1699</v>
      </c>
      <c r="C468" s="6" t="s">
        <v>1700</v>
      </c>
      <c r="D468" s="140">
        <v>11892029</v>
      </c>
      <c r="E468" s="6" t="s">
        <v>706</v>
      </c>
      <c r="F468" s="10" t="s">
        <v>29</v>
      </c>
      <c r="G468" s="6" t="s">
        <v>1701</v>
      </c>
      <c r="H468" s="8">
        <v>49859</v>
      </c>
      <c r="I468" s="8">
        <v>43304</v>
      </c>
      <c r="J468" s="8">
        <v>43304</v>
      </c>
      <c r="K468" s="95">
        <v>43306</v>
      </c>
      <c r="L468" s="95" t="s">
        <v>31</v>
      </c>
      <c r="M468" s="8">
        <v>43312</v>
      </c>
      <c r="R468" s="97" t="str">
        <f t="shared" si="18"/>
        <v/>
      </c>
      <c r="S468" s="75" t="str">
        <f t="shared" si="17"/>
        <v/>
      </c>
      <c r="T468" s="124" t="s">
        <v>1702</v>
      </c>
      <c r="W468" s="6" t="s">
        <v>33</v>
      </c>
      <c r="X468" s="95">
        <v>51448</v>
      </c>
    </row>
    <row r="469" spans="1:24" x14ac:dyDescent="0.25">
      <c r="A469" s="6" t="s">
        <v>70</v>
      </c>
      <c r="B469" s="94" t="s">
        <v>1703</v>
      </c>
      <c r="C469" s="6" t="s">
        <v>1704</v>
      </c>
      <c r="D469" s="140">
        <v>11931907</v>
      </c>
      <c r="E469" s="6" t="s">
        <v>199</v>
      </c>
      <c r="F469" s="10" t="s">
        <v>44</v>
      </c>
      <c r="G469" s="6" t="s">
        <v>1705</v>
      </c>
      <c r="H469" s="8">
        <v>50264</v>
      </c>
      <c r="I469" s="8">
        <v>43304</v>
      </c>
      <c r="J469" s="8">
        <v>43304</v>
      </c>
      <c r="K469" s="95">
        <v>43306</v>
      </c>
      <c r="L469" s="95" t="s">
        <v>31</v>
      </c>
      <c r="M469" s="8">
        <v>43312</v>
      </c>
      <c r="N469" s="108">
        <v>43906</v>
      </c>
      <c r="O469" s="108">
        <v>43900</v>
      </c>
      <c r="P469" s="107" t="s">
        <v>35</v>
      </c>
      <c r="Q469" s="110">
        <v>0</v>
      </c>
      <c r="R469" s="97" t="str">
        <f t="shared" si="18"/>
        <v/>
      </c>
      <c r="S469" s="75" t="str">
        <f t="shared" si="17"/>
        <v/>
      </c>
      <c r="U469" s="8">
        <v>44776</v>
      </c>
      <c r="W469" s="6" t="s">
        <v>84</v>
      </c>
      <c r="X469" s="95">
        <v>43710</v>
      </c>
    </row>
    <row r="470" spans="1:24" x14ac:dyDescent="0.25">
      <c r="A470" s="6" t="s">
        <v>70</v>
      </c>
      <c r="B470" s="94" t="s">
        <v>1668</v>
      </c>
      <c r="C470" s="6" t="s">
        <v>1706</v>
      </c>
      <c r="D470" s="140">
        <v>11597031</v>
      </c>
      <c r="E470" s="6" t="s">
        <v>950</v>
      </c>
      <c r="F470" s="10" t="s">
        <v>528</v>
      </c>
      <c r="G470" s="6" t="s">
        <v>1707</v>
      </c>
      <c r="H470" s="8">
        <v>44289</v>
      </c>
      <c r="I470" s="8">
        <v>43304</v>
      </c>
      <c r="J470" s="8">
        <v>43304</v>
      </c>
      <c r="K470" s="95">
        <v>43306</v>
      </c>
      <c r="L470" s="95" t="s">
        <v>31</v>
      </c>
      <c r="M470" s="8">
        <v>43312</v>
      </c>
      <c r="N470" s="108">
        <v>43389</v>
      </c>
      <c r="O470" s="108">
        <v>43383</v>
      </c>
      <c r="P470" s="107" t="s">
        <v>75</v>
      </c>
      <c r="Q470" s="110"/>
      <c r="R470" s="97" t="str">
        <f t="shared" si="18"/>
        <v/>
      </c>
      <c r="S470" s="75" t="str">
        <f t="shared" si="17"/>
        <v/>
      </c>
      <c r="U470" s="8">
        <v>44776</v>
      </c>
      <c r="W470" s="6" t="s">
        <v>33</v>
      </c>
      <c r="X470" s="95">
        <v>40234</v>
      </c>
    </row>
    <row r="471" spans="1:24" x14ac:dyDescent="0.25">
      <c r="A471" s="6" t="s">
        <v>70</v>
      </c>
      <c r="B471" s="94" t="s">
        <v>102</v>
      </c>
      <c r="C471" s="6" t="s">
        <v>1708</v>
      </c>
      <c r="D471" s="140">
        <v>11554051</v>
      </c>
      <c r="E471" s="6" t="s">
        <v>339</v>
      </c>
      <c r="F471" s="10" t="s">
        <v>81</v>
      </c>
      <c r="G471" s="6">
        <v>2790327906</v>
      </c>
      <c r="H471" s="8">
        <v>69151</v>
      </c>
      <c r="I471" s="8">
        <v>43304</v>
      </c>
      <c r="J471" s="8">
        <v>43304</v>
      </c>
      <c r="K471" s="95">
        <v>43306</v>
      </c>
      <c r="L471" s="95" t="s">
        <v>31</v>
      </c>
      <c r="M471" s="8">
        <v>43312</v>
      </c>
      <c r="N471" s="8">
        <v>43592</v>
      </c>
      <c r="O471" s="8">
        <v>43580</v>
      </c>
      <c r="P471" s="6" t="s">
        <v>35</v>
      </c>
      <c r="Q471" s="96">
        <v>1461</v>
      </c>
      <c r="R471" s="97">
        <f t="shared" si="18"/>
        <v>4.0027397260273974</v>
      </c>
      <c r="S471" s="75">
        <f t="shared" si="17"/>
        <v>33058.627397260272</v>
      </c>
      <c r="T471" s="124" t="s">
        <v>1007</v>
      </c>
      <c r="U471" s="8">
        <v>43594</v>
      </c>
      <c r="W471" s="6" t="s">
        <v>84</v>
      </c>
      <c r="X471" s="95">
        <v>46354</v>
      </c>
    </row>
    <row r="472" spans="1:24" x14ac:dyDescent="0.25">
      <c r="A472" s="6" t="s">
        <v>85</v>
      </c>
      <c r="B472" s="94" t="s">
        <v>1709</v>
      </c>
      <c r="C472" s="6" t="s">
        <v>1710</v>
      </c>
      <c r="D472" s="140">
        <v>11640986</v>
      </c>
      <c r="E472" s="6" t="s">
        <v>651</v>
      </c>
      <c r="F472" s="10" t="s">
        <v>148</v>
      </c>
      <c r="G472" s="6" t="s">
        <v>1711</v>
      </c>
      <c r="H472" s="8">
        <v>106900</v>
      </c>
      <c r="I472" s="8">
        <v>43304</v>
      </c>
      <c r="J472" s="8">
        <v>43304</v>
      </c>
      <c r="K472" s="95">
        <v>43313</v>
      </c>
      <c r="L472" s="95" t="s">
        <v>31</v>
      </c>
      <c r="M472" s="8">
        <v>43320</v>
      </c>
      <c r="N472" s="8">
        <v>43392</v>
      </c>
      <c r="O472" s="8">
        <v>43392</v>
      </c>
      <c r="P472" s="6" t="s">
        <v>35</v>
      </c>
      <c r="Q472" s="96">
        <v>3652</v>
      </c>
      <c r="R472" s="97">
        <f t="shared" si="18"/>
        <v>10.005479452054795</v>
      </c>
      <c r="S472" s="75">
        <f t="shared" si="17"/>
        <v>82635.254794520544</v>
      </c>
      <c r="T472" s="124" t="s">
        <v>1712</v>
      </c>
      <c r="U472" s="8">
        <v>43663</v>
      </c>
      <c r="W472" s="6" t="s">
        <v>84</v>
      </c>
      <c r="X472" s="95">
        <v>54715</v>
      </c>
    </row>
    <row r="473" spans="1:24" x14ac:dyDescent="0.25">
      <c r="A473" s="6" t="s">
        <v>85</v>
      </c>
      <c r="B473" s="94" t="s">
        <v>1713</v>
      </c>
      <c r="C473" s="6" t="s">
        <v>1714</v>
      </c>
      <c r="D473" s="140">
        <v>12147789</v>
      </c>
      <c r="E473" s="6" t="s">
        <v>180</v>
      </c>
      <c r="F473" s="10" t="s">
        <v>105</v>
      </c>
      <c r="G473" s="6" t="s">
        <v>1715</v>
      </c>
      <c r="H473" s="8">
        <v>67234</v>
      </c>
      <c r="I473" s="8">
        <v>43304</v>
      </c>
      <c r="J473" s="8">
        <v>43304</v>
      </c>
      <c r="K473" s="95">
        <v>43313</v>
      </c>
      <c r="L473" s="95" t="s">
        <v>31</v>
      </c>
      <c r="M473" s="8">
        <v>43320</v>
      </c>
      <c r="N473" s="8">
        <v>43579</v>
      </c>
      <c r="O473" s="8">
        <v>43444</v>
      </c>
      <c r="P473" s="6" t="s">
        <v>35</v>
      </c>
      <c r="Q473" s="96">
        <v>1461</v>
      </c>
      <c r="R473" s="97">
        <f t="shared" si="18"/>
        <v>4.0027397260273974</v>
      </c>
      <c r="S473" s="75">
        <f t="shared" si="17"/>
        <v>33058.627397260272</v>
      </c>
      <c r="T473" s="124" t="s">
        <v>1716</v>
      </c>
      <c r="U473" s="8">
        <v>43579</v>
      </c>
      <c r="W473" s="6" t="s">
        <v>84</v>
      </c>
      <c r="X473" s="95">
        <v>50684</v>
      </c>
    </row>
    <row r="474" spans="1:24" x14ac:dyDescent="0.25">
      <c r="A474" s="6" t="s">
        <v>85</v>
      </c>
      <c r="B474" s="94" t="s">
        <v>1717</v>
      </c>
      <c r="C474" s="6" t="s">
        <v>1718</v>
      </c>
      <c r="D474" s="140">
        <v>12007004</v>
      </c>
      <c r="E474" s="6" t="s">
        <v>706</v>
      </c>
      <c r="F474" s="10" t="s">
        <v>44</v>
      </c>
      <c r="G474" s="6" t="s">
        <v>1719</v>
      </c>
      <c r="H474" s="8">
        <v>44736</v>
      </c>
      <c r="I474" s="8">
        <v>43306</v>
      </c>
      <c r="J474" s="8">
        <v>43306</v>
      </c>
      <c r="K474" s="95">
        <v>43319</v>
      </c>
      <c r="L474" s="95" t="s">
        <v>31</v>
      </c>
      <c r="M474" s="8">
        <v>43325</v>
      </c>
      <c r="N474" s="8">
        <v>43364</v>
      </c>
      <c r="O474" s="8">
        <v>43364</v>
      </c>
      <c r="P474" s="6" t="s">
        <v>35</v>
      </c>
      <c r="Q474" s="96">
        <v>1460</v>
      </c>
      <c r="R474" s="97">
        <f t="shared" si="18"/>
        <v>4</v>
      </c>
      <c r="S474" s="75">
        <f t="shared" ref="S474:S537" si="19">IF(Q474&gt;0, SUM(Q474)*(8259/365), "")</f>
        <v>33036</v>
      </c>
      <c r="U474" s="8">
        <v>43367</v>
      </c>
      <c r="W474" s="6" t="s">
        <v>33</v>
      </c>
      <c r="X474" s="95">
        <v>43247</v>
      </c>
    </row>
    <row r="475" spans="1:24" s="112" customFormat="1" x14ac:dyDescent="0.25">
      <c r="A475" s="6" t="s">
        <v>85</v>
      </c>
      <c r="B475" s="94" t="s">
        <v>1720</v>
      </c>
      <c r="C475" s="6" t="s">
        <v>1721</v>
      </c>
      <c r="D475" s="140">
        <v>11583816</v>
      </c>
      <c r="E475" s="6" t="s">
        <v>382</v>
      </c>
      <c r="F475" s="10" t="s">
        <v>44</v>
      </c>
      <c r="G475" s="6" t="s">
        <v>1722</v>
      </c>
      <c r="H475" s="8">
        <v>45274</v>
      </c>
      <c r="I475" s="8">
        <v>43306</v>
      </c>
      <c r="J475" s="8">
        <v>43306</v>
      </c>
      <c r="K475" s="95">
        <v>43319</v>
      </c>
      <c r="L475" s="95" t="s">
        <v>31</v>
      </c>
      <c r="M475" s="8">
        <v>43325</v>
      </c>
      <c r="N475" s="8">
        <v>43360</v>
      </c>
      <c r="O475" s="8">
        <v>43355</v>
      </c>
      <c r="P475" s="6" t="s">
        <v>35</v>
      </c>
      <c r="Q475" s="96">
        <v>730</v>
      </c>
      <c r="R475" s="97">
        <f t="shared" si="18"/>
        <v>2</v>
      </c>
      <c r="S475" s="75">
        <f t="shared" si="19"/>
        <v>16518</v>
      </c>
      <c r="T475" s="124"/>
      <c r="U475" s="8">
        <v>43360</v>
      </c>
      <c r="V475" s="100"/>
      <c r="W475" s="100" t="s">
        <v>33</v>
      </c>
      <c r="X475" s="104">
        <v>43864</v>
      </c>
    </row>
    <row r="476" spans="1:24" x14ac:dyDescent="0.25">
      <c r="A476" s="6" t="s">
        <v>70</v>
      </c>
      <c r="B476" s="94" t="s">
        <v>1723</v>
      </c>
      <c r="C476" s="6" t="s">
        <v>1724</v>
      </c>
      <c r="D476" s="140">
        <v>11997928</v>
      </c>
      <c r="E476" s="6" t="s">
        <v>706</v>
      </c>
      <c r="F476" s="10" t="s">
        <v>44</v>
      </c>
      <c r="G476" s="6" t="s">
        <v>1719</v>
      </c>
      <c r="H476" s="8">
        <v>44674</v>
      </c>
      <c r="I476" s="8">
        <v>43306</v>
      </c>
      <c r="J476" s="8">
        <v>43306</v>
      </c>
      <c r="K476" s="95">
        <v>43319</v>
      </c>
      <c r="L476" s="95" t="s">
        <v>31</v>
      </c>
      <c r="M476" s="8">
        <v>43325</v>
      </c>
      <c r="N476" s="8">
        <v>43364</v>
      </c>
      <c r="O476" s="8">
        <v>43364</v>
      </c>
      <c r="P476" s="6" t="s">
        <v>35</v>
      </c>
      <c r="Q476" s="96">
        <v>1460</v>
      </c>
      <c r="R476" s="97">
        <f t="shared" si="18"/>
        <v>4</v>
      </c>
      <c r="S476" s="75">
        <f t="shared" si="19"/>
        <v>33036</v>
      </c>
      <c r="T476" s="124" t="s">
        <v>1725</v>
      </c>
      <c r="U476" s="8">
        <v>43367</v>
      </c>
      <c r="V476" s="6" t="s">
        <v>36</v>
      </c>
      <c r="W476" s="6" t="s">
        <v>33</v>
      </c>
      <c r="X476" s="95">
        <v>43226</v>
      </c>
    </row>
    <row r="477" spans="1:24" x14ac:dyDescent="0.25">
      <c r="A477" s="6" t="s">
        <v>85</v>
      </c>
      <c r="B477" s="94" t="s">
        <v>1726</v>
      </c>
      <c r="C477" s="6" t="s">
        <v>1727</v>
      </c>
      <c r="D477" s="140">
        <v>11137457</v>
      </c>
      <c r="E477" s="6" t="s">
        <v>318</v>
      </c>
      <c r="F477" s="10" t="s">
        <v>44</v>
      </c>
      <c r="G477" s="6" t="s">
        <v>1728</v>
      </c>
      <c r="H477" s="8">
        <v>2958130</v>
      </c>
      <c r="I477" s="8">
        <v>43306</v>
      </c>
      <c r="J477" s="8">
        <v>43306</v>
      </c>
      <c r="K477" s="95">
        <v>43319</v>
      </c>
      <c r="L477" s="95" t="s">
        <v>31</v>
      </c>
      <c r="M477" s="8">
        <v>43325</v>
      </c>
      <c r="N477" s="8">
        <v>43402</v>
      </c>
      <c r="O477" s="8">
        <v>43388</v>
      </c>
      <c r="P477" s="6" t="s">
        <v>35</v>
      </c>
      <c r="Q477" s="96">
        <v>365</v>
      </c>
      <c r="R477" s="97">
        <f t="shared" si="18"/>
        <v>1</v>
      </c>
      <c r="S477" s="75">
        <f t="shared" si="19"/>
        <v>8259</v>
      </c>
      <c r="T477" s="132"/>
      <c r="U477" s="8">
        <v>43403</v>
      </c>
      <c r="W477" s="6" t="s">
        <v>84</v>
      </c>
      <c r="X477" s="6" t="s">
        <v>1729</v>
      </c>
    </row>
    <row r="478" spans="1:24" x14ac:dyDescent="0.25">
      <c r="A478" s="6" t="s">
        <v>85</v>
      </c>
      <c r="B478" s="94" t="s">
        <v>1730</v>
      </c>
      <c r="C478" s="6" t="s">
        <v>1731</v>
      </c>
      <c r="D478" s="140">
        <v>11363374</v>
      </c>
      <c r="E478" s="6" t="s">
        <v>409</v>
      </c>
      <c r="F478" s="10" t="s">
        <v>44</v>
      </c>
      <c r="G478" s="6" t="s">
        <v>1732</v>
      </c>
      <c r="H478" s="8">
        <v>45909</v>
      </c>
      <c r="I478" s="8">
        <v>43306</v>
      </c>
      <c r="J478" s="8">
        <v>43306</v>
      </c>
      <c r="K478" s="95">
        <v>43327</v>
      </c>
      <c r="L478" s="95" t="s">
        <v>31</v>
      </c>
      <c r="M478" s="8">
        <v>43334</v>
      </c>
      <c r="N478" s="8">
        <v>43374</v>
      </c>
      <c r="O478" s="8">
        <v>43369</v>
      </c>
      <c r="P478" s="6" t="s">
        <v>35</v>
      </c>
      <c r="Q478" s="96">
        <v>1461</v>
      </c>
      <c r="R478" s="97">
        <f t="shared" si="18"/>
        <v>4.0027397260273974</v>
      </c>
      <c r="S478" s="75">
        <f t="shared" si="19"/>
        <v>33058.627397260272</v>
      </c>
      <c r="T478" s="124" t="s">
        <v>1733</v>
      </c>
      <c r="U478" s="8">
        <v>43383</v>
      </c>
      <c r="W478" s="6" t="s">
        <v>84</v>
      </c>
      <c r="X478" s="95">
        <v>49736</v>
      </c>
    </row>
    <row r="479" spans="1:24" ht="30" x14ac:dyDescent="0.25">
      <c r="A479" s="6" t="s">
        <v>70</v>
      </c>
      <c r="B479" s="94" t="s">
        <v>1613</v>
      </c>
      <c r="C479" s="6" t="s">
        <v>1734</v>
      </c>
      <c r="D479" s="140">
        <v>12154928</v>
      </c>
      <c r="E479" s="6" t="s">
        <v>1096</v>
      </c>
      <c r="F479" s="10" t="s">
        <v>44</v>
      </c>
      <c r="G479" s="6" t="s">
        <v>1735</v>
      </c>
      <c r="H479" s="8">
        <v>46683</v>
      </c>
      <c r="I479" s="8">
        <v>43306</v>
      </c>
      <c r="J479" s="8">
        <v>43306</v>
      </c>
      <c r="K479" s="95">
        <v>43319</v>
      </c>
      <c r="L479" s="95" t="s">
        <v>31</v>
      </c>
      <c r="M479" s="8">
        <v>43325</v>
      </c>
      <c r="N479" s="8">
        <v>43418</v>
      </c>
      <c r="O479" s="8">
        <v>43406</v>
      </c>
      <c r="P479" s="6" t="s">
        <v>35</v>
      </c>
      <c r="Q479" s="96">
        <v>1095</v>
      </c>
      <c r="R479" s="97">
        <f t="shared" si="18"/>
        <v>3</v>
      </c>
      <c r="S479" s="75">
        <f t="shared" si="19"/>
        <v>24777</v>
      </c>
      <c r="T479" s="124" t="s">
        <v>1736</v>
      </c>
      <c r="U479" s="8">
        <v>43419</v>
      </c>
      <c r="W479" s="6" t="s">
        <v>33</v>
      </c>
      <c r="X479" s="95">
        <v>51391</v>
      </c>
    </row>
    <row r="480" spans="1:24" x14ac:dyDescent="0.25">
      <c r="A480" s="6" t="s">
        <v>70</v>
      </c>
      <c r="B480" s="94" t="s">
        <v>1012</v>
      </c>
      <c r="C480" s="6" t="s">
        <v>1737</v>
      </c>
      <c r="D480" s="140">
        <v>11562034</v>
      </c>
      <c r="E480" s="6" t="s">
        <v>651</v>
      </c>
      <c r="F480" s="10" t="s">
        <v>44</v>
      </c>
      <c r="G480" s="6" t="s">
        <v>1738</v>
      </c>
      <c r="H480" s="8">
        <v>43761</v>
      </c>
      <c r="I480" s="8">
        <v>43306</v>
      </c>
      <c r="J480" s="8">
        <v>43306</v>
      </c>
      <c r="K480" s="95">
        <v>43319</v>
      </c>
      <c r="L480" s="95" t="s">
        <v>31</v>
      </c>
      <c r="M480" s="8">
        <v>43325</v>
      </c>
      <c r="N480" s="8">
        <v>43356</v>
      </c>
      <c r="O480" s="8">
        <v>43341</v>
      </c>
      <c r="P480" s="6" t="s">
        <v>90</v>
      </c>
      <c r="Q480" s="96">
        <v>1095</v>
      </c>
      <c r="R480" s="97">
        <f t="shared" si="18"/>
        <v>3</v>
      </c>
      <c r="S480" s="75">
        <f t="shared" si="19"/>
        <v>24777</v>
      </c>
      <c r="T480" s="124" t="s">
        <v>1739</v>
      </c>
      <c r="U480" s="8">
        <v>43357</v>
      </c>
      <c r="V480" s="6" t="s">
        <v>36</v>
      </c>
      <c r="W480" s="6" t="s">
        <v>33</v>
      </c>
      <c r="X480" s="95">
        <v>49918</v>
      </c>
    </row>
    <row r="481" spans="1:24" x14ac:dyDescent="0.25">
      <c r="A481" s="6" t="s">
        <v>70</v>
      </c>
      <c r="B481" s="94" t="s">
        <v>1196</v>
      </c>
      <c r="C481" s="6" t="s">
        <v>1740</v>
      </c>
      <c r="D481" s="140">
        <v>11955587</v>
      </c>
      <c r="E481" s="6" t="s">
        <v>1741</v>
      </c>
      <c r="F481" s="10" t="s">
        <v>44</v>
      </c>
      <c r="G481" s="6" t="s">
        <v>1742</v>
      </c>
      <c r="H481" s="8">
        <v>44527</v>
      </c>
      <c r="I481" s="8">
        <v>43306</v>
      </c>
      <c r="J481" s="8">
        <v>43306</v>
      </c>
      <c r="K481" s="95">
        <v>43319</v>
      </c>
      <c r="L481" s="95" t="s">
        <v>31</v>
      </c>
      <c r="M481" s="8">
        <v>43325</v>
      </c>
      <c r="N481" s="8">
        <v>43364</v>
      </c>
      <c r="O481" s="8">
        <v>43361</v>
      </c>
      <c r="P481" s="6" t="s">
        <v>90</v>
      </c>
      <c r="Q481" s="96">
        <v>3652</v>
      </c>
      <c r="R481" s="97">
        <f t="shared" si="18"/>
        <v>10.005479452054795</v>
      </c>
      <c r="S481" s="75">
        <f t="shared" si="19"/>
        <v>82635.254794520544</v>
      </c>
      <c r="T481" s="124" t="s">
        <v>1743</v>
      </c>
      <c r="U481" s="8">
        <v>43364</v>
      </c>
      <c r="V481" s="6" t="s">
        <v>36</v>
      </c>
      <c r="W481" s="6" t="s">
        <v>33</v>
      </c>
      <c r="X481" s="95">
        <v>42373</v>
      </c>
    </row>
    <row r="482" spans="1:24" x14ac:dyDescent="0.25">
      <c r="A482" s="6" t="s">
        <v>85</v>
      </c>
      <c r="B482" s="94" t="s">
        <v>108</v>
      </c>
      <c r="C482" s="6" t="s">
        <v>1744</v>
      </c>
      <c r="D482" s="140">
        <v>12150055</v>
      </c>
      <c r="E482" s="6" t="s">
        <v>490</v>
      </c>
      <c r="F482" s="10" t="s">
        <v>44</v>
      </c>
      <c r="G482" s="6" t="s">
        <v>1745</v>
      </c>
      <c r="H482" s="8">
        <v>49220</v>
      </c>
      <c r="I482" s="8">
        <v>43306</v>
      </c>
      <c r="J482" s="8">
        <v>43306</v>
      </c>
      <c r="K482" s="95">
        <v>43319</v>
      </c>
      <c r="L482" s="95" t="s">
        <v>31</v>
      </c>
      <c r="M482" s="8">
        <v>43325</v>
      </c>
      <c r="N482" s="8">
        <v>43460</v>
      </c>
      <c r="O482" s="8">
        <v>43437</v>
      </c>
      <c r="P482" s="6" t="s">
        <v>35</v>
      </c>
      <c r="Q482" s="96">
        <v>730</v>
      </c>
      <c r="R482" s="97">
        <f t="shared" si="18"/>
        <v>2</v>
      </c>
      <c r="S482" s="75">
        <f t="shared" si="19"/>
        <v>16518</v>
      </c>
      <c r="U482" s="8">
        <v>43461</v>
      </c>
      <c r="W482" s="6" t="s">
        <v>84</v>
      </c>
      <c r="X482" s="95">
        <v>48946</v>
      </c>
    </row>
    <row r="483" spans="1:24" x14ac:dyDescent="0.25">
      <c r="A483" s="6" t="s">
        <v>70</v>
      </c>
      <c r="B483" s="94" t="s">
        <v>797</v>
      </c>
      <c r="C483" s="6" t="s">
        <v>1746</v>
      </c>
      <c r="D483" s="140">
        <v>11646068</v>
      </c>
      <c r="E483" s="6" t="s">
        <v>166</v>
      </c>
      <c r="F483" s="10" t="s">
        <v>44</v>
      </c>
      <c r="G483" s="6" t="s">
        <v>1747</v>
      </c>
      <c r="H483" s="8">
        <v>44240</v>
      </c>
      <c r="I483" s="8">
        <v>43306</v>
      </c>
      <c r="J483" s="8">
        <v>43306</v>
      </c>
      <c r="K483" s="95">
        <v>43319</v>
      </c>
      <c r="L483" s="95" t="s">
        <v>31</v>
      </c>
      <c r="M483" s="8">
        <v>43325</v>
      </c>
      <c r="N483" s="8">
        <v>43390</v>
      </c>
      <c r="O483" s="8">
        <v>43399</v>
      </c>
      <c r="P483" s="6" t="s">
        <v>35</v>
      </c>
      <c r="Q483" s="96">
        <v>365</v>
      </c>
      <c r="R483" s="97">
        <f t="shared" si="18"/>
        <v>1</v>
      </c>
      <c r="S483" s="75">
        <f t="shared" si="19"/>
        <v>8259</v>
      </c>
      <c r="T483" s="124">
        <v>43399</v>
      </c>
      <c r="U483" s="8">
        <v>43441</v>
      </c>
      <c r="W483" s="6" t="s">
        <v>33</v>
      </c>
      <c r="X483" s="95">
        <v>44700</v>
      </c>
    </row>
    <row r="484" spans="1:24" ht="30" x14ac:dyDescent="0.25">
      <c r="A484" s="107" t="s">
        <v>85</v>
      </c>
      <c r="B484" s="106" t="s">
        <v>250</v>
      </c>
      <c r="C484" s="107" t="s">
        <v>1748</v>
      </c>
      <c r="D484" s="142">
        <v>12178186</v>
      </c>
      <c r="E484" s="107" t="s">
        <v>1650</v>
      </c>
      <c r="F484" s="56" t="s">
        <v>528</v>
      </c>
      <c r="G484" s="107" t="s">
        <v>1749</v>
      </c>
      <c r="H484" s="108">
        <v>48249</v>
      </c>
      <c r="I484" s="108">
        <v>43306</v>
      </c>
      <c r="J484" s="108">
        <v>43306</v>
      </c>
      <c r="K484" s="109">
        <v>43319</v>
      </c>
      <c r="L484" s="109" t="s">
        <v>31</v>
      </c>
      <c r="M484" s="108">
        <v>43325</v>
      </c>
      <c r="N484" s="108">
        <v>43557</v>
      </c>
      <c r="O484" s="108">
        <v>43532</v>
      </c>
      <c r="P484" s="101" t="s">
        <v>35</v>
      </c>
      <c r="Q484" s="110">
        <v>121</v>
      </c>
      <c r="R484" s="97">
        <f t="shared" si="18"/>
        <v>0.33150684931506852</v>
      </c>
      <c r="S484" s="75">
        <f t="shared" si="19"/>
        <v>2737.9150684931506</v>
      </c>
      <c r="T484" s="127" t="s">
        <v>1750</v>
      </c>
      <c r="U484" s="108">
        <v>43560</v>
      </c>
      <c r="V484" s="107"/>
      <c r="W484" s="107" t="s">
        <v>33</v>
      </c>
      <c r="X484" s="109">
        <v>47396</v>
      </c>
    </row>
    <row r="485" spans="1:24" x14ac:dyDescent="0.25">
      <c r="A485" s="6" t="s">
        <v>70</v>
      </c>
      <c r="B485" s="94" t="s">
        <v>920</v>
      </c>
      <c r="C485" s="6" t="s">
        <v>1751</v>
      </c>
      <c r="D485" s="140">
        <v>11582334</v>
      </c>
      <c r="E485" s="6" t="s">
        <v>1752</v>
      </c>
      <c r="F485" s="10" t="s">
        <v>44</v>
      </c>
      <c r="G485" s="6" t="s">
        <v>1753</v>
      </c>
      <c r="H485" s="8">
        <v>2958125</v>
      </c>
      <c r="I485" s="8">
        <v>43306</v>
      </c>
      <c r="J485" s="8">
        <v>43306</v>
      </c>
      <c r="K485" s="95">
        <v>43319</v>
      </c>
      <c r="L485" s="95" t="s">
        <v>31</v>
      </c>
      <c r="M485" s="8">
        <v>43325</v>
      </c>
      <c r="N485" s="8">
        <v>43412</v>
      </c>
      <c r="O485" s="8">
        <v>43417</v>
      </c>
      <c r="P485" s="6" t="s">
        <v>35</v>
      </c>
      <c r="Q485" s="96">
        <v>1947</v>
      </c>
      <c r="R485" s="97">
        <f t="shared" ref="R485:R548" si="20">IF(Q485&gt;0, Q485/365, "")</f>
        <v>5.3342465753424655</v>
      </c>
      <c r="S485" s="75">
        <f t="shared" si="19"/>
        <v>44055.542465753424</v>
      </c>
      <c r="T485" s="124">
        <v>43417</v>
      </c>
      <c r="U485" s="8">
        <v>43448</v>
      </c>
      <c r="W485" s="6" t="s">
        <v>84</v>
      </c>
      <c r="X485" s="6" t="s">
        <v>683</v>
      </c>
    </row>
    <row r="486" spans="1:24" x14ac:dyDescent="0.25">
      <c r="A486" s="6" t="s">
        <v>70</v>
      </c>
      <c r="B486" s="94" t="s">
        <v>1754</v>
      </c>
      <c r="C486" s="6" t="s">
        <v>1755</v>
      </c>
      <c r="D486" s="140">
        <v>11199099</v>
      </c>
      <c r="E486" s="6" t="s">
        <v>1756</v>
      </c>
      <c r="F486" s="10" t="s">
        <v>44</v>
      </c>
      <c r="G486" s="6" t="s">
        <v>1757</v>
      </c>
      <c r="H486" s="8">
        <v>45477</v>
      </c>
      <c r="I486" s="8">
        <v>43306</v>
      </c>
      <c r="J486" s="8">
        <v>43306</v>
      </c>
      <c r="K486" s="95">
        <v>43319</v>
      </c>
      <c r="L486" s="95" t="s">
        <v>31</v>
      </c>
      <c r="M486" s="8">
        <v>43325</v>
      </c>
      <c r="N486" s="8">
        <v>43374</v>
      </c>
      <c r="O486" s="8">
        <v>43452</v>
      </c>
      <c r="P486" s="6" t="s">
        <v>69</v>
      </c>
      <c r="R486" s="97" t="str">
        <f t="shared" si="20"/>
        <v/>
      </c>
      <c r="S486" s="75" t="str">
        <f t="shared" si="19"/>
        <v/>
      </c>
      <c r="T486" s="128" t="s">
        <v>265</v>
      </c>
      <c r="U486" s="8">
        <v>43476</v>
      </c>
      <c r="W486" s="6" t="s">
        <v>33</v>
      </c>
      <c r="X486" s="95">
        <v>51218</v>
      </c>
    </row>
    <row r="487" spans="1:24" x14ac:dyDescent="0.25">
      <c r="A487" s="6" t="s">
        <v>85</v>
      </c>
      <c r="B487" s="94" t="s">
        <v>590</v>
      </c>
      <c r="C487" s="6" t="s">
        <v>1758</v>
      </c>
      <c r="D487" s="140">
        <v>11864036</v>
      </c>
      <c r="E487" s="6" t="s">
        <v>175</v>
      </c>
      <c r="F487" s="10" t="s">
        <v>44</v>
      </c>
      <c r="G487" s="6" t="s">
        <v>1759</v>
      </c>
      <c r="H487" s="8">
        <v>48080</v>
      </c>
      <c r="I487" s="8">
        <v>43306</v>
      </c>
      <c r="J487" s="8">
        <v>43306</v>
      </c>
      <c r="K487" s="95">
        <v>43319</v>
      </c>
      <c r="L487" s="95" t="s">
        <v>31</v>
      </c>
      <c r="M487" s="8">
        <v>43325</v>
      </c>
      <c r="N487" s="8">
        <v>43418</v>
      </c>
      <c r="O487" s="8">
        <v>43406</v>
      </c>
      <c r="P487" s="6" t="s">
        <v>69</v>
      </c>
      <c r="R487" s="97" t="str">
        <f t="shared" si="20"/>
        <v/>
      </c>
      <c r="S487" s="75" t="str">
        <f t="shared" si="19"/>
        <v/>
      </c>
      <c r="T487" s="124" t="s">
        <v>1760</v>
      </c>
      <c r="U487" s="8">
        <v>43419</v>
      </c>
      <c r="W487" s="6" t="s">
        <v>33</v>
      </c>
      <c r="X487" s="95">
        <v>43927</v>
      </c>
    </row>
    <row r="488" spans="1:24" x14ac:dyDescent="0.25">
      <c r="A488" s="6" t="s">
        <v>85</v>
      </c>
      <c r="B488" s="94" t="s">
        <v>1761</v>
      </c>
      <c r="C488" s="6" t="s">
        <v>1762</v>
      </c>
      <c r="D488" s="140">
        <v>12115067</v>
      </c>
      <c r="E488" s="6" t="s">
        <v>199</v>
      </c>
      <c r="F488" s="10" t="s">
        <v>44</v>
      </c>
      <c r="G488" s="6" t="s">
        <v>1763</v>
      </c>
      <c r="H488" s="8">
        <v>45271</v>
      </c>
      <c r="I488" s="8">
        <v>43306</v>
      </c>
      <c r="J488" s="8">
        <v>43306</v>
      </c>
      <c r="K488" s="95">
        <v>43319</v>
      </c>
      <c r="L488" s="95" t="s">
        <v>31</v>
      </c>
      <c r="M488" s="8">
        <v>43325</v>
      </c>
      <c r="N488" s="8">
        <v>43368</v>
      </c>
      <c r="O488" s="8">
        <v>43361</v>
      </c>
      <c r="P488" s="12" t="s">
        <v>69</v>
      </c>
      <c r="R488" s="97" t="str">
        <f t="shared" si="20"/>
        <v/>
      </c>
      <c r="S488" s="75" t="str">
        <f t="shared" si="19"/>
        <v/>
      </c>
      <c r="T488" s="124" t="s">
        <v>1764</v>
      </c>
      <c r="U488" s="8">
        <v>43374</v>
      </c>
      <c r="W488" s="6" t="s">
        <v>33</v>
      </c>
      <c r="X488" s="95">
        <v>46334</v>
      </c>
    </row>
    <row r="489" spans="1:24" ht="30" x14ac:dyDescent="0.25">
      <c r="A489" s="6" t="s">
        <v>85</v>
      </c>
      <c r="B489" s="94" t="s">
        <v>1765</v>
      </c>
      <c r="C489" s="6" t="s">
        <v>1766</v>
      </c>
      <c r="D489" s="140">
        <v>11782118</v>
      </c>
      <c r="E489" s="6" t="s">
        <v>1650</v>
      </c>
      <c r="F489" s="10" t="s">
        <v>44</v>
      </c>
      <c r="G489" s="6" t="s">
        <v>1767</v>
      </c>
      <c r="H489" s="8">
        <v>43844</v>
      </c>
      <c r="I489" s="8">
        <v>43306</v>
      </c>
      <c r="J489" s="8">
        <v>43306</v>
      </c>
      <c r="K489" s="95">
        <v>43319</v>
      </c>
      <c r="L489" s="95" t="s">
        <v>31</v>
      </c>
      <c r="M489" s="8">
        <v>43325</v>
      </c>
      <c r="N489" s="8">
        <v>43418</v>
      </c>
      <c r="O489" s="8">
        <v>43411</v>
      </c>
      <c r="P489" s="101" t="s">
        <v>52</v>
      </c>
      <c r="R489" s="97" t="str">
        <f t="shared" si="20"/>
        <v/>
      </c>
      <c r="S489" s="75" t="str">
        <f t="shared" si="19"/>
        <v/>
      </c>
      <c r="T489" s="124" t="s">
        <v>1768</v>
      </c>
      <c r="U489" s="8">
        <v>43424</v>
      </c>
      <c r="W489" s="6" t="s">
        <v>84</v>
      </c>
      <c r="X489" s="95">
        <v>41319</v>
      </c>
    </row>
    <row r="490" spans="1:24" x14ac:dyDescent="0.25">
      <c r="A490" s="6" t="s">
        <v>65</v>
      </c>
      <c r="B490" s="94" t="s">
        <v>1769</v>
      </c>
      <c r="C490" s="6" t="s">
        <v>1770</v>
      </c>
      <c r="D490" s="140">
        <v>11632329</v>
      </c>
      <c r="E490" s="6" t="s">
        <v>298</v>
      </c>
      <c r="F490" s="10" t="s">
        <v>44</v>
      </c>
      <c r="G490" s="6" t="s">
        <v>1771</v>
      </c>
      <c r="H490" s="8">
        <v>48735</v>
      </c>
      <c r="I490" s="8">
        <v>43335</v>
      </c>
      <c r="J490" s="8">
        <v>43335</v>
      </c>
      <c r="K490" s="95">
        <v>43341</v>
      </c>
      <c r="L490" s="95" t="s">
        <v>31</v>
      </c>
      <c r="M490" s="8">
        <v>43354</v>
      </c>
      <c r="N490" s="8">
        <v>43432</v>
      </c>
      <c r="O490" s="8">
        <v>43411</v>
      </c>
      <c r="P490" s="101" t="s">
        <v>182</v>
      </c>
      <c r="R490" s="97" t="str">
        <f t="shared" si="20"/>
        <v/>
      </c>
      <c r="S490" s="75" t="str">
        <f t="shared" si="19"/>
        <v/>
      </c>
      <c r="U490" s="8">
        <v>43424</v>
      </c>
      <c r="W490" s="6" t="s">
        <v>33</v>
      </c>
      <c r="X490" s="95">
        <v>51330</v>
      </c>
    </row>
    <row r="491" spans="1:24" x14ac:dyDescent="0.25">
      <c r="A491" s="6" t="s">
        <v>77</v>
      </c>
      <c r="B491" s="94" t="s">
        <v>1664</v>
      </c>
      <c r="C491" s="6" t="s">
        <v>1772</v>
      </c>
      <c r="D491" s="140">
        <v>11056686</v>
      </c>
      <c r="E491" s="6" t="s">
        <v>1773</v>
      </c>
      <c r="F491" s="10" t="s">
        <v>44</v>
      </c>
      <c r="G491" s="6" t="s">
        <v>1774</v>
      </c>
      <c r="H491" s="8">
        <v>2958465</v>
      </c>
      <c r="I491" s="8">
        <v>43399</v>
      </c>
      <c r="J491" s="8">
        <v>43399</v>
      </c>
      <c r="K491" s="95">
        <v>43404</v>
      </c>
      <c r="L491" s="95" t="s">
        <v>31</v>
      </c>
      <c r="M491" s="8">
        <v>43409</v>
      </c>
      <c r="N491" s="8">
        <v>43549</v>
      </c>
      <c r="O491" s="8">
        <v>43413</v>
      </c>
      <c r="P491" s="6" t="s">
        <v>75</v>
      </c>
      <c r="R491" s="97" t="str">
        <f t="shared" si="20"/>
        <v/>
      </c>
      <c r="S491" s="75" t="str">
        <f t="shared" si="19"/>
        <v/>
      </c>
      <c r="U491" s="8">
        <v>43549</v>
      </c>
      <c r="W491" s="6" t="s">
        <v>84</v>
      </c>
      <c r="X491" s="95">
        <v>46923</v>
      </c>
    </row>
    <row r="492" spans="1:24" x14ac:dyDescent="0.25">
      <c r="A492" s="6" t="s">
        <v>211</v>
      </c>
      <c r="B492" s="94" t="s">
        <v>1775</v>
      </c>
      <c r="C492" s="6" t="s">
        <v>1776</v>
      </c>
      <c r="D492" s="140">
        <v>12105988</v>
      </c>
      <c r="E492" s="6" t="s">
        <v>498</v>
      </c>
      <c r="F492" s="10" t="s">
        <v>44</v>
      </c>
      <c r="G492" s="6" t="s">
        <v>1777</v>
      </c>
      <c r="H492" s="8">
        <v>46150</v>
      </c>
      <c r="I492" s="8">
        <v>43313</v>
      </c>
      <c r="J492" s="8">
        <v>43326</v>
      </c>
      <c r="K492" s="95">
        <v>43327</v>
      </c>
      <c r="L492" s="95" t="s">
        <v>31</v>
      </c>
      <c r="M492" s="8">
        <v>43334</v>
      </c>
      <c r="N492" s="8">
        <v>43425</v>
      </c>
      <c r="O492" s="8">
        <v>43417</v>
      </c>
      <c r="P492" s="6" t="s">
        <v>75</v>
      </c>
      <c r="R492" s="97" t="str">
        <f t="shared" si="20"/>
        <v/>
      </c>
      <c r="S492" s="75" t="str">
        <f t="shared" si="19"/>
        <v/>
      </c>
      <c r="U492" s="8">
        <v>43433</v>
      </c>
      <c r="W492" s="6" t="s">
        <v>33</v>
      </c>
      <c r="X492" s="95">
        <v>51393</v>
      </c>
    </row>
    <row r="493" spans="1:24" x14ac:dyDescent="0.25">
      <c r="A493" s="6" t="s">
        <v>65</v>
      </c>
      <c r="B493" s="94" t="s">
        <v>1508</v>
      </c>
      <c r="C493" s="6" t="s">
        <v>1778</v>
      </c>
      <c r="D493" s="140">
        <v>11643484</v>
      </c>
      <c r="E493" s="6" t="s">
        <v>570</v>
      </c>
      <c r="F493" s="10" t="s">
        <v>934</v>
      </c>
      <c r="G493" s="6" t="s">
        <v>1779</v>
      </c>
      <c r="H493" s="8">
        <v>45720</v>
      </c>
      <c r="I493" s="8">
        <v>43339</v>
      </c>
      <c r="J493" s="8">
        <v>43339</v>
      </c>
      <c r="K493" s="95">
        <v>43355</v>
      </c>
      <c r="L493" s="95" t="s">
        <v>31</v>
      </c>
      <c r="M493" s="8">
        <v>43356</v>
      </c>
      <c r="N493" s="8">
        <v>43423</v>
      </c>
      <c r="O493" s="8">
        <v>43418</v>
      </c>
      <c r="P493" s="101" t="s">
        <v>182</v>
      </c>
      <c r="R493" s="97" t="str">
        <f t="shared" si="20"/>
        <v/>
      </c>
      <c r="S493" s="75" t="str">
        <f t="shared" si="19"/>
        <v/>
      </c>
      <c r="U493" s="8">
        <v>43431</v>
      </c>
      <c r="W493" s="6" t="s">
        <v>33</v>
      </c>
      <c r="X493" s="95">
        <v>45334</v>
      </c>
    </row>
    <row r="494" spans="1:24" ht="30" x14ac:dyDescent="0.25">
      <c r="A494" s="6" t="s">
        <v>85</v>
      </c>
      <c r="B494" s="94" t="s">
        <v>1780</v>
      </c>
      <c r="C494" s="6" t="s">
        <v>1781</v>
      </c>
      <c r="D494" s="140">
        <v>11367206</v>
      </c>
      <c r="E494" s="6" t="s">
        <v>656</v>
      </c>
      <c r="F494" s="10" t="s">
        <v>44</v>
      </c>
      <c r="G494" s="8" t="s">
        <v>1782</v>
      </c>
      <c r="H494" s="8">
        <v>45714</v>
      </c>
      <c r="I494" s="8">
        <v>43306</v>
      </c>
      <c r="J494" s="8">
        <v>43306</v>
      </c>
      <c r="K494" s="95">
        <v>43319</v>
      </c>
      <c r="L494" s="95" t="s">
        <v>31</v>
      </c>
      <c r="M494" s="8">
        <v>43325</v>
      </c>
      <c r="N494" s="8">
        <v>43367</v>
      </c>
      <c r="O494" s="8">
        <v>43353</v>
      </c>
      <c r="P494" s="6" t="s">
        <v>52</v>
      </c>
      <c r="R494" s="97" t="str">
        <f t="shared" si="20"/>
        <v/>
      </c>
      <c r="S494" s="75" t="str">
        <f t="shared" si="19"/>
        <v/>
      </c>
      <c r="T494" s="124" t="s">
        <v>1783</v>
      </c>
      <c r="U494" s="8">
        <v>43374</v>
      </c>
      <c r="W494" s="6" t="s">
        <v>33</v>
      </c>
      <c r="X494" s="95">
        <v>45322</v>
      </c>
    </row>
    <row r="495" spans="1:24" ht="30" x14ac:dyDescent="0.25">
      <c r="A495" s="6" t="s">
        <v>70</v>
      </c>
      <c r="B495" s="94" t="s">
        <v>1784</v>
      </c>
      <c r="C495" s="6" t="s">
        <v>1785</v>
      </c>
      <c r="D495" s="140">
        <v>11279847</v>
      </c>
      <c r="E495" s="6" t="s">
        <v>1103</v>
      </c>
      <c r="F495" s="10" t="s">
        <v>62</v>
      </c>
      <c r="G495" s="6" t="s">
        <v>1786</v>
      </c>
      <c r="H495" s="8">
        <v>48999</v>
      </c>
      <c r="I495" s="8">
        <v>43361</v>
      </c>
      <c r="J495" s="8">
        <v>43361</v>
      </c>
      <c r="K495" s="95">
        <v>43376</v>
      </c>
      <c r="L495" s="95" t="s">
        <v>31</v>
      </c>
      <c r="M495" s="8">
        <v>43390</v>
      </c>
      <c r="N495" s="8">
        <v>43431</v>
      </c>
      <c r="O495" s="8">
        <v>43418</v>
      </c>
      <c r="P495" s="101" t="s">
        <v>52</v>
      </c>
      <c r="R495" s="97" t="str">
        <f t="shared" si="20"/>
        <v/>
      </c>
      <c r="S495" s="75" t="str">
        <f t="shared" si="19"/>
        <v/>
      </c>
      <c r="T495" s="124" t="s">
        <v>1787</v>
      </c>
      <c r="U495" s="8">
        <v>43431</v>
      </c>
      <c r="W495" s="6" t="s">
        <v>33</v>
      </c>
      <c r="X495" s="95">
        <v>45691</v>
      </c>
    </row>
    <row r="496" spans="1:24" x14ac:dyDescent="0.25">
      <c r="A496" s="6" t="s">
        <v>65</v>
      </c>
      <c r="B496" s="94" t="s">
        <v>932</v>
      </c>
      <c r="C496" s="6" t="s">
        <v>1788</v>
      </c>
      <c r="D496" s="140">
        <v>11586801</v>
      </c>
      <c r="E496" s="6" t="s">
        <v>490</v>
      </c>
      <c r="F496" s="10" t="s">
        <v>44</v>
      </c>
      <c r="G496" s="6" t="s">
        <v>1789</v>
      </c>
      <c r="H496" s="8">
        <v>47424</v>
      </c>
      <c r="I496" s="8">
        <v>43348</v>
      </c>
      <c r="J496" s="8">
        <v>43348</v>
      </c>
      <c r="K496" s="95">
        <v>43369</v>
      </c>
      <c r="L496" s="95" t="s">
        <v>31</v>
      </c>
      <c r="M496" s="8">
        <v>43374</v>
      </c>
      <c r="N496" s="8">
        <v>43431</v>
      </c>
      <c r="O496" s="8">
        <v>43419</v>
      </c>
      <c r="P496" s="101" t="s">
        <v>182</v>
      </c>
      <c r="R496" s="97" t="str">
        <f t="shared" si="20"/>
        <v/>
      </c>
      <c r="S496" s="75" t="str">
        <f t="shared" si="19"/>
        <v/>
      </c>
      <c r="U496" s="8">
        <v>43431</v>
      </c>
      <c r="W496" s="6" t="s">
        <v>33</v>
      </c>
      <c r="X496" s="95">
        <v>46407</v>
      </c>
    </row>
    <row r="497" spans="1:24" ht="30" x14ac:dyDescent="0.25">
      <c r="A497" s="6" t="s">
        <v>65</v>
      </c>
      <c r="B497" s="94" t="s">
        <v>323</v>
      </c>
      <c r="C497" s="6" t="s">
        <v>1790</v>
      </c>
      <c r="D497" s="140">
        <v>12177629</v>
      </c>
      <c r="E497" s="6" t="s">
        <v>409</v>
      </c>
      <c r="F497" s="10" t="s">
        <v>437</v>
      </c>
      <c r="G497" s="6" t="s">
        <v>1791</v>
      </c>
      <c r="H497" s="8">
        <v>44901</v>
      </c>
      <c r="I497" s="8">
        <v>43272</v>
      </c>
      <c r="J497" s="8">
        <v>43272</v>
      </c>
      <c r="K497" s="95">
        <v>43283</v>
      </c>
      <c r="L497" s="95" t="s">
        <v>31</v>
      </c>
      <c r="M497" s="8">
        <v>43291</v>
      </c>
      <c r="N497" s="8">
        <v>43431</v>
      </c>
      <c r="O497" s="8">
        <v>43420</v>
      </c>
      <c r="P497" s="101" t="s">
        <v>52</v>
      </c>
      <c r="R497" s="97" t="str">
        <f t="shared" si="20"/>
        <v/>
      </c>
      <c r="S497" s="75" t="str">
        <f t="shared" si="19"/>
        <v/>
      </c>
      <c r="T497" s="124" t="s">
        <v>1792</v>
      </c>
      <c r="U497" s="8">
        <v>43431</v>
      </c>
      <c r="W497" s="6" t="s">
        <v>33</v>
      </c>
      <c r="X497" s="95">
        <v>48015</v>
      </c>
    </row>
    <row r="498" spans="1:24" x14ac:dyDescent="0.25">
      <c r="A498" s="6" t="s">
        <v>65</v>
      </c>
      <c r="B498" s="94" t="s">
        <v>1793</v>
      </c>
      <c r="C498" s="6" t="s">
        <v>1794</v>
      </c>
      <c r="D498" s="140">
        <v>11578287</v>
      </c>
      <c r="E498" s="6" t="s">
        <v>80</v>
      </c>
      <c r="F498" s="10" t="s">
        <v>44</v>
      </c>
      <c r="G498" s="6" t="s">
        <v>1795</v>
      </c>
      <c r="H498" s="8">
        <v>46796</v>
      </c>
      <c r="I498" s="8">
        <v>43273</v>
      </c>
      <c r="J498" s="8">
        <v>43273</v>
      </c>
      <c r="K498" s="95">
        <v>43292</v>
      </c>
      <c r="L498" s="95" t="s">
        <v>31</v>
      </c>
      <c r="M498" s="8">
        <v>43299</v>
      </c>
      <c r="N498" s="8">
        <v>43423</v>
      </c>
      <c r="O498" s="8">
        <v>43420</v>
      </c>
      <c r="P498" s="101" t="s">
        <v>182</v>
      </c>
      <c r="R498" s="97" t="str">
        <f t="shared" si="20"/>
        <v/>
      </c>
      <c r="S498" s="75" t="str">
        <f t="shared" si="19"/>
        <v/>
      </c>
      <c r="U498" s="8">
        <v>43431</v>
      </c>
      <c r="W498" s="6" t="s">
        <v>33</v>
      </c>
      <c r="X498" s="95">
        <v>45867</v>
      </c>
    </row>
    <row r="499" spans="1:24" x14ac:dyDescent="0.25">
      <c r="A499" s="6" t="s">
        <v>85</v>
      </c>
      <c r="B499" s="94" t="s">
        <v>1796</v>
      </c>
      <c r="C499" s="6" t="s">
        <v>1797</v>
      </c>
      <c r="D499" s="140">
        <v>12122444</v>
      </c>
      <c r="E499" s="6" t="s">
        <v>480</v>
      </c>
      <c r="F499" s="10" t="s">
        <v>44</v>
      </c>
      <c r="G499" s="6" t="s">
        <v>1798</v>
      </c>
      <c r="H499" s="8">
        <v>2958125</v>
      </c>
      <c r="I499" s="8">
        <v>43306</v>
      </c>
      <c r="J499" s="8">
        <v>43306</v>
      </c>
      <c r="K499" s="95">
        <v>43313</v>
      </c>
      <c r="L499" s="95" t="s">
        <v>31</v>
      </c>
      <c r="M499" s="8">
        <v>43320</v>
      </c>
      <c r="N499" s="8">
        <v>43479</v>
      </c>
      <c r="O499" s="8">
        <v>43472</v>
      </c>
      <c r="P499" s="6" t="s">
        <v>35</v>
      </c>
      <c r="Q499" s="96">
        <v>487</v>
      </c>
      <c r="R499" s="97">
        <f t="shared" si="20"/>
        <v>1.3342465753424657</v>
      </c>
      <c r="S499" s="75">
        <f t="shared" si="19"/>
        <v>11019.542465753426</v>
      </c>
      <c r="T499" s="124" t="s">
        <v>894</v>
      </c>
      <c r="U499" s="8">
        <v>43480</v>
      </c>
      <c r="W499" s="6" t="s">
        <v>84</v>
      </c>
      <c r="X499" s="6" t="s">
        <v>683</v>
      </c>
    </row>
    <row r="500" spans="1:24" x14ac:dyDescent="0.25">
      <c r="A500" s="6" t="s">
        <v>37</v>
      </c>
      <c r="B500" s="94" t="s">
        <v>1799</v>
      </c>
      <c r="C500" s="6" t="s">
        <v>1800</v>
      </c>
      <c r="D500" s="140">
        <v>11219036</v>
      </c>
      <c r="E500" s="6" t="s">
        <v>1801</v>
      </c>
      <c r="F500" s="10" t="s">
        <v>29</v>
      </c>
      <c r="G500" s="6" t="s">
        <v>1802</v>
      </c>
      <c r="H500" s="8">
        <v>44410</v>
      </c>
      <c r="I500" s="8">
        <v>43573</v>
      </c>
      <c r="J500" s="8">
        <v>43577</v>
      </c>
      <c r="K500" s="95">
        <v>43577</v>
      </c>
      <c r="L500" s="95" t="s">
        <v>359</v>
      </c>
      <c r="R500" s="97" t="str">
        <f t="shared" si="20"/>
        <v/>
      </c>
      <c r="S500" s="75" t="str">
        <f t="shared" si="19"/>
        <v/>
      </c>
      <c r="T500" s="124" t="s">
        <v>1803</v>
      </c>
      <c r="U500" s="8">
        <v>44302</v>
      </c>
      <c r="W500" s="6" t="s">
        <v>33</v>
      </c>
      <c r="X500" s="95">
        <v>48494</v>
      </c>
    </row>
    <row r="501" spans="1:24" x14ac:dyDescent="0.25">
      <c r="A501" s="6" t="s">
        <v>70</v>
      </c>
      <c r="B501" s="94" t="s">
        <v>1804</v>
      </c>
      <c r="C501" s="6" t="s">
        <v>1805</v>
      </c>
      <c r="D501" s="140">
        <v>12166684</v>
      </c>
      <c r="E501" s="6" t="s">
        <v>80</v>
      </c>
      <c r="F501" s="10" t="s">
        <v>143</v>
      </c>
      <c r="G501" s="6" t="s">
        <v>1633</v>
      </c>
      <c r="H501" s="8">
        <v>49162</v>
      </c>
      <c r="I501" s="8">
        <v>43306</v>
      </c>
      <c r="J501" s="8">
        <v>43306</v>
      </c>
      <c r="K501" s="95">
        <v>43319</v>
      </c>
      <c r="L501" s="95" t="s">
        <v>31</v>
      </c>
      <c r="M501" s="8">
        <v>43325</v>
      </c>
      <c r="N501" s="8">
        <v>43818</v>
      </c>
      <c r="O501" s="8">
        <v>43804</v>
      </c>
      <c r="P501" s="6" t="s">
        <v>182</v>
      </c>
      <c r="R501" s="97" t="str">
        <f t="shared" si="20"/>
        <v/>
      </c>
      <c r="S501" s="75" t="str">
        <f t="shared" si="19"/>
        <v/>
      </c>
      <c r="U501" s="8">
        <v>43818</v>
      </c>
      <c r="W501" s="6" t="s">
        <v>33</v>
      </c>
      <c r="X501" s="95">
        <v>47218</v>
      </c>
    </row>
    <row r="502" spans="1:24" x14ac:dyDescent="0.25">
      <c r="A502" s="6" t="s">
        <v>85</v>
      </c>
      <c r="B502" s="94" t="s">
        <v>723</v>
      </c>
      <c r="C502" s="6" t="s">
        <v>1806</v>
      </c>
      <c r="D502" s="140">
        <v>11344709</v>
      </c>
      <c r="E502" s="6" t="s">
        <v>490</v>
      </c>
      <c r="F502" s="10" t="s">
        <v>44</v>
      </c>
      <c r="G502" s="6" t="s">
        <v>1807</v>
      </c>
      <c r="H502" s="8">
        <v>2958125</v>
      </c>
      <c r="I502" s="8">
        <v>43306</v>
      </c>
      <c r="J502" s="8">
        <v>43306</v>
      </c>
      <c r="K502" s="95">
        <v>43313</v>
      </c>
      <c r="L502" s="95" t="s">
        <v>31</v>
      </c>
      <c r="M502" s="8">
        <v>43320</v>
      </c>
      <c r="N502" s="8">
        <v>43460</v>
      </c>
      <c r="O502" s="8">
        <v>43368</v>
      </c>
      <c r="P502" s="6" t="s">
        <v>35</v>
      </c>
      <c r="Q502" s="96">
        <v>1826</v>
      </c>
      <c r="R502" s="97">
        <f t="shared" si="20"/>
        <v>5.0027397260273974</v>
      </c>
      <c r="S502" s="75">
        <f t="shared" si="19"/>
        <v>41317.627397260272</v>
      </c>
      <c r="U502" s="8">
        <v>43461</v>
      </c>
      <c r="W502" s="6" t="s">
        <v>84</v>
      </c>
      <c r="X502" s="6" t="s">
        <v>683</v>
      </c>
    </row>
    <row r="503" spans="1:24" ht="30" x14ac:dyDescent="0.25">
      <c r="A503" s="6" t="s">
        <v>65</v>
      </c>
      <c r="B503" s="94" t="s">
        <v>666</v>
      </c>
      <c r="C503" s="6" t="s">
        <v>1808</v>
      </c>
      <c r="D503" s="140">
        <v>11331395</v>
      </c>
      <c r="E503" s="6" t="s">
        <v>104</v>
      </c>
      <c r="F503" s="10" t="s">
        <v>1588</v>
      </c>
      <c r="G503" s="6" t="s">
        <v>1809</v>
      </c>
      <c r="H503" s="8">
        <v>44765</v>
      </c>
      <c r="I503" s="8">
        <v>43339</v>
      </c>
      <c r="J503" s="8">
        <v>43339</v>
      </c>
      <c r="K503" s="95">
        <v>43341</v>
      </c>
      <c r="L503" s="95" t="s">
        <v>31</v>
      </c>
      <c r="M503" s="8">
        <v>43354</v>
      </c>
      <c r="N503" s="8">
        <v>43431</v>
      </c>
      <c r="O503" s="8">
        <v>43420</v>
      </c>
      <c r="P503" s="101" t="s">
        <v>52</v>
      </c>
      <c r="R503" s="97" t="str">
        <f t="shared" si="20"/>
        <v/>
      </c>
      <c r="S503" s="75" t="str">
        <f t="shared" si="19"/>
        <v/>
      </c>
      <c r="T503" s="124" t="s">
        <v>1810</v>
      </c>
      <c r="U503" s="8">
        <v>43431</v>
      </c>
      <c r="W503" s="6" t="s">
        <v>33</v>
      </c>
      <c r="X503" s="95">
        <v>44807</v>
      </c>
    </row>
    <row r="504" spans="1:24" x14ac:dyDescent="0.25">
      <c r="A504" s="6" t="s">
        <v>65</v>
      </c>
      <c r="B504" s="94" t="s">
        <v>531</v>
      </c>
      <c r="C504" s="6" t="s">
        <v>1811</v>
      </c>
      <c r="D504" s="140">
        <v>11611639</v>
      </c>
      <c r="E504" s="6" t="s">
        <v>637</v>
      </c>
      <c r="F504" s="10" t="s">
        <v>528</v>
      </c>
      <c r="G504" s="6" t="s">
        <v>1812</v>
      </c>
      <c r="H504" s="8">
        <v>43957</v>
      </c>
      <c r="I504" s="8">
        <v>43335</v>
      </c>
      <c r="J504" s="8">
        <v>43335</v>
      </c>
      <c r="K504" s="95">
        <v>43341</v>
      </c>
      <c r="L504" s="95" t="s">
        <v>31</v>
      </c>
      <c r="M504" s="8">
        <v>43354</v>
      </c>
      <c r="R504" s="97" t="str">
        <f t="shared" si="20"/>
        <v/>
      </c>
      <c r="S504" s="75" t="str">
        <f t="shared" si="19"/>
        <v/>
      </c>
      <c r="T504" s="124" t="s">
        <v>253</v>
      </c>
      <c r="U504" s="8">
        <v>43915</v>
      </c>
      <c r="V504" s="6" t="s">
        <v>36</v>
      </c>
      <c r="W504" s="6" t="s">
        <v>33</v>
      </c>
      <c r="X504" s="95">
        <v>43757</v>
      </c>
    </row>
    <row r="505" spans="1:24" x14ac:dyDescent="0.25">
      <c r="A505" s="6" t="s">
        <v>70</v>
      </c>
      <c r="B505" s="94" t="s">
        <v>1813</v>
      </c>
      <c r="C505" s="6" t="s">
        <v>1814</v>
      </c>
      <c r="D505" s="140">
        <v>11623083</v>
      </c>
      <c r="E505" s="6" t="s">
        <v>325</v>
      </c>
      <c r="F505" s="10" t="s">
        <v>44</v>
      </c>
      <c r="G505" s="6" t="s">
        <v>1815</v>
      </c>
      <c r="H505" s="8">
        <v>44491</v>
      </c>
      <c r="I505" s="8">
        <v>43306</v>
      </c>
      <c r="J505" s="8">
        <v>43306</v>
      </c>
      <c r="K505" s="95">
        <v>43319</v>
      </c>
      <c r="L505" s="95" t="s">
        <v>31</v>
      </c>
      <c r="M505" s="8">
        <v>43325</v>
      </c>
      <c r="R505" s="97" t="str">
        <f t="shared" si="20"/>
        <v/>
      </c>
      <c r="S505" s="75" t="str">
        <f t="shared" si="19"/>
        <v/>
      </c>
      <c r="T505" s="124" t="s">
        <v>1816</v>
      </c>
      <c r="U505" s="8">
        <v>44274</v>
      </c>
      <c r="W505" s="6" t="s">
        <v>33</v>
      </c>
      <c r="X505" s="95">
        <v>44277</v>
      </c>
    </row>
    <row r="506" spans="1:24" x14ac:dyDescent="0.25">
      <c r="A506" s="6" t="s">
        <v>70</v>
      </c>
      <c r="B506" s="94" t="s">
        <v>1817</v>
      </c>
      <c r="C506" s="6" t="s">
        <v>1818</v>
      </c>
      <c r="D506" s="140">
        <v>11626689</v>
      </c>
      <c r="E506" s="6" t="s">
        <v>826</v>
      </c>
      <c r="F506" s="10" t="s">
        <v>29</v>
      </c>
      <c r="G506" s="6" t="s">
        <v>1819</v>
      </c>
      <c r="H506" s="8">
        <v>43871</v>
      </c>
      <c r="I506" s="8">
        <v>43306</v>
      </c>
      <c r="J506" s="8">
        <v>43306</v>
      </c>
      <c r="K506" s="95">
        <v>43319</v>
      </c>
      <c r="L506" s="95" t="s">
        <v>31</v>
      </c>
      <c r="M506" s="8">
        <v>43325</v>
      </c>
      <c r="N506" s="8">
        <v>43584</v>
      </c>
      <c r="O506" s="8">
        <v>43578</v>
      </c>
      <c r="P506" s="6" t="s">
        <v>35</v>
      </c>
      <c r="Q506" s="96">
        <v>1461</v>
      </c>
      <c r="R506" s="97">
        <f t="shared" si="20"/>
        <v>4.0027397260273974</v>
      </c>
      <c r="S506" s="75">
        <f t="shared" si="19"/>
        <v>33058.627397260272</v>
      </c>
      <c r="T506" s="124" t="s">
        <v>1007</v>
      </c>
      <c r="U506" s="8">
        <v>43586</v>
      </c>
      <c r="V506" s="107"/>
      <c r="W506" s="6" t="s">
        <v>33</v>
      </c>
      <c r="X506" s="109">
        <v>44073</v>
      </c>
    </row>
    <row r="507" spans="1:24" x14ac:dyDescent="0.25">
      <c r="A507" s="6" t="s">
        <v>85</v>
      </c>
      <c r="B507" s="94" t="s">
        <v>242</v>
      </c>
      <c r="C507" s="6" t="s">
        <v>1820</v>
      </c>
      <c r="D507" s="140">
        <v>11332793</v>
      </c>
      <c r="E507" s="6" t="s">
        <v>1659</v>
      </c>
      <c r="F507" s="10" t="s">
        <v>44</v>
      </c>
      <c r="G507" s="6" t="s">
        <v>1821</v>
      </c>
      <c r="H507" s="8">
        <v>45257</v>
      </c>
      <c r="I507" s="8">
        <v>43306</v>
      </c>
      <c r="J507" s="8">
        <v>43306</v>
      </c>
      <c r="K507" s="95">
        <v>43313</v>
      </c>
      <c r="L507" s="95" t="s">
        <v>31</v>
      </c>
      <c r="M507" s="8">
        <v>43320</v>
      </c>
      <c r="N507" s="8">
        <v>43532</v>
      </c>
      <c r="O507" s="8">
        <v>43398</v>
      </c>
      <c r="P507" s="6" t="s">
        <v>69</v>
      </c>
      <c r="R507" s="97" t="str">
        <f t="shared" si="20"/>
        <v/>
      </c>
      <c r="S507" s="75" t="str">
        <f t="shared" si="19"/>
        <v/>
      </c>
      <c r="T507" s="124" t="s">
        <v>265</v>
      </c>
      <c r="U507" s="8">
        <v>43532</v>
      </c>
      <c r="W507" s="6" t="s">
        <v>33</v>
      </c>
      <c r="X507" s="95">
        <v>54415</v>
      </c>
    </row>
    <row r="508" spans="1:24" x14ac:dyDescent="0.25">
      <c r="A508" s="6" t="s">
        <v>85</v>
      </c>
      <c r="B508" s="94" t="s">
        <v>1822</v>
      </c>
      <c r="C508" s="6" t="s">
        <v>1823</v>
      </c>
      <c r="D508" s="140">
        <v>11337720</v>
      </c>
      <c r="E508" s="6" t="s">
        <v>907</v>
      </c>
      <c r="F508" s="10" t="s">
        <v>1352</v>
      </c>
      <c r="G508" s="6" t="s">
        <v>1824</v>
      </c>
      <c r="H508" s="8">
        <v>46338</v>
      </c>
      <c r="I508" s="8">
        <v>43306</v>
      </c>
      <c r="J508" s="8">
        <v>43306</v>
      </c>
      <c r="K508" s="95">
        <v>43319</v>
      </c>
      <c r="L508" s="95" t="s">
        <v>31</v>
      </c>
      <c r="M508" s="8">
        <v>43325</v>
      </c>
      <c r="N508" s="8">
        <v>43532</v>
      </c>
      <c r="O508" s="8">
        <v>43420</v>
      </c>
      <c r="P508" s="6" t="s">
        <v>35</v>
      </c>
      <c r="Q508" s="96">
        <v>1461</v>
      </c>
      <c r="R508" s="97">
        <f t="shared" si="20"/>
        <v>4.0027397260273974</v>
      </c>
      <c r="S508" s="75">
        <f t="shared" si="19"/>
        <v>33058.627397260272</v>
      </c>
      <c r="T508" s="124" t="s">
        <v>474</v>
      </c>
      <c r="U508" s="8">
        <v>43532</v>
      </c>
      <c r="W508" s="6" t="s">
        <v>33</v>
      </c>
      <c r="X508" s="95">
        <v>46947</v>
      </c>
    </row>
    <row r="509" spans="1:24" x14ac:dyDescent="0.25">
      <c r="A509" s="6" t="s">
        <v>70</v>
      </c>
      <c r="B509" s="94" t="s">
        <v>1825</v>
      </c>
      <c r="C509" s="6" t="s">
        <v>1826</v>
      </c>
      <c r="D509" s="140">
        <v>11361468</v>
      </c>
      <c r="E509" s="6" t="s">
        <v>199</v>
      </c>
      <c r="F509" s="10" t="s">
        <v>44</v>
      </c>
      <c r="G509" s="6" t="s">
        <v>1827</v>
      </c>
      <c r="H509" s="8">
        <v>2958125</v>
      </c>
      <c r="I509" s="8">
        <v>43306</v>
      </c>
      <c r="J509" s="8">
        <v>43306</v>
      </c>
      <c r="K509" s="95">
        <v>43313</v>
      </c>
      <c r="L509" s="95" t="s">
        <v>31</v>
      </c>
      <c r="M509" s="8">
        <v>43320</v>
      </c>
      <c r="N509" s="8">
        <v>43579</v>
      </c>
      <c r="O509" s="8">
        <v>43524</v>
      </c>
      <c r="P509" s="6" t="s">
        <v>35</v>
      </c>
      <c r="Q509" s="96">
        <v>3652</v>
      </c>
      <c r="R509" s="97">
        <f t="shared" si="20"/>
        <v>10.005479452054795</v>
      </c>
      <c r="S509" s="75">
        <f t="shared" si="19"/>
        <v>82635.254794520544</v>
      </c>
      <c r="T509" s="124" t="s">
        <v>1828</v>
      </c>
      <c r="U509" s="8">
        <v>43579</v>
      </c>
      <c r="W509" s="6" t="s">
        <v>84</v>
      </c>
      <c r="X509" s="6" t="s">
        <v>683</v>
      </c>
    </row>
    <row r="510" spans="1:24" x14ac:dyDescent="0.25">
      <c r="A510" s="6" t="s">
        <v>85</v>
      </c>
      <c r="B510" s="94" t="s">
        <v>1829</v>
      </c>
      <c r="C510" s="6" t="s">
        <v>1830</v>
      </c>
      <c r="D510" s="140">
        <v>11312993</v>
      </c>
      <c r="E510" s="6" t="s">
        <v>656</v>
      </c>
      <c r="F510" s="10" t="s">
        <v>29</v>
      </c>
      <c r="G510" s="6" t="s">
        <v>1831</v>
      </c>
      <c r="H510" s="8">
        <v>44693</v>
      </c>
      <c r="I510" s="8">
        <v>43306</v>
      </c>
      <c r="J510" s="8">
        <v>43306</v>
      </c>
      <c r="K510" s="95">
        <v>43313</v>
      </c>
      <c r="L510" s="95" t="s">
        <v>31</v>
      </c>
      <c r="M510" s="8">
        <v>43320</v>
      </c>
      <c r="N510" s="8">
        <v>44274</v>
      </c>
      <c r="O510" s="8">
        <v>44131</v>
      </c>
      <c r="P510" s="6" t="s">
        <v>90</v>
      </c>
      <c r="Q510" s="96">
        <v>553</v>
      </c>
      <c r="R510" s="97">
        <f t="shared" si="20"/>
        <v>1.515068493150685</v>
      </c>
      <c r="S510" s="75">
        <f t="shared" si="19"/>
        <v>12512.950684931508</v>
      </c>
      <c r="T510" s="124" t="s">
        <v>1832</v>
      </c>
      <c r="U510" s="8">
        <v>44274</v>
      </c>
      <c r="V510" s="6" t="s">
        <v>36</v>
      </c>
      <c r="W510" s="6" t="s">
        <v>33</v>
      </c>
      <c r="X510" s="95">
        <v>45682</v>
      </c>
    </row>
    <row r="511" spans="1:24" x14ac:dyDescent="0.25">
      <c r="A511" s="6" t="s">
        <v>70</v>
      </c>
      <c r="B511" s="94" t="s">
        <v>1833</v>
      </c>
      <c r="C511" s="6" t="s">
        <v>1834</v>
      </c>
      <c r="D511" s="140">
        <v>11009455</v>
      </c>
      <c r="E511" s="6" t="s">
        <v>304</v>
      </c>
      <c r="F511" s="10" t="s">
        <v>252</v>
      </c>
      <c r="G511" s="6">
        <v>50711747</v>
      </c>
      <c r="H511" s="8">
        <v>47624</v>
      </c>
      <c r="I511" s="8">
        <v>43306</v>
      </c>
      <c r="J511" s="8">
        <v>43306</v>
      </c>
      <c r="K511" s="95">
        <v>43327</v>
      </c>
      <c r="L511" s="95" t="s">
        <v>31</v>
      </c>
      <c r="M511" s="8">
        <v>43334</v>
      </c>
      <c r="N511" s="8">
        <v>44274</v>
      </c>
      <c r="O511" s="8">
        <v>43353</v>
      </c>
      <c r="P511" s="6" t="s">
        <v>35</v>
      </c>
      <c r="Q511" s="96">
        <v>1406</v>
      </c>
      <c r="R511" s="97">
        <f t="shared" si="20"/>
        <v>3.8520547945205479</v>
      </c>
      <c r="S511" s="75">
        <f t="shared" si="19"/>
        <v>31814.120547945207</v>
      </c>
      <c r="T511" s="124" t="s">
        <v>107</v>
      </c>
      <c r="U511" s="8">
        <v>44274</v>
      </c>
      <c r="W511" s="6" t="s">
        <v>33</v>
      </c>
      <c r="X511" s="95">
        <v>43436</v>
      </c>
    </row>
    <row r="512" spans="1:24" x14ac:dyDescent="0.25">
      <c r="A512" s="6" t="s">
        <v>70</v>
      </c>
      <c r="B512" s="94" t="s">
        <v>1835</v>
      </c>
      <c r="C512" s="6" t="s">
        <v>1836</v>
      </c>
      <c r="D512" s="140">
        <v>12189734</v>
      </c>
      <c r="E512" s="6" t="s">
        <v>678</v>
      </c>
      <c r="F512" s="10" t="s">
        <v>44</v>
      </c>
      <c r="G512" s="6" t="s">
        <v>1837</v>
      </c>
      <c r="H512" s="8">
        <v>50592</v>
      </c>
      <c r="I512" s="8">
        <v>43384</v>
      </c>
      <c r="J512" s="8">
        <v>43384</v>
      </c>
      <c r="K512" s="95">
        <v>43376</v>
      </c>
      <c r="L512" s="95" t="s">
        <v>31</v>
      </c>
      <c r="M512" s="8">
        <v>43390</v>
      </c>
      <c r="N512" s="8">
        <v>43438</v>
      </c>
      <c r="O512" s="8">
        <v>43420</v>
      </c>
      <c r="P512" s="6" t="s">
        <v>75</v>
      </c>
      <c r="R512" s="97" t="str">
        <f t="shared" si="20"/>
        <v/>
      </c>
      <c r="S512" s="75" t="str">
        <f t="shared" si="19"/>
        <v/>
      </c>
      <c r="U512" s="8">
        <v>43438</v>
      </c>
      <c r="W512" s="6" t="s">
        <v>33</v>
      </c>
      <c r="X512" s="95">
        <v>53916</v>
      </c>
    </row>
    <row r="513" spans="1:24" ht="30" x14ac:dyDescent="0.25">
      <c r="A513" s="6" t="s">
        <v>70</v>
      </c>
      <c r="B513" s="94" t="s">
        <v>1838</v>
      </c>
      <c r="C513" s="6" t="s">
        <v>1839</v>
      </c>
      <c r="D513" s="140">
        <v>12182076</v>
      </c>
      <c r="E513" s="6" t="s">
        <v>547</v>
      </c>
      <c r="F513" s="10" t="s">
        <v>528</v>
      </c>
      <c r="G513" s="6" t="s">
        <v>1840</v>
      </c>
      <c r="H513" s="8">
        <v>46879</v>
      </c>
      <c r="I513" s="8">
        <v>43306</v>
      </c>
      <c r="J513" s="8">
        <v>43306</v>
      </c>
      <c r="K513" s="95">
        <v>43319</v>
      </c>
      <c r="L513" s="95" t="s">
        <v>31</v>
      </c>
      <c r="M513" s="8">
        <v>43325</v>
      </c>
      <c r="R513" s="97" t="str">
        <f t="shared" si="20"/>
        <v/>
      </c>
      <c r="S513" s="75" t="str">
        <f t="shared" si="19"/>
        <v/>
      </c>
      <c r="T513" s="124" t="s">
        <v>620</v>
      </c>
      <c r="W513" s="6" t="s">
        <v>33</v>
      </c>
      <c r="X513" s="95">
        <v>54108</v>
      </c>
    </row>
    <row r="514" spans="1:24" x14ac:dyDescent="0.25">
      <c r="A514" s="6" t="s">
        <v>85</v>
      </c>
      <c r="B514" s="94" t="s">
        <v>1841</v>
      </c>
      <c r="C514" s="6" t="s">
        <v>1842</v>
      </c>
      <c r="D514" s="140">
        <v>11820199</v>
      </c>
      <c r="E514" s="6" t="s">
        <v>997</v>
      </c>
      <c r="F514" s="10" t="s">
        <v>437</v>
      </c>
      <c r="G514" s="6" t="s">
        <v>1843</v>
      </c>
      <c r="H514" s="8">
        <v>48207</v>
      </c>
      <c r="I514" s="8">
        <v>43306</v>
      </c>
      <c r="J514" s="8">
        <v>43306</v>
      </c>
      <c r="K514" s="95">
        <v>43327</v>
      </c>
      <c r="L514" s="95" t="s">
        <v>31</v>
      </c>
      <c r="M514" s="8">
        <v>43334</v>
      </c>
      <c r="N514" s="8">
        <v>43480</v>
      </c>
      <c r="O514" s="8">
        <v>43468</v>
      </c>
      <c r="P514" s="6" t="s">
        <v>35</v>
      </c>
      <c r="Q514" s="96">
        <v>1461</v>
      </c>
      <c r="R514" s="97">
        <f t="shared" si="20"/>
        <v>4.0027397260273974</v>
      </c>
      <c r="S514" s="75">
        <f t="shared" si="19"/>
        <v>33058.627397260272</v>
      </c>
      <c r="T514" s="124" t="s">
        <v>1844</v>
      </c>
      <c r="U514" s="8">
        <v>43481</v>
      </c>
      <c r="W514" s="6" t="s">
        <v>84</v>
      </c>
      <c r="X514" s="95">
        <v>42486</v>
      </c>
    </row>
    <row r="515" spans="1:24" x14ac:dyDescent="0.25">
      <c r="A515" s="6" t="s">
        <v>85</v>
      </c>
      <c r="B515" s="94" t="s">
        <v>1713</v>
      </c>
      <c r="C515" s="6" t="s">
        <v>1845</v>
      </c>
      <c r="D515" s="140">
        <v>11365430</v>
      </c>
      <c r="E515" s="6" t="s">
        <v>332</v>
      </c>
      <c r="F515" s="10" t="s">
        <v>205</v>
      </c>
      <c r="G515" s="6" t="s">
        <v>1846</v>
      </c>
      <c r="H515" s="8">
        <v>43954</v>
      </c>
      <c r="I515" s="8">
        <v>43306</v>
      </c>
      <c r="J515" s="8">
        <v>43306</v>
      </c>
      <c r="K515" s="95">
        <v>43313</v>
      </c>
      <c r="L515" s="95" t="s">
        <v>31</v>
      </c>
      <c r="M515" s="95">
        <v>43320</v>
      </c>
      <c r="N515" s="8">
        <v>43815</v>
      </c>
      <c r="O515" s="8">
        <v>43804</v>
      </c>
      <c r="P515" s="6" t="s">
        <v>182</v>
      </c>
      <c r="R515" s="97" t="str">
        <f t="shared" si="20"/>
        <v/>
      </c>
      <c r="S515" s="75" t="str">
        <f t="shared" si="19"/>
        <v/>
      </c>
      <c r="U515" s="8">
        <v>43816</v>
      </c>
      <c r="W515" s="6" t="s">
        <v>33</v>
      </c>
      <c r="X515" s="95">
        <v>56639</v>
      </c>
    </row>
    <row r="516" spans="1:24" x14ac:dyDescent="0.25">
      <c r="A516" s="6" t="s">
        <v>65</v>
      </c>
      <c r="B516" s="94" t="s">
        <v>594</v>
      </c>
      <c r="C516" s="6" t="s">
        <v>1847</v>
      </c>
      <c r="D516" s="140">
        <v>11571131</v>
      </c>
      <c r="E516" s="6" t="s">
        <v>559</v>
      </c>
      <c r="F516" s="10" t="s">
        <v>44</v>
      </c>
      <c r="G516" s="6" t="s">
        <v>1848</v>
      </c>
      <c r="H516" s="8">
        <v>44959</v>
      </c>
      <c r="I516" s="8">
        <v>43335</v>
      </c>
      <c r="J516" s="8">
        <v>43335</v>
      </c>
      <c r="K516" s="95">
        <v>43341</v>
      </c>
      <c r="L516" s="95" t="s">
        <v>31</v>
      </c>
      <c r="M516" s="8">
        <v>43354</v>
      </c>
      <c r="N516" s="8">
        <v>43423</v>
      </c>
      <c r="O516" s="8">
        <v>43423</v>
      </c>
      <c r="P516" s="101" t="s">
        <v>52</v>
      </c>
      <c r="R516" s="97" t="str">
        <f t="shared" si="20"/>
        <v/>
      </c>
      <c r="S516" s="75" t="str">
        <f t="shared" si="19"/>
        <v/>
      </c>
      <c r="T516" s="124" t="s">
        <v>1849</v>
      </c>
      <c r="U516" s="8">
        <v>43439</v>
      </c>
      <c r="W516" s="6" t="s">
        <v>33</v>
      </c>
      <c r="X516" s="95">
        <v>44115</v>
      </c>
    </row>
    <row r="517" spans="1:24" x14ac:dyDescent="0.25">
      <c r="A517" s="6" t="s">
        <v>70</v>
      </c>
      <c r="B517" s="94" t="s">
        <v>1850</v>
      </c>
      <c r="C517" s="6" t="s">
        <v>1851</v>
      </c>
      <c r="D517" s="140">
        <v>11623090</v>
      </c>
      <c r="E517" s="6" t="s">
        <v>490</v>
      </c>
      <c r="F517" s="10" t="s">
        <v>44</v>
      </c>
      <c r="G517" s="6" t="s">
        <v>1852</v>
      </c>
      <c r="H517" s="8">
        <v>57337</v>
      </c>
      <c r="I517" s="8">
        <v>43307</v>
      </c>
      <c r="J517" s="8">
        <v>43307</v>
      </c>
      <c r="K517" s="95">
        <v>43327</v>
      </c>
      <c r="L517" s="95" t="s">
        <v>31</v>
      </c>
      <c r="M517" s="8">
        <v>43334</v>
      </c>
      <c r="N517" s="8">
        <v>43391</v>
      </c>
      <c r="O517" s="8">
        <v>43377</v>
      </c>
      <c r="P517" s="6" t="s">
        <v>35</v>
      </c>
      <c r="Q517" s="96">
        <v>1461</v>
      </c>
      <c r="R517" s="97">
        <f t="shared" si="20"/>
        <v>4.0027397260273974</v>
      </c>
      <c r="S517" s="75">
        <f t="shared" si="19"/>
        <v>33058.627397260272</v>
      </c>
      <c r="T517" s="124" t="s">
        <v>474</v>
      </c>
      <c r="U517" s="8">
        <v>43395</v>
      </c>
      <c r="W517" s="6" t="s">
        <v>84</v>
      </c>
      <c r="X517" s="95">
        <v>47914</v>
      </c>
    </row>
    <row r="518" spans="1:24" x14ac:dyDescent="0.25">
      <c r="A518" s="6" t="s">
        <v>70</v>
      </c>
      <c r="B518" s="94" t="s">
        <v>1853</v>
      </c>
      <c r="C518" s="6" t="s">
        <v>1854</v>
      </c>
      <c r="D518" s="140">
        <v>11267992</v>
      </c>
      <c r="E518" s="6" t="s">
        <v>1525</v>
      </c>
      <c r="F518" s="10" t="s">
        <v>29</v>
      </c>
      <c r="G518" s="6" t="s">
        <v>1855</v>
      </c>
      <c r="H518" s="8">
        <v>2958125</v>
      </c>
      <c r="I518" s="8">
        <v>43307</v>
      </c>
      <c r="J518" s="8">
        <v>43307</v>
      </c>
      <c r="K518" s="95">
        <v>43327</v>
      </c>
      <c r="L518" s="95" t="s">
        <v>31</v>
      </c>
      <c r="M518" s="8">
        <v>43334</v>
      </c>
      <c r="N518" s="8">
        <v>43560</v>
      </c>
      <c r="O518" s="8">
        <v>43560</v>
      </c>
      <c r="P518" s="6" t="s">
        <v>35</v>
      </c>
      <c r="Q518" s="96">
        <v>3652</v>
      </c>
      <c r="R518" s="97">
        <f t="shared" si="20"/>
        <v>10.005479452054795</v>
      </c>
      <c r="S518" s="75">
        <f t="shared" si="19"/>
        <v>82635.254794520544</v>
      </c>
      <c r="T518" s="124" t="s">
        <v>1856</v>
      </c>
      <c r="U518" s="8">
        <v>43564</v>
      </c>
      <c r="W518" s="6" t="s">
        <v>84</v>
      </c>
      <c r="X518" s="6" t="s">
        <v>683</v>
      </c>
    </row>
    <row r="519" spans="1:24" x14ac:dyDescent="0.25">
      <c r="A519" s="6" t="s">
        <v>70</v>
      </c>
      <c r="B519" s="94" t="s">
        <v>1857</v>
      </c>
      <c r="C519" s="6" t="s">
        <v>1858</v>
      </c>
      <c r="D519" s="140">
        <v>11939920</v>
      </c>
      <c r="E519" s="6" t="s">
        <v>318</v>
      </c>
      <c r="F519" s="10" t="s">
        <v>44</v>
      </c>
      <c r="G519" s="6" t="s">
        <v>1859</v>
      </c>
      <c r="H519" s="8">
        <v>68273</v>
      </c>
      <c r="I519" s="8">
        <v>43307</v>
      </c>
      <c r="J519" s="8">
        <v>43307</v>
      </c>
      <c r="K519" s="95">
        <v>43327</v>
      </c>
      <c r="L519" s="95" t="s">
        <v>31</v>
      </c>
      <c r="M519" s="8">
        <v>43334</v>
      </c>
      <c r="R519" s="97" t="str">
        <f t="shared" si="20"/>
        <v/>
      </c>
      <c r="S519" s="75" t="str">
        <f t="shared" si="19"/>
        <v/>
      </c>
      <c r="T519" s="129" t="s">
        <v>1860</v>
      </c>
      <c r="U519" s="8">
        <v>44783</v>
      </c>
      <c r="W519" s="6" t="s">
        <v>84</v>
      </c>
      <c r="X519" s="95">
        <v>45747</v>
      </c>
    </row>
    <row r="520" spans="1:24" x14ac:dyDescent="0.25">
      <c r="A520" s="6" t="s">
        <v>85</v>
      </c>
      <c r="B520" s="94" t="s">
        <v>312</v>
      </c>
      <c r="C520" s="6" t="s">
        <v>1861</v>
      </c>
      <c r="D520" s="140">
        <v>11901923</v>
      </c>
      <c r="E520" s="6" t="s">
        <v>314</v>
      </c>
      <c r="F520" s="10" t="s">
        <v>44</v>
      </c>
      <c r="G520" s="6" t="s">
        <v>1862</v>
      </c>
      <c r="H520" s="8">
        <v>64586</v>
      </c>
      <c r="I520" s="8">
        <v>43307</v>
      </c>
      <c r="J520" s="8">
        <v>43307</v>
      </c>
      <c r="K520" s="95">
        <v>43327</v>
      </c>
      <c r="L520" s="95" t="s">
        <v>31</v>
      </c>
      <c r="M520" s="8">
        <v>43334</v>
      </c>
      <c r="R520" s="97" t="str">
        <f t="shared" si="20"/>
        <v/>
      </c>
      <c r="S520" s="75" t="str">
        <f t="shared" si="19"/>
        <v/>
      </c>
      <c r="W520" s="6" t="s">
        <v>33</v>
      </c>
      <c r="X520" s="95">
        <v>44949</v>
      </c>
    </row>
    <row r="521" spans="1:24" x14ac:dyDescent="0.25">
      <c r="A521" s="6" t="s">
        <v>85</v>
      </c>
      <c r="B521" s="94" t="s">
        <v>1863</v>
      </c>
      <c r="C521" s="6" t="s">
        <v>1864</v>
      </c>
      <c r="D521" s="140">
        <v>11955890</v>
      </c>
      <c r="E521" s="6" t="s">
        <v>209</v>
      </c>
      <c r="F521" s="10" t="s">
        <v>205</v>
      </c>
      <c r="G521" s="6" t="s">
        <v>1865</v>
      </c>
      <c r="H521" s="8">
        <v>61476</v>
      </c>
      <c r="I521" s="8">
        <v>43307</v>
      </c>
      <c r="J521" s="8">
        <v>43307</v>
      </c>
      <c r="K521" s="95">
        <v>43327</v>
      </c>
      <c r="L521" s="95" t="s">
        <v>31</v>
      </c>
      <c r="M521" s="8">
        <v>43334</v>
      </c>
      <c r="N521" s="8">
        <v>43704</v>
      </c>
      <c r="O521" s="8">
        <v>43658</v>
      </c>
      <c r="P521" s="6" t="s">
        <v>35</v>
      </c>
      <c r="Q521" s="96">
        <v>1826</v>
      </c>
      <c r="R521" s="97">
        <f t="shared" si="20"/>
        <v>5.0027397260273974</v>
      </c>
      <c r="S521" s="75">
        <f t="shared" si="19"/>
        <v>41317.627397260272</v>
      </c>
      <c r="T521" s="124" t="s">
        <v>1866</v>
      </c>
      <c r="U521" s="8">
        <v>43705</v>
      </c>
      <c r="W521" s="6" t="s">
        <v>84</v>
      </c>
      <c r="X521" s="95">
        <v>52741</v>
      </c>
    </row>
    <row r="522" spans="1:24" x14ac:dyDescent="0.25">
      <c r="A522" s="6" t="s">
        <v>85</v>
      </c>
      <c r="B522" s="94" t="s">
        <v>1867</v>
      </c>
      <c r="C522" s="6" t="s">
        <v>1868</v>
      </c>
      <c r="D522" s="140">
        <v>12180715</v>
      </c>
      <c r="E522" s="6" t="s">
        <v>997</v>
      </c>
      <c r="F522" s="10" t="s">
        <v>44</v>
      </c>
      <c r="G522" s="6" t="s">
        <v>1869</v>
      </c>
      <c r="H522" s="8">
        <v>60924</v>
      </c>
      <c r="I522" s="8">
        <v>43307</v>
      </c>
      <c r="J522" s="8">
        <v>43307</v>
      </c>
      <c r="K522" s="95">
        <v>43319</v>
      </c>
      <c r="L522" s="95" t="s">
        <v>31</v>
      </c>
      <c r="M522" s="8">
        <v>43325</v>
      </c>
      <c r="N522" s="8">
        <v>43860</v>
      </c>
      <c r="O522" s="8">
        <v>43845</v>
      </c>
      <c r="P522" s="6" t="s">
        <v>35</v>
      </c>
      <c r="Q522" s="96">
        <v>1826</v>
      </c>
      <c r="R522" s="97">
        <f t="shared" si="20"/>
        <v>5.0027397260273974</v>
      </c>
      <c r="S522" s="75">
        <f t="shared" si="19"/>
        <v>41317.627397260272</v>
      </c>
      <c r="T522" s="124" t="s">
        <v>601</v>
      </c>
      <c r="U522" s="8">
        <v>43861</v>
      </c>
      <c r="W522" s="6" t="s">
        <v>84</v>
      </c>
      <c r="X522" s="95">
        <v>50603</v>
      </c>
    </row>
    <row r="523" spans="1:24" ht="30" x14ac:dyDescent="0.25">
      <c r="A523" s="6" t="s">
        <v>65</v>
      </c>
      <c r="B523" s="94" t="s">
        <v>1094</v>
      </c>
      <c r="C523" s="6" t="s">
        <v>1870</v>
      </c>
      <c r="D523" s="140">
        <v>11717557</v>
      </c>
      <c r="E523" s="6" t="s">
        <v>678</v>
      </c>
      <c r="F523" s="10" t="s">
        <v>62</v>
      </c>
      <c r="G523" s="6" t="s">
        <v>1871</v>
      </c>
      <c r="H523" s="8">
        <v>49421</v>
      </c>
      <c r="I523" s="8">
        <v>43339</v>
      </c>
      <c r="J523" s="8">
        <v>43339</v>
      </c>
      <c r="K523" s="95">
        <v>43355</v>
      </c>
      <c r="L523" s="95" t="s">
        <v>31</v>
      </c>
      <c r="M523" s="8">
        <v>43360</v>
      </c>
      <c r="N523" s="8">
        <v>43433</v>
      </c>
      <c r="O523" s="8">
        <v>43424</v>
      </c>
      <c r="P523" s="101" t="s">
        <v>52</v>
      </c>
      <c r="R523" s="97" t="str">
        <f t="shared" si="20"/>
        <v/>
      </c>
      <c r="S523" s="75" t="str">
        <f t="shared" si="19"/>
        <v/>
      </c>
      <c r="T523" s="124" t="s">
        <v>1872</v>
      </c>
      <c r="U523" s="8">
        <v>43433</v>
      </c>
      <c r="W523" s="6" t="s">
        <v>33</v>
      </c>
      <c r="X523" s="95">
        <v>46413</v>
      </c>
    </row>
    <row r="524" spans="1:24" x14ac:dyDescent="0.25">
      <c r="A524" s="6" t="s">
        <v>85</v>
      </c>
      <c r="B524" s="94" t="s">
        <v>1873</v>
      </c>
      <c r="C524" s="6" t="s">
        <v>1874</v>
      </c>
      <c r="D524" s="140">
        <v>11917862</v>
      </c>
      <c r="E524" s="6" t="s">
        <v>1539</v>
      </c>
      <c r="F524" s="10" t="s">
        <v>44</v>
      </c>
      <c r="G524" s="6" t="s">
        <v>1875</v>
      </c>
      <c r="H524" s="8">
        <v>65365</v>
      </c>
      <c r="I524" s="8">
        <v>43307</v>
      </c>
      <c r="J524" s="8">
        <v>43307</v>
      </c>
      <c r="K524" s="95">
        <v>43327</v>
      </c>
      <c r="L524" s="95" t="s">
        <v>31</v>
      </c>
      <c r="M524" s="8">
        <v>43334</v>
      </c>
      <c r="N524" s="8">
        <v>43472</v>
      </c>
      <c r="O524" s="8">
        <v>43460</v>
      </c>
      <c r="P524" s="6" t="s">
        <v>35</v>
      </c>
      <c r="Q524" s="96">
        <v>3287.25</v>
      </c>
      <c r="R524" s="97">
        <f t="shared" si="20"/>
        <v>9.0061643835616429</v>
      </c>
      <c r="S524" s="75">
        <f t="shared" si="19"/>
        <v>74381.911643835614</v>
      </c>
      <c r="T524" s="124" t="s">
        <v>1876</v>
      </c>
      <c r="U524" s="8">
        <v>43472</v>
      </c>
      <c r="W524" s="6" t="s">
        <v>84</v>
      </c>
      <c r="X524" s="95">
        <v>43033</v>
      </c>
    </row>
    <row r="525" spans="1:24" s="112" customFormat="1" x14ac:dyDescent="0.25">
      <c r="A525" s="6" t="s">
        <v>70</v>
      </c>
      <c r="B525" s="94" t="s">
        <v>145</v>
      </c>
      <c r="C525" s="6" t="s">
        <v>1877</v>
      </c>
      <c r="D525" s="140">
        <v>12014683</v>
      </c>
      <c r="E525" s="6" t="s">
        <v>714</v>
      </c>
      <c r="F525" s="10" t="s">
        <v>29</v>
      </c>
      <c r="G525" s="6" t="s">
        <v>1878</v>
      </c>
      <c r="H525" s="8">
        <v>56476</v>
      </c>
      <c r="I525" s="8">
        <v>43307</v>
      </c>
      <c r="J525" s="8">
        <v>43307</v>
      </c>
      <c r="K525" s="95">
        <v>43327</v>
      </c>
      <c r="L525" s="95" t="s">
        <v>31</v>
      </c>
      <c r="M525" s="8">
        <v>43334</v>
      </c>
      <c r="N525" s="108">
        <v>43572</v>
      </c>
      <c r="O525" s="108">
        <v>43528</v>
      </c>
      <c r="P525" s="107" t="s">
        <v>35</v>
      </c>
      <c r="Q525" s="110">
        <v>0</v>
      </c>
      <c r="R525" s="97" t="str">
        <f t="shared" si="20"/>
        <v/>
      </c>
      <c r="S525" s="75" t="str">
        <f t="shared" si="19"/>
        <v/>
      </c>
      <c r="T525" s="132"/>
      <c r="U525" s="8">
        <v>44776</v>
      </c>
      <c r="V525" s="107"/>
      <c r="W525" s="6" t="s">
        <v>84</v>
      </c>
      <c r="X525" s="109">
        <v>44505</v>
      </c>
    </row>
    <row r="526" spans="1:24" x14ac:dyDescent="0.25">
      <c r="A526" s="6" t="s">
        <v>70</v>
      </c>
      <c r="B526" s="94" t="s">
        <v>1879</v>
      </c>
      <c r="C526" s="6" t="s">
        <v>1880</v>
      </c>
      <c r="D526" s="140">
        <v>11935938</v>
      </c>
      <c r="E526" s="6" t="s">
        <v>80</v>
      </c>
      <c r="F526" s="10" t="s">
        <v>44</v>
      </c>
      <c r="G526" s="6" t="s">
        <v>1881</v>
      </c>
      <c r="H526" s="8">
        <v>63600</v>
      </c>
      <c r="I526" s="8">
        <v>43307</v>
      </c>
      <c r="J526" s="8">
        <v>43307</v>
      </c>
      <c r="K526" s="95">
        <v>43327</v>
      </c>
      <c r="L526" s="95" t="s">
        <v>31</v>
      </c>
      <c r="M526" s="8">
        <v>43334</v>
      </c>
      <c r="N526" s="8">
        <v>43448</v>
      </c>
      <c r="O526" s="8">
        <v>43438</v>
      </c>
      <c r="P526" s="6" t="s">
        <v>35</v>
      </c>
      <c r="Q526" s="96">
        <v>3652</v>
      </c>
      <c r="R526" s="97">
        <f t="shared" si="20"/>
        <v>10.005479452054795</v>
      </c>
      <c r="S526" s="75">
        <f t="shared" si="19"/>
        <v>82635.254794520544</v>
      </c>
      <c r="U526" s="8">
        <v>43455</v>
      </c>
      <c r="W526" s="6" t="s">
        <v>84</v>
      </c>
      <c r="X526" s="95">
        <v>51009</v>
      </c>
    </row>
    <row r="527" spans="1:24" x14ac:dyDescent="0.25">
      <c r="A527" s="6" t="s">
        <v>70</v>
      </c>
      <c r="B527" s="94" t="s">
        <v>1882</v>
      </c>
      <c r="C527" s="6" t="s">
        <v>1883</v>
      </c>
      <c r="D527" s="140">
        <v>11206724</v>
      </c>
      <c r="E527" s="6" t="s">
        <v>209</v>
      </c>
      <c r="F527" s="10" t="s">
        <v>44</v>
      </c>
      <c r="G527" s="6" t="s">
        <v>1884</v>
      </c>
      <c r="H527" s="8">
        <v>59202</v>
      </c>
      <c r="I527" s="8">
        <v>43307</v>
      </c>
      <c r="J527" s="8">
        <v>43307</v>
      </c>
      <c r="K527" s="95">
        <v>43327</v>
      </c>
      <c r="L527" s="95" t="s">
        <v>31</v>
      </c>
      <c r="M527" s="8">
        <v>43334</v>
      </c>
      <c r="R527" s="97" t="str">
        <f t="shared" si="20"/>
        <v/>
      </c>
      <c r="S527" s="75" t="str">
        <f t="shared" si="19"/>
        <v/>
      </c>
      <c r="W527" s="6" t="s">
        <v>84</v>
      </c>
      <c r="X527" s="95">
        <v>52625</v>
      </c>
    </row>
    <row r="528" spans="1:24" x14ac:dyDescent="0.25">
      <c r="A528" s="6" t="s">
        <v>65</v>
      </c>
      <c r="B528" s="94" t="s">
        <v>659</v>
      </c>
      <c r="C528" s="6" t="s">
        <v>1885</v>
      </c>
      <c r="D528" s="140">
        <v>12190042</v>
      </c>
      <c r="E528" s="6" t="s">
        <v>480</v>
      </c>
      <c r="F528" s="10" t="s">
        <v>176</v>
      </c>
      <c r="G528" s="6">
        <v>2015010912</v>
      </c>
      <c r="H528" s="8">
        <v>50413</v>
      </c>
      <c r="I528" s="8">
        <v>43381</v>
      </c>
      <c r="J528" s="8">
        <v>43384</v>
      </c>
      <c r="K528" s="95">
        <v>43384</v>
      </c>
      <c r="L528" s="95" t="s">
        <v>31</v>
      </c>
      <c r="M528" s="8">
        <v>43390</v>
      </c>
      <c r="N528" s="8">
        <v>43467</v>
      </c>
      <c r="O528" s="8">
        <v>43424</v>
      </c>
      <c r="P528" s="6" t="s">
        <v>75</v>
      </c>
      <c r="R528" s="97" t="str">
        <f t="shared" si="20"/>
        <v/>
      </c>
      <c r="S528" s="75" t="str">
        <f t="shared" si="19"/>
        <v/>
      </c>
      <c r="U528" s="8">
        <v>43467</v>
      </c>
      <c r="W528" s="6" t="s">
        <v>33</v>
      </c>
      <c r="X528" s="95">
        <v>52875</v>
      </c>
    </row>
    <row r="529" spans="1:24" x14ac:dyDescent="0.25">
      <c r="A529" s="6" t="s">
        <v>70</v>
      </c>
      <c r="B529" s="94" t="s">
        <v>1886</v>
      </c>
      <c r="C529" s="6" t="s">
        <v>1887</v>
      </c>
      <c r="D529" s="140">
        <v>11912071</v>
      </c>
      <c r="E529" s="6" t="s">
        <v>99</v>
      </c>
      <c r="F529" s="10" t="s">
        <v>44</v>
      </c>
      <c r="G529" s="6" t="s">
        <v>1888</v>
      </c>
      <c r="H529" s="8">
        <v>59240</v>
      </c>
      <c r="I529" s="8">
        <v>43307</v>
      </c>
      <c r="J529" s="8">
        <v>43307</v>
      </c>
      <c r="K529" s="95">
        <v>43327</v>
      </c>
      <c r="L529" s="95" t="s">
        <v>31</v>
      </c>
      <c r="M529" s="8">
        <v>43334</v>
      </c>
      <c r="N529" s="8">
        <v>43745</v>
      </c>
      <c r="O529" s="8">
        <v>43733</v>
      </c>
      <c r="P529" s="6" t="s">
        <v>35</v>
      </c>
      <c r="Q529" s="96">
        <v>3652</v>
      </c>
      <c r="R529" s="97">
        <f t="shared" si="20"/>
        <v>10.005479452054795</v>
      </c>
      <c r="S529" s="75">
        <f t="shared" si="19"/>
        <v>82635.254794520544</v>
      </c>
      <c r="T529" s="124" t="s">
        <v>281</v>
      </c>
      <c r="U529" s="8">
        <v>43745</v>
      </c>
      <c r="W529" s="6" t="s">
        <v>84</v>
      </c>
      <c r="X529" s="95">
        <v>45439</v>
      </c>
    </row>
    <row r="530" spans="1:24" s="112" customFormat="1" x14ac:dyDescent="0.25">
      <c r="A530" s="6" t="s">
        <v>85</v>
      </c>
      <c r="B530" s="94" t="s">
        <v>948</v>
      </c>
      <c r="C530" s="6" t="s">
        <v>1889</v>
      </c>
      <c r="D530" s="140">
        <v>11987812</v>
      </c>
      <c r="E530" s="6" t="s">
        <v>540</v>
      </c>
      <c r="F530" s="10" t="s">
        <v>44</v>
      </c>
      <c r="G530" s="6" t="s">
        <v>1890</v>
      </c>
      <c r="H530" s="8">
        <v>62487</v>
      </c>
      <c r="I530" s="8">
        <v>43307</v>
      </c>
      <c r="J530" s="8">
        <v>43307</v>
      </c>
      <c r="K530" s="95">
        <v>43319</v>
      </c>
      <c r="L530" s="95" t="s">
        <v>31</v>
      </c>
      <c r="M530" s="8">
        <v>43325</v>
      </c>
      <c r="N530" s="8"/>
      <c r="P530" s="6" t="s">
        <v>628</v>
      </c>
      <c r="Q530" s="96"/>
      <c r="R530" s="97" t="str">
        <f t="shared" si="20"/>
        <v/>
      </c>
      <c r="S530" s="75" t="str">
        <f t="shared" si="19"/>
        <v/>
      </c>
      <c r="T530" s="8">
        <v>44512</v>
      </c>
      <c r="U530" s="8"/>
      <c r="V530" s="6"/>
      <c r="W530" s="6" t="s">
        <v>84</v>
      </c>
      <c r="X530" s="95">
        <v>50839</v>
      </c>
    </row>
    <row r="531" spans="1:24" x14ac:dyDescent="0.25">
      <c r="A531" s="6" t="s">
        <v>65</v>
      </c>
      <c r="B531" s="94" t="s">
        <v>1891</v>
      </c>
      <c r="C531" s="6" t="s">
        <v>1892</v>
      </c>
      <c r="D531" s="140">
        <v>12126480</v>
      </c>
      <c r="E531" s="6" t="s">
        <v>997</v>
      </c>
      <c r="F531" s="10" t="s">
        <v>139</v>
      </c>
      <c r="G531" s="6" t="s">
        <v>1893</v>
      </c>
      <c r="H531" s="8">
        <v>46444</v>
      </c>
      <c r="I531" s="8">
        <v>43333</v>
      </c>
      <c r="J531" s="8">
        <v>43333</v>
      </c>
      <c r="K531" s="95">
        <v>43334</v>
      </c>
      <c r="L531" s="95" t="s">
        <v>31</v>
      </c>
      <c r="M531" s="8">
        <v>43341</v>
      </c>
      <c r="N531" s="8">
        <v>43433</v>
      </c>
      <c r="O531" s="8">
        <v>43425</v>
      </c>
      <c r="P531" s="101" t="s">
        <v>182</v>
      </c>
      <c r="R531" s="97" t="str">
        <f t="shared" si="20"/>
        <v/>
      </c>
      <c r="S531" s="75" t="str">
        <f t="shared" si="19"/>
        <v/>
      </c>
      <c r="U531" s="8">
        <v>43433</v>
      </c>
      <c r="W531" s="6" t="s">
        <v>33</v>
      </c>
      <c r="X531" s="95">
        <v>46942</v>
      </c>
    </row>
    <row r="532" spans="1:24" x14ac:dyDescent="0.25">
      <c r="A532" s="6" t="s">
        <v>70</v>
      </c>
      <c r="B532" s="94" t="s">
        <v>1894</v>
      </c>
      <c r="C532" s="6" t="s">
        <v>1895</v>
      </c>
      <c r="D532" s="140">
        <v>11606452</v>
      </c>
      <c r="E532" s="6" t="s">
        <v>607</v>
      </c>
      <c r="F532" s="10" t="s">
        <v>44</v>
      </c>
      <c r="G532" s="6" t="s">
        <v>1896</v>
      </c>
      <c r="H532" s="8">
        <v>61213</v>
      </c>
      <c r="I532" s="8">
        <v>43307</v>
      </c>
      <c r="J532" s="8">
        <v>43307</v>
      </c>
      <c r="K532" s="95">
        <v>43327</v>
      </c>
      <c r="L532" s="95" t="s">
        <v>31</v>
      </c>
      <c r="M532" s="8">
        <v>43334</v>
      </c>
      <c r="N532" s="8">
        <v>43608</v>
      </c>
      <c r="O532" s="8">
        <v>43584</v>
      </c>
      <c r="P532" s="6" t="s">
        <v>35</v>
      </c>
      <c r="Q532" s="96">
        <v>1947</v>
      </c>
      <c r="R532" s="97">
        <f t="shared" si="20"/>
        <v>5.3342465753424655</v>
      </c>
      <c r="S532" s="75">
        <f t="shared" si="19"/>
        <v>44055.542465753424</v>
      </c>
      <c r="T532" s="124" t="s">
        <v>1897</v>
      </c>
      <c r="U532" s="8">
        <v>43608</v>
      </c>
      <c r="W532" s="6" t="s">
        <v>84</v>
      </c>
      <c r="X532" s="95">
        <v>47604</v>
      </c>
    </row>
    <row r="533" spans="1:24" s="112" customFormat="1" x14ac:dyDescent="0.25">
      <c r="A533" s="6" t="s">
        <v>70</v>
      </c>
      <c r="B533" s="94" t="s">
        <v>884</v>
      </c>
      <c r="C533" s="6" t="s">
        <v>1898</v>
      </c>
      <c r="D533" s="140">
        <v>11583100</v>
      </c>
      <c r="E533" s="6" t="s">
        <v>409</v>
      </c>
      <c r="F533" s="10" t="s">
        <v>44</v>
      </c>
      <c r="G533" s="6" t="s">
        <v>1899</v>
      </c>
      <c r="H533" s="8">
        <v>62240</v>
      </c>
      <c r="I533" s="8">
        <v>43307</v>
      </c>
      <c r="J533" s="8">
        <v>43307</v>
      </c>
      <c r="K533" s="95">
        <v>43319</v>
      </c>
      <c r="L533" s="95" t="s">
        <v>31</v>
      </c>
      <c r="M533" s="8">
        <v>43325</v>
      </c>
      <c r="N533" s="8">
        <v>43458</v>
      </c>
      <c r="O533" s="8">
        <v>43448</v>
      </c>
      <c r="P533" s="6" t="s">
        <v>35</v>
      </c>
      <c r="Q533" s="96">
        <v>1461</v>
      </c>
      <c r="R533" s="97">
        <f t="shared" si="20"/>
        <v>4.0027397260273974</v>
      </c>
      <c r="S533" s="75">
        <f t="shared" si="19"/>
        <v>33058.627397260272</v>
      </c>
      <c r="T533" s="132" t="s">
        <v>1844</v>
      </c>
      <c r="U533" s="8">
        <v>43461</v>
      </c>
      <c r="V533" s="6"/>
      <c r="W533" s="6" t="s">
        <v>84</v>
      </c>
      <c r="X533" s="95">
        <v>48388</v>
      </c>
    </row>
    <row r="534" spans="1:24" x14ac:dyDescent="0.25">
      <c r="A534" s="6" t="s">
        <v>70</v>
      </c>
      <c r="B534" s="94" t="s">
        <v>1900</v>
      </c>
      <c r="C534" s="6" t="s">
        <v>1901</v>
      </c>
      <c r="D534" s="140">
        <v>11583229</v>
      </c>
      <c r="E534" s="6" t="s">
        <v>1539</v>
      </c>
      <c r="F534" s="10" t="s">
        <v>44</v>
      </c>
      <c r="G534" s="6" t="s">
        <v>1902</v>
      </c>
      <c r="H534" s="8">
        <v>63229</v>
      </c>
      <c r="I534" s="8">
        <v>43307</v>
      </c>
      <c r="J534" s="8">
        <v>43307</v>
      </c>
      <c r="K534" s="95">
        <v>43362</v>
      </c>
      <c r="L534" s="95" t="s">
        <v>31</v>
      </c>
      <c r="M534" s="8">
        <v>43367</v>
      </c>
      <c r="N534" s="8">
        <v>43395</v>
      </c>
      <c r="O534" s="8">
        <v>43472</v>
      </c>
      <c r="P534" s="6" t="s">
        <v>35</v>
      </c>
      <c r="Q534" s="96">
        <v>1461</v>
      </c>
      <c r="R534" s="97">
        <f t="shared" si="20"/>
        <v>4.0027397260273974</v>
      </c>
      <c r="S534" s="75">
        <f t="shared" si="19"/>
        <v>33058.627397260272</v>
      </c>
      <c r="T534" s="124" t="s">
        <v>1844</v>
      </c>
      <c r="U534" s="8">
        <v>43481</v>
      </c>
      <c r="W534" s="6" t="s">
        <v>84</v>
      </c>
      <c r="X534" s="95">
        <v>47262</v>
      </c>
    </row>
    <row r="535" spans="1:24" ht="30" x14ac:dyDescent="0.25">
      <c r="A535" s="6" t="s">
        <v>211</v>
      </c>
      <c r="B535" s="94" t="s">
        <v>1903</v>
      </c>
      <c r="C535" s="6" t="s">
        <v>1904</v>
      </c>
      <c r="D535" s="140">
        <v>12168036</v>
      </c>
      <c r="E535" s="6" t="s">
        <v>130</v>
      </c>
      <c r="F535" s="10" t="s">
        <v>105</v>
      </c>
      <c r="G535" s="6" t="s">
        <v>1905</v>
      </c>
      <c r="H535" s="8">
        <v>43970</v>
      </c>
      <c r="I535" s="8">
        <v>43313</v>
      </c>
      <c r="J535" s="8">
        <v>43326</v>
      </c>
      <c r="K535" s="95">
        <v>43327</v>
      </c>
      <c r="L535" s="95" t="s">
        <v>31</v>
      </c>
      <c r="M535" s="8">
        <v>43334</v>
      </c>
      <c r="N535" s="8">
        <v>43399</v>
      </c>
      <c r="O535" s="8">
        <v>43395</v>
      </c>
      <c r="P535" s="6" t="s">
        <v>35</v>
      </c>
      <c r="Q535" s="96">
        <v>608</v>
      </c>
      <c r="R535" s="97">
        <f t="shared" si="20"/>
        <v>1.6657534246575343</v>
      </c>
      <c r="S535" s="75">
        <f t="shared" si="19"/>
        <v>13757.457534246576</v>
      </c>
      <c r="T535" s="126" t="s">
        <v>1906</v>
      </c>
      <c r="U535" s="8">
        <v>43405</v>
      </c>
      <c r="V535" s="6" t="s">
        <v>350</v>
      </c>
      <c r="W535" s="6" t="s">
        <v>33</v>
      </c>
      <c r="X535" s="95">
        <v>51883</v>
      </c>
    </row>
    <row r="536" spans="1:24" x14ac:dyDescent="0.25">
      <c r="A536" s="6" t="s">
        <v>369</v>
      </c>
      <c r="B536" s="94" t="s">
        <v>1907</v>
      </c>
      <c r="C536" s="6" t="s">
        <v>1908</v>
      </c>
      <c r="D536" s="140">
        <v>12126263</v>
      </c>
      <c r="E536" s="6" t="s">
        <v>49</v>
      </c>
      <c r="F536" s="10" t="s">
        <v>134</v>
      </c>
      <c r="G536" s="6" t="s">
        <v>1909</v>
      </c>
      <c r="H536" s="8">
        <v>44531</v>
      </c>
      <c r="I536" s="8">
        <v>43313</v>
      </c>
      <c r="J536" s="8">
        <v>43326</v>
      </c>
      <c r="K536" s="95">
        <v>43334</v>
      </c>
      <c r="L536" s="95" t="s">
        <v>31</v>
      </c>
      <c r="M536" s="8">
        <v>43341</v>
      </c>
      <c r="N536" s="8">
        <v>43374</v>
      </c>
      <c r="O536" s="8">
        <v>43371</v>
      </c>
      <c r="P536" s="6" t="s">
        <v>35</v>
      </c>
      <c r="Q536" s="96">
        <v>1095</v>
      </c>
      <c r="R536" s="97">
        <f t="shared" si="20"/>
        <v>3</v>
      </c>
      <c r="S536" s="75">
        <f t="shared" si="19"/>
        <v>24777</v>
      </c>
      <c r="T536" s="124" t="s">
        <v>1910</v>
      </c>
      <c r="U536" s="8">
        <v>43383</v>
      </c>
      <c r="V536" s="6" t="s">
        <v>36</v>
      </c>
      <c r="W536" s="6" t="s">
        <v>33</v>
      </c>
      <c r="X536" s="95">
        <v>50968</v>
      </c>
    </row>
    <row r="537" spans="1:24" s="112" customFormat="1" x14ac:dyDescent="0.25">
      <c r="A537" s="6" t="s">
        <v>369</v>
      </c>
      <c r="B537" s="94" t="s">
        <v>1911</v>
      </c>
      <c r="C537" s="6" t="s">
        <v>1912</v>
      </c>
      <c r="D537" s="140">
        <v>11333172</v>
      </c>
      <c r="E537" s="6" t="s">
        <v>1913</v>
      </c>
      <c r="F537" s="10" t="s">
        <v>134</v>
      </c>
      <c r="G537" s="6" t="s">
        <v>1914</v>
      </c>
      <c r="H537" s="8">
        <v>43839</v>
      </c>
      <c r="I537" s="8">
        <v>43313</v>
      </c>
      <c r="J537" s="8">
        <v>43326</v>
      </c>
      <c r="K537" s="95">
        <v>43334</v>
      </c>
      <c r="L537" s="95" t="s">
        <v>31</v>
      </c>
      <c r="M537" s="8">
        <v>43341</v>
      </c>
      <c r="N537" s="8">
        <v>43390</v>
      </c>
      <c r="O537" s="8">
        <v>43420</v>
      </c>
      <c r="P537" s="6" t="s">
        <v>35</v>
      </c>
      <c r="Q537" s="96">
        <v>486</v>
      </c>
      <c r="R537" s="97">
        <f t="shared" si="20"/>
        <v>1.3315068493150686</v>
      </c>
      <c r="S537" s="75">
        <f t="shared" si="19"/>
        <v>10996.91506849315</v>
      </c>
      <c r="T537" s="132" t="s">
        <v>1915</v>
      </c>
      <c r="U537" s="8">
        <v>43433</v>
      </c>
      <c r="V537" s="100" t="s">
        <v>36</v>
      </c>
      <c r="W537" s="100" t="s">
        <v>33</v>
      </c>
      <c r="X537" s="104">
        <v>48782</v>
      </c>
    </row>
    <row r="538" spans="1:24" ht="30" x14ac:dyDescent="0.25">
      <c r="A538" s="6" t="s">
        <v>211</v>
      </c>
      <c r="B538" s="94" t="s">
        <v>1916</v>
      </c>
      <c r="C538" s="6" t="s">
        <v>1917</v>
      </c>
      <c r="D538" s="140">
        <v>11323476</v>
      </c>
      <c r="E538" s="6" t="s">
        <v>607</v>
      </c>
      <c r="F538" s="10" t="s">
        <v>528</v>
      </c>
      <c r="G538" s="6" t="s">
        <v>1918</v>
      </c>
      <c r="H538" s="8">
        <v>49517</v>
      </c>
      <c r="I538" s="8">
        <v>43313</v>
      </c>
      <c r="J538" s="8">
        <v>43326</v>
      </c>
      <c r="K538" s="95">
        <v>43327</v>
      </c>
      <c r="L538" s="95" t="s">
        <v>31</v>
      </c>
      <c r="M538" s="8">
        <v>43334</v>
      </c>
      <c r="N538" s="8">
        <v>43567</v>
      </c>
      <c r="O538" s="8">
        <v>43563</v>
      </c>
      <c r="P538" s="6" t="s">
        <v>35</v>
      </c>
      <c r="Q538" s="96">
        <v>243</v>
      </c>
      <c r="R538" s="97">
        <f t="shared" si="20"/>
        <v>0.66575342465753429</v>
      </c>
      <c r="S538" s="75">
        <f t="shared" ref="S538:S601" si="21">IF(Q538&gt;0, SUM(Q538)*(8259/365), "")</f>
        <v>5498.4575342465751</v>
      </c>
      <c r="T538" s="124" t="s">
        <v>1919</v>
      </c>
      <c r="U538" s="8">
        <v>43572</v>
      </c>
      <c r="W538" s="6" t="s">
        <v>33</v>
      </c>
      <c r="X538" s="95">
        <v>54341</v>
      </c>
    </row>
    <row r="539" spans="1:24" ht="30" x14ac:dyDescent="0.25">
      <c r="A539" s="6" t="s">
        <v>211</v>
      </c>
      <c r="B539" s="94" t="s">
        <v>1920</v>
      </c>
      <c r="C539" s="6" t="s">
        <v>1921</v>
      </c>
      <c r="D539" s="140">
        <v>12151551</v>
      </c>
      <c r="E539" s="6" t="s">
        <v>244</v>
      </c>
      <c r="F539" s="10" t="s">
        <v>1334</v>
      </c>
      <c r="G539" s="6" t="s">
        <v>1922</v>
      </c>
      <c r="H539" s="8">
        <v>44392</v>
      </c>
      <c r="I539" s="8">
        <v>43313</v>
      </c>
      <c r="J539" s="8">
        <v>43326</v>
      </c>
      <c r="K539" s="95">
        <v>43334</v>
      </c>
      <c r="L539" s="95" t="s">
        <v>31</v>
      </c>
      <c r="M539" s="8">
        <v>43341</v>
      </c>
      <c r="N539" s="8">
        <v>43395</v>
      </c>
      <c r="O539" s="8">
        <v>43452</v>
      </c>
      <c r="P539" s="6" t="s">
        <v>35</v>
      </c>
      <c r="Q539" s="96">
        <v>243</v>
      </c>
      <c r="R539" s="97">
        <f t="shared" si="20"/>
        <v>0.66575342465753429</v>
      </c>
      <c r="S539" s="75">
        <f t="shared" si="21"/>
        <v>5498.4575342465751</v>
      </c>
      <c r="U539" s="8">
        <v>43489</v>
      </c>
      <c r="W539" s="6" t="s">
        <v>33</v>
      </c>
      <c r="X539" s="95">
        <v>51341</v>
      </c>
    </row>
    <row r="540" spans="1:24" x14ac:dyDescent="0.25">
      <c r="A540" s="6" t="s">
        <v>211</v>
      </c>
      <c r="B540" s="94" t="s">
        <v>659</v>
      </c>
      <c r="C540" s="6" t="s">
        <v>1923</v>
      </c>
      <c r="D540" s="140">
        <v>11322387</v>
      </c>
      <c r="E540" s="6" t="s">
        <v>958</v>
      </c>
      <c r="F540" s="10" t="s">
        <v>44</v>
      </c>
      <c r="G540" s="6" t="s">
        <v>1924</v>
      </c>
      <c r="H540" s="8">
        <v>46150</v>
      </c>
      <c r="I540" s="8">
        <v>43313</v>
      </c>
      <c r="J540" s="8">
        <v>43326</v>
      </c>
      <c r="K540" s="95">
        <v>43327</v>
      </c>
      <c r="L540" s="95" t="s">
        <v>31</v>
      </c>
      <c r="M540" s="8">
        <v>43334</v>
      </c>
      <c r="N540" s="8">
        <v>43446</v>
      </c>
      <c r="O540" s="8">
        <v>43440</v>
      </c>
      <c r="P540" s="6" t="s">
        <v>35</v>
      </c>
      <c r="Q540" s="96">
        <v>243</v>
      </c>
      <c r="R540" s="97">
        <f t="shared" si="20"/>
        <v>0.66575342465753429</v>
      </c>
      <c r="S540" s="75">
        <f t="shared" si="21"/>
        <v>5498.4575342465751</v>
      </c>
      <c r="T540" s="124" t="s">
        <v>1294</v>
      </c>
      <c r="U540" s="8">
        <v>43452</v>
      </c>
      <c r="V540" s="100"/>
      <c r="W540" s="100" t="s">
        <v>33</v>
      </c>
      <c r="X540" s="104">
        <v>44437</v>
      </c>
    </row>
    <row r="541" spans="1:24" x14ac:dyDescent="0.25">
      <c r="A541" s="6" t="s">
        <v>211</v>
      </c>
      <c r="B541" s="94" t="s">
        <v>1925</v>
      </c>
      <c r="C541" s="6" t="s">
        <v>1926</v>
      </c>
      <c r="D541" s="140">
        <v>12100562</v>
      </c>
      <c r="E541" s="6" t="s">
        <v>1927</v>
      </c>
      <c r="F541" s="10" t="s">
        <v>299</v>
      </c>
      <c r="G541" s="6" t="s">
        <v>1928</v>
      </c>
      <c r="H541" s="8">
        <v>48735</v>
      </c>
      <c r="I541" s="8">
        <v>43313</v>
      </c>
      <c r="J541" s="8">
        <v>43326</v>
      </c>
      <c r="K541" s="95">
        <v>43327</v>
      </c>
      <c r="L541" s="95" t="s">
        <v>31</v>
      </c>
      <c r="M541" s="8">
        <v>43334</v>
      </c>
      <c r="N541" s="8">
        <v>43403</v>
      </c>
      <c r="O541" s="8">
        <v>43367</v>
      </c>
      <c r="P541" s="6" t="s">
        <v>69</v>
      </c>
      <c r="R541" s="97" t="str">
        <f t="shared" si="20"/>
        <v/>
      </c>
      <c r="S541" s="75" t="str">
        <f t="shared" si="21"/>
        <v/>
      </c>
      <c r="T541" s="124" t="s">
        <v>1929</v>
      </c>
      <c r="U541" s="8">
        <v>43403</v>
      </c>
      <c r="V541" s="107"/>
      <c r="W541" s="107" t="s">
        <v>33</v>
      </c>
      <c r="X541" s="109">
        <v>50370</v>
      </c>
    </row>
    <row r="542" spans="1:24" x14ac:dyDescent="0.25">
      <c r="A542" s="6" t="s">
        <v>65</v>
      </c>
      <c r="B542" s="94" t="s">
        <v>145</v>
      </c>
      <c r="C542" s="6" t="s">
        <v>1930</v>
      </c>
      <c r="D542" s="140">
        <v>11279986</v>
      </c>
      <c r="E542" s="6" t="s">
        <v>678</v>
      </c>
      <c r="F542" s="10" t="s">
        <v>528</v>
      </c>
      <c r="G542" s="6" t="s">
        <v>1931</v>
      </c>
      <c r="H542" s="8">
        <v>49862</v>
      </c>
      <c r="I542" s="8">
        <v>43347</v>
      </c>
      <c r="J542" s="8">
        <v>43347</v>
      </c>
      <c r="K542" s="95">
        <v>43355</v>
      </c>
      <c r="L542" s="95" t="s">
        <v>31</v>
      </c>
      <c r="M542" s="8">
        <v>43360</v>
      </c>
      <c r="N542" s="8">
        <v>43437</v>
      </c>
      <c r="O542" s="8">
        <v>43425</v>
      </c>
      <c r="P542" s="101" t="s">
        <v>182</v>
      </c>
      <c r="R542" s="97" t="str">
        <f t="shared" si="20"/>
        <v/>
      </c>
      <c r="S542" s="75" t="str">
        <f t="shared" si="21"/>
        <v/>
      </c>
      <c r="U542" s="8">
        <v>43437</v>
      </c>
      <c r="W542" s="6" t="s">
        <v>33</v>
      </c>
      <c r="X542" s="95">
        <v>45761</v>
      </c>
    </row>
    <row r="543" spans="1:24" x14ac:dyDescent="0.25">
      <c r="A543" s="6" t="s">
        <v>70</v>
      </c>
      <c r="B543" s="94" t="s">
        <v>1932</v>
      </c>
      <c r="C543" s="6" t="s">
        <v>1933</v>
      </c>
      <c r="D543" s="140">
        <v>12187164</v>
      </c>
      <c r="E543" s="6" t="s">
        <v>490</v>
      </c>
      <c r="F543" s="10" t="s">
        <v>528</v>
      </c>
      <c r="G543" s="6" t="s">
        <v>1934</v>
      </c>
      <c r="H543" s="8">
        <v>47330</v>
      </c>
      <c r="I543" s="8">
        <v>43381</v>
      </c>
      <c r="J543" s="8">
        <v>43384</v>
      </c>
      <c r="K543" s="95">
        <v>43384</v>
      </c>
      <c r="L543" s="95" t="s">
        <v>31</v>
      </c>
      <c r="M543" s="8">
        <v>43390</v>
      </c>
      <c r="N543" s="8">
        <v>43433</v>
      </c>
      <c r="O543" s="8">
        <v>43425</v>
      </c>
      <c r="P543" s="101" t="s">
        <v>182</v>
      </c>
      <c r="R543" s="97" t="str">
        <f t="shared" si="20"/>
        <v/>
      </c>
      <c r="S543" s="75" t="str">
        <f t="shared" si="21"/>
        <v/>
      </c>
      <c r="U543" s="8">
        <v>43433</v>
      </c>
      <c r="W543" s="6" t="s">
        <v>33</v>
      </c>
      <c r="X543" s="95">
        <v>47743</v>
      </c>
    </row>
    <row r="544" spans="1:24" x14ac:dyDescent="0.25">
      <c r="A544" s="6" t="s">
        <v>70</v>
      </c>
      <c r="B544" s="94" t="s">
        <v>1935</v>
      </c>
      <c r="C544" s="6" t="s">
        <v>1936</v>
      </c>
      <c r="D544" s="140">
        <v>11042860</v>
      </c>
      <c r="E544" s="6" t="s">
        <v>332</v>
      </c>
      <c r="F544" s="6" t="s">
        <v>528</v>
      </c>
      <c r="G544" s="6" t="s">
        <v>1937</v>
      </c>
      <c r="H544" s="8">
        <v>45610</v>
      </c>
      <c r="I544" s="8">
        <v>43262</v>
      </c>
      <c r="J544" s="8">
        <v>43263</v>
      </c>
      <c r="K544" s="95">
        <v>43264</v>
      </c>
      <c r="L544" s="95" t="s">
        <v>31</v>
      </c>
      <c r="M544" s="8">
        <v>43266</v>
      </c>
      <c r="N544" s="8">
        <v>43438</v>
      </c>
      <c r="O544" s="8">
        <v>43430</v>
      </c>
      <c r="P544" s="101" t="s">
        <v>182</v>
      </c>
      <c r="R544" s="97" t="str">
        <f t="shared" si="20"/>
        <v/>
      </c>
      <c r="S544" s="75" t="str">
        <f t="shared" si="21"/>
        <v/>
      </c>
      <c r="U544" s="8">
        <v>43438</v>
      </c>
      <c r="W544" s="6" t="s">
        <v>33</v>
      </c>
      <c r="X544" s="95">
        <v>54859</v>
      </c>
    </row>
    <row r="545" spans="1:24" x14ac:dyDescent="0.25">
      <c r="A545" s="6" t="s">
        <v>85</v>
      </c>
      <c r="B545" s="94" t="s">
        <v>323</v>
      </c>
      <c r="C545" s="6" t="s">
        <v>1938</v>
      </c>
      <c r="D545" s="140">
        <v>11735989</v>
      </c>
      <c r="E545" s="6" t="s">
        <v>162</v>
      </c>
      <c r="F545" s="6" t="s">
        <v>44</v>
      </c>
      <c r="G545" s="6" t="s">
        <v>1939</v>
      </c>
      <c r="H545" s="8">
        <v>46775</v>
      </c>
      <c r="I545" s="8">
        <v>43262</v>
      </c>
      <c r="J545" s="8">
        <v>43263</v>
      </c>
      <c r="K545" s="95">
        <v>43264</v>
      </c>
      <c r="L545" s="95" t="s">
        <v>31</v>
      </c>
      <c r="M545" s="8">
        <v>43266</v>
      </c>
      <c r="N545" s="8">
        <v>43454</v>
      </c>
      <c r="O545" s="8">
        <v>43432</v>
      </c>
      <c r="P545" s="101" t="s">
        <v>182</v>
      </c>
      <c r="R545" s="97" t="str">
        <f t="shared" si="20"/>
        <v/>
      </c>
      <c r="S545" s="75" t="str">
        <f t="shared" si="21"/>
        <v/>
      </c>
      <c r="U545" s="8">
        <v>43458</v>
      </c>
      <c r="W545" s="6" t="s">
        <v>33</v>
      </c>
      <c r="X545" s="95">
        <v>49928</v>
      </c>
    </row>
    <row r="546" spans="1:24" x14ac:dyDescent="0.25">
      <c r="A546" s="6" t="s">
        <v>85</v>
      </c>
      <c r="B546" s="94" t="s">
        <v>1940</v>
      </c>
      <c r="C546" s="6" t="s">
        <v>1941</v>
      </c>
      <c r="D546" s="140">
        <v>11296866</v>
      </c>
      <c r="E546" s="6" t="s">
        <v>706</v>
      </c>
      <c r="F546" s="10" t="s">
        <v>44</v>
      </c>
      <c r="G546" s="6" t="s">
        <v>1942</v>
      </c>
      <c r="H546" s="8">
        <v>48474</v>
      </c>
      <c r="I546" s="8">
        <v>43306</v>
      </c>
      <c r="J546" s="8">
        <v>43306</v>
      </c>
      <c r="K546" s="95">
        <v>43327</v>
      </c>
      <c r="L546" s="95" t="s">
        <v>31</v>
      </c>
      <c r="M546" s="8">
        <v>43334</v>
      </c>
      <c r="N546" s="8">
        <v>43438</v>
      </c>
      <c r="O546" s="8">
        <v>43432</v>
      </c>
      <c r="P546" s="101" t="s">
        <v>52</v>
      </c>
      <c r="R546" s="97" t="str">
        <f t="shared" si="20"/>
        <v/>
      </c>
      <c r="S546" s="75" t="str">
        <f t="shared" si="21"/>
        <v/>
      </c>
      <c r="T546" s="124" t="s">
        <v>1943</v>
      </c>
      <c r="U546" s="8">
        <v>43438</v>
      </c>
      <c r="W546" s="6" t="s">
        <v>33</v>
      </c>
      <c r="X546" s="95">
        <v>46004</v>
      </c>
    </row>
    <row r="547" spans="1:24" x14ac:dyDescent="0.25">
      <c r="A547" s="6" t="s">
        <v>37</v>
      </c>
      <c r="B547" s="94" t="s">
        <v>1944</v>
      </c>
      <c r="C547" s="6" t="s">
        <v>1945</v>
      </c>
      <c r="D547" s="140">
        <v>11582284</v>
      </c>
      <c r="E547" s="6" t="s">
        <v>958</v>
      </c>
      <c r="F547" s="10" t="s">
        <v>44</v>
      </c>
      <c r="G547" s="6" t="s">
        <v>1946</v>
      </c>
      <c r="H547" s="8">
        <v>45253</v>
      </c>
      <c r="I547" s="8">
        <v>43342</v>
      </c>
      <c r="J547" s="8">
        <v>43350</v>
      </c>
      <c r="K547" s="95">
        <v>43350</v>
      </c>
      <c r="L547" s="95" t="s">
        <v>31</v>
      </c>
      <c r="M547" s="8">
        <v>43360</v>
      </c>
      <c r="N547" s="8">
        <v>43444</v>
      </c>
      <c r="O547" s="8">
        <v>43434</v>
      </c>
      <c r="P547" s="101" t="s">
        <v>182</v>
      </c>
      <c r="R547" s="97" t="str">
        <f t="shared" si="20"/>
        <v/>
      </c>
      <c r="S547" s="75" t="str">
        <f t="shared" si="21"/>
        <v/>
      </c>
      <c r="U547" s="8">
        <v>43444</v>
      </c>
      <c r="W547" s="6" t="s">
        <v>33</v>
      </c>
      <c r="X547" s="95">
        <v>44015</v>
      </c>
    </row>
    <row r="548" spans="1:24" x14ac:dyDescent="0.25">
      <c r="A548" s="6" t="s">
        <v>65</v>
      </c>
      <c r="B548" s="94" t="s">
        <v>1117</v>
      </c>
      <c r="C548" s="6" t="s">
        <v>1947</v>
      </c>
      <c r="D548" s="140">
        <v>11641233</v>
      </c>
      <c r="E548" s="6" t="s">
        <v>236</v>
      </c>
      <c r="F548" s="10" t="s">
        <v>44</v>
      </c>
      <c r="G548" s="6" t="s">
        <v>1948</v>
      </c>
      <c r="H548" s="8">
        <v>45206</v>
      </c>
      <c r="I548" s="8">
        <v>43272</v>
      </c>
      <c r="J548" s="8">
        <v>43272</v>
      </c>
      <c r="K548" s="95">
        <v>43283</v>
      </c>
      <c r="L548" s="95" t="s">
        <v>31</v>
      </c>
      <c r="M548" s="8">
        <v>43291</v>
      </c>
      <c r="N548" s="8">
        <v>43444</v>
      </c>
      <c r="O548" s="8">
        <v>43437</v>
      </c>
      <c r="P548" s="6" t="s">
        <v>75</v>
      </c>
      <c r="R548" s="97" t="str">
        <f t="shared" si="20"/>
        <v/>
      </c>
      <c r="S548" s="75" t="str">
        <f t="shared" si="21"/>
        <v/>
      </c>
      <c r="U548" s="8">
        <v>43444</v>
      </c>
      <c r="V548" s="100"/>
      <c r="W548" s="100" t="s">
        <v>33</v>
      </c>
      <c r="X548" s="104">
        <v>44622</v>
      </c>
    </row>
    <row r="549" spans="1:24" ht="30" x14ac:dyDescent="0.25">
      <c r="A549" s="6" t="s">
        <v>65</v>
      </c>
      <c r="B549" s="94" t="s">
        <v>108</v>
      </c>
      <c r="C549" s="6" t="s">
        <v>1949</v>
      </c>
      <c r="D549" s="140">
        <v>12175554</v>
      </c>
      <c r="E549" s="6" t="s">
        <v>651</v>
      </c>
      <c r="F549" s="10" t="s">
        <v>44</v>
      </c>
      <c r="G549" s="6" t="s">
        <v>1950</v>
      </c>
      <c r="H549" s="8">
        <v>47525</v>
      </c>
      <c r="I549" s="8">
        <v>43278</v>
      </c>
      <c r="J549" s="8">
        <v>43278</v>
      </c>
      <c r="K549" s="95">
        <v>43313</v>
      </c>
      <c r="L549" s="95" t="s">
        <v>31</v>
      </c>
      <c r="M549" s="8">
        <v>43320</v>
      </c>
      <c r="N549" s="8">
        <v>43455</v>
      </c>
      <c r="O549" s="8">
        <v>43437</v>
      </c>
      <c r="P549" s="6" t="s">
        <v>90</v>
      </c>
      <c r="Q549" s="96">
        <v>1457</v>
      </c>
      <c r="R549" s="97">
        <f t="shared" ref="R549:R612" si="22">IF(Q549&gt;0, Q549/365, "")</f>
        <v>3.9917808219178084</v>
      </c>
      <c r="S549" s="75">
        <f t="shared" si="21"/>
        <v>32968.117808219176</v>
      </c>
      <c r="T549" s="124" t="s">
        <v>1951</v>
      </c>
      <c r="U549" s="8">
        <v>43455</v>
      </c>
      <c r="W549" s="6" t="s">
        <v>33</v>
      </c>
      <c r="X549" s="95">
        <v>47643</v>
      </c>
    </row>
    <row r="550" spans="1:24" x14ac:dyDescent="0.25">
      <c r="A550" s="6" t="s">
        <v>37</v>
      </c>
      <c r="B550" s="94" t="s">
        <v>1952</v>
      </c>
      <c r="C550" s="6" t="s">
        <v>1953</v>
      </c>
      <c r="D550" s="140">
        <v>11067588</v>
      </c>
      <c r="E550" s="6" t="s">
        <v>1954</v>
      </c>
      <c r="F550" s="10" t="s">
        <v>44</v>
      </c>
      <c r="G550" s="6" t="s">
        <v>1955</v>
      </c>
      <c r="H550" s="8">
        <v>47207</v>
      </c>
      <c r="I550" s="8">
        <v>43390</v>
      </c>
      <c r="J550" s="8">
        <v>43395</v>
      </c>
      <c r="K550" s="95">
        <v>43395</v>
      </c>
      <c r="L550" s="95" t="s">
        <v>31</v>
      </c>
      <c r="M550" s="8">
        <v>43398</v>
      </c>
      <c r="N550" s="8">
        <v>43467</v>
      </c>
      <c r="O550" s="8">
        <v>43437</v>
      </c>
      <c r="P550" s="101" t="s">
        <v>182</v>
      </c>
      <c r="R550" s="97" t="str">
        <f t="shared" si="22"/>
        <v/>
      </c>
      <c r="S550" s="75" t="str">
        <f t="shared" si="21"/>
        <v/>
      </c>
      <c r="U550" s="8">
        <v>43467</v>
      </c>
      <c r="W550" s="6" t="s">
        <v>33</v>
      </c>
      <c r="X550" s="95">
        <v>51926</v>
      </c>
    </row>
    <row r="551" spans="1:24" x14ac:dyDescent="0.25">
      <c r="A551" s="6" t="s">
        <v>65</v>
      </c>
      <c r="B551" s="94" t="s">
        <v>1045</v>
      </c>
      <c r="C551" s="6" t="s">
        <v>1956</v>
      </c>
      <c r="D551" s="140">
        <v>12116463</v>
      </c>
      <c r="E551" s="6" t="s">
        <v>490</v>
      </c>
      <c r="F551" s="10" t="s">
        <v>44</v>
      </c>
      <c r="G551" s="6" t="s">
        <v>1957</v>
      </c>
      <c r="H551" s="8">
        <v>44434</v>
      </c>
      <c r="I551" s="8">
        <v>43348</v>
      </c>
      <c r="J551" s="8">
        <v>43349</v>
      </c>
      <c r="K551" s="95">
        <v>43369</v>
      </c>
      <c r="L551" s="95" t="s">
        <v>31</v>
      </c>
      <c r="M551" s="8">
        <v>43374</v>
      </c>
      <c r="N551" s="8">
        <v>43444</v>
      </c>
      <c r="O551" s="8">
        <v>43438</v>
      </c>
      <c r="P551" s="101" t="s">
        <v>182</v>
      </c>
      <c r="R551" s="97" t="str">
        <f t="shared" si="22"/>
        <v/>
      </c>
      <c r="S551" s="75" t="str">
        <f t="shared" si="21"/>
        <v/>
      </c>
      <c r="U551" s="8">
        <v>43444</v>
      </c>
      <c r="W551" s="6" t="s">
        <v>33</v>
      </c>
      <c r="X551" s="95">
        <v>56273</v>
      </c>
    </row>
    <row r="552" spans="1:24" x14ac:dyDescent="0.25">
      <c r="A552" s="6" t="s">
        <v>70</v>
      </c>
      <c r="B552" s="94" t="s">
        <v>1958</v>
      </c>
      <c r="C552" s="6" t="s">
        <v>1959</v>
      </c>
      <c r="D552" s="140">
        <v>11623003</v>
      </c>
      <c r="E552" s="6" t="s">
        <v>1960</v>
      </c>
      <c r="F552" s="6" t="s">
        <v>139</v>
      </c>
      <c r="G552" s="6" t="s">
        <v>1961</v>
      </c>
      <c r="H552" s="8">
        <v>47716</v>
      </c>
      <c r="I552" s="8">
        <v>43242</v>
      </c>
      <c r="J552" s="8">
        <v>43243</v>
      </c>
      <c r="K552" s="95">
        <v>43243</v>
      </c>
      <c r="L552" s="95" t="s">
        <v>31</v>
      </c>
      <c r="M552" s="8">
        <v>43251</v>
      </c>
      <c r="N552" s="8">
        <v>43529</v>
      </c>
      <c r="O552" s="8">
        <v>43439</v>
      </c>
      <c r="P552" s="101" t="s">
        <v>182</v>
      </c>
      <c r="R552" s="97" t="str">
        <f t="shared" si="22"/>
        <v/>
      </c>
      <c r="S552" s="75" t="str">
        <f t="shared" si="21"/>
        <v/>
      </c>
      <c r="U552" s="8">
        <v>43529</v>
      </c>
      <c r="W552" s="6" t="s">
        <v>33</v>
      </c>
      <c r="X552" s="95">
        <v>44148</v>
      </c>
    </row>
    <row r="553" spans="1:24" x14ac:dyDescent="0.25">
      <c r="A553" s="6" t="s">
        <v>65</v>
      </c>
      <c r="B553" s="94" t="s">
        <v>183</v>
      </c>
      <c r="C553" s="6" t="s">
        <v>1962</v>
      </c>
      <c r="D553" s="140">
        <v>11606716</v>
      </c>
      <c r="E553" s="6" t="s">
        <v>240</v>
      </c>
      <c r="F553" s="10" t="s">
        <v>1466</v>
      </c>
      <c r="G553" s="6" t="s">
        <v>1963</v>
      </c>
      <c r="H553" s="8">
        <v>43787</v>
      </c>
      <c r="I553" s="8">
        <v>43314</v>
      </c>
      <c r="J553" s="8">
        <v>43314</v>
      </c>
      <c r="K553" s="95">
        <v>43319</v>
      </c>
      <c r="L553" s="95" t="s">
        <v>31</v>
      </c>
      <c r="M553" s="8">
        <v>43325</v>
      </c>
      <c r="N553" s="8">
        <v>43460</v>
      </c>
      <c r="O553" s="8">
        <v>43439</v>
      </c>
      <c r="P553" s="101" t="s">
        <v>182</v>
      </c>
      <c r="R553" s="97" t="str">
        <f t="shared" si="22"/>
        <v/>
      </c>
      <c r="S553" s="75" t="str">
        <f t="shared" si="21"/>
        <v/>
      </c>
      <c r="U553" s="8">
        <v>43460</v>
      </c>
      <c r="W553" s="6" t="s">
        <v>33</v>
      </c>
      <c r="X553" s="95">
        <v>44140</v>
      </c>
    </row>
    <row r="554" spans="1:24" ht="30" x14ac:dyDescent="0.25">
      <c r="A554" s="6" t="s">
        <v>211</v>
      </c>
      <c r="B554" s="94" t="s">
        <v>1964</v>
      </c>
      <c r="C554" s="6" t="s">
        <v>1965</v>
      </c>
      <c r="D554" s="140">
        <v>11343932</v>
      </c>
      <c r="E554" s="6" t="s">
        <v>1773</v>
      </c>
      <c r="F554" s="10" t="s">
        <v>143</v>
      </c>
      <c r="G554" s="6" t="s">
        <v>1966</v>
      </c>
      <c r="H554" s="8">
        <v>54038</v>
      </c>
      <c r="I554" s="8">
        <v>43313</v>
      </c>
      <c r="J554" s="8">
        <v>43326</v>
      </c>
      <c r="K554" s="95">
        <v>43327</v>
      </c>
      <c r="L554" s="95" t="s">
        <v>31</v>
      </c>
      <c r="M554" s="8">
        <v>43334</v>
      </c>
      <c r="N554" s="8">
        <v>43690</v>
      </c>
      <c r="O554" s="8">
        <v>43683</v>
      </c>
      <c r="P554" s="6" t="s">
        <v>35</v>
      </c>
      <c r="Q554" s="96">
        <v>243.5</v>
      </c>
      <c r="R554" s="97">
        <f t="shared" si="22"/>
        <v>0.66712328767123286</v>
      </c>
      <c r="S554" s="75">
        <f t="shared" si="21"/>
        <v>5509.7712328767129</v>
      </c>
      <c r="T554" s="124" t="s">
        <v>1967</v>
      </c>
      <c r="U554" s="8">
        <v>43690</v>
      </c>
      <c r="W554" s="6" t="s">
        <v>33</v>
      </c>
      <c r="X554" s="95">
        <v>49196</v>
      </c>
    </row>
    <row r="555" spans="1:24" x14ac:dyDescent="0.25">
      <c r="A555" s="6" t="s">
        <v>65</v>
      </c>
      <c r="B555" s="94" t="s">
        <v>1968</v>
      </c>
      <c r="C555" s="6" t="s">
        <v>1969</v>
      </c>
      <c r="D555" s="140">
        <v>11355956</v>
      </c>
      <c r="E555" s="6" t="s">
        <v>706</v>
      </c>
      <c r="F555" s="10" t="s">
        <v>44</v>
      </c>
      <c r="G555" s="6" t="s">
        <v>1970</v>
      </c>
      <c r="H555" s="8">
        <v>44550</v>
      </c>
      <c r="I555" s="8">
        <v>43347</v>
      </c>
      <c r="J555" s="8">
        <v>43347</v>
      </c>
      <c r="K555" s="95">
        <v>43362</v>
      </c>
      <c r="L555" s="95" t="s">
        <v>31</v>
      </c>
      <c r="M555" s="8">
        <v>43367</v>
      </c>
      <c r="N555" s="8">
        <v>43444</v>
      </c>
      <c r="O555" s="8">
        <v>43439</v>
      </c>
      <c r="P555" s="101" t="s">
        <v>182</v>
      </c>
      <c r="R555" s="97" t="str">
        <f t="shared" si="22"/>
        <v/>
      </c>
      <c r="S555" s="75" t="str">
        <f t="shared" si="21"/>
        <v/>
      </c>
      <c r="U555" s="8">
        <v>43444</v>
      </c>
      <c r="W555" s="6" t="s">
        <v>33</v>
      </c>
      <c r="X555" s="95">
        <v>54681</v>
      </c>
    </row>
    <row r="556" spans="1:24" ht="45" x14ac:dyDescent="0.25">
      <c r="A556" s="6" t="s">
        <v>65</v>
      </c>
      <c r="B556" s="94" t="s">
        <v>1894</v>
      </c>
      <c r="C556" s="6" t="s">
        <v>1971</v>
      </c>
      <c r="D556" s="140">
        <v>11351331</v>
      </c>
      <c r="E556" s="6" t="s">
        <v>607</v>
      </c>
      <c r="F556" s="10" t="s">
        <v>57</v>
      </c>
      <c r="G556" s="6" t="s">
        <v>1972</v>
      </c>
      <c r="H556" s="8">
        <v>51664</v>
      </c>
      <c r="I556" s="8">
        <v>43347</v>
      </c>
      <c r="J556" s="8">
        <v>43347</v>
      </c>
      <c r="K556" s="95">
        <v>43355</v>
      </c>
      <c r="L556" s="95" t="s">
        <v>31</v>
      </c>
      <c r="M556" s="8">
        <v>43356</v>
      </c>
      <c r="N556" s="8">
        <v>43445</v>
      </c>
      <c r="O556" s="8">
        <v>43440</v>
      </c>
      <c r="P556" s="101" t="s">
        <v>52</v>
      </c>
      <c r="R556" s="97" t="str">
        <f t="shared" si="22"/>
        <v/>
      </c>
      <c r="S556" s="75" t="str">
        <f t="shared" si="21"/>
        <v/>
      </c>
      <c r="T556" s="124" t="s">
        <v>1973</v>
      </c>
      <c r="U556" s="8">
        <v>43453</v>
      </c>
      <c r="W556" s="6" t="s">
        <v>84</v>
      </c>
      <c r="X556" s="95">
        <v>48051</v>
      </c>
    </row>
    <row r="557" spans="1:24" x14ac:dyDescent="0.25">
      <c r="A557" s="6" t="s">
        <v>369</v>
      </c>
      <c r="B557" s="94" t="s">
        <v>1974</v>
      </c>
      <c r="C557" s="6" t="s">
        <v>1975</v>
      </c>
      <c r="D557" s="140">
        <v>11943051</v>
      </c>
      <c r="E557" s="6" t="s">
        <v>490</v>
      </c>
      <c r="F557" s="10" t="s">
        <v>134</v>
      </c>
      <c r="G557" s="6" t="s">
        <v>1976</v>
      </c>
      <c r="H557" s="8">
        <v>48713</v>
      </c>
      <c r="I557" s="8">
        <v>43313</v>
      </c>
      <c r="J557" s="8">
        <v>43326</v>
      </c>
      <c r="K557" s="95">
        <v>43334</v>
      </c>
      <c r="L557" s="95" t="s">
        <v>31</v>
      </c>
      <c r="M557" s="8">
        <v>43341</v>
      </c>
      <c r="R557" s="97" t="str">
        <f t="shared" si="22"/>
        <v/>
      </c>
      <c r="S557" s="75" t="str">
        <f t="shared" si="21"/>
        <v/>
      </c>
      <c r="W557" s="6" t="s">
        <v>33</v>
      </c>
      <c r="X557" s="95">
        <v>51980</v>
      </c>
    </row>
    <row r="558" spans="1:24" x14ac:dyDescent="0.25">
      <c r="A558" s="6" t="s">
        <v>211</v>
      </c>
      <c r="B558" s="94" t="s">
        <v>1977</v>
      </c>
      <c r="C558" s="6" t="s">
        <v>1978</v>
      </c>
      <c r="D558" s="140">
        <v>11691739</v>
      </c>
      <c r="E558" s="6" t="s">
        <v>49</v>
      </c>
      <c r="F558" s="10" t="s">
        <v>29</v>
      </c>
      <c r="G558" s="6" t="s">
        <v>1979</v>
      </c>
      <c r="H558" s="8">
        <v>60156</v>
      </c>
      <c r="I558" s="8">
        <v>43313</v>
      </c>
      <c r="J558" s="8">
        <v>43326</v>
      </c>
      <c r="K558" s="95">
        <v>43327</v>
      </c>
      <c r="L558" s="95" t="s">
        <v>31</v>
      </c>
      <c r="M558" s="8">
        <v>43334</v>
      </c>
      <c r="N558" s="8">
        <v>43579</v>
      </c>
      <c r="O558" s="8">
        <v>43532</v>
      </c>
      <c r="P558" s="6" t="s">
        <v>69</v>
      </c>
      <c r="R558" s="97" t="str">
        <f t="shared" si="22"/>
        <v/>
      </c>
      <c r="S558" s="75" t="str">
        <f t="shared" si="21"/>
        <v/>
      </c>
      <c r="T558" s="124" t="s">
        <v>265</v>
      </c>
      <c r="U558" s="8">
        <v>43579</v>
      </c>
      <c r="W558" s="6" t="s">
        <v>84</v>
      </c>
      <c r="X558" s="95">
        <v>51725</v>
      </c>
    </row>
    <row r="559" spans="1:24" x14ac:dyDescent="0.25">
      <c r="A559" s="6" t="s">
        <v>211</v>
      </c>
      <c r="B559" s="94" t="s">
        <v>1980</v>
      </c>
      <c r="C559" s="6" t="s">
        <v>1981</v>
      </c>
      <c r="D559" s="140">
        <v>11882896</v>
      </c>
      <c r="E559" s="6" t="s">
        <v>547</v>
      </c>
      <c r="F559" s="10" t="s">
        <v>437</v>
      </c>
      <c r="G559" s="6" t="s">
        <v>1982</v>
      </c>
      <c r="H559" s="8">
        <v>48471</v>
      </c>
      <c r="I559" s="8">
        <v>43313</v>
      </c>
      <c r="J559" s="8">
        <v>43326</v>
      </c>
      <c r="K559" s="95">
        <v>43327</v>
      </c>
      <c r="L559" s="95" t="s">
        <v>31</v>
      </c>
      <c r="M559" s="8">
        <v>43334</v>
      </c>
      <c r="N559" s="8">
        <v>43532</v>
      </c>
      <c r="O559" s="8">
        <v>43391</v>
      </c>
      <c r="P559" s="6" t="s">
        <v>35</v>
      </c>
      <c r="Q559" s="96">
        <v>730</v>
      </c>
      <c r="R559" s="97">
        <f t="shared" si="22"/>
        <v>2</v>
      </c>
      <c r="S559" s="75">
        <f t="shared" si="21"/>
        <v>16518</v>
      </c>
      <c r="T559" s="124" t="s">
        <v>320</v>
      </c>
      <c r="U559" s="8">
        <v>43532</v>
      </c>
      <c r="W559" s="6" t="s">
        <v>33</v>
      </c>
      <c r="X559" s="95">
        <v>51051</v>
      </c>
    </row>
    <row r="560" spans="1:24" x14ac:dyDescent="0.25">
      <c r="A560" s="6" t="s">
        <v>369</v>
      </c>
      <c r="B560" s="94" t="s">
        <v>1983</v>
      </c>
      <c r="C560" s="6" t="s">
        <v>1984</v>
      </c>
      <c r="D560" s="140">
        <v>11640928</v>
      </c>
      <c r="E560" s="6" t="s">
        <v>318</v>
      </c>
      <c r="F560" s="10" t="s">
        <v>50</v>
      </c>
      <c r="G560" s="6" t="s">
        <v>1985</v>
      </c>
      <c r="H560" s="8">
        <v>46444</v>
      </c>
      <c r="I560" s="8">
        <v>43313</v>
      </c>
      <c r="J560" s="8">
        <v>43326</v>
      </c>
      <c r="K560" s="95">
        <v>43641</v>
      </c>
      <c r="L560" s="95" t="s">
        <v>31</v>
      </c>
      <c r="M560" s="8">
        <v>43644</v>
      </c>
      <c r="N560" s="8">
        <v>44274</v>
      </c>
      <c r="O560" s="8">
        <v>43885</v>
      </c>
      <c r="P560" s="6" t="s">
        <v>35</v>
      </c>
      <c r="Q560" s="96">
        <v>2247</v>
      </c>
      <c r="R560" s="97">
        <f t="shared" si="22"/>
        <v>6.1561643835616442</v>
      </c>
      <c r="S560" s="75">
        <f t="shared" si="21"/>
        <v>50843.76164383562</v>
      </c>
      <c r="T560" s="124" t="s">
        <v>1986</v>
      </c>
      <c r="U560" s="8">
        <v>44274</v>
      </c>
      <c r="V560" s="6" t="s">
        <v>36</v>
      </c>
      <c r="W560" s="6" t="s">
        <v>84</v>
      </c>
      <c r="X560" s="95">
        <v>48539</v>
      </c>
    </row>
    <row r="561" spans="1:24" x14ac:dyDescent="0.25">
      <c r="A561" s="6" t="s">
        <v>211</v>
      </c>
      <c r="B561" s="94" t="s">
        <v>1987</v>
      </c>
      <c r="C561" s="6" t="s">
        <v>1988</v>
      </c>
      <c r="D561" s="140">
        <v>11956553</v>
      </c>
      <c r="E561" s="6" t="s">
        <v>1459</v>
      </c>
      <c r="F561" s="10" t="s">
        <v>44</v>
      </c>
      <c r="G561" s="6" t="s">
        <v>1989</v>
      </c>
      <c r="H561" s="8">
        <v>45053</v>
      </c>
      <c r="I561" s="8">
        <v>43313</v>
      </c>
      <c r="J561" s="8">
        <v>43326</v>
      </c>
      <c r="K561" s="95">
        <v>43327</v>
      </c>
      <c r="L561" s="95" t="s">
        <v>31</v>
      </c>
      <c r="M561" s="8">
        <v>43334</v>
      </c>
      <c r="R561" s="97" t="str">
        <f t="shared" si="22"/>
        <v/>
      </c>
      <c r="S561" s="75" t="str">
        <f t="shared" si="21"/>
        <v/>
      </c>
      <c r="T561" s="129" t="s">
        <v>1990</v>
      </c>
      <c r="U561" s="8">
        <v>44783</v>
      </c>
      <c r="W561" s="6" t="s">
        <v>33</v>
      </c>
      <c r="X561" s="95">
        <v>50905</v>
      </c>
    </row>
    <row r="562" spans="1:24" ht="30" x14ac:dyDescent="0.25">
      <c r="A562" s="6" t="s">
        <v>37</v>
      </c>
      <c r="B562" s="94" t="s">
        <v>1879</v>
      </c>
      <c r="C562" s="6" t="s">
        <v>1991</v>
      </c>
      <c r="D562" s="140">
        <v>11204613</v>
      </c>
      <c r="E562" s="6" t="s">
        <v>950</v>
      </c>
      <c r="F562" s="10" t="s">
        <v>44</v>
      </c>
      <c r="G562" s="6" t="s">
        <v>1992</v>
      </c>
      <c r="H562" s="8">
        <v>44686</v>
      </c>
      <c r="I562" s="8">
        <v>43419</v>
      </c>
      <c r="J562" s="8">
        <v>43431</v>
      </c>
      <c r="K562" s="95">
        <v>43431</v>
      </c>
      <c r="L562" s="95" t="s">
        <v>31</v>
      </c>
      <c r="M562" s="8">
        <v>43433</v>
      </c>
      <c r="N562" s="8">
        <v>43451</v>
      </c>
      <c r="O562" s="8">
        <v>43441</v>
      </c>
      <c r="P562" s="101" t="s">
        <v>52</v>
      </c>
      <c r="R562" s="97" t="str">
        <f t="shared" si="22"/>
        <v/>
      </c>
      <c r="S562" s="75" t="str">
        <f t="shared" si="21"/>
        <v/>
      </c>
      <c r="T562" s="124" t="s">
        <v>1993</v>
      </c>
      <c r="U562" s="8">
        <v>43452</v>
      </c>
      <c r="W562" s="6" t="s">
        <v>33</v>
      </c>
      <c r="X562" s="95">
        <v>50132</v>
      </c>
    </row>
    <row r="563" spans="1:24" x14ac:dyDescent="0.25">
      <c r="A563" s="6" t="s">
        <v>65</v>
      </c>
      <c r="B563" s="94" t="s">
        <v>1994</v>
      </c>
      <c r="C563" s="6" t="s">
        <v>1995</v>
      </c>
      <c r="D563" s="140">
        <v>11550727</v>
      </c>
      <c r="E563" s="6" t="s">
        <v>1996</v>
      </c>
      <c r="F563" s="10" t="s">
        <v>81</v>
      </c>
      <c r="G563" s="6" t="s">
        <v>1997</v>
      </c>
      <c r="H563" s="8">
        <v>44027</v>
      </c>
      <c r="I563" s="8">
        <v>43348</v>
      </c>
      <c r="J563" s="8">
        <v>43348</v>
      </c>
      <c r="K563" s="95">
        <v>43362</v>
      </c>
      <c r="L563" s="95" t="s">
        <v>31</v>
      </c>
      <c r="M563" s="8">
        <v>43367</v>
      </c>
      <c r="R563" s="97" t="str">
        <f t="shared" si="22"/>
        <v/>
      </c>
      <c r="S563" s="75" t="str">
        <f t="shared" si="21"/>
        <v/>
      </c>
      <c r="T563" s="129" t="s">
        <v>1998</v>
      </c>
      <c r="U563" s="8">
        <v>44783</v>
      </c>
      <c r="W563" s="6" t="s">
        <v>33</v>
      </c>
      <c r="X563" s="95">
        <v>52564</v>
      </c>
    </row>
    <row r="564" spans="1:24" x14ac:dyDescent="0.25">
      <c r="A564" s="6" t="s">
        <v>117</v>
      </c>
      <c r="B564" s="94" t="s">
        <v>1999</v>
      </c>
      <c r="C564" s="6" t="s">
        <v>2000</v>
      </c>
      <c r="D564" s="140">
        <v>11304703</v>
      </c>
      <c r="E564" s="6" t="s">
        <v>2001</v>
      </c>
      <c r="F564" s="111" t="s">
        <v>979</v>
      </c>
      <c r="G564" s="6" t="s">
        <v>2002</v>
      </c>
      <c r="H564" s="8">
        <v>44432</v>
      </c>
      <c r="I564" s="9">
        <v>43236</v>
      </c>
      <c r="J564" s="9">
        <v>43242</v>
      </c>
      <c r="K564" s="7">
        <v>43250</v>
      </c>
      <c r="L564" s="95" t="s">
        <v>31</v>
      </c>
      <c r="M564" s="9">
        <v>43257</v>
      </c>
      <c r="N564" s="9">
        <v>43644</v>
      </c>
      <c r="O564" s="9">
        <v>43628</v>
      </c>
      <c r="P564" s="10" t="s">
        <v>35</v>
      </c>
      <c r="Q564" s="76">
        <v>730</v>
      </c>
      <c r="R564" s="97">
        <f t="shared" si="22"/>
        <v>2</v>
      </c>
      <c r="S564" s="75">
        <f t="shared" si="21"/>
        <v>16518</v>
      </c>
      <c r="T564" s="128" t="s">
        <v>320</v>
      </c>
      <c r="U564" s="8">
        <v>43644</v>
      </c>
      <c r="W564" s="6" t="s">
        <v>33</v>
      </c>
      <c r="X564" s="95">
        <v>45445</v>
      </c>
    </row>
    <row r="565" spans="1:24" x14ac:dyDescent="0.25">
      <c r="A565" s="6" t="s">
        <v>211</v>
      </c>
      <c r="B565" s="94" t="s">
        <v>2003</v>
      </c>
      <c r="C565" s="6" t="s">
        <v>2004</v>
      </c>
      <c r="D565" s="140">
        <v>11649697</v>
      </c>
      <c r="E565" s="6" t="s">
        <v>498</v>
      </c>
      <c r="F565" s="10" t="s">
        <v>205</v>
      </c>
      <c r="G565" s="6" t="s">
        <v>2005</v>
      </c>
      <c r="H565" s="8">
        <v>44956</v>
      </c>
      <c r="I565" s="8">
        <v>43313</v>
      </c>
      <c r="J565" s="8">
        <v>43326</v>
      </c>
      <c r="K565" s="95">
        <v>43327</v>
      </c>
      <c r="L565" s="95" t="s">
        <v>31</v>
      </c>
      <c r="M565" s="8">
        <v>43334</v>
      </c>
      <c r="N565" s="8">
        <v>43364</v>
      </c>
      <c r="O565" s="8">
        <v>43360</v>
      </c>
      <c r="P565" s="6" t="s">
        <v>69</v>
      </c>
      <c r="R565" s="97" t="str">
        <f t="shared" si="22"/>
        <v/>
      </c>
      <c r="S565" s="75" t="str">
        <f t="shared" si="21"/>
        <v/>
      </c>
      <c r="T565" s="124" t="s">
        <v>2006</v>
      </c>
      <c r="U565" s="8">
        <v>43489</v>
      </c>
      <c r="W565" s="6" t="s">
        <v>33</v>
      </c>
      <c r="X565" s="95">
        <v>54385</v>
      </c>
    </row>
    <row r="566" spans="1:24" x14ac:dyDescent="0.25">
      <c r="A566" s="6" t="s">
        <v>211</v>
      </c>
      <c r="B566" s="94" t="s">
        <v>2007</v>
      </c>
      <c r="C566" s="6" t="s">
        <v>2008</v>
      </c>
      <c r="D566" s="140">
        <v>11334020</v>
      </c>
      <c r="E566" s="6" t="s">
        <v>686</v>
      </c>
      <c r="F566" s="10" t="s">
        <v>2009</v>
      </c>
      <c r="G566" s="6" t="s">
        <v>2010</v>
      </c>
      <c r="H566" s="8">
        <v>46700</v>
      </c>
      <c r="I566" s="8">
        <v>43313</v>
      </c>
      <c r="J566" s="8">
        <v>43326</v>
      </c>
      <c r="K566" s="95">
        <v>43334</v>
      </c>
      <c r="L566" s="95" t="s">
        <v>31</v>
      </c>
      <c r="M566" s="8">
        <v>43341</v>
      </c>
      <c r="R566" s="97" t="str">
        <f t="shared" si="22"/>
        <v/>
      </c>
      <c r="S566" s="75" t="str">
        <f t="shared" si="21"/>
        <v/>
      </c>
      <c r="W566" s="6" t="s">
        <v>33</v>
      </c>
      <c r="X566" s="95">
        <v>44794</v>
      </c>
    </row>
    <row r="567" spans="1:24" x14ac:dyDescent="0.25">
      <c r="A567" s="6" t="s">
        <v>70</v>
      </c>
      <c r="B567" s="94" t="s">
        <v>1234</v>
      </c>
      <c r="C567" s="6" t="s">
        <v>2011</v>
      </c>
      <c r="D567" s="140">
        <v>12110130</v>
      </c>
      <c r="E567" s="6" t="s">
        <v>180</v>
      </c>
      <c r="F567" s="10" t="s">
        <v>148</v>
      </c>
      <c r="G567" s="6" t="s">
        <v>2012</v>
      </c>
      <c r="H567" s="8">
        <v>49443</v>
      </c>
      <c r="I567" s="8">
        <v>43314</v>
      </c>
      <c r="J567" s="8">
        <v>43314</v>
      </c>
      <c r="K567" s="95">
        <v>43319</v>
      </c>
      <c r="L567" s="95" t="s">
        <v>31</v>
      </c>
      <c r="M567" s="8">
        <v>43325</v>
      </c>
      <c r="N567" s="8">
        <v>43347</v>
      </c>
      <c r="O567" s="8">
        <v>43339</v>
      </c>
      <c r="P567" s="6" t="s">
        <v>633</v>
      </c>
      <c r="R567" s="97" t="str">
        <f t="shared" si="22"/>
        <v/>
      </c>
      <c r="S567" s="75" t="str">
        <f t="shared" si="21"/>
        <v/>
      </c>
      <c r="U567" s="8">
        <v>43353</v>
      </c>
      <c r="W567" s="6" t="s">
        <v>33</v>
      </c>
      <c r="X567" s="95">
        <v>47205</v>
      </c>
    </row>
    <row r="568" spans="1:24" x14ac:dyDescent="0.25">
      <c r="A568" s="6" t="s">
        <v>65</v>
      </c>
      <c r="B568" s="94" t="s">
        <v>2013</v>
      </c>
      <c r="C568" s="6" t="s">
        <v>2014</v>
      </c>
      <c r="D568" s="140">
        <v>11918428</v>
      </c>
      <c r="E568" s="6" t="s">
        <v>570</v>
      </c>
      <c r="F568" s="10" t="s">
        <v>29</v>
      </c>
      <c r="G568" s="6" t="s">
        <v>2015</v>
      </c>
      <c r="H568" s="8">
        <v>61496</v>
      </c>
      <c r="I568" s="8">
        <v>43339</v>
      </c>
      <c r="J568" s="8">
        <v>43339</v>
      </c>
      <c r="K568" s="95">
        <v>43355</v>
      </c>
      <c r="L568" s="95" t="s">
        <v>31</v>
      </c>
      <c r="M568" s="8">
        <v>43360</v>
      </c>
      <c r="N568" s="8">
        <v>43724</v>
      </c>
      <c r="O568" s="8">
        <v>43705</v>
      </c>
      <c r="P568" s="6" t="s">
        <v>35</v>
      </c>
      <c r="Q568" s="96">
        <v>4748.25</v>
      </c>
      <c r="R568" s="97">
        <f t="shared" si="22"/>
        <v>13.008904109589041</v>
      </c>
      <c r="S568" s="75">
        <f t="shared" si="21"/>
        <v>107440.53904109589</v>
      </c>
      <c r="T568" s="124" t="s">
        <v>2016</v>
      </c>
      <c r="U568" s="8">
        <v>43724</v>
      </c>
      <c r="W568" s="107" t="s">
        <v>84</v>
      </c>
      <c r="X568" s="109">
        <v>51894</v>
      </c>
    </row>
    <row r="569" spans="1:24" x14ac:dyDescent="0.25">
      <c r="A569" s="6" t="s">
        <v>70</v>
      </c>
      <c r="B569" s="94" t="s">
        <v>1434</v>
      </c>
      <c r="C569" s="6" t="s">
        <v>2017</v>
      </c>
      <c r="D569" s="140">
        <v>11552019</v>
      </c>
      <c r="E569" s="6" t="s">
        <v>49</v>
      </c>
      <c r="F569" s="10" t="s">
        <v>143</v>
      </c>
      <c r="G569" s="6" t="s">
        <v>2018</v>
      </c>
      <c r="H569" s="8">
        <v>45876</v>
      </c>
      <c r="I569" s="8">
        <v>43314</v>
      </c>
      <c r="J569" s="8">
        <v>43314</v>
      </c>
      <c r="K569" s="95">
        <v>43319</v>
      </c>
      <c r="L569" s="95" t="s">
        <v>31</v>
      </c>
      <c r="M569" s="8">
        <v>43325</v>
      </c>
      <c r="N569" s="8">
        <v>43822</v>
      </c>
      <c r="O569" s="8">
        <v>43816</v>
      </c>
      <c r="P569" s="6" t="s">
        <v>35</v>
      </c>
      <c r="Q569" s="96">
        <v>974</v>
      </c>
      <c r="R569" s="97">
        <f t="shared" si="22"/>
        <v>2.6684931506849314</v>
      </c>
      <c r="S569" s="75">
        <f t="shared" si="21"/>
        <v>22039.084931506852</v>
      </c>
      <c r="T569" s="124" t="s">
        <v>311</v>
      </c>
      <c r="U569" s="8">
        <v>43822</v>
      </c>
      <c r="W569" s="6" t="s">
        <v>84</v>
      </c>
      <c r="X569" s="95">
        <v>44773</v>
      </c>
    </row>
    <row r="570" spans="1:24" ht="30" x14ac:dyDescent="0.25">
      <c r="A570" s="6" t="s">
        <v>65</v>
      </c>
      <c r="B570" s="94" t="s">
        <v>1613</v>
      </c>
      <c r="C570" s="6" t="s">
        <v>2019</v>
      </c>
      <c r="D570" s="140">
        <v>11331416</v>
      </c>
      <c r="E570" s="6" t="s">
        <v>1096</v>
      </c>
      <c r="F570" s="10" t="s">
        <v>44</v>
      </c>
      <c r="G570" s="6" t="s">
        <v>2020</v>
      </c>
      <c r="H570" s="8">
        <v>44466</v>
      </c>
      <c r="I570" s="8">
        <v>43339</v>
      </c>
      <c r="J570" s="8">
        <v>43339</v>
      </c>
      <c r="K570" s="95">
        <v>43341</v>
      </c>
      <c r="L570" s="95" t="s">
        <v>31</v>
      </c>
      <c r="M570" s="8">
        <v>43354</v>
      </c>
      <c r="N570" s="8">
        <v>43537</v>
      </c>
      <c r="O570" s="8">
        <v>43441</v>
      </c>
      <c r="P570" s="101" t="s">
        <v>52</v>
      </c>
      <c r="R570" s="97" t="str">
        <f t="shared" si="22"/>
        <v/>
      </c>
      <c r="S570" s="75" t="str">
        <f t="shared" si="21"/>
        <v/>
      </c>
      <c r="T570" s="124" t="s">
        <v>2021</v>
      </c>
      <c r="U570" s="8">
        <v>43537</v>
      </c>
      <c r="W570" s="6" t="s">
        <v>33</v>
      </c>
      <c r="X570" s="95">
        <v>44839</v>
      </c>
    </row>
    <row r="571" spans="1:24" ht="30" x14ac:dyDescent="0.25">
      <c r="A571" s="6" t="s">
        <v>37</v>
      </c>
      <c r="B571" s="94" t="s">
        <v>2022</v>
      </c>
      <c r="C571" s="6" t="s">
        <v>2023</v>
      </c>
      <c r="D571" s="140">
        <v>11141173</v>
      </c>
      <c r="E571" s="6" t="s">
        <v>2024</v>
      </c>
      <c r="F571" s="10" t="s">
        <v>139</v>
      </c>
      <c r="G571" s="6" t="s">
        <v>2025</v>
      </c>
      <c r="H571" s="8">
        <v>45904</v>
      </c>
      <c r="I571" s="8">
        <v>43402</v>
      </c>
      <c r="J571" s="8">
        <v>43403</v>
      </c>
      <c r="K571" s="95">
        <v>43410</v>
      </c>
      <c r="L571" s="95" t="s">
        <v>31</v>
      </c>
      <c r="M571" s="8">
        <v>43410</v>
      </c>
      <c r="N571" s="8">
        <v>43467</v>
      </c>
      <c r="O571" s="8">
        <v>43444</v>
      </c>
      <c r="P571" s="101" t="s">
        <v>52</v>
      </c>
      <c r="R571" s="97" t="str">
        <f t="shared" si="22"/>
        <v/>
      </c>
      <c r="S571" s="75" t="str">
        <f t="shared" si="21"/>
        <v/>
      </c>
      <c r="T571" s="124" t="s">
        <v>2026</v>
      </c>
      <c r="U571" s="8">
        <v>43467</v>
      </c>
      <c r="W571" s="6" t="s">
        <v>33</v>
      </c>
      <c r="X571" s="95">
        <v>51499</v>
      </c>
    </row>
    <row r="572" spans="1:24" x14ac:dyDescent="0.25">
      <c r="A572" s="6" t="s">
        <v>70</v>
      </c>
      <c r="B572" s="94" t="s">
        <v>1664</v>
      </c>
      <c r="C572" s="6" t="s">
        <v>2027</v>
      </c>
      <c r="D572" s="140">
        <v>11647768</v>
      </c>
      <c r="E572" s="6" t="s">
        <v>1103</v>
      </c>
      <c r="F572" s="6" t="s">
        <v>134</v>
      </c>
      <c r="G572" s="6" t="s">
        <v>2028</v>
      </c>
      <c r="H572" s="8">
        <v>47619</v>
      </c>
      <c r="I572" s="8">
        <v>43263</v>
      </c>
      <c r="J572" s="8">
        <v>43263</v>
      </c>
      <c r="K572" s="95">
        <v>43264</v>
      </c>
      <c r="L572" s="95" t="s">
        <v>31</v>
      </c>
      <c r="M572" s="8">
        <v>43266</v>
      </c>
      <c r="N572" s="8">
        <v>43525</v>
      </c>
      <c r="O572" s="8">
        <v>43445</v>
      </c>
      <c r="P572" s="101" t="s">
        <v>52</v>
      </c>
      <c r="R572" s="97" t="str">
        <f t="shared" si="22"/>
        <v/>
      </c>
      <c r="S572" s="75" t="str">
        <f t="shared" si="21"/>
        <v/>
      </c>
      <c r="T572" s="124" t="s">
        <v>2029</v>
      </c>
      <c r="U572" s="8">
        <v>43525</v>
      </c>
      <c r="W572" s="6" t="s">
        <v>33</v>
      </c>
      <c r="X572" s="95">
        <v>45947</v>
      </c>
    </row>
    <row r="573" spans="1:24" x14ac:dyDescent="0.25">
      <c r="A573" s="6" t="s">
        <v>65</v>
      </c>
      <c r="B573" s="94" t="s">
        <v>2030</v>
      </c>
      <c r="C573" s="6" t="s">
        <v>2031</v>
      </c>
      <c r="D573" s="140">
        <v>11295800</v>
      </c>
      <c r="E573" s="6" t="s">
        <v>332</v>
      </c>
      <c r="F573" s="10" t="s">
        <v>29</v>
      </c>
      <c r="G573" s="6" t="s">
        <v>2032</v>
      </c>
      <c r="H573" s="8">
        <v>45989</v>
      </c>
      <c r="I573" s="8">
        <v>43273</v>
      </c>
      <c r="J573" s="8">
        <v>43273</v>
      </c>
      <c r="K573" s="95">
        <v>43292</v>
      </c>
      <c r="L573" s="95" t="s">
        <v>31</v>
      </c>
      <c r="M573" s="8">
        <v>43299</v>
      </c>
      <c r="N573" s="8">
        <v>43573</v>
      </c>
      <c r="O573" s="8">
        <v>43447</v>
      </c>
      <c r="P573" s="6" t="s">
        <v>75</v>
      </c>
      <c r="R573" s="97" t="str">
        <f t="shared" si="22"/>
        <v/>
      </c>
      <c r="S573" s="75" t="str">
        <f t="shared" si="21"/>
        <v/>
      </c>
      <c r="U573" s="8">
        <v>43573</v>
      </c>
      <c r="W573" s="6" t="s">
        <v>33</v>
      </c>
      <c r="X573" s="95">
        <v>45991</v>
      </c>
    </row>
    <row r="574" spans="1:24" x14ac:dyDescent="0.25">
      <c r="A574" s="6" t="s">
        <v>65</v>
      </c>
      <c r="B574" s="94" t="s">
        <v>2033</v>
      </c>
      <c r="C574" s="6" t="s">
        <v>2034</v>
      </c>
      <c r="D574" s="140">
        <v>11354071</v>
      </c>
      <c r="E574" s="6" t="s">
        <v>199</v>
      </c>
      <c r="F574" s="10" t="s">
        <v>299</v>
      </c>
      <c r="G574" s="6" t="s">
        <v>2035</v>
      </c>
      <c r="H574" s="8">
        <v>44137</v>
      </c>
      <c r="I574" s="8">
        <v>43341</v>
      </c>
      <c r="J574" s="8">
        <v>43341</v>
      </c>
      <c r="K574" s="95">
        <v>43355</v>
      </c>
      <c r="L574" s="95" t="s">
        <v>31</v>
      </c>
      <c r="M574" s="8">
        <v>43360</v>
      </c>
      <c r="N574" s="8">
        <v>43454</v>
      </c>
      <c r="O574" s="8">
        <v>43448</v>
      </c>
      <c r="P574" s="6" t="s">
        <v>75</v>
      </c>
      <c r="R574" s="97" t="str">
        <f t="shared" si="22"/>
        <v/>
      </c>
      <c r="S574" s="75" t="str">
        <f t="shared" si="21"/>
        <v/>
      </c>
      <c r="U574" s="8">
        <v>43458</v>
      </c>
      <c r="W574" s="6" t="s">
        <v>33</v>
      </c>
      <c r="X574" s="95">
        <v>45086</v>
      </c>
    </row>
    <row r="575" spans="1:24" x14ac:dyDescent="0.25">
      <c r="A575" s="6" t="s">
        <v>65</v>
      </c>
      <c r="B575" s="94" t="s">
        <v>890</v>
      </c>
      <c r="C575" s="6" t="s">
        <v>2036</v>
      </c>
      <c r="D575" s="140">
        <v>12146506</v>
      </c>
      <c r="E575" s="6" t="s">
        <v>2037</v>
      </c>
      <c r="F575" s="10" t="s">
        <v>176</v>
      </c>
      <c r="G575" s="6">
        <v>2010044001</v>
      </c>
      <c r="H575" s="8">
        <v>46814</v>
      </c>
      <c r="I575" s="8">
        <v>43333</v>
      </c>
      <c r="J575" s="8">
        <v>43333</v>
      </c>
      <c r="K575" s="95">
        <v>43334</v>
      </c>
      <c r="L575" s="95" t="s">
        <v>31</v>
      </c>
      <c r="M575" s="8">
        <v>43341</v>
      </c>
      <c r="N575" s="8">
        <v>43360</v>
      </c>
      <c r="O575" s="8">
        <v>43354</v>
      </c>
      <c r="P575" s="6" t="s">
        <v>35</v>
      </c>
      <c r="Q575" s="96">
        <v>1095</v>
      </c>
      <c r="R575" s="97">
        <f t="shared" si="22"/>
        <v>3</v>
      </c>
      <c r="S575" s="75">
        <f t="shared" si="21"/>
        <v>24777</v>
      </c>
      <c r="T575" s="124" t="s">
        <v>2038</v>
      </c>
      <c r="U575" s="8">
        <v>43360</v>
      </c>
      <c r="V575" s="107"/>
      <c r="W575" s="107" t="s">
        <v>33</v>
      </c>
      <c r="X575" s="109">
        <v>47245</v>
      </c>
    </row>
    <row r="576" spans="1:24" x14ac:dyDescent="0.25">
      <c r="A576" s="6" t="s">
        <v>65</v>
      </c>
      <c r="B576" s="94" t="s">
        <v>2039</v>
      </c>
      <c r="C576" s="6" t="s">
        <v>2040</v>
      </c>
      <c r="D576" s="140">
        <v>11906155</v>
      </c>
      <c r="E576" s="6" t="s">
        <v>428</v>
      </c>
      <c r="F576" s="10" t="s">
        <v>139</v>
      </c>
      <c r="G576" s="6" t="s">
        <v>2041</v>
      </c>
      <c r="H576" s="8">
        <v>45199</v>
      </c>
      <c r="I576" s="8">
        <v>43333</v>
      </c>
      <c r="J576" s="8">
        <v>43333</v>
      </c>
      <c r="K576" s="95">
        <v>43334</v>
      </c>
      <c r="L576" s="95" t="s">
        <v>31</v>
      </c>
      <c r="M576" s="8">
        <v>43341</v>
      </c>
      <c r="N576" s="8">
        <v>43432</v>
      </c>
      <c r="O576" s="8">
        <v>43418</v>
      </c>
      <c r="P576" s="6" t="s">
        <v>35</v>
      </c>
      <c r="Q576" s="96">
        <v>121</v>
      </c>
      <c r="R576" s="97">
        <f t="shared" si="22"/>
        <v>0.33150684931506852</v>
      </c>
      <c r="S576" s="75">
        <f t="shared" si="21"/>
        <v>2737.9150684931506</v>
      </c>
      <c r="T576" s="124" t="s">
        <v>2042</v>
      </c>
      <c r="U576" s="8">
        <v>43438</v>
      </c>
      <c r="W576" s="6" t="s">
        <v>33</v>
      </c>
      <c r="X576" s="95">
        <v>51414</v>
      </c>
    </row>
    <row r="577" spans="1:24" ht="30" x14ac:dyDescent="0.25">
      <c r="A577" s="6" t="s">
        <v>65</v>
      </c>
      <c r="B577" s="94" t="s">
        <v>873</v>
      </c>
      <c r="C577" s="6" t="s">
        <v>2043</v>
      </c>
      <c r="D577" s="140">
        <v>12132018</v>
      </c>
      <c r="E577" s="6" t="s">
        <v>584</v>
      </c>
      <c r="F577" s="10" t="s">
        <v>134</v>
      </c>
      <c r="G577" s="6" t="s">
        <v>2044</v>
      </c>
      <c r="H577" s="8">
        <v>46574</v>
      </c>
      <c r="I577" s="8">
        <v>43333</v>
      </c>
      <c r="J577" s="8">
        <v>43333</v>
      </c>
      <c r="K577" s="95">
        <v>43334</v>
      </c>
      <c r="L577" s="95" t="s">
        <v>31</v>
      </c>
      <c r="M577" s="8">
        <v>43341</v>
      </c>
      <c r="N577" s="8">
        <v>43388</v>
      </c>
      <c r="O577" s="8">
        <v>43368</v>
      </c>
      <c r="P577" s="6" t="s">
        <v>69</v>
      </c>
      <c r="R577" s="97" t="str">
        <f t="shared" si="22"/>
        <v/>
      </c>
      <c r="S577" s="75" t="str">
        <f t="shared" si="21"/>
        <v/>
      </c>
      <c r="T577" s="124" t="s">
        <v>2045</v>
      </c>
      <c r="U577" s="8">
        <v>43391</v>
      </c>
      <c r="W577" s="6" t="s">
        <v>33</v>
      </c>
      <c r="X577" s="95">
        <v>47122</v>
      </c>
    </row>
    <row r="578" spans="1:24" ht="30" x14ac:dyDescent="0.25">
      <c r="A578" s="6" t="s">
        <v>65</v>
      </c>
      <c r="B578" s="94" t="s">
        <v>2046</v>
      </c>
      <c r="C578" s="6" t="s">
        <v>2047</v>
      </c>
      <c r="D578" s="140">
        <v>12169960</v>
      </c>
      <c r="E578" s="6" t="s">
        <v>1443</v>
      </c>
      <c r="F578" s="10" t="s">
        <v>50</v>
      </c>
      <c r="G578" s="6" t="s">
        <v>2048</v>
      </c>
      <c r="H578" s="8">
        <v>45511</v>
      </c>
      <c r="I578" s="8">
        <v>43333</v>
      </c>
      <c r="J578" s="8">
        <v>43333</v>
      </c>
      <c r="K578" s="95">
        <v>43334</v>
      </c>
      <c r="L578" s="95" t="s">
        <v>31</v>
      </c>
      <c r="M578" s="8">
        <v>43341</v>
      </c>
      <c r="N578" s="8">
        <v>43410</v>
      </c>
      <c r="O578" s="8">
        <v>43398</v>
      </c>
      <c r="P578" s="6" t="s">
        <v>69</v>
      </c>
      <c r="R578" s="97" t="str">
        <f t="shared" si="22"/>
        <v/>
      </c>
      <c r="S578" s="75" t="str">
        <f t="shared" si="21"/>
        <v/>
      </c>
      <c r="T578" s="124" t="s">
        <v>2049</v>
      </c>
      <c r="U578" s="8">
        <v>43412</v>
      </c>
      <c r="W578" s="6" t="s">
        <v>33</v>
      </c>
      <c r="X578" s="95">
        <v>47648</v>
      </c>
    </row>
    <row r="579" spans="1:24" ht="60" x14ac:dyDescent="0.25">
      <c r="A579" s="6" t="s">
        <v>65</v>
      </c>
      <c r="B579" s="94" t="s">
        <v>2050</v>
      </c>
      <c r="C579" s="6" t="s">
        <v>2051</v>
      </c>
      <c r="D579" s="140">
        <v>12194432</v>
      </c>
      <c r="E579" s="6" t="s">
        <v>2052</v>
      </c>
      <c r="F579" s="10" t="s">
        <v>252</v>
      </c>
      <c r="G579" s="6">
        <v>51614627</v>
      </c>
      <c r="H579" s="8">
        <v>47644</v>
      </c>
      <c r="I579" s="8">
        <v>43381</v>
      </c>
      <c r="J579" s="8">
        <v>43384</v>
      </c>
      <c r="K579" s="95">
        <v>43384</v>
      </c>
      <c r="L579" s="95" t="s">
        <v>31</v>
      </c>
      <c r="M579" s="8">
        <v>43390</v>
      </c>
      <c r="N579" s="8">
        <v>43454</v>
      </c>
      <c r="O579" s="8">
        <v>43448</v>
      </c>
      <c r="P579" s="101" t="s">
        <v>52</v>
      </c>
      <c r="R579" s="97" t="str">
        <f t="shared" si="22"/>
        <v/>
      </c>
      <c r="S579" s="75" t="str">
        <f t="shared" si="21"/>
        <v/>
      </c>
      <c r="T579" s="124" t="s">
        <v>2053</v>
      </c>
      <c r="U579" s="8">
        <v>43458</v>
      </c>
      <c r="W579" s="6" t="s">
        <v>33</v>
      </c>
      <c r="X579" s="95">
        <v>47420</v>
      </c>
    </row>
    <row r="580" spans="1:24" ht="45" x14ac:dyDescent="0.25">
      <c r="A580" s="6" t="s">
        <v>37</v>
      </c>
      <c r="B580" s="106" t="s">
        <v>635</v>
      </c>
      <c r="C580" s="107" t="s">
        <v>2054</v>
      </c>
      <c r="D580" s="142">
        <v>11161568</v>
      </c>
      <c r="E580" s="107" t="s">
        <v>162</v>
      </c>
      <c r="F580" s="56" t="s">
        <v>44</v>
      </c>
      <c r="G580" s="107" t="s">
        <v>2055</v>
      </c>
      <c r="H580" s="108">
        <v>45299</v>
      </c>
      <c r="I580" s="108">
        <v>43404</v>
      </c>
      <c r="J580" s="108">
        <v>43417</v>
      </c>
      <c r="K580" s="108">
        <v>43417</v>
      </c>
      <c r="L580" s="109" t="s">
        <v>31</v>
      </c>
      <c r="M580" s="108">
        <v>43433</v>
      </c>
      <c r="N580" s="108">
        <v>43460</v>
      </c>
      <c r="O580" s="108">
        <v>43453</v>
      </c>
      <c r="P580" s="101" t="s">
        <v>52</v>
      </c>
      <c r="Q580" s="119"/>
      <c r="R580" s="120" t="str">
        <f t="shared" si="22"/>
        <v/>
      </c>
      <c r="S580" s="75" t="str">
        <f t="shared" si="21"/>
        <v/>
      </c>
      <c r="T580" s="134" t="s">
        <v>2056</v>
      </c>
      <c r="U580" s="8">
        <v>43460</v>
      </c>
      <c r="W580" s="6" t="s">
        <v>33</v>
      </c>
      <c r="X580" s="95">
        <v>47403</v>
      </c>
    </row>
    <row r="581" spans="1:24" x14ac:dyDescent="0.25">
      <c r="A581" s="6" t="s">
        <v>85</v>
      </c>
      <c r="B581" s="94" t="s">
        <v>176</v>
      </c>
      <c r="C581" s="6" t="s">
        <v>2057</v>
      </c>
      <c r="D581" s="140">
        <v>11896410</v>
      </c>
      <c r="E581" s="6" t="s">
        <v>878</v>
      </c>
      <c r="F581" s="10" t="s">
        <v>44</v>
      </c>
      <c r="G581" s="6" t="s">
        <v>2058</v>
      </c>
      <c r="H581" s="8">
        <v>43775</v>
      </c>
      <c r="I581" s="8">
        <v>43306</v>
      </c>
      <c r="J581" s="8">
        <v>43306</v>
      </c>
      <c r="K581" s="95">
        <v>43319</v>
      </c>
      <c r="L581" s="95" t="s">
        <v>31</v>
      </c>
      <c r="M581" s="8">
        <v>43325</v>
      </c>
      <c r="N581" s="8">
        <v>43467</v>
      </c>
      <c r="O581" s="8">
        <v>43455</v>
      </c>
      <c r="P581" s="6" t="s">
        <v>75</v>
      </c>
      <c r="R581" s="97" t="str">
        <f t="shared" si="22"/>
        <v/>
      </c>
      <c r="S581" s="75" t="str">
        <f t="shared" si="21"/>
        <v/>
      </c>
      <c r="U581" s="8">
        <v>43467</v>
      </c>
      <c r="W581" s="6" t="s">
        <v>33</v>
      </c>
      <c r="X581" s="95">
        <v>41681</v>
      </c>
    </row>
    <row r="582" spans="1:24" x14ac:dyDescent="0.25">
      <c r="A582" s="6" t="s">
        <v>37</v>
      </c>
      <c r="B582" s="94" t="s">
        <v>1613</v>
      </c>
      <c r="C582" s="6" t="s">
        <v>2059</v>
      </c>
      <c r="D582" s="140">
        <v>11048285</v>
      </c>
      <c r="E582" s="6" t="s">
        <v>2060</v>
      </c>
      <c r="F582" s="10" t="s">
        <v>121</v>
      </c>
      <c r="G582" s="6" t="s">
        <v>2061</v>
      </c>
      <c r="H582" s="8">
        <v>44095</v>
      </c>
      <c r="I582" s="8">
        <v>43417</v>
      </c>
      <c r="J582" s="8">
        <v>43421</v>
      </c>
      <c r="K582" s="95">
        <v>43421</v>
      </c>
      <c r="L582" s="95" t="s">
        <v>31</v>
      </c>
      <c r="M582" s="8">
        <v>43423</v>
      </c>
      <c r="N582" s="8">
        <v>43468</v>
      </c>
      <c r="O582" s="8">
        <v>43458</v>
      </c>
      <c r="P582" s="6" t="s">
        <v>75</v>
      </c>
      <c r="R582" s="97" t="str">
        <f t="shared" si="22"/>
        <v/>
      </c>
      <c r="S582" s="75" t="str">
        <f t="shared" si="21"/>
        <v/>
      </c>
      <c r="T582" s="124" t="s">
        <v>2062</v>
      </c>
      <c r="U582" s="8">
        <v>43468</v>
      </c>
      <c r="W582" s="6" t="s">
        <v>33</v>
      </c>
      <c r="X582" s="95">
        <v>52758</v>
      </c>
    </row>
    <row r="583" spans="1:24" x14ac:dyDescent="0.25">
      <c r="A583" s="6" t="s">
        <v>65</v>
      </c>
      <c r="B583" s="94" t="s">
        <v>833</v>
      </c>
      <c r="C583" s="6" t="s">
        <v>2063</v>
      </c>
      <c r="D583" s="140">
        <v>11625665</v>
      </c>
      <c r="E583" s="6" t="s">
        <v>1459</v>
      </c>
      <c r="F583" s="10" t="s">
        <v>44</v>
      </c>
      <c r="G583" s="6" t="s">
        <v>2064</v>
      </c>
      <c r="H583" s="8">
        <v>56643</v>
      </c>
      <c r="I583" s="8">
        <v>43335</v>
      </c>
      <c r="J583" s="8">
        <v>43335</v>
      </c>
      <c r="K583" s="95">
        <v>43341</v>
      </c>
      <c r="L583" s="95" t="s">
        <v>31</v>
      </c>
      <c r="M583" s="8">
        <v>43354</v>
      </c>
      <c r="N583" s="8">
        <v>43537</v>
      </c>
      <c r="O583" s="8">
        <v>43465</v>
      </c>
      <c r="P583" s="101" t="s">
        <v>52</v>
      </c>
      <c r="R583" s="97" t="str">
        <f t="shared" si="22"/>
        <v/>
      </c>
      <c r="S583" s="75" t="str">
        <f t="shared" si="21"/>
        <v/>
      </c>
      <c r="T583" s="124" t="s">
        <v>1597</v>
      </c>
      <c r="U583" s="8">
        <v>43537</v>
      </c>
      <c r="W583" s="6" t="s">
        <v>33</v>
      </c>
      <c r="X583" s="95">
        <v>44013</v>
      </c>
    </row>
    <row r="584" spans="1:24" ht="30" x14ac:dyDescent="0.25">
      <c r="A584" s="6" t="s">
        <v>65</v>
      </c>
      <c r="B584" s="94" t="s">
        <v>1879</v>
      </c>
      <c r="C584" s="6" t="s">
        <v>2065</v>
      </c>
      <c r="D584" s="140">
        <v>12102640</v>
      </c>
      <c r="E584" s="6" t="s">
        <v>153</v>
      </c>
      <c r="F584" s="10" t="s">
        <v>44</v>
      </c>
      <c r="G584" s="6" t="s">
        <v>2066</v>
      </c>
      <c r="H584" s="8">
        <v>46564</v>
      </c>
      <c r="I584" s="8">
        <v>43348</v>
      </c>
      <c r="J584" s="8">
        <v>43348</v>
      </c>
      <c r="K584" s="95">
        <v>43369</v>
      </c>
      <c r="L584" s="95" t="s">
        <v>31</v>
      </c>
      <c r="M584" s="8">
        <v>43374</v>
      </c>
      <c r="N584" s="8">
        <v>43489</v>
      </c>
      <c r="O584" s="8">
        <v>43465</v>
      </c>
      <c r="P584" s="6" t="s">
        <v>75</v>
      </c>
      <c r="R584" s="97" t="str">
        <f t="shared" si="22"/>
        <v/>
      </c>
      <c r="S584" s="75" t="str">
        <f t="shared" si="21"/>
        <v/>
      </c>
      <c r="T584" s="124" t="s">
        <v>2067</v>
      </c>
      <c r="U584" s="8">
        <v>43489</v>
      </c>
      <c r="W584" s="6" t="s">
        <v>33</v>
      </c>
      <c r="X584" s="95">
        <v>46315</v>
      </c>
    </row>
    <row r="585" spans="1:24" x14ac:dyDescent="0.25">
      <c r="A585" s="6" t="s">
        <v>65</v>
      </c>
      <c r="B585" s="94" t="s">
        <v>1162</v>
      </c>
      <c r="C585" s="6" t="s">
        <v>2068</v>
      </c>
      <c r="D585" s="140">
        <v>12139362</v>
      </c>
      <c r="E585" s="6" t="s">
        <v>490</v>
      </c>
      <c r="F585" s="10" t="s">
        <v>95</v>
      </c>
      <c r="G585" s="6" t="s">
        <v>2069</v>
      </c>
      <c r="H585" s="8">
        <v>48331</v>
      </c>
      <c r="I585" s="8">
        <v>43333</v>
      </c>
      <c r="J585" s="8">
        <v>43333</v>
      </c>
      <c r="K585" s="95">
        <v>43334</v>
      </c>
      <c r="L585" s="95" t="s">
        <v>31</v>
      </c>
      <c r="M585" s="8">
        <v>43341</v>
      </c>
      <c r="N585" s="8">
        <v>43524</v>
      </c>
      <c r="O585" s="8">
        <v>43474</v>
      </c>
      <c r="P585" s="6" t="s">
        <v>35</v>
      </c>
      <c r="Q585" s="96">
        <v>1095</v>
      </c>
      <c r="R585" s="97">
        <f t="shared" si="22"/>
        <v>3</v>
      </c>
      <c r="S585" s="75">
        <f t="shared" si="21"/>
        <v>24777</v>
      </c>
      <c r="T585" s="124" t="s">
        <v>301</v>
      </c>
      <c r="U585" s="8">
        <v>43524</v>
      </c>
      <c r="W585" s="6" t="s">
        <v>33</v>
      </c>
      <c r="X585" s="95">
        <v>46796</v>
      </c>
    </row>
    <row r="586" spans="1:24" x14ac:dyDescent="0.25">
      <c r="A586" s="6" t="s">
        <v>65</v>
      </c>
      <c r="B586" s="94" t="s">
        <v>2070</v>
      </c>
      <c r="C586" s="6" t="s">
        <v>2071</v>
      </c>
      <c r="D586" s="140">
        <v>12122573</v>
      </c>
      <c r="E586" s="6" t="s">
        <v>2072</v>
      </c>
      <c r="F586" s="10" t="s">
        <v>29</v>
      </c>
      <c r="G586" s="6" t="s">
        <v>2073</v>
      </c>
      <c r="H586" s="8">
        <v>44618</v>
      </c>
      <c r="I586" s="8">
        <v>43333</v>
      </c>
      <c r="J586" s="8">
        <v>43333</v>
      </c>
      <c r="K586" s="95">
        <v>43334</v>
      </c>
      <c r="L586" s="95" t="s">
        <v>31</v>
      </c>
      <c r="M586" s="8">
        <v>43341</v>
      </c>
      <c r="N586" s="108">
        <v>44594</v>
      </c>
      <c r="O586" s="108">
        <v>43497</v>
      </c>
      <c r="P586" s="107" t="s">
        <v>52</v>
      </c>
      <c r="Q586" s="110"/>
      <c r="R586" s="97" t="str">
        <f t="shared" si="22"/>
        <v/>
      </c>
      <c r="S586" s="75" t="str">
        <f t="shared" si="21"/>
        <v/>
      </c>
      <c r="U586" s="8">
        <v>44776</v>
      </c>
      <c r="W586" s="6" t="s">
        <v>33</v>
      </c>
      <c r="X586" s="95">
        <v>55324</v>
      </c>
    </row>
    <row r="587" spans="1:24" x14ac:dyDescent="0.25">
      <c r="A587" s="6" t="s">
        <v>65</v>
      </c>
      <c r="B587" s="94" t="s">
        <v>598</v>
      </c>
      <c r="C587" s="6" t="s">
        <v>2074</v>
      </c>
      <c r="D587" s="140">
        <v>12133103</v>
      </c>
      <c r="E587" s="6" t="s">
        <v>607</v>
      </c>
      <c r="F587" s="10" t="s">
        <v>121</v>
      </c>
      <c r="G587" s="6" t="s">
        <v>2075</v>
      </c>
      <c r="H587" s="8">
        <v>46969</v>
      </c>
      <c r="I587" s="8">
        <v>43333</v>
      </c>
      <c r="J587" s="8">
        <v>43333</v>
      </c>
      <c r="K587" s="95">
        <v>43334</v>
      </c>
      <c r="L587" s="95" t="s">
        <v>31</v>
      </c>
      <c r="M587" s="8">
        <v>43341</v>
      </c>
      <c r="R587" s="97" t="str">
        <f t="shared" si="22"/>
        <v/>
      </c>
      <c r="S587" s="75" t="str">
        <f t="shared" si="21"/>
        <v/>
      </c>
      <c r="V587" s="107"/>
      <c r="W587" s="107" t="s">
        <v>33</v>
      </c>
      <c r="X587" s="109">
        <v>46958</v>
      </c>
    </row>
    <row r="588" spans="1:24" x14ac:dyDescent="0.25">
      <c r="A588" s="6" t="s">
        <v>65</v>
      </c>
      <c r="B588" s="94" t="s">
        <v>242</v>
      </c>
      <c r="C588" s="6" t="s">
        <v>2076</v>
      </c>
      <c r="D588" s="140">
        <v>12124645</v>
      </c>
      <c r="E588" s="6" t="s">
        <v>185</v>
      </c>
      <c r="F588" s="10" t="s">
        <v>143</v>
      </c>
      <c r="G588" s="6" t="s">
        <v>2077</v>
      </c>
      <c r="H588" s="8">
        <v>46014</v>
      </c>
      <c r="I588" s="8">
        <v>43333</v>
      </c>
      <c r="J588" s="8">
        <v>43333</v>
      </c>
      <c r="K588" s="95">
        <v>43334</v>
      </c>
      <c r="L588" s="95" t="s">
        <v>31</v>
      </c>
      <c r="M588" s="8">
        <v>43341</v>
      </c>
      <c r="N588" s="8">
        <v>43571</v>
      </c>
      <c r="O588" s="8">
        <v>43542</v>
      </c>
      <c r="P588" s="6" t="s">
        <v>35</v>
      </c>
      <c r="Q588" s="96">
        <v>1095</v>
      </c>
      <c r="R588" s="97">
        <f t="shared" si="22"/>
        <v>3</v>
      </c>
      <c r="S588" s="75">
        <f t="shared" si="21"/>
        <v>24777</v>
      </c>
      <c r="T588" s="124" t="s">
        <v>301</v>
      </c>
      <c r="U588" s="8">
        <v>43571</v>
      </c>
      <c r="W588" s="6" t="s">
        <v>33</v>
      </c>
      <c r="X588" s="95">
        <v>46292</v>
      </c>
    </row>
    <row r="589" spans="1:24" x14ac:dyDescent="0.25">
      <c r="A589" s="6" t="s">
        <v>117</v>
      </c>
      <c r="B589" s="94" t="s">
        <v>2078</v>
      </c>
      <c r="C589" s="6" t="s">
        <v>2079</v>
      </c>
      <c r="D589" s="140">
        <v>11799220</v>
      </c>
      <c r="E589" s="6" t="s">
        <v>472</v>
      </c>
      <c r="F589" s="10" t="s">
        <v>205</v>
      </c>
      <c r="G589" s="6" t="s">
        <v>2080</v>
      </c>
      <c r="H589" s="8">
        <v>64016</v>
      </c>
      <c r="I589" s="8">
        <v>43361</v>
      </c>
      <c r="J589" s="8">
        <v>43361</v>
      </c>
      <c r="K589" s="95">
        <v>43369</v>
      </c>
      <c r="L589" s="95" t="s">
        <v>31</v>
      </c>
      <c r="M589" s="8">
        <v>43374</v>
      </c>
      <c r="N589" s="8">
        <v>43587</v>
      </c>
      <c r="O589" s="8">
        <v>43581</v>
      </c>
      <c r="P589" s="6" t="s">
        <v>35</v>
      </c>
      <c r="Q589" s="96">
        <v>1461</v>
      </c>
      <c r="R589" s="97">
        <f t="shared" si="22"/>
        <v>4.0027397260273974</v>
      </c>
      <c r="S589" s="75">
        <f t="shared" si="21"/>
        <v>33058.627397260272</v>
      </c>
      <c r="T589" s="124" t="s">
        <v>1007</v>
      </c>
      <c r="U589" s="8">
        <v>43600</v>
      </c>
      <c r="W589" s="6" t="s">
        <v>84</v>
      </c>
      <c r="X589" s="95">
        <v>56143</v>
      </c>
    </row>
    <row r="590" spans="1:24" x14ac:dyDescent="0.25">
      <c r="A590" s="6" t="s">
        <v>37</v>
      </c>
      <c r="B590" s="94" t="s">
        <v>2081</v>
      </c>
      <c r="C590" s="6" t="s">
        <v>2082</v>
      </c>
      <c r="D590" s="140">
        <v>11313641</v>
      </c>
      <c r="E590" s="6" t="s">
        <v>88</v>
      </c>
      <c r="F590" s="10" t="s">
        <v>44</v>
      </c>
      <c r="G590" s="6" t="s">
        <v>2083</v>
      </c>
      <c r="H590" s="8">
        <v>44817</v>
      </c>
      <c r="I590" s="8">
        <v>43448</v>
      </c>
      <c r="J590" s="8">
        <v>43452</v>
      </c>
      <c r="K590" s="95">
        <v>43452</v>
      </c>
      <c r="L590" s="95" t="s">
        <v>31</v>
      </c>
      <c r="M590" s="8">
        <v>43461</v>
      </c>
      <c r="N590" s="8">
        <v>43549</v>
      </c>
      <c r="O590" s="8">
        <v>43472</v>
      </c>
      <c r="P590" s="6" t="s">
        <v>75</v>
      </c>
      <c r="R590" s="97" t="str">
        <f t="shared" si="22"/>
        <v/>
      </c>
      <c r="S590" s="75" t="str">
        <f t="shared" si="21"/>
        <v/>
      </c>
      <c r="U590" s="8">
        <v>43549</v>
      </c>
      <c r="W590" s="6" t="s">
        <v>33</v>
      </c>
      <c r="X590" s="95">
        <v>50910</v>
      </c>
    </row>
    <row r="591" spans="1:24" x14ac:dyDescent="0.25">
      <c r="A591" s="6" t="s">
        <v>70</v>
      </c>
      <c r="B591" s="94" t="s">
        <v>2084</v>
      </c>
      <c r="C591" s="6" t="s">
        <v>2085</v>
      </c>
      <c r="D591" s="140">
        <v>11579953</v>
      </c>
      <c r="E591" s="6" t="s">
        <v>2086</v>
      </c>
      <c r="F591" s="10" t="s">
        <v>121</v>
      </c>
      <c r="G591" s="6" t="s">
        <v>2087</v>
      </c>
      <c r="H591" s="8">
        <v>43657</v>
      </c>
      <c r="I591" s="8">
        <v>43410</v>
      </c>
      <c r="J591" s="8">
        <v>43413</v>
      </c>
      <c r="K591" s="95">
        <v>43425</v>
      </c>
      <c r="L591" s="95" t="s">
        <v>31</v>
      </c>
      <c r="M591" s="8">
        <v>43430</v>
      </c>
      <c r="N591" s="8">
        <v>43479</v>
      </c>
      <c r="O591" s="8">
        <v>43473</v>
      </c>
      <c r="P591" s="101" t="s">
        <v>52</v>
      </c>
      <c r="R591" s="97" t="str">
        <f t="shared" si="22"/>
        <v/>
      </c>
      <c r="S591" s="75" t="str">
        <f t="shared" si="21"/>
        <v/>
      </c>
      <c r="T591" s="124" t="s">
        <v>2088</v>
      </c>
      <c r="U591" s="8">
        <v>43480</v>
      </c>
      <c r="W591" s="6" t="s">
        <v>33</v>
      </c>
      <c r="X591" s="95">
        <v>51449</v>
      </c>
    </row>
    <row r="592" spans="1:24" x14ac:dyDescent="0.25">
      <c r="A592" s="6" t="s">
        <v>65</v>
      </c>
      <c r="B592" s="94" t="s">
        <v>1234</v>
      </c>
      <c r="C592" s="6" t="s">
        <v>2089</v>
      </c>
      <c r="D592" s="140">
        <v>12128573</v>
      </c>
      <c r="E592" s="6" t="s">
        <v>2090</v>
      </c>
      <c r="F592" s="10" t="s">
        <v>121</v>
      </c>
      <c r="G592" s="6" t="s">
        <v>2091</v>
      </c>
      <c r="H592" s="8">
        <v>45037</v>
      </c>
      <c r="I592" s="8">
        <v>43333</v>
      </c>
      <c r="J592" s="8">
        <v>43333</v>
      </c>
      <c r="K592" s="95">
        <v>43334</v>
      </c>
      <c r="L592" s="95" t="s">
        <v>31</v>
      </c>
      <c r="M592" s="8">
        <v>43341</v>
      </c>
      <c r="N592" s="8">
        <v>43536</v>
      </c>
      <c r="O592" s="8">
        <v>43390</v>
      </c>
      <c r="P592" s="6" t="s">
        <v>69</v>
      </c>
      <c r="R592" s="97" t="str">
        <f t="shared" si="22"/>
        <v/>
      </c>
      <c r="S592" s="75" t="str">
        <f t="shared" si="21"/>
        <v/>
      </c>
      <c r="T592" s="124" t="s">
        <v>265</v>
      </c>
      <c r="U592" s="8">
        <v>43536</v>
      </c>
      <c r="W592" s="6" t="s">
        <v>33</v>
      </c>
      <c r="X592" s="95">
        <v>47079</v>
      </c>
    </row>
    <row r="593" spans="1:24" x14ac:dyDescent="0.25">
      <c r="A593" s="6" t="s">
        <v>65</v>
      </c>
      <c r="B593" s="94" t="s">
        <v>323</v>
      </c>
      <c r="C593" s="6" t="s">
        <v>2092</v>
      </c>
      <c r="D593" s="140">
        <v>12142213</v>
      </c>
      <c r="E593" s="6" t="s">
        <v>570</v>
      </c>
      <c r="F593" s="10" t="s">
        <v>100</v>
      </c>
      <c r="G593" s="6" t="s">
        <v>2093</v>
      </c>
      <c r="H593" s="8">
        <v>48108</v>
      </c>
      <c r="I593" s="8">
        <v>43333</v>
      </c>
      <c r="J593" s="8">
        <v>43333</v>
      </c>
      <c r="K593" s="95">
        <v>43334</v>
      </c>
      <c r="L593" s="95" t="s">
        <v>31</v>
      </c>
      <c r="M593" s="8">
        <v>43341</v>
      </c>
      <c r="N593" s="8">
        <v>43488</v>
      </c>
      <c r="O593" s="8">
        <v>43480</v>
      </c>
      <c r="P593" s="6" t="s">
        <v>35</v>
      </c>
      <c r="Q593" s="96">
        <v>730</v>
      </c>
      <c r="R593" s="97">
        <f t="shared" si="22"/>
        <v>2</v>
      </c>
      <c r="S593" s="75">
        <f t="shared" si="21"/>
        <v>16518</v>
      </c>
      <c r="T593" s="124" t="s">
        <v>320</v>
      </c>
      <c r="U593" s="8">
        <v>43488</v>
      </c>
      <c r="W593" s="6" t="s">
        <v>33</v>
      </c>
      <c r="X593" s="95">
        <v>47302</v>
      </c>
    </row>
    <row r="594" spans="1:24" x14ac:dyDescent="0.25">
      <c r="A594" s="6" t="s">
        <v>65</v>
      </c>
      <c r="B594" s="94" t="s">
        <v>2094</v>
      </c>
      <c r="C594" s="6" t="s">
        <v>2095</v>
      </c>
      <c r="D594" s="140">
        <v>11751409</v>
      </c>
      <c r="E594" s="6" t="s">
        <v>1103</v>
      </c>
      <c r="F594" s="10" t="s">
        <v>934</v>
      </c>
      <c r="G594" s="6" t="s">
        <v>2096</v>
      </c>
      <c r="H594" s="8">
        <v>61682</v>
      </c>
      <c r="I594" s="8">
        <v>43335</v>
      </c>
      <c r="J594" s="8">
        <v>43335</v>
      </c>
      <c r="K594" s="95">
        <v>43341</v>
      </c>
      <c r="L594" s="95" t="s">
        <v>31</v>
      </c>
      <c r="M594" s="8">
        <v>43354</v>
      </c>
      <c r="N594" s="8">
        <v>43537</v>
      </c>
      <c r="O594" s="8">
        <v>43474</v>
      </c>
      <c r="P594" s="6" t="s">
        <v>75</v>
      </c>
      <c r="R594" s="97" t="str">
        <f t="shared" si="22"/>
        <v/>
      </c>
      <c r="S594" s="75" t="str">
        <f t="shared" si="21"/>
        <v/>
      </c>
      <c r="U594" s="8">
        <v>43537</v>
      </c>
      <c r="W594" s="6" t="s">
        <v>84</v>
      </c>
      <c r="X594" s="95">
        <v>49602</v>
      </c>
    </row>
    <row r="595" spans="1:24" x14ac:dyDescent="0.25">
      <c r="A595" s="6" t="s">
        <v>65</v>
      </c>
      <c r="B595" s="94" t="s">
        <v>1664</v>
      </c>
      <c r="C595" s="6" t="s">
        <v>2097</v>
      </c>
      <c r="D595" s="140">
        <v>12120088</v>
      </c>
      <c r="E595" s="6" t="s">
        <v>464</v>
      </c>
      <c r="F595" s="10" t="s">
        <v>143</v>
      </c>
      <c r="G595" s="6" t="s">
        <v>2098</v>
      </c>
      <c r="H595" s="8">
        <v>48906</v>
      </c>
      <c r="I595" s="8">
        <v>43333</v>
      </c>
      <c r="J595" s="8">
        <v>43333</v>
      </c>
      <c r="K595" s="95">
        <v>43334</v>
      </c>
      <c r="L595" s="95" t="s">
        <v>31</v>
      </c>
      <c r="M595" s="8">
        <v>43341</v>
      </c>
      <c r="N595" s="8">
        <v>43536</v>
      </c>
      <c r="O595" s="8">
        <v>43388</v>
      </c>
      <c r="P595" s="6" t="s">
        <v>35</v>
      </c>
      <c r="Q595" s="96">
        <v>365</v>
      </c>
      <c r="R595" s="97">
        <f t="shared" si="22"/>
        <v>1</v>
      </c>
      <c r="S595" s="75">
        <f t="shared" si="21"/>
        <v>8259</v>
      </c>
      <c r="T595" s="124" t="s">
        <v>159</v>
      </c>
      <c r="U595" s="8">
        <v>43536</v>
      </c>
      <c r="W595" s="6" t="s">
        <v>33</v>
      </c>
      <c r="X595" s="95">
        <v>46165</v>
      </c>
    </row>
    <row r="596" spans="1:24" x14ac:dyDescent="0.25">
      <c r="A596" s="6" t="s">
        <v>65</v>
      </c>
      <c r="B596" s="94" t="s">
        <v>250</v>
      </c>
      <c r="C596" s="6" t="s">
        <v>2099</v>
      </c>
      <c r="D596" s="140">
        <v>12151122</v>
      </c>
      <c r="E596" s="6" t="s">
        <v>678</v>
      </c>
      <c r="F596" s="10" t="s">
        <v>2100</v>
      </c>
      <c r="G596" s="6" t="s">
        <v>2101</v>
      </c>
      <c r="H596" s="8">
        <v>47820</v>
      </c>
      <c r="I596" s="8">
        <v>43333</v>
      </c>
      <c r="J596" s="8">
        <v>43333</v>
      </c>
      <c r="K596" s="95">
        <v>43334</v>
      </c>
      <c r="L596" s="95" t="s">
        <v>31</v>
      </c>
      <c r="M596" s="8">
        <v>43341</v>
      </c>
      <c r="N596" s="8">
        <v>43476</v>
      </c>
      <c r="O596" s="8">
        <v>43433</v>
      </c>
      <c r="P596" s="6" t="s">
        <v>35</v>
      </c>
      <c r="Q596" s="96">
        <v>365</v>
      </c>
      <c r="R596" s="97">
        <f t="shared" si="22"/>
        <v>1</v>
      </c>
      <c r="S596" s="75">
        <f t="shared" si="21"/>
        <v>8259</v>
      </c>
      <c r="T596" s="124" t="s">
        <v>1437</v>
      </c>
      <c r="U596" s="8">
        <v>43476</v>
      </c>
      <c r="W596" s="6" t="s">
        <v>33</v>
      </c>
      <c r="X596" s="95">
        <v>47347</v>
      </c>
    </row>
    <row r="597" spans="1:24" x14ac:dyDescent="0.25">
      <c r="A597" s="6" t="s">
        <v>65</v>
      </c>
      <c r="B597" s="94" t="s">
        <v>102</v>
      </c>
      <c r="C597" s="6" t="s">
        <v>2102</v>
      </c>
      <c r="D597" s="140">
        <v>12155387</v>
      </c>
      <c r="E597" s="6" t="s">
        <v>104</v>
      </c>
      <c r="F597" s="10" t="s">
        <v>363</v>
      </c>
      <c r="G597" s="6">
        <v>1474371</v>
      </c>
      <c r="H597" s="8">
        <v>46116</v>
      </c>
      <c r="I597" s="8">
        <v>43333</v>
      </c>
      <c r="J597" s="8">
        <v>43333</v>
      </c>
      <c r="R597" s="97" t="str">
        <f t="shared" si="22"/>
        <v/>
      </c>
      <c r="S597" s="75" t="str">
        <f t="shared" si="21"/>
        <v/>
      </c>
      <c r="W597" s="6" t="s">
        <v>33</v>
      </c>
      <c r="X597" s="95">
        <v>46874</v>
      </c>
    </row>
    <row r="598" spans="1:24" x14ac:dyDescent="0.25">
      <c r="A598" s="6" t="s">
        <v>65</v>
      </c>
      <c r="B598" s="94" t="s">
        <v>2103</v>
      </c>
      <c r="C598" s="6" t="s">
        <v>2104</v>
      </c>
      <c r="D598" s="140">
        <v>12158696</v>
      </c>
      <c r="E598" s="6" t="s">
        <v>382</v>
      </c>
      <c r="F598" s="10" t="s">
        <v>205</v>
      </c>
      <c r="G598" s="6" t="s">
        <v>1569</v>
      </c>
      <c r="H598" s="8">
        <v>47335</v>
      </c>
      <c r="I598" s="8">
        <v>43333</v>
      </c>
      <c r="J598" s="8">
        <v>43333</v>
      </c>
      <c r="K598" s="95">
        <v>43334</v>
      </c>
      <c r="L598" s="95" t="s">
        <v>31</v>
      </c>
      <c r="M598" s="8">
        <v>43341</v>
      </c>
      <c r="N598" s="8">
        <v>43602</v>
      </c>
      <c r="O598" s="8">
        <v>43432</v>
      </c>
      <c r="P598" s="6" t="s">
        <v>35</v>
      </c>
      <c r="Q598" s="96">
        <v>1095</v>
      </c>
      <c r="R598" s="97">
        <f t="shared" si="22"/>
        <v>3</v>
      </c>
      <c r="S598" s="75">
        <f t="shared" si="21"/>
        <v>24777</v>
      </c>
      <c r="T598" s="124" t="s">
        <v>301</v>
      </c>
      <c r="U598" s="8">
        <v>43602</v>
      </c>
      <c r="W598" s="6" t="s">
        <v>33</v>
      </c>
      <c r="X598" s="95">
        <v>47299</v>
      </c>
    </row>
    <row r="599" spans="1:24" x14ac:dyDescent="0.25">
      <c r="A599" s="6" t="s">
        <v>65</v>
      </c>
      <c r="B599" s="94" t="s">
        <v>2105</v>
      </c>
      <c r="C599" s="6" t="s">
        <v>2106</v>
      </c>
      <c r="D599" s="140">
        <v>12161867</v>
      </c>
      <c r="E599" s="6" t="s">
        <v>686</v>
      </c>
      <c r="F599" s="10" t="s">
        <v>2100</v>
      </c>
      <c r="G599" s="6" t="s">
        <v>2107</v>
      </c>
      <c r="H599" s="8">
        <v>45499</v>
      </c>
      <c r="I599" s="8">
        <v>43333</v>
      </c>
      <c r="J599" s="8">
        <v>43333</v>
      </c>
      <c r="K599" s="95">
        <v>43334</v>
      </c>
      <c r="L599" s="95" t="s">
        <v>31</v>
      </c>
      <c r="M599" s="8">
        <v>43341</v>
      </c>
      <c r="N599" s="8">
        <v>43532</v>
      </c>
      <c r="O599" s="8">
        <v>43454</v>
      </c>
      <c r="P599" s="6" t="s">
        <v>35</v>
      </c>
      <c r="Q599" s="96">
        <v>1095</v>
      </c>
      <c r="R599" s="97">
        <f t="shared" si="22"/>
        <v>3</v>
      </c>
      <c r="S599" s="75">
        <f t="shared" si="21"/>
        <v>24777</v>
      </c>
      <c r="T599" s="124" t="s">
        <v>301</v>
      </c>
      <c r="U599" s="8">
        <v>43532</v>
      </c>
      <c r="W599" s="6" t="s">
        <v>33</v>
      </c>
      <c r="X599" s="95">
        <v>47592</v>
      </c>
    </row>
    <row r="600" spans="1:24" ht="30" x14ac:dyDescent="0.25">
      <c r="A600" s="6" t="s">
        <v>65</v>
      </c>
      <c r="B600" s="94" t="s">
        <v>2108</v>
      </c>
      <c r="C600" s="6" t="s">
        <v>2109</v>
      </c>
      <c r="D600" s="140">
        <v>12162451</v>
      </c>
      <c r="E600" s="6" t="s">
        <v>678</v>
      </c>
      <c r="F600" s="10" t="s">
        <v>143</v>
      </c>
      <c r="G600" s="6">
        <v>213073</v>
      </c>
      <c r="H600" s="8">
        <v>51908</v>
      </c>
      <c r="I600" s="8">
        <v>43333</v>
      </c>
      <c r="J600" s="8">
        <v>43333</v>
      </c>
      <c r="K600" s="95">
        <v>43334</v>
      </c>
      <c r="L600" s="95" t="s">
        <v>31</v>
      </c>
      <c r="M600" s="8">
        <v>43341</v>
      </c>
      <c r="N600" s="8">
        <v>43405</v>
      </c>
      <c r="O600" s="8">
        <v>43399</v>
      </c>
      <c r="P600" s="6" t="s">
        <v>35</v>
      </c>
      <c r="Q600" s="96">
        <v>365</v>
      </c>
      <c r="R600" s="97">
        <f t="shared" si="22"/>
        <v>1</v>
      </c>
      <c r="S600" s="75">
        <f t="shared" si="21"/>
        <v>8259</v>
      </c>
      <c r="T600" s="124" t="s">
        <v>2110</v>
      </c>
      <c r="U600" s="8">
        <v>43956</v>
      </c>
      <c r="W600" s="6" t="s">
        <v>33</v>
      </c>
      <c r="X600" s="95">
        <v>45395</v>
      </c>
    </row>
    <row r="601" spans="1:24" x14ac:dyDescent="0.25">
      <c r="A601" s="6" t="s">
        <v>65</v>
      </c>
      <c r="B601" s="94" t="s">
        <v>1307</v>
      </c>
      <c r="C601" s="6" t="s">
        <v>2111</v>
      </c>
      <c r="D601" s="140">
        <v>11915682</v>
      </c>
      <c r="E601" s="6" t="s">
        <v>104</v>
      </c>
      <c r="F601" s="10" t="s">
        <v>205</v>
      </c>
      <c r="G601" s="6" t="s">
        <v>2112</v>
      </c>
      <c r="H601" s="8">
        <v>49450</v>
      </c>
      <c r="I601" s="8">
        <v>43333</v>
      </c>
      <c r="J601" s="8">
        <v>43333</v>
      </c>
      <c r="K601" s="95">
        <v>43334</v>
      </c>
      <c r="L601" s="95" t="s">
        <v>31</v>
      </c>
      <c r="M601" s="8">
        <v>43341</v>
      </c>
      <c r="R601" s="97" t="str">
        <f t="shared" si="22"/>
        <v/>
      </c>
      <c r="S601" s="75" t="str">
        <f t="shared" si="21"/>
        <v/>
      </c>
      <c r="W601" s="6" t="s">
        <v>84</v>
      </c>
      <c r="X601" s="95">
        <v>45809</v>
      </c>
    </row>
    <row r="602" spans="1:24" x14ac:dyDescent="0.25">
      <c r="A602" s="6" t="s">
        <v>25</v>
      </c>
      <c r="B602" s="94" t="s">
        <v>2113</v>
      </c>
      <c r="C602" s="6" t="s">
        <v>2114</v>
      </c>
      <c r="D602" s="140">
        <v>11308045</v>
      </c>
      <c r="E602" s="6" t="s">
        <v>2115</v>
      </c>
      <c r="F602" s="10" t="s">
        <v>57</v>
      </c>
      <c r="G602" s="6" t="s">
        <v>2116</v>
      </c>
      <c r="H602" s="8">
        <v>46149</v>
      </c>
      <c r="I602" s="8">
        <v>43623</v>
      </c>
      <c r="J602" s="8">
        <v>43623</v>
      </c>
      <c r="K602" s="95">
        <v>43663</v>
      </c>
      <c r="L602" s="95" t="s">
        <v>31</v>
      </c>
      <c r="M602" s="8">
        <v>43668</v>
      </c>
      <c r="N602" s="8">
        <v>44713</v>
      </c>
      <c r="O602" s="8">
        <v>44707</v>
      </c>
      <c r="P602" s="6" t="s">
        <v>35</v>
      </c>
      <c r="Q602" s="96">
        <v>918</v>
      </c>
      <c r="R602" s="97">
        <f t="shared" si="22"/>
        <v>2.515068493150685</v>
      </c>
      <c r="S602" s="75">
        <f t="shared" ref="S602:S665" si="23">IF(Q602&gt;0, SUM(Q602)*(8259/365), "")</f>
        <v>20771.950684931508</v>
      </c>
      <c r="U602" s="8">
        <v>44719</v>
      </c>
      <c r="W602" s="6" t="s">
        <v>33</v>
      </c>
      <c r="X602" s="6"/>
    </row>
    <row r="603" spans="1:24" x14ac:dyDescent="0.25">
      <c r="A603" s="6" t="s">
        <v>65</v>
      </c>
      <c r="B603" s="94" t="s">
        <v>2117</v>
      </c>
      <c r="C603" s="6" t="s">
        <v>2118</v>
      </c>
      <c r="D603" s="140">
        <v>11623049</v>
      </c>
      <c r="E603" s="6" t="s">
        <v>570</v>
      </c>
      <c r="F603" s="6" t="s">
        <v>29</v>
      </c>
      <c r="G603" s="6" t="s">
        <v>2119</v>
      </c>
      <c r="H603" s="8">
        <v>47013</v>
      </c>
      <c r="I603" s="8">
        <v>43334</v>
      </c>
      <c r="J603" s="8">
        <v>43334</v>
      </c>
      <c r="K603" s="95">
        <v>43355</v>
      </c>
      <c r="L603" s="95" t="s">
        <v>31</v>
      </c>
      <c r="M603" s="8">
        <v>43356</v>
      </c>
      <c r="N603" s="8">
        <v>43417</v>
      </c>
      <c r="O603" s="8">
        <v>43524</v>
      </c>
      <c r="P603" s="6" t="s">
        <v>35</v>
      </c>
      <c r="Q603" s="96">
        <v>1095</v>
      </c>
      <c r="R603" s="97">
        <f t="shared" si="22"/>
        <v>3</v>
      </c>
      <c r="S603" s="75">
        <f t="shared" si="23"/>
        <v>24777</v>
      </c>
      <c r="T603" s="124" t="s">
        <v>301</v>
      </c>
      <c r="U603" s="8">
        <v>43536</v>
      </c>
      <c r="W603" s="6" t="s">
        <v>33</v>
      </c>
      <c r="X603" s="95">
        <v>44031</v>
      </c>
    </row>
    <row r="604" spans="1:24" x14ac:dyDescent="0.25">
      <c r="A604" s="6" t="s">
        <v>65</v>
      </c>
      <c r="B604" s="94" t="s">
        <v>197</v>
      </c>
      <c r="C604" s="6" t="s">
        <v>2120</v>
      </c>
      <c r="D604" s="140">
        <v>11342035</v>
      </c>
      <c r="E604" s="6" t="s">
        <v>607</v>
      </c>
      <c r="F604" s="10" t="s">
        <v>57</v>
      </c>
      <c r="G604" s="6" t="s">
        <v>2121</v>
      </c>
      <c r="H604" s="8">
        <v>44355</v>
      </c>
      <c r="I604" s="8">
        <v>43347</v>
      </c>
      <c r="J604" s="8">
        <v>43347</v>
      </c>
      <c r="K604" s="95">
        <v>43355</v>
      </c>
      <c r="L604" s="95" t="s">
        <v>31</v>
      </c>
      <c r="M604" s="8">
        <v>43356</v>
      </c>
      <c r="N604" s="8">
        <v>43537</v>
      </c>
      <c r="O604" s="8">
        <v>43475</v>
      </c>
      <c r="P604" s="6" t="s">
        <v>75</v>
      </c>
      <c r="R604" s="97" t="str">
        <f t="shared" si="22"/>
        <v/>
      </c>
      <c r="S604" s="75" t="str">
        <f t="shared" si="23"/>
        <v/>
      </c>
      <c r="U604" s="8">
        <v>43537</v>
      </c>
      <c r="W604" s="6" t="s">
        <v>33</v>
      </c>
      <c r="X604" s="95">
        <v>44662</v>
      </c>
    </row>
    <row r="605" spans="1:24" x14ac:dyDescent="0.25">
      <c r="A605" s="6" t="s">
        <v>65</v>
      </c>
      <c r="B605" s="94" t="s">
        <v>2122</v>
      </c>
      <c r="C605" s="6" t="s">
        <v>2123</v>
      </c>
      <c r="D605" s="140">
        <v>11789229</v>
      </c>
      <c r="E605" s="6" t="s">
        <v>298</v>
      </c>
      <c r="F605" s="10" t="s">
        <v>95</v>
      </c>
      <c r="G605" s="6" t="s">
        <v>2124</v>
      </c>
      <c r="H605" s="8">
        <v>48512</v>
      </c>
      <c r="I605" s="8">
        <v>43335</v>
      </c>
      <c r="J605" s="8">
        <v>43335</v>
      </c>
      <c r="K605" s="95">
        <v>43341</v>
      </c>
      <c r="L605" s="95" t="s">
        <v>31</v>
      </c>
      <c r="M605" s="8">
        <v>43354</v>
      </c>
      <c r="N605" s="8">
        <v>43383</v>
      </c>
      <c r="O605" s="8">
        <v>43374</v>
      </c>
      <c r="P605" s="6" t="s">
        <v>35</v>
      </c>
      <c r="Q605" s="96">
        <v>3652</v>
      </c>
      <c r="R605" s="97">
        <f t="shared" si="22"/>
        <v>10.005479452054795</v>
      </c>
      <c r="S605" s="75">
        <f t="shared" si="23"/>
        <v>82635.254794520544</v>
      </c>
      <c r="U605" s="8">
        <v>43383</v>
      </c>
      <c r="W605" s="6" t="s">
        <v>33</v>
      </c>
      <c r="X605" s="95">
        <v>42373</v>
      </c>
    </row>
    <row r="606" spans="1:24" x14ac:dyDescent="0.25">
      <c r="A606" s="6" t="s">
        <v>65</v>
      </c>
      <c r="B606" s="94" t="s">
        <v>2125</v>
      </c>
      <c r="C606" s="6" t="s">
        <v>2126</v>
      </c>
      <c r="D606" s="140">
        <v>11604612</v>
      </c>
      <c r="E606" s="6" t="s">
        <v>153</v>
      </c>
      <c r="F606" s="10" t="s">
        <v>139</v>
      </c>
      <c r="G606" s="6" t="s">
        <v>2127</v>
      </c>
      <c r="H606" s="8">
        <v>46691</v>
      </c>
      <c r="I606" s="8">
        <v>43335</v>
      </c>
      <c r="J606" s="8">
        <v>43335</v>
      </c>
      <c r="K606" s="95">
        <v>43341</v>
      </c>
      <c r="L606" s="95" t="s">
        <v>31</v>
      </c>
      <c r="M606" s="8">
        <v>43354</v>
      </c>
      <c r="N606" s="8">
        <v>43403</v>
      </c>
      <c r="O606" s="8">
        <v>43397</v>
      </c>
      <c r="P606" s="6" t="s">
        <v>35</v>
      </c>
      <c r="Q606" s="96">
        <v>1095</v>
      </c>
      <c r="R606" s="97">
        <f t="shared" si="22"/>
        <v>3</v>
      </c>
      <c r="S606" s="75">
        <f t="shared" si="23"/>
        <v>24777</v>
      </c>
      <c r="T606" s="124" t="s">
        <v>1736</v>
      </c>
      <c r="U606" s="8">
        <v>43405</v>
      </c>
      <c r="W606" s="6" t="s">
        <v>33</v>
      </c>
      <c r="X606" s="95">
        <v>44179</v>
      </c>
    </row>
    <row r="607" spans="1:24" x14ac:dyDescent="0.25">
      <c r="A607" s="6" t="s">
        <v>65</v>
      </c>
      <c r="B607" s="94" t="s">
        <v>2128</v>
      </c>
      <c r="C607" s="6" t="s">
        <v>2129</v>
      </c>
      <c r="D607" s="140">
        <v>11564741</v>
      </c>
      <c r="E607" s="6" t="s">
        <v>835</v>
      </c>
      <c r="F607" s="10" t="s">
        <v>176</v>
      </c>
      <c r="G607" s="6">
        <v>2011003023</v>
      </c>
      <c r="H607" s="8">
        <v>48812</v>
      </c>
      <c r="I607" s="8">
        <v>43335</v>
      </c>
      <c r="J607" s="8">
        <v>43335</v>
      </c>
      <c r="K607" s="95">
        <v>43341</v>
      </c>
      <c r="L607" s="95" t="s">
        <v>31</v>
      </c>
      <c r="M607" s="8">
        <v>43354</v>
      </c>
      <c r="N607" s="8">
        <v>43390</v>
      </c>
      <c r="O607" s="8">
        <v>43382</v>
      </c>
      <c r="P607" s="6" t="s">
        <v>35</v>
      </c>
      <c r="Q607" s="96">
        <v>1095</v>
      </c>
      <c r="R607" s="97">
        <f t="shared" si="22"/>
        <v>3</v>
      </c>
      <c r="S607" s="75">
        <f t="shared" si="23"/>
        <v>24777</v>
      </c>
      <c r="T607" s="124" t="s">
        <v>1736</v>
      </c>
      <c r="U607" s="8">
        <v>43395</v>
      </c>
      <c r="W607" s="6" t="s">
        <v>33</v>
      </c>
      <c r="X607" s="95">
        <v>52823</v>
      </c>
    </row>
    <row r="608" spans="1:24" x14ac:dyDescent="0.25">
      <c r="A608" s="6" t="s">
        <v>65</v>
      </c>
      <c r="B608" s="94" t="s">
        <v>197</v>
      </c>
      <c r="C608" s="6" t="s">
        <v>2130</v>
      </c>
      <c r="D608" s="140">
        <v>11584345</v>
      </c>
      <c r="E608" s="6" t="s">
        <v>366</v>
      </c>
      <c r="F608" s="10" t="s">
        <v>190</v>
      </c>
      <c r="G608" s="6" t="s">
        <v>2131</v>
      </c>
      <c r="H608" s="8">
        <v>45956</v>
      </c>
      <c r="I608" s="8">
        <v>43335</v>
      </c>
      <c r="J608" s="8">
        <v>43335</v>
      </c>
      <c r="K608" s="95">
        <v>43355</v>
      </c>
      <c r="L608" s="95" t="s">
        <v>31</v>
      </c>
      <c r="M608" s="8">
        <v>43360</v>
      </c>
      <c r="N608" s="8">
        <v>43411</v>
      </c>
      <c r="O608" s="8">
        <v>43397</v>
      </c>
      <c r="P608" s="6" t="s">
        <v>35</v>
      </c>
      <c r="Q608" s="96">
        <v>1095</v>
      </c>
      <c r="R608" s="97">
        <f t="shared" si="22"/>
        <v>3</v>
      </c>
      <c r="S608" s="75">
        <f t="shared" si="23"/>
        <v>24777</v>
      </c>
      <c r="T608" s="124" t="s">
        <v>1736</v>
      </c>
      <c r="U608" s="8">
        <v>43417</v>
      </c>
      <c r="W608" s="6" t="s">
        <v>33</v>
      </c>
      <c r="X608" s="95">
        <v>43928</v>
      </c>
    </row>
    <row r="609" spans="1:24" x14ac:dyDescent="0.25">
      <c r="A609" s="6" t="s">
        <v>65</v>
      </c>
      <c r="B609" s="94" t="s">
        <v>1412</v>
      </c>
      <c r="C609" s="6" t="s">
        <v>2132</v>
      </c>
      <c r="D609" s="140">
        <v>11721728</v>
      </c>
      <c r="E609" s="6" t="s">
        <v>314</v>
      </c>
      <c r="F609" s="10" t="s">
        <v>44</v>
      </c>
      <c r="G609" s="6" t="s">
        <v>2133</v>
      </c>
      <c r="H609" s="8">
        <v>45874</v>
      </c>
      <c r="I609" s="8">
        <v>43335</v>
      </c>
      <c r="J609" s="8">
        <v>43335</v>
      </c>
      <c r="K609" s="95">
        <v>43341</v>
      </c>
      <c r="L609" s="95" t="s">
        <v>31</v>
      </c>
      <c r="M609" s="8">
        <v>43354</v>
      </c>
      <c r="N609" s="8">
        <v>43537</v>
      </c>
      <c r="O609" s="8">
        <v>43481</v>
      </c>
      <c r="P609" s="6" t="s">
        <v>75</v>
      </c>
      <c r="R609" s="97" t="str">
        <f t="shared" si="22"/>
        <v/>
      </c>
      <c r="S609" s="75" t="str">
        <f t="shared" si="23"/>
        <v/>
      </c>
      <c r="U609" s="8">
        <v>43537</v>
      </c>
      <c r="W609" s="6" t="s">
        <v>33</v>
      </c>
      <c r="X609" s="95">
        <v>45824</v>
      </c>
    </row>
    <row r="610" spans="1:24" x14ac:dyDescent="0.25">
      <c r="A610" s="6" t="s">
        <v>65</v>
      </c>
      <c r="B610" s="94" t="s">
        <v>2134</v>
      </c>
      <c r="C610" s="6" t="s">
        <v>2135</v>
      </c>
      <c r="D610" s="140">
        <v>11333031</v>
      </c>
      <c r="E610" s="6" t="s">
        <v>247</v>
      </c>
      <c r="F610" s="10" t="s">
        <v>134</v>
      </c>
      <c r="G610" s="6" t="s">
        <v>2136</v>
      </c>
      <c r="H610" s="116">
        <v>48820</v>
      </c>
      <c r="I610" s="8">
        <v>43339</v>
      </c>
      <c r="J610" s="8">
        <v>43339</v>
      </c>
      <c r="K610" s="95">
        <v>43341</v>
      </c>
      <c r="L610" s="95" t="s">
        <v>31</v>
      </c>
      <c r="M610" s="8">
        <v>43354</v>
      </c>
      <c r="N610" s="8">
        <v>43537</v>
      </c>
      <c r="O610" s="8">
        <v>43490</v>
      </c>
      <c r="P610" s="101" t="s">
        <v>52</v>
      </c>
      <c r="R610" s="97" t="str">
        <f t="shared" si="22"/>
        <v/>
      </c>
      <c r="S610" s="75" t="str">
        <f t="shared" si="23"/>
        <v/>
      </c>
      <c r="T610" s="124" t="s">
        <v>2021</v>
      </c>
      <c r="U610" s="8">
        <v>43537</v>
      </c>
      <c r="W610" s="6" t="s">
        <v>33</v>
      </c>
      <c r="X610" s="95">
        <v>44981</v>
      </c>
    </row>
    <row r="611" spans="1:24" x14ac:dyDescent="0.25">
      <c r="A611" s="6" t="s">
        <v>37</v>
      </c>
      <c r="B611" s="94" t="s">
        <v>2137</v>
      </c>
      <c r="C611" s="6" t="s">
        <v>2138</v>
      </c>
      <c r="D611" s="140">
        <v>11309273</v>
      </c>
      <c r="E611" s="6" t="s">
        <v>2139</v>
      </c>
      <c r="F611" s="10" t="s">
        <v>57</v>
      </c>
      <c r="G611" s="6" t="s">
        <v>2140</v>
      </c>
      <c r="H611" s="8">
        <v>44068</v>
      </c>
      <c r="I611" s="8">
        <v>43448</v>
      </c>
      <c r="J611" s="8">
        <v>43452</v>
      </c>
      <c r="K611" s="95">
        <v>43452</v>
      </c>
      <c r="L611" s="95" t="s">
        <v>31</v>
      </c>
      <c r="M611" s="8">
        <v>43461</v>
      </c>
      <c r="N611" s="8">
        <v>43504</v>
      </c>
      <c r="O611" s="8">
        <v>43490</v>
      </c>
      <c r="P611" s="101" t="s">
        <v>52</v>
      </c>
      <c r="R611" s="97" t="str">
        <f t="shared" si="22"/>
        <v/>
      </c>
      <c r="S611" s="75" t="str">
        <f t="shared" si="23"/>
        <v/>
      </c>
      <c r="T611" s="124" t="s">
        <v>2062</v>
      </c>
      <c r="U611" s="8">
        <v>43504</v>
      </c>
      <c r="W611" s="6" t="s">
        <v>33</v>
      </c>
      <c r="X611" s="95">
        <v>50176</v>
      </c>
    </row>
    <row r="612" spans="1:24" x14ac:dyDescent="0.25">
      <c r="A612" s="6" t="s">
        <v>37</v>
      </c>
      <c r="B612" s="94" t="s">
        <v>2141</v>
      </c>
      <c r="C612" s="6" t="s">
        <v>2142</v>
      </c>
      <c r="D612" s="140">
        <v>11070369</v>
      </c>
      <c r="E612" s="6" t="s">
        <v>418</v>
      </c>
      <c r="F612" s="10" t="s">
        <v>44</v>
      </c>
      <c r="G612" s="6" t="s">
        <v>2143</v>
      </c>
      <c r="H612" s="8">
        <v>45406</v>
      </c>
      <c r="I612" s="8">
        <v>43403</v>
      </c>
      <c r="J612" s="8">
        <v>43403</v>
      </c>
      <c r="K612" s="95">
        <v>43410</v>
      </c>
      <c r="L612" s="95" t="s">
        <v>31</v>
      </c>
      <c r="M612" s="8">
        <v>43410</v>
      </c>
      <c r="N612" s="8">
        <v>43504</v>
      </c>
      <c r="O612" s="8">
        <v>43490</v>
      </c>
      <c r="P612" s="101" t="s">
        <v>52</v>
      </c>
      <c r="R612" s="97" t="str">
        <f t="shared" si="22"/>
        <v/>
      </c>
      <c r="S612" s="75" t="str">
        <f t="shared" si="23"/>
        <v/>
      </c>
      <c r="T612" s="124" t="s">
        <v>2062</v>
      </c>
      <c r="U612" s="8">
        <v>43504</v>
      </c>
      <c r="W612" s="6" t="s">
        <v>33</v>
      </c>
      <c r="X612" s="95">
        <v>48506</v>
      </c>
    </row>
    <row r="613" spans="1:24" x14ac:dyDescent="0.25">
      <c r="A613" s="6" t="s">
        <v>168</v>
      </c>
      <c r="B613" s="94" t="s">
        <v>2144</v>
      </c>
      <c r="C613" s="6" t="s">
        <v>2145</v>
      </c>
      <c r="D613" s="140">
        <v>11925254</v>
      </c>
      <c r="E613" s="6" t="s">
        <v>2146</v>
      </c>
      <c r="F613" s="10" t="s">
        <v>121</v>
      </c>
      <c r="G613" s="6" t="s">
        <v>2147</v>
      </c>
      <c r="H613" s="8">
        <v>87164</v>
      </c>
      <c r="I613" s="8">
        <v>43907</v>
      </c>
      <c r="J613" s="8">
        <v>44077</v>
      </c>
      <c r="K613" s="95">
        <v>44078</v>
      </c>
      <c r="L613" s="95" t="s">
        <v>31</v>
      </c>
      <c r="M613" s="8">
        <v>44096</v>
      </c>
      <c r="R613" s="97" t="str">
        <f t="shared" ref="R613:R676" si="24">IF(Q613&gt;0, Q613/365, "")</f>
        <v/>
      </c>
      <c r="S613" s="75" t="str">
        <f t="shared" si="23"/>
        <v/>
      </c>
      <c r="W613" s="6" t="s">
        <v>84</v>
      </c>
      <c r="X613" s="95">
        <v>45266</v>
      </c>
    </row>
    <row r="614" spans="1:24" x14ac:dyDescent="0.25">
      <c r="A614" s="6" t="s">
        <v>65</v>
      </c>
      <c r="B614" s="94" t="s">
        <v>2148</v>
      </c>
      <c r="C614" s="6" t="s">
        <v>2149</v>
      </c>
      <c r="D614" s="140">
        <v>12122589</v>
      </c>
      <c r="E614" s="6" t="s">
        <v>464</v>
      </c>
      <c r="F614" s="10" t="s">
        <v>29</v>
      </c>
      <c r="G614" s="6" t="s">
        <v>2073</v>
      </c>
      <c r="H614" s="8">
        <v>44947</v>
      </c>
      <c r="I614" s="8">
        <v>43333</v>
      </c>
      <c r="J614" s="8">
        <v>43333</v>
      </c>
      <c r="K614" s="95">
        <v>43334</v>
      </c>
      <c r="L614" s="95" t="s">
        <v>31</v>
      </c>
      <c r="M614" s="8">
        <v>43341</v>
      </c>
      <c r="N614" s="8">
        <v>43508</v>
      </c>
      <c r="O614" s="8">
        <v>43497</v>
      </c>
      <c r="P614" s="6" t="s">
        <v>75</v>
      </c>
      <c r="R614" s="97" t="str">
        <f t="shared" si="24"/>
        <v/>
      </c>
      <c r="S614" s="75" t="str">
        <f t="shared" si="23"/>
        <v/>
      </c>
      <c r="U614" s="8">
        <v>43508</v>
      </c>
      <c r="W614" s="6" t="s">
        <v>33</v>
      </c>
      <c r="X614" s="95">
        <v>46691</v>
      </c>
    </row>
    <row r="615" spans="1:24" x14ac:dyDescent="0.25">
      <c r="A615" s="6" t="s">
        <v>65</v>
      </c>
      <c r="B615" s="94" t="s">
        <v>890</v>
      </c>
      <c r="C615" s="6" t="s">
        <v>2150</v>
      </c>
      <c r="D615" s="140">
        <v>11648701</v>
      </c>
      <c r="E615" s="6" t="s">
        <v>446</v>
      </c>
      <c r="F615" s="10" t="s">
        <v>29</v>
      </c>
      <c r="G615" s="6" t="s">
        <v>2151</v>
      </c>
      <c r="H615" s="8">
        <v>54177</v>
      </c>
      <c r="I615" s="8">
        <v>43335</v>
      </c>
      <c r="J615" s="8">
        <v>43335</v>
      </c>
      <c r="K615" s="95">
        <v>43341</v>
      </c>
      <c r="L615" s="95" t="s">
        <v>31</v>
      </c>
      <c r="M615" s="8">
        <v>43354</v>
      </c>
      <c r="N615" s="8">
        <v>43511</v>
      </c>
      <c r="O615" s="8">
        <v>43504</v>
      </c>
      <c r="P615" s="101" t="s">
        <v>182</v>
      </c>
      <c r="R615" s="97" t="str">
        <f t="shared" si="24"/>
        <v/>
      </c>
      <c r="S615" s="75" t="str">
        <f t="shared" si="23"/>
        <v/>
      </c>
      <c r="U615" s="8">
        <v>43511</v>
      </c>
      <c r="W615" s="6" t="s">
        <v>33</v>
      </c>
      <c r="X615" s="95">
        <v>45455</v>
      </c>
    </row>
    <row r="616" spans="1:24" x14ac:dyDescent="0.25">
      <c r="A616" s="6" t="s">
        <v>65</v>
      </c>
      <c r="B616" s="94" t="s">
        <v>531</v>
      </c>
      <c r="C616" s="6" t="s">
        <v>2152</v>
      </c>
      <c r="D616" s="140">
        <v>11636238</v>
      </c>
      <c r="E616" s="6" t="s">
        <v>881</v>
      </c>
      <c r="F616" s="10" t="s">
        <v>29</v>
      </c>
      <c r="G616" s="6" t="s">
        <v>2153</v>
      </c>
      <c r="H616" s="8">
        <v>44392</v>
      </c>
      <c r="I616" s="8">
        <v>43335</v>
      </c>
      <c r="J616" s="8">
        <v>43335</v>
      </c>
      <c r="K616" s="95">
        <v>43341</v>
      </c>
      <c r="L616" s="95" t="s">
        <v>31</v>
      </c>
      <c r="M616" s="8">
        <v>43354</v>
      </c>
      <c r="R616" s="97" t="str">
        <f t="shared" si="24"/>
        <v/>
      </c>
      <c r="S616" s="75" t="str">
        <f t="shared" si="23"/>
        <v/>
      </c>
      <c r="T616" s="129" t="s">
        <v>2154</v>
      </c>
      <c r="U616" s="8">
        <v>44783</v>
      </c>
      <c r="W616" s="6" t="s">
        <v>33</v>
      </c>
      <c r="X616" s="95">
        <v>44776</v>
      </c>
    </row>
    <row r="617" spans="1:24" x14ac:dyDescent="0.25">
      <c r="A617" s="6" t="s">
        <v>65</v>
      </c>
      <c r="B617" s="94" t="s">
        <v>2155</v>
      </c>
      <c r="C617" s="6" t="s">
        <v>2156</v>
      </c>
      <c r="D617" s="140">
        <v>11645840</v>
      </c>
      <c r="E617" s="6" t="s">
        <v>209</v>
      </c>
      <c r="F617" s="10" t="s">
        <v>44</v>
      </c>
      <c r="G617" s="6" t="s">
        <v>2157</v>
      </c>
      <c r="H617" s="8">
        <v>48201</v>
      </c>
      <c r="I617" s="8">
        <v>43335</v>
      </c>
      <c r="J617" s="8">
        <v>43335</v>
      </c>
      <c r="K617" s="95">
        <v>43341</v>
      </c>
      <c r="L617" s="95" t="s">
        <v>31</v>
      </c>
      <c r="M617" s="8">
        <v>43354</v>
      </c>
      <c r="N617" s="108">
        <v>43361</v>
      </c>
      <c r="O617" s="108">
        <v>43368</v>
      </c>
      <c r="P617" s="107" t="s">
        <v>52</v>
      </c>
      <c r="Q617" s="110"/>
      <c r="R617" s="97" t="str">
        <f t="shared" si="24"/>
        <v/>
      </c>
      <c r="S617" s="75" t="str">
        <f t="shared" si="23"/>
        <v/>
      </c>
      <c r="U617" s="8">
        <v>44776</v>
      </c>
      <c r="W617" s="6" t="s">
        <v>33</v>
      </c>
      <c r="X617" s="95">
        <v>43970</v>
      </c>
    </row>
    <row r="618" spans="1:24" x14ac:dyDescent="0.25">
      <c r="A618" s="6" t="s">
        <v>37</v>
      </c>
      <c r="B618" s="94" t="s">
        <v>2158</v>
      </c>
      <c r="C618" s="6" t="s">
        <v>2159</v>
      </c>
      <c r="D618" s="140">
        <v>11347077</v>
      </c>
      <c r="E618" s="6" t="s">
        <v>2160</v>
      </c>
      <c r="F618" s="10" t="s">
        <v>95</v>
      </c>
      <c r="G618" s="6" t="s">
        <v>2161</v>
      </c>
      <c r="H618" s="8">
        <v>48839</v>
      </c>
      <c r="I618" s="8">
        <v>43453</v>
      </c>
      <c r="J618" s="8">
        <v>43463</v>
      </c>
      <c r="K618" s="95">
        <v>43463</v>
      </c>
      <c r="L618" s="95" t="s">
        <v>31</v>
      </c>
      <c r="M618" s="8">
        <v>43465</v>
      </c>
      <c r="N618" s="8">
        <v>43536</v>
      </c>
      <c r="O618" s="8">
        <v>43504</v>
      </c>
      <c r="P618" s="6" t="s">
        <v>75</v>
      </c>
      <c r="R618" s="97" t="str">
        <f t="shared" si="24"/>
        <v/>
      </c>
      <c r="S618" s="75" t="str">
        <f t="shared" si="23"/>
        <v/>
      </c>
      <c r="T618" s="124" t="s">
        <v>2062</v>
      </c>
      <c r="U618" s="8">
        <v>43536</v>
      </c>
      <c r="W618" s="6" t="s">
        <v>33</v>
      </c>
      <c r="X618" s="95">
        <v>49180</v>
      </c>
    </row>
    <row r="619" spans="1:24" x14ac:dyDescent="0.25">
      <c r="A619" s="6" t="s">
        <v>65</v>
      </c>
      <c r="B619" s="94" t="s">
        <v>2162</v>
      </c>
      <c r="C619" s="6" t="s">
        <v>2163</v>
      </c>
      <c r="D619" s="140">
        <v>11648966</v>
      </c>
      <c r="E619" s="6" t="s">
        <v>339</v>
      </c>
      <c r="F619" s="10" t="s">
        <v>139</v>
      </c>
      <c r="G619" s="6" t="s">
        <v>2164</v>
      </c>
      <c r="H619" s="8">
        <v>44724</v>
      </c>
      <c r="I619" s="8">
        <v>43335</v>
      </c>
      <c r="J619" s="8">
        <v>43335</v>
      </c>
      <c r="K619" s="95">
        <v>43341</v>
      </c>
      <c r="L619" s="95" t="s">
        <v>31</v>
      </c>
      <c r="M619" s="8">
        <v>43354</v>
      </c>
      <c r="N619" s="8">
        <v>43537</v>
      </c>
      <c r="O619" s="8">
        <v>43384</v>
      </c>
      <c r="P619" s="6" t="s">
        <v>69</v>
      </c>
      <c r="R619" s="97" t="str">
        <f t="shared" si="24"/>
        <v/>
      </c>
      <c r="S619" s="75" t="str">
        <f t="shared" si="23"/>
        <v/>
      </c>
      <c r="T619" s="124" t="s">
        <v>265</v>
      </c>
      <c r="U619" s="8">
        <v>43537</v>
      </c>
      <c r="W619" s="6" t="s">
        <v>33</v>
      </c>
      <c r="X619" s="95">
        <v>44816</v>
      </c>
    </row>
    <row r="620" spans="1:24" x14ac:dyDescent="0.25">
      <c r="A620" s="6" t="s">
        <v>37</v>
      </c>
      <c r="B620" s="94" t="s">
        <v>2165</v>
      </c>
      <c r="C620" s="6" t="s">
        <v>2166</v>
      </c>
      <c r="D620" s="140">
        <v>11012477</v>
      </c>
      <c r="E620" s="6" t="s">
        <v>120</v>
      </c>
      <c r="F620" s="10" t="s">
        <v>293</v>
      </c>
      <c r="G620" s="6" t="s">
        <v>2167</v>
      </c>
      <c r="H620" s="8">
        <v>46459</v>
      </c>
      <c r="I620" s="8">
        <v>43374</v>
      </c>
      <c r="J620" s="8">
        <v>43375</v>
      </c>
      <c r="K620" s="95">
        <v>43376</v>
      </c>
      <c r="L620" s="95" t="s">
        <v>31</v>
      </c>
      <c r="M620" s="8">
        <v>43378</v>
      </c>
      <c r="N620" s="8">
        <v>43521</v>
      </c>
      <c r="O620" s="8">
        <v>43517</v>
      </c>
      <c r="P620" s="101" t="s">
        <v>52</v>
      </c>
      <c r="R620" s="97" t="str">
        <f t="shared" si="24"/>
        <v/>
      </c>
      <c r="S620" s="75" t="str">
        <f t="shared" si="23"/>
        <v/>
      </c>
      <c r="T620" s="124" t="s">
        <v>2168</v>
      </c>
      <c r="U620" s="8">
        <v>43521</v>
      </c>
      <c r="W620" s="6" t="s">
        <v>33</v>
      </c>
      <c r="X620" s="95">
        <v>49092</v>
      </c>
    </row>
    <row r="621" spans="1:24" x14ac:dyDescent="0.25">
      <c r="A621" s="6" t="s">
        <v>37</v>
      </c>
      <c r="B621" s="94" t="s">
        <v>2169</v>
      </c>
      <c r="C621" s="6" t="s">
        <v>2170</v>
      </c>
      <c r="D621" s="140">
        <v>11042580</v>
      </c>
      <c r="E621" s="6" t="s">
        <v>2171</v>
      </c>
      <c r="F621" s="10" t="s">
        <v>44</v>
      </c>
      <c r="G621" s="6" t="s">
        <v>2172</v>
      </c>
      <c r="H621" s="8">
        <v>44922</v>
      </c>
      <c r="I621" s="8">
        <v>43796</v>
      </c>
      <c r="J621" s="8">
        <v>43810</v>
      </c>
      <c r="K621" s="95">
        <v>43810</v>
      </c>
      <c r="L621" s="95" t="s">
        <v>31</v>
      </c>
      <c r="M621" s="8">
        <v>43818</v>
      </c>
      <c r="N621" s="8">
        <v>44165</v>
      </c>
      <c r="O621" s="8">
        <v>44144</v>
      </c>
      <c r="P621" s="6" t="s">
        <v>75</v>
      </c>
      <c r="R621" s="97" t="str">
        <f t="shared" si="24"/>
        <v/>
      </c>
      <c r="S621" s="75" t="str">
        <f t="shared" si="23"/>
        <v/>
      </c>
      <c r="U621" s="8">
        <v>44165</v>
      </c>
      <c r="W621" s="6" t="s">
        <v>33</v>
      </c>
      <c r="X621" s="95">
        <v>49462</v>
      </c>
    </row>
    <row r="622" spans="1:24" x14ac:dyDescent="0.25">
      <c r="A622" s="6" t="s">
        <v>65</v>
      </c>
      <c r="B622" s="94" t="s">
        <v>2173</v>
      </c>
      <c r="C622" s="6" t="s">
        <v>2174</v>
      </c>
      <c r="D622" s="140">
        <v>11601620</v>
      </c>
      <c r="E622" s="6" t="s">
        <v>997</v>
      </c>
      <c r="F622" s="10" t="s">
        <v>95</v>
      </c>
      <c r="G622" s="6" t="s">
        <v>2175</v>
      </c>
      <c r="H622" s="8">
        <v>46342</v>
      </c>
      <c r="I622" s="8">
        <v>43335</v>
      </c>
      <c r="J622" s="8">
        <v>43335</v>
      </c>
      <c r="K622" s="95">
        <v>43341</v>
      </c>
      <c r="L622" s="95" t="s">
        <v>31</v>
      </c>
      <c r="M622" s="8">
        <v>43354</v>
      </c>
      <c r="N622" s="8">
        <v>43537</v>
      </c>
      <c r="O622" s="8">
        <v>43451</v>
      </c>
      <c r="P622" s="6" t="s">
        <v>35</v>
      </c>
      <c r="Q622" s="96">
        <v>121</v>
      </c>
      <c r="R622" s="97">
        <f t="shared" si="24"/>
        <v>0.33150684931506852</v>
      </c>
      <c r="S622" s="75">
        <f t="shared" si="23"/>
        <v>2737.9150684931506</v>
      </c>
      <c r="T622" s="124" t="s">
        <v>886</v>
      </c>
      <c r="U622" s="8">
        <v>43537</v>
      </c>
      <c r="W622" s="6" t="s">
        <v>33</v>
      </c>
      <c r="X622" s="95">
        <v>44072</v>
      </c>
    </row>
    <row r="623" spans="1:24" x14ac:dyDescent="0.25">
      <c r="A623" s="6" t="s">
        <v>65</v>
      </c>
      <c r="B623" s="94" t="s">
        <v>2176</v>
      </c>
      <c r="C623" s="6" t="s">
        <v>2177</v>
      </c>
      <c r="D623" s="140">
        <v>11609905</v>
      </c>
      <c r="E623" s="6" t="s">
        <v>678</v>
      </c>
      <c r="F623" s="10" t="s">
        <v>205</v>
      </c>
      <c r="G623" s="6" t="s">
        <v>2178</v>
      </c>
      <c r="H623" s="8">
        <v>47506</v>
      </c>
      <c r="I623" s="8">
        <v>43335</v>
      </c>
      <c r="J623" s="8">
        <v>43335</v>
      </c>
      <c r="K623" s="95">
        <v>43341</v>
      </c>
      <c r="L623" s="95" t="s">
        <v>31</v>
      </c>
      <c r="M623" s="8">
        <v>43354</v>
      </c>
      <c r="N623" s="8">
        <v>43501</v>
      </c>
      <c r="O623" s="8">
        <v>43494</v>
      </c>
      <c r="P623" s="6" t="s">
        <v>35</v>
      </c>
      <c r="Q623" s="96">
        <v>1095</v>
      </c>
      <c r="R623" s="97">
        <f t="shared" si="24"/>
        <v>3</v>
      </c>
      <c r="S623" s="75">
        <f t="shared" si="23"/>
        <v>24777</v>
      </c>
      <c r="T623" s="124" t="s">
        <v>301</v>
      </c>
      <c r="U623" s="8">
        <v>43501</v>
      </c>
      <c r="W623" s="6" t="s">
        <v>33</v>
      </c>
      <c r="X623" s="95">
        <v>53789</v>
      </c>
    </row>
    <row r="624" spans="1:24" x14ac:dyDescent="0.25">
      <c r="A624" s="6" t="s">
        <v>65</v>
      </c>
      <c r="B624" s="94" t="s">
        <v>2179</v>
      </c>
      <c r="C624" s="6" t="s">
        <v>2180</v>
      </c>
      <c r="D624" s="140">
        <v>11940788</v>
      </c>
      <c r="E624" s="6" t="s">
        <v>1064</v>
      </c>
      <c r="F624" s="10" t="s">
        <v>139</v>
      </c>
      <c r="G624" s="6" t="s">
        <v>2181</v>
      </c>
      <c r="H624" s="8">
        <v>43944</v>
      </c>
      <c r="I624" s="8">
        <v>43339</v>
      </c>
      <c r="J624" s="8">
        <v>43339</v>
      </c>
      <c r="K624" s="95">
        <v>43355</v>
      </c>
      <c r="L624" s="95" t="s">
        <v>31</v>
      </c>
      <c r="M624" s="8">
        <v>43356</v>
      </c>
      <c r="R624" s="97" t="str">
        <f t="shared" si="24"/>
        <v/>
      </c>
      <c r="S624" s="75" t="str">
        <f t="shared" si="23"/>
        <v/>
      </c>
      <c r="T624" s="124" t="s">
        <v>253</v>
      </c>
      <c r="U624" s="8">
        <v>43740</v>
      </c>
      <c r="V624" s="6" t="s">
        <v>36</v>
      </c>
      <c r="W624" s="6" t="s">
        <v>33</v>
      </c>
      <c r="X624" s="95">
        <v>42385</v>
      </c>
    </row>
    <row r="625" spans="1:24" x14ac:dyDescent="0.25">
      <c r="A625" s="6" t="s">
        <v>65</v>
      </c>
      <c r="B625" s="94" t="s">
        <v>2182</v>
      </c>
      <c r="C625" s="6" t="s">
        <v>2183</v>
      </c>
      <c r="D625" s="140">
        <v>11615518</v>
      </c>
      <c r="E625" s="6" t="s">
        <v>651</v>
      </c>
      <c r="F625" s="10" t="s">
        <v>29</v>
      </c>
      <c r="G625" s="6" t="s">
        <v>2184</v>
      </c>
      <c r="H625" s="8">
        <v>44451</v>
      </c>
      <c r="I625" s="8">
        <v>43335</v>
      </c>
      <c r="J625" s="8">
        <v>43335</v>
      </c>
      <c r="K625" s="95">
        <v>43341</v>
      </c>
      <c r="L625" s="95" t="s">
        <v>31</v>
      </c>
      <c r="M625" s="8">
        <v>43354</v>
      </c>
      <c r="N625" s="8">
        <v>43685</v>
      </c>
      <c r="O625" s="8">
        <v>43643</v>
      </c>
      <c r="P625" s="6" t="s">
        <v>35</v>
      </c>
      <c r="Q625" s="96">
        <v>1826</v>
      </c>
      <c r="R625" s="97">
        <f t="shared" si="24"/>
        <v>5.0027397260273974</v>
      </c>
      <c r="S625" s="75">
        <f t="shared" si="23"/>
        <v>41317.627397260272</v>
      </c>
      <c r="T625" s="124" t="s">
        <v>601</v>
      </c>
      <c r="U625" s="8">
        <v>43685</v>
      </c>
      <c r="W625" s="6" t="s">
        <v>33</v>
      </c>
      <c r="X625" s="95">
        <v>43417</v>
      </c>
    </row>
    <row r="626" spans="1:24" x14ac:dyDescent="0.25">
      <c r="A626" s="6" t="s">
        <v>37</v>
      </c>
      <c r="B626" s="94" t="s">
        <v>2185</v>
      </c>
      <c r="C626" s="6" t="s">
        <v>2186</v>
      </c>
      <c r="D626" s="140">
        <v>12143230</v>
      </c>
      <c r="E626" s="6" t="s">
        <v>2187</v>
      </c>
      <c r="F626" s="10" t="s">
        <v>121</v>
      </c>
      <c r="G626" s="6" t="s">
        <v>2188</v>
      </c>
      <c r="H626" s="8">
        <v>45530</v>
      </c>
      <c r="I626" s="8">
        <v>44047</v>
      </c>
      <c r="J626" s="8">
        <v>44084</v>
      </c>
      <c r="K626" s="95">
        <v>44088</v>
      </c>
      <c r="L626" s="95" t="s">
        <v>31</v>
      </c>
      <c r="M626" s="8">
        <v>44091</v>
      </c>
      <c r="N626" s="8">
        <v>44252</v>
      </c>
      <c r="O626" s="8">
        <v>44230</v>
      </c>
      <c r="P626" s="6" t="s">
        <v>75</v>
      </c>
      <c r="R626" s="97" t="str">
        <f t="shared" si="24"/>
        <v/>
      </c>
      <c r="S626" s="75" t="str">
        <f t="shared" si="23"/>
        <v/>
      </c>
      <c r="U626" s="8">
        <v>44253</v>
      </c>
      <c r="W626" s="6" t="s">
        <v>33</v>
      </c>
      <c r="X626" s="135">
        <v>51182</v>
      </c>
    </row>
    <row r="627" spans="1:24" x14ac:dyDescent="0.25">
      <c r="A627" s="6" t="s">
        <v>37</v>
      </c>
      <c r="B627" s="106" t="s">
        <v>2189</v>
      </c>
      <c r="C627" s="107" t="s">
        <v>2190</v>
      </c>
      <c r="D627" s="142">
        <v>11207419</v>
      </c>
      <c r="E627" s="107" t="s">
        <v>946</v>
      </c>
      <c r="F627" s="56" t="s">
        <v>44</v>
      </c>
      <c r="G627" s="107" t="s">
        <v>2191</v>
      </c>
      <c r="H627" s="108">
        <v>47045</v>
      </c>
      <c r="I627" s="108">
        <v>43406</v>
      </c>
      <c r="J627" s="108">
        <v>43417</v>
      </c>
      <c r="K627" s="108">
        <v>43417</v>
      </c>
      <c r="L627" s="109" t="s">
        <v>31</v>
      </c>
      <c r="M627" s="108">
        <v>43433</v>
      </c>
      <c r="N627" s="108">
        <v>43549</v>
      </c>
      <c r="O627" s="108">
        <v>43524</v>
      </c>
      <c r="P627" s="107" t="s">
        <v>75</v>
      </c>
      <c r="Q627" s="110"/>
      <c r="R627" s="120" t="str">
        <f t="shared" si="24"/>
        <v/>
      </c>
      <c r="S627" s="75" t="str">
        <f t="shared" si="23"/>
        <v/>
      </c>
      <c r="T627" s="129"/>
      <c r="U627" s="8">
        <v>43549</v>
      </c>
      <c r="W627" s="6" t="s">
        <v>33</v>
      </c>
      <c r="X627" s="95">
        <v>48051</v>
      </c>
    </row>
    <row r="628" spans="1:24" x14ac:dyDescent="0.25">
      <c r="A628" s="6" t="s">
        <v>85</v>
      </c>
      <c r="B628" s="94" t="s">
        <v>2192</v>
      </c>
      <c r="C628" s="6" t="s">
        <v>2193</v>
      </c>
      <c r="D628" s="140">
        <v>11948506</v>
      </c>
      <c r="E628" s="6" t="s">
        <v>166</v>
      </c>
      <c r="F628" s="10" t="s">
        <v>44</v>
      </c>
      <c r="G628" s="6" t="s">
        <v>1530</v>
      </c>
      <c r="H628" s="8">
        <v>47420</v>
      </c>
      <c r="I628" s="8">
        <v>43306</v>
      </c>
      <c r="J628" s="8">
        <v>43306</v>
      </c>
      <c r="K628" s="95">
        <v>43327</v>
      </c>
      <c r="L628" s="95" t="s">
        <v>31</v>
      </c>
      <c r="M628" s="8">
        <v>43334</v>
      </c>
      <c r="R628" s="97" t="str">
        <f t="shared" si="24"/>
        <v/>
      </c>
      <c r="S628" s="75" t="str">
        <f t="shared" si="23"/>
        <v/>
      </c>
      <c r="W628" s="6" t="s">
        <v>84</v>
      </c>
      <c r="X628" s="95">
        <v>46192</v>
      </c>
    </row>
    <row r="629" spans="1:24" x14ac:dyDescent="0.25">
      <c r="A629" s="6" t="s">
        <v>65</v>
      </c>
      <c r="B629" s="94" t="s">
        <v>323</v>
      </c>
      <c r="C629" s="6" t="s">
        <v>2194</v>
      </c>
      <c r="D629" s="140">
        <v>11630522</v>
      </c>
      <c r="E629" s="6" t="s">
        <v>2195</v>
      </c>
      <c r="F629" s="10" t="s">
        <v>44</v>
      </c>
      <c r="G629" s="6" t="s">
        <v>2196</v>
      </c>
      <c r="H629" s="8">
        <v>44687</v>
      </c>
      <c r="I629" s="8">
        <v>43335</v>
      </c>
      <c r="J629" s="8">
        <v>43335</v>
      </c>
      <c r="K629" s="95">
        <v>43341</v>
      </c>
      <c r="L629" s="95" t="s">
        <v>31</v>
      </c>
      <c r="M629" s="8">
        <v>43354</v>
      </c>
      <c r="N629" s="9">
        <v>43518</v>
      </c>
      <c r="O629" s="8">
        <v>43502</v>
      </c>
      <c r="P629" s="6" t="s">
        <v>35</v>
      </c>
      <c r="Q629" s="96">
        <v>1095</v>
      </c>
      <c r="R629" s="97">
        <f t="shared" si="24"/>
        <v>3</v>
      </c>
      <c r="S629" s="75">
        <f t="shared" si="23"/>
        <v>24777</v>
      </c>
      <c r="T629" s="124" t="s">
        <v>301</v>
      </c>
      <c r="U629" s="8">
        <v>43518</v>
      </c>
      <c r="W629" s="6" t="s">
        <v>33</v>
      </c>
      <c r="X629" s="95">
        <v>44326</v>
      </c>
    </row>
    <row r="630" spans="1:24" x14ac:dyDescent="0.25">
      <c r="A630" s="6" t="s">
        <v>168</v>
      </c>
      <c r="B630" s="94" t="s">
        <v>2197</v>
      </c>
      <c r="C630" s="6" t="s">
        <v>2198</v>
      </c>
      <c r="D630" s="140">
        <v>11002498</v>
      </c>
      <c r="E630" s="6" t="s">
        <v>171</v>
      </c>
      <c r="F630" s="10" t="s">
        <v>29</v>
      </c>
      <c r="G630" s="6" t="s">
        <v>2199</v>
      </c>
      <c r="H630" s="8">
        <v>46588</v>
      </c>
      <c r="I630" s="8">
        <v>44322</v>
      </c>
      <c r="J630" s="8">
        <v>44341</v>
      </c>
      <c r="K630" s="95">
        <v>44343</v>
      </c>
      <c r="L630" s="95" t="s">
        <v>359</v>
      </c>
      <c r="R630" s="97" t="str">
        <f t="shared" si="24"/>
        <v/>
      </c>
      <c r="S630" s="75" t="str">
        <f t="shared" si="23"/>
        <v/>
      </c>
      <c r="W630" s="6" t="s">
        <v>84</v>
      </c>
      <c r="X630" s="7">
        <v>45140</v>
      </c>
    </row>
    <row r="631" spans="1:24" x14ac:dyDescent="0.25">
      <c r="A631" s="6" t="s">
        <v>65</v>
      </c>
      <c r="B631" s="94" t="s">
        <v>2200</v>
      </c>
      <c r="C631" s="6" t="s">
        <v>2201</v>
      </c>
      <c r="D631" s="140">
        <v>11635097</v>
      </c>
      <c r="E631" s="6" t="s">
        <v>104</v>
      </c>
      <c r="F631" s="10" t="s">
        <v>148</v>
      </c>
      <c r="G631" s="6" t="s">
        <v>2202</v>
      </c>
      <c r="H631" s="8">
        <v>44860</v>
      </c>
      <c r="I631" s="8">
        <v>43335</v>
      </c>
      <c r="J631" s="8">
        <v>43335</v>
      </c>
      <c r="K631" s="95">
        <v>43341</v>
      </c>
      <c r="L631" s="95" t="s">
        <v>31</v>
      </c>
      <c r="M631" s="8">
        <v>43354</v>
      </c>
      <c r="N631" s="8">
        <v>44133</v>
      </c>
      <c r="O631" s="8">
        <v>43430</v>
      </c>
      <c r="P631" s="6" t="s">
        <v>69</v>
      </c>
      <c r="R631" s="97" t="str">
        <f t="shared" si="24"/>
        <v/>
      </c>
      <c r="S631" s="75" t="str">
        <f t="shared" si="23"/>
        <v/>
      </c>
      <c r="U631" s="8">
        <v>44134</v>
      </c>
      <c r="W631" s="6" t="s">
        <v>84</v>
      </c>
      <c r="X631" s="95">
        <v>46370</v>
      </c>
    </row>
    <row r="632" spans="1:24" x14ac:dyDescent="0.25">
      <c r="A632" s="6" t="s">
        <v>65</v>
      </c>
      <c r="B632" s="94" t="s">
        <v>1234</v>
      </c>
      <c r="C632" s="6" t="s">
        <v>2203</v>
      </c>
      <c r="D632" s="140">
        <v>11570338</v>
      </c>
      <c r="E632" s="6" t="s">
        <v>289</v>
      </c>
      <c r="F632" s="10" t="s">
        <v>44</v>
      </c>
      <c r="G632" s="6" t="s">
        <v>2204</v>
      </c>
      <c r="H632" s="8">
        <v>45393</v>
      </c>
      <c r="I632" s="8">
        <v>43335</v>
      </c>
      <c r="J632" s="8">
        <v>43335</v>
      </c>
      <c r="K632" s="95">
        <v>43341</v>
      </c>
      <c r="L632" s="95" t="s">
        <v>31</v>
      </c>
      <c r="M632" s="8">
        <v>43354</v>
      </c>
      <c r="N632" s="8">
        <v>43495</v>
      </c>
      <c r="O632" s="8">
        <v>43483</v>
      </c>
      <c r="P632" s="6" t="s">
        <v>69</v>
      </c>
      <c r="R632" s="97" t="str">
        <f t="shared" si="24"/>
        <v/>
      </c>
      <c r="S632" s="75" t="str">
        <f t="shared" si="23"/>
        <v/>
      </c>
      <c r="U632" s="8">
        <v>43495</v>
      </c>
      <c r="W632" s="6" t="s">
        <v>33</v>
      </c>
      <c r="X632" s="95">
        <v>44167</v>
      </c>
    </row>
    <row r="633" spans="1:24" x14ac:dyDescent="0.25">
      <c r="A633" s="6" t="s">
        <v>37</v>
      </c>
      <c r="B633" s="94" t="s">
        <v>814</v>
      </c>
      <c r="C633" s="6" t="s">
        <v>2205</v>
      </c>
      <c r="D633" s="140">
        <v>11344319</v>
      </c>
      <c r="E633" s="6" t="s">
        <v>2206</v>
      </c>
      <c r="F633" s="10" t="s">
        <v>44</v>
      </c>
      <c r="G633" s="6" t="s">
        <v>2207</v>
      </c>
      <c r="H633" s="8">
        <v>47672</v>
      </c>
      <c r="I633" s="8">
        <v>44050</v>
      </c>
      <c r="J633" s="8">
        <v>44078</v>
      </c>
      <c r="K633" s="95">
        <v>44082</v>
      </c>
      <c r="L633" s="95" t="s">
        <v>31</v>
      </c>
      <c r="M633" s="8">
        <v>44099</v>
      </c>
      <c r="P633" s="6" t="s">
        <v>628</v>
      </c>
      <c r="R633" s="97" t="str">
        <f t="shared" si="24"/>
        <v/>
      </c>
      <c r="S633" s="75" t="str">
        <f t="shared" si="23"/>
        <v/>
      </c>
      <c r="T633" s="124" t="s">
        <v>2208</v>
      </c>
      <c r="W633" s="6" t="s">
        <v>33</v>
      </c>
      <c r="X633" s="135">
        <v>51380</v>
      </c>
    </row>
    <row r="634" spans="1:24" x14ac:dyDescent="0.25">
      <c r="A634" s="6" t="s">
        <v>65</v>
      </c>
      <c r="B634" s="94" t="s">
        <v>920</v>
      </c>
      <c r="C634" s="6" t="s">
        <v>2209</v>
      </c>
      <c r="D634" s="140">
        <v>11571706</v>
      </c>
      <c r="E634" s="6" t="s">
        <v>706</v>
      </c>
      <c r="F634" s="10" t="s">
        <v>148</v>
      </c>
      <c r="G634" s="6" t="s">
        <v>2210</v>
      </c>
      <c r="H634" s="8">
        <v>51877</v>
      </c>
      <c r="I634" s="8">
        <v>43335</v>
      </c>
      <c r="J634" s="8">
        <v>43335</v>
      </c>
      <c r="K634" s="95">
        <v>43341</v>
      </c>
      <c r="L634" s="95" t="s">
        <v>31</v>
      </c>
      <c r="M634" s="8">
        <v>43354</v>
      </c>
      <c r="N634" s="8">
        <v>44133</v>
      </c>
      <c r="O634" s="8">
        <v>43497</v>
      </c>
      <c r="P634" s="6" t="s">
        <v>69</v>
      </c>
      <c r="R634" s="97" t="str">
        <f t="shared" si="24"/>
        <v/>
      </c>
      <c r="S634" s="75" t="str">
        <f t="shared" si="23"/>
        <v/>
      </c>
      <c r="U634" s="8">
        <v>44134</v>
      </c>
      <c r="W634" s="6" t="s">
        <v>84</v>
      </c>
      <c r="X634" s="95">
        <v>47500</v>
      </c>
    </row>
    <row r="635" spans="1:24" x14ac:dyDescent="0.25">
      <c r="A635" s="6" t="s">
        <v>65</v>
      </c>
      <c r="B635" s="94" t="s">
        <v>2211</v>
      </c>
      <c r="C635" s="6" t="s">
        <v>2212</v>
      </c>
      <c r="D635" s="140">
        <v>11572396</v>
      </c>
      <c r="E635" s="6" t="s">
        <v>224</v>
      </c>
      <c r="F635" s="10" t="s">
        <v>44</v>
      </c>
      <c r="G635" s="6" t="s">
        <v>2213</v>
      </c>
      <c r="H635" s="8">
        <v>53908</v>
      </c>
      <c r="I635" s="8">
        <v>43335</v>
      </c>
      <c r="J635" s="8">
        <v>43335</v>
      </c>
      <c r="K635" s="95">
        <v>43341</v>
      </c>
      <c r="L635" s="95" t="s">
        <v>31</v>
      </c>
      <c r="M635" s="8">
        <v>43354</v>
      </c>
      <c r="R635" s="97" t="str">
        <f t="shared" si="24"/>
        <v/>
      </c>
      <c r="S635" s="75" t="str">
        <f t="shared" si="23"/>
        <v/>
      </c>
      <c r="W635" s="6" t="s">
        <v>84</v>
      </c>
      <c r="X635" s="95">
        <v>46987</v>
      </c>
    </row>
    <row r="636" spans="1:24" x14ac:dyDescent="0.25">
      <c r="A636" s="6" t="s">
        <v>85</v>
      </c>
      <c r="B636" s="94" t="s">
        <v>2214</v>
      </c>
      <c r="C636" s="6" t="s">
        <v>2215</v>
      </c>
      <c r="D636" s="140">
        <v>12165711</v>
      </c>
      <c r="E636" s="6" t="s">
        <v>382</v>
      </c>
      <c r="F636" s="10" t="s">
        <v>44</v>
      </c>
      <c r="G636" s="6" t="s">
        <v>2216</v>
      </c>
      <c r="H636" s="8">
        <v>64744</v>
      </c>
      <c r="I636" s="8">
        <v>43307</v>
      </c>
      <c r="J636" s="8">
        <v>43307</v>
      </c>
      <c r="K636" s="95">
        <v>43327</v>
      </c>
      <c r="L636" s="95" t="s">
        <v>31</v>
      </c>
      <c r="M636" s="8">
        <v>43334</v>
      </c>
      <c r="N636" s="8">
        <v>43546</v>
      </c>
      <c r="O636" s="8">
        <v>43529</v>
      </c>
      <c r="P636" s="6" t="s">
        <v>75</v>
      </c>
      <c r="R636" s="97" t="str">
        <f t="shared" si="24"/>
        <v/>
      </c>
      <c r="S636" s="75" t="str">
        <f t="shared" si="23"/>
        <v/>
      </c>
      <c r="U636" s="8">
        <v>43546</v>
      </c>
      <c r="W636" s="6" t="s">
        <v>84</v>
      </c>
      <c r="X636" s="95">
        <v>50128</v>
      </c>
    </row>
    <row r="637" spans="1:24" x14ac:dyDescent="0.25">
      <c r="A637" s="6" t="s">
        <v>65</v>
      </c>
      <c r="B637" s="94" t="s">
        <v>2217</v>
      </c>
      <c r="C637" s="6" t="s">
        <v>2218</v>
      </c>
      <c r="D637" s="140">
        <v>11582807</v>
      </c>
      <c r="E637" s="6" t="s">
        <v>1277</v>
      </c>
      <c r="F637" s="10" t="s">
        <v>277</v>
      </c>
      <c r="G637" s="6" t="s">
        <v>2219</v>
      </c>
      <c r="H637" s="8">
        <v>44832</v>
      </c>
      <c r="I637" s="8">
        <v>43335</v>
      </c>
      <c r="J637" s="8">
        <v>43335</v>
      </c>
      <c r="K637" s="95">
        <v>43341</v>
      </c>
      <c r="L637" s="95" t="s">
        <v>31</v>
      </c>
      <c r="M637" s="8">
        <v>43354</v>
      </c>
      <c r="R637" s="97" t="str">
        <f t="shared" si="24"/>
        <v/>
      </c>
      <c r="S637" s="75" t="str">
        <f t="shared" si="23"/>
        <v/>
      </c>
      <c r="W637" s="6" t="s">
        <v>33</v>
      </c>
      <c r="X637" s="95">
        <v>44113</v>
      </c>
    </row>
    <row r="638" spans="1:24" x14ac:dyDescent="0.25">
      <c r="A638" s="6" t="s">
        <v>37</v>
      </c>
      <c r="B638" s="94" t="s">
        <v>2220</v>
      </c>
      <c r="C638" s="6" t="s">
        <v>2221</v>
      </c>
      <c r="D638" s="140">
        <v>12147940</v>
      </c>
      <c r="E638" s="6" t="s">
        <v>162</v>
      </c>
      <c r="F638" s="10" t="s">
        <v>57</v>
      </c>
      <c r="G638" s="6" t="s">
        <v>2222</v>
      </c>
      <c r="H638" s="8">
        <v>45753</v>
      </c>
      <c r="I638" s="8">
        <v>43335</v>
      </c>
      <c r="J638" s="8">
        <v>43346</v>
      </c>
      <c r="K638" s="8">
        <v>43350</v>
      </c>
      <c r="L638" s="95" t="s">
        <v>31</v>
      </c>
      <c r="M638" s="8">
        <v>43353</v>
      </c>
      <c r="N638" s="8">
        <v>43763</v>
      </c>
      <c r="P638" s="6" t="s">
        <v>182</v>
      </c>
      <c r="R638" s="97" t="str">
        <f t="shared" si="24"/>
        <v/>
      </c>
      <c r="S638" s="75" t="str">
        <f t="shared" si="23"/>
        <v/>
      </c>
      <c r="U638" s="8">
        <v>43763</v>
      </c>
      <c r="W638" s="6" t="s">
        <v>33</v>
      </c>
      <c r="X638" s="95">
        <v>51395</v>
      </c>
    </row>
    <row r="639" spans="1:24" x14ac:dyDescent="0.25">
      <c r="A639" s="6" t="s">
        <v>65</v>
      </c>
      <c r="B639" s="94" t="s">
        <v>2223</v>
      </c>
      <c r="C639" s="6" t="s">
        <v>2224</v>
      </c>
      <c r="D639" s="140">
        <v>11341144</v>
      </c>
      <c r="E639" s="6" t="s">
        <v>446</v>
      </c>
      <c r="F639" s="10" t="s">
        <v>148</v>
      </c>
      <c r="G639" s="6" t="s">
        <v>2225</v>
      </c>
      <c r="H639" s="8">
        <v>65684</v>
      </c>
      <c r="I639" s="8">
        <v>43339</v>
      </c>
      <c r="J639" s="8">
        <v>43339</v>
      </c>
      <c r="K639" s="95">
        <v>43341</v>
      </c>
      <c r="L639" s="95" t="s">
        <v>31</v>
      </c>
      <c r="M639" s="8">
        <v>43354</v>
      </c>
      <c r="N639" s="8">
        <v>43402</v>
      </c>
      <c r="O639" s="8">
        <v>43395</v>
      </c>
      <c r="P639" s="6" t="s">
        <v>35</v>
      </c>
      <c r="Q639" s="96">
        <v>365</v>
      </c>
      <c r="R639" s="97">
        <f t="shared" si="24"/>
        <v>1</v>
      </c>
      <c r="S639" s="75">
        <f t="shared" si="23"/>
        <v>8259</v>
      </c>
      <c r="T639" s="124" t="s">
        <v>159</v>
      </c>
      <c r="U639" s="8">
        <v>43405</v>
      </c>
      <c r="W639" s="6" t="s">
        <v>84</v>
      </c>
      <c r="X639" s="95">
        <v>48780</v>
      </c>
    </row>
    <row r="640" spans="1:24" x14ac:dyDescent="0.25">
      <c r="A640" s="6" t="s">
        <v>65</v>
      </c>
      <c r="B640" s="94" t="s">
        <v>2226</v>
      </c>
      <c r="C640" s="6" t="s">
        <v>2227</v>
      </c>
      <c r="D640" s="140">
        <v>11325384</v>
      </c>
      <c r="E640" s="6" t="s">
        <v>651</v>
      </c>
      <c r="F640" s="10" t="s">
        <v>44</v>
      </c>
      <c r="G640" s="6" t="s">
        <v>2228</v>
      </c>
      <c r="H640" s="8">
        <v>79297</v>
      </c>
      <c r="I640" s="8">
        <v>43339</v>
      </c>
      <c r="J640" s="8">
        <v>43339</v>
      </c>
      <c r="K640" s="95">
        <v>43355</v>
      </c>
      <c r="L640" s="95" t="s">
        <v>31</v>
      </c>
      <c r="M640" s="8">
        <v>43360</v>
      </c>
      <c r="N640" s="8">
        <v>43399</v>
      </c>
      <c r="O640" s="8">
        <v>43390</v>
      </c>
      <c r="P640" s="6" t="s">
        <v>35</v>
      </c>
      <c r="Q640" s="96">
        <v>1095</v>
      </c>
      <c r="R640" s="97">
        <f t="shared" si="24"/>
        <v>3</v>
      </c>
      <c r="S640" s="75">
        <f t="shared" si="23"/>
        <v>24777</v>
      </c>
      <c r="T640" s="124" t="s">
        <v>1736</v>
      </c>
      <c r="U640" s="8">
        <v>43407</v>
      </c>
      <c r="W640" s="6" t="s">
        <v>84</v>
      </c>
      <c r="X640" s="95">
        <v>53118</v>
      </c>
    </row>
    <row r="641" spans="1:24" x14ac:dyDescent="0.25">
      <c r="A641" s="6" t="s">
        <v>65</v>
      </c>
      <c r="B641" s="94" t="s">
        <v>323</v>
      </c>
      <c r="C641" s="6" t="s">
        <v>2229</v>
      </c>
      <c r="D641" s="140">
        <v>11325233</v>
      </c>
      <c r="E641" s="6" t="s">
        <v>314</v>
      </c>
      <c r="F641" s="10" t="s">
        <v>44</v>
      </c>
      <c r="G641" s="6" t="s">
        <v>2230</v>
      </c>
      <c r="H641" s="8">
        <v>45201</v>
      </c>
      <c r="I641" s="8">
        <v>43339</v>
      </c>
      <c r="J641" s="8">
        <v>43339</v>
      </c>
      <c r="K641" s="95">
        <v>43355</v>
      </c>
      <c r="L641" s="95" t="s">
        <v>31</v>
      </c>
      <c r="M641" s="8">
        <v>43356</v>
      </c>
      <c r="N641" s="8">
        <v>43390</v>
      </c>
      <c r="O641" s="8">
        <v>43378</v>
      </c>
      <c r="P641" s="6" t="s">
        <v>35</v>
      </c>
      <c r="Q641" s="96">
        <v>1095</v>
      </c>
      <c r="R641" s="97">
        <f t="shared" si="24"/>
        <v>3</v>
      </c>
      <c r="S641" s="75">
        <f t="shared" si="23"/>
        <v>24777</v>
      </c>
      <c r="T641" s="124" t="s">
        <v>1736</v>
      </c>
      <c r="U641" s="8">
        <v>43396</v>
      </c>
      <c r="W641" s="6" t="s">
        <v>33</v>
      </c>
      <c r="X641" s="95">
        <v>44537</v>
      </c>
    </row>
    <row r="642" spans="1:24" x14ac:dyDescent="0.25">
      <c r="A642" s="6" t="s">
        <v>85</v>
      </c>
      <c r="B642" s="94" t="s">
        <v>1900</v>
      </c>
      <c r="C642" s="6" t="s">
        <v>2231</v>
      </c>
      <c r="D642" s="140">
        <v>12135860</v>
      </c>
      <c r="E642" s="6" t="s">
        <v>339</v>
      </c>
      <c r="F642" s="10" t="s">
        <v>139</v>
      </c>
      <c r="G642" s="6" t="s">
        <v>2232</v>
      </c>
      <c r="H642" s="8">
        <v>57873</v>
      </c>
      <c r="I642" s="8">
        <v>43339</v>
      </c>
      <c r="J642" s="8">
        <v>43339</v>
      </c>
      <c r="K642" s="95">
        <v>43355</v>
      </c>
      <c r="L642" s="95" t="s">
        <v>31</v>
      </c>
      <c r="M642" s="8">
        <v>43356</v>
      </c>
      <c r="N642" s="8">
        <v>43367</v>
      </c>
      <c r="O642" s="8">
        <v>43363</v>
      </c>
      <c r="P642" s="6" t="s">
        <v>35</v>
      </c>
      <c r="Q642" s="96">
        <v>487</v>
      </c>
      <c r="R642" s="97">
        <f t="shared" si="24"/>
        <v>1.3342465753424657</v>
      </c>
      <c r="S642" s="75">
        <f t="shared" si="23"/>
        <v>11019.542465753426</v>
      </c>
      <c r="U642" s="8">
        <v>43374</v>
      </c>
      <c r="W642" s="6" t="s">
        <v>33</v>
      </c>
      <c r="X642" s="95">
        <v>47300</v>
      </c>
    </row>
    <row r="643" spans="1:24" x14ac:dyDescent="0.25">
      <c r="A643" s="6" t="s">
        <v>70</v>
      </c>
      <c r="B643" s="94" t="s">
        <v>777</v>
      </c>
      <c r="C643" s="6" t="s">
        <v>2233</v>
      </c>
      <c r="D643" s="140">
        <v>11356320</v>
      </c>
      <c r="E643" s="6" t="s">
        <v>1143</v>
      </c>
      <c r="F643" s="10" t="s">
        <v>44</v>
      </c>
      <c r="G643" s="6" t="s">
        <v>2234</v>
      </c>
      <c r="H643" s="8">
        <v>71289</v>
      </c>
      <c r="I643" s="8">
        <v>43307</v>
      </c>
      <c r="J643" s="8">
        <v>43307</v>
      </c>
      <c r="K643" s="95">
        <v>43327</v>
      </c>
      <c r="L643" s="95" t="s">
        <v>31</v>
      </c>
      <c r="M643" s="8">
        <v>43334</v>
      </c>
      <c r="N643" s="8">
        <v>43532</v>
      </c>
      <c r="O643" s="8">
        <v>43529</v>
      </c>
      <c r="P643" s="101" t="s">
        <v>52</v>
      </c>
      <c r="R643" s="97" t="str">
        <f t="shared" si="24"/>
        <v/>
      </c>
      <c r="S643" s="75" t="str">
        <f t="shared" si="23"/>
        <v/>
      </c>
      <c r="T643" s="124" t="s">
        <v>2021</v>
      </c>
      <c r="U643" s="8">
        <v>43532</v>
      </c>
      <c r="W643" s="6" t="s">
        <v>84</v>
      </c>
      <c r="X643" s="95">
        <v>47748</v>
      </c>
    </row>
    <row r="644" spans="1:24" x14ac:dyDescent="0.25">
      <c r="A644" s="6" t="s">
        <v>65</v>
      </c>
      <c r="B644" s="94" t="s">
        <v>2235</v>
      </c>
      <c r="C644" s="6" t="s">
        <v>2236</v>
      </c>
      <c r="D644" s="140">
        <v>12142903</v>
      </c>
      <c r="E644" s="6" t="s">
        <v>2195</v>
      </c>
      <c r="F644" s="10" t="s">
        <v>29</v>
      </c>
      <c r="G644" s="6" t="s">
        <v>2237</v>
      </c>
      <c r="H644" s="8">
        <v>45300</v>
      </c>
      <c r="I644" s="8">
        <v>43333</v>
      </c>
      <c r="J644" s="8">
        <v>43333</v>
      </c>
      <c r="K644" s="95">
        <v>43334</v>
      </c>
      <c r="L644" s="95" t="s">
        <v>31</v>
      </c>
      <c r="M644" s="8">
        <v>43341</v>
      </c>
      <c r="N644" s="8">
        <v>43537</v>
      </c>
      <c r="O644" s="8">
        <v>43530</v>
      </c>
      <c r="P644" s="6" t="s">
        <v>75</v>
      </c>
      <c r="R644" s="97" t="str">
        <f t="shared" si="24"/>
        <v/>
      </c>
      <c r="S644" s="75" t="str">
        <f t="shared" si="23"/>
        <v/>
      </c>
      <c r="T644" s="124">
        <v>43530</v>
      </c>
      <c r="U644" s="8">
        <v>43537</v>
      </c>
      <c r="W644" s="6" t="s">
        <v>33</v>
      </c>
      <c r="X644" s="95">
        <v>47185</v>
      </c>
    </row>
    <row r="645" spans="1:24" ht="30" x14ac:dyDescent="0.25">
      <c r="A645" s="6" t="s">
        <v>37</v>
      </c>
      <c r="B645" s="94" t="s">
        <v>814</v>
      </c>
      <c r="C645" s="6" t="s">
        <v>2238</v>
      </c>
      <c r="D645" s="140">
        <v>12138172</v>
      </c>
      <c r="E645" s="6" t="s">
        <v>907</v>
      </c>
      <c r="F645" s="10" t="s">
        <v>143</v>
      </c>
      <c r="G645" s="6" t="s">
        <v>2239</v>
      </c>
      <c r="H645" s="8">
        <v>45593</v>
      </c>
      <c r="I645" s="8">
        <v>44277</v>
      </c>
      <c r="J645" s="8">
        <v>44279</v>
      </c>
      <c r="K645" s="95">
        <v>44279</v>
      </c>
      <c r="L645" s="95" t="s">
        <v>31</v>
      </c>
      <c r="M645" s="8">
        <v>44292</v>
      </c>
      <c r="N645" s="108">
        <v>44673</v>
      </c>
      <c r="O645" s="108">
        <v>44662</v>
      </c>
      <c r="P645" s="107" t="s">
        <v>35</v>
      </c>
      <c r="Q645" s="110">
        <v>915</v>
      </c>
      <c r="R645" s="97">
        <f t="shared" si="24"/>
        <v>2.506849315068493</v>
      </c>
      <c r="S645" s="75">
        <f t="shared" si="23"/>
        <v>20704.068493150684</v>
      </c>
      <c r="T645" s="129" t="s">
        <v>2240</v>
      </c>
      <c r="U645" s="8">
        <v>44776</v>
      </c>
      <c r="W645" s="6" t="s">
        <v>33</v>
      </c>
      <c r="X645" s="7">
        <v>46907</v>
      </c>
    </row>
    <row r="646" spans="1:24" ht="30" x14ac:dyDescent="0.25">
      <c r="A646" s="6" t="s">
        <v>168</v>
      </c>
      <c r="B646" s="94" t="s">
        <v>2241</v>
      </c>
      <c r="C646" s="6" t="s">
        <v>2242</v>
      </c>
      <c r="D646" s="140">
        <v>11003191</v>
      </c>
      <c r="E646" s="6" t="s">
        <v>892</v>
      </c>
      <c r="F646" s="10" t="s">
        <v>190</v>
      </c>
      <c r="G646" s="6" t="s">
        <v>2243</v>
      </c>
      <c r="H646" s="8">
        <v>45402</v>
      </c>
      <c r="I646" s="8">
        <v>43502</v>
      </c>
      <c r="J646" s="8">
        <v>43510</v>
      </c>
      <c r="K646" s="95">
        <v>43515</v>
      </c>
      <c r="L646" s="95" t="s">
        <v>31</v>
      </c>
      <c r="M646" s="8">
        <v>43521</v>
      </c>
      <c r="P646" s="6" t="s">
        <v>75</v>
      </c>
      <c r="R646" s="97" t="str">
        <f t="shared" si="24"/>
        <v/>
      </c>
      <c r="S646" s="75" t="str">
        <f t="shared" si="23"/>
        <v/>
      </c>
      <c r="T646" s="124" t="s">
        <v>2244</v>
      </c>
      <c r="U646" s="8">
        <v>44824</v>
      </c>
      <c r="W646" s="6" t="s">
        <v>84</v>
      </c>
      <c r="X646" s="95">
        <v>45707</v>
      </c>
    </row>
    <row r="647" spans="1:24" x14ac:dyDescent="0.25">
      <c r="A647" s="6" t="s">
        <v>65</v>
      </c>
      <c r="B647" s="94" t="s">
        <v>2245</v>
      </c>
      <c r="C647" s="6" t="s">
        <v>2246</v>
      </c>
      <c r="D647" s="140">
        <v>11333113</v>
      </c>
      <c r="E647" s="6" t="s">
        <v>2247</v>
      </c>
      <c r="F647" s="6" t="s">
        <v>134</v>
      </c>
      <c r="G647" s="6" t="s">
        <v>2248</v>
      </c>
      <c r="H647" s="8">
        <v>47077</v>
      </c>
      <c r="I647" s="8">
        <v>43339</v>
      </c>
      <c r="J647" s="8">
        <v>43339</v>
      </c>
      <c r="K647" s="95">
        <v>43341</v>
      </c>
      <c r="L647" s="95" t="s">
        <v>31</v>
      </c>
      <c r="M647" s="8">
        <v>43354</v>
      </c>
      <c r="N647" s="8">
        <v>44274</v>
      </c>
      <c r="O647" s="8">
        <v>43713</v>
      </c>
      <c r="P647" s="6" t="s">
        <v>35</v>
      </c>
      <c r="Q647" s="96">
        <v>730</v>
      </c>
      <c r="R647" s="97">
        <f t="shared" si="24"/>
        <v>2</v>
      </c>
      <c r="S647" s="75">
        <f t="shared" si="23"/>
        <v>16518</v>
      </c>
      <c r="T647" s="124" t="s">
        <v>2249</v>
      </c>
      <c r="U647" s="8">
        <v>44274</v>
      </c>
      <c r="W647" s="6" t="s">
        <v>33</v>
      </c>
      <c r="X647" s="95">
        <v>44938</v>
      </c>
    </row>
    <row r="648" spans="1:24" x14ac:dyDescent="0.25">
      <c r="A648" s="6" t="s">
        <v>65</v>
      </c>
      <c r="B648" s="94" t="s">
        <v>2250</v>
      </c>
      <c r="C648" s="6" t="s">
        <v>2251</v>
      </c>
      <c r="D648" s="140">
        <v>11338009</v>
      </c>
      <c r="E648" s="6" t="s">
        <v>651</v>
      </c>
      <c r="F648" s="6" t="s">
        <v>29</v>
      </c>
      <c r="G648" s="6" t="s">
        <v>2252</v>
      </c>
      <c r="H648" s="8">
        <v>52525</v>
      </c>
      <c r="I648" s="8">
        <v>43339</v>
      </c>
      <c r="J648" s="8">
        <v>43339</v>
      </c>
      <c r="K648" s="95">
        <v>43341</v>
      </c>
      <c r="L648" s="95" t="s">
        <v>31</v>
      </c>
      <c r="M648" s="8">
        <v>43354</v>
      </c>
      <c r="N648" s="8">
        <v>44350</v>
      </c>
      <c r="O648" s="8">
        <v>44322</v>
      </c>
      <c r="P648" s="6" t="s">
        <v>35</v>
      </c>
      <c r="Q648" s="96">
        <v>1095</v>
      </c>
      <c r="R648" s="97">
        <f t="shared" si="24"/>
        <v>3</v>
      </c>
      <c r="S648" s="75">
        <f t="shared" si="23"/>
        <v>24777</v>
      </c>
      <c r="T648" s="124" t="s">
        <v>301</v>
      </c>
      <c r="U648" s="8">
        <v>44354</v>
      </c>
      <c r="W648" s="6" t="s">
        <v>33</v>
      </c>
      <c r="X648" s="95">
        <v>46306</v>
      </c>
    </row>
    <row r="649" spans="1:24" x14ac:dyDescent="0.25">
      <c r="A649" s="6" t="s">
        <v>65</v>
      </c>
      <c r="B649" s="94" t="s">
        <v>2253</v>
      </c>
      <c r="C649" s="6" t="s">
        <v>2254</v>
      </c>
      <c r="D649" s="140">
        <v>11338135</v>
      </c>
      <c r="E649" s="6" t="s">
        <v>130</v>
      </c>
      <c r="F649" s="10" t="s">
        <v>139</v>
      </c>
      <c r="G649" s="6" t="s">
        <v>2255</v>
      </c>
      <c r="H649" s="8">
        <v>46833</v>
      </c>
      <c r="I649" s="8">
        <v>43339</v>
      </c>
      <c r="J649" s="8">
        <v>43339</v>
      </c>
      <c r="K649" s="95">
        <v>43341</v>
      </c>
      <c r="L649" s="95" t="s">
        <v>31</v>
      </c>
      <c r="M649" s="8">
        <v>43354</v>
      </c>
      <c r="N649" s="8">
        <v>43537</v>
      </c>
      <c r="O649" s="8">
        <v>43383</v>
      </c>
      <c r="P649" s="6" t="s">
        <v>69</v>
      </c>
      <c r="R649" s="97" t="str">
        <f t="shared" si="24"/>
        <v/>
      </c>
      <c r="S649" s="75" t="str">
        <f t="shared" si="23"/>
        <v/>
      </c>
      <c r="T649" s="124" t="s">
        <v>265</v>
      </c>
      <c r="U649" s="8">
        <v>43537</v>
      </c>
      <c r="W649" s="6" t="s">
        <v>33</v>
      </c>
      <c r="X649" s="95">
        <v>44419</v>
      </c>
    </row>
    <row r="650" spans="1:24" x14ac:dyDescent="0.25">
      <c r="A650" s="6" t="s">
        <v>65</v>
      </c>
      <c r="B650" s="94" t="s">
        <v>884</v>
      </c>
      <c r="C650" s="6" t="s">
        <v>2256</v>
      </c>
      <c r="D650" s="140">
        <v>11335266</v>
      </c>
      <c r="E650" s="6" t="s">
        <v>607</v>
      </c>
      <c r="F650" s="10" t="s">
        <v>44</v>
      </c>
      <c r="G650" s="6" t="s">
        <v>2257</v>
      </c>
      <c r="H650" s="8">
        <v>46267</v>
      </c>
      <c r="I650" s="8">
        <v>43339</v>
      </c>
      <c r="J650" s="8">
        <v>43339</v>
      </c>
      <c r="K650" s="95">
        <v>43341</v>
      </c>
      <c r="L650" s="95" t="s">
        <v>31</v>
      </c>
      <c r="M650" s="8">
        <v>43354</v>
      </c>
      <c r="N650" s="8">
        <v>43536</v>
      </c>
      <c r="O650" s="8">
        <v>43528</v>
      </c>
      <c r="P650" s="6" t="s">
        <v>35</v>
      </c>
      <c r="Q650" s="96">
        <v>1095</v>
      </c>
      <c r="R650" s="97">
        <f t="shared" si="24"/>
        <v>3</v>
      </c>
      <c r="S650" s="75">
        <f t="shared" si="23"/>
        <v>24777</v>
      </c>
      <c r="T650" s="124" t="s">
        <v>301</v>
      </c>
      <c r="U650" s="8">
        <v>43536</v>
      </c>
      <c r="W650" s="6" t="s">
        <v>33</v>
      </c>
      <c r="X650" s="95">
        <v>45083</v>
      </c>
    </row>
    <row r="651" spans="1:24" x14ac:dyDescent="0.25">
      <c r="A651" s="6" t="s">
        <v>168</v>
      </c>
      <c r="B651" s="94" t="s">
        <v>2258</v>
      </c>
      <c r="C651" s="6" t="s">
        <v>2259</v>
      </c>
      <c r="D651" s="140">
        <v>11571874</v>
      </c>
      <c r="E651" s="6" t="s">
        <v>38</v>
      </c>
      <c r="F651" s="10" t="s">
        <v>134</v>
      </c>
      <c r="G651" s="6" t="s">
        <v>2260</v>
      </c>
      <c r="H651" s="8">
        <v>46503</v>
      </c>
      <c r="I651" s="8">
        <v>43683</v>
      </c>
      <c r="J651" s="8">
        <v>43696</v>
      </c>
      <c r="K651" s="95">
        <v>43698</v>
      </c>
      <c r="L651" s="95" t="s">
        <v>31</v>
      </c>
      <c r="M651" s="8">
        <v>43706</v>
      </c>
      <c r="N651" s="8">
        <v>44776</v>
      </c>
      <c r="O651" s="8">
        <v>44770</v>
      </c>
      <c r="P651" s="6" t="s">
        <v>75</v>
      </c>
      <c r="R651" s="97" t="str">
        <f t="shared" si="24"/>
        <v/>
      </c>
      <c r="S651" s="75" t="str">
        <f t="shared" si="23"/>
        <v/>
      </c>
      <c r="T651" s="8" t="s">
        <v>2261</v>
      </c>
      <c r="U651" s="8">
        <v>45068</v>
      </c>
      <c r="W651" s="6" t="s">
        <v>84</v>
      </c>
      <c r="X651" s="95">
        <v>46907</v>
      </c>
    </row>
    <row r="652" spans="1:24" x14ac:dyDescent="0.25">
      <c r="A652" s="6" t="s">
        <v>85</v>
      </c>
      <c r="B652" s="94" t="s">
        <v>282</v>
      </c>
      <c r="C652" s="6" t="s">
        <v>2262</v>
      </c>
      <c r="D652" s="140">
        <v>11632994</v>
      </c>
      <c r="E652" s="6" t="s">
        <v>714</v>
      </c>
      <c r="F652" s="6" t="s">
        <v>81</v>
      </c>
      <c r="G652" s="6" t="s">
        <v>2263</v>
      </c>
      <c r="H652" s="8">
        <v>44168</v>
      </c>
      <c r="I652" s="8">
        <v>43236</v>
      </c>
      <c r="J652" s="8">
        <v>43236</v>
      </c>
      <c r="K652" s="95">
        <v>43236</v>
      </c>
      <c r="L652" s="95" t="s">
        <v>31</v>
      </c>
      <c r="M652" s="8">
        <v>43242</v>
      </c>
      <c r="N652" s="8">
        <v>43558</v>
      </c>
      <c r="O652" s="8">
        <v>43537</v>
      </c>
      <c r="P652" s="101" t="s">
        <v>52</v>
      </c>
      <c r="R652" s="97" t="str">
        <f t="shared" si="24"/>
        <v/>
      </c>
      <c r="S652" s="75" t="str">
        <f t="shared" si="23"/>
        <v/>
      </c>
      <c r="T652" s="124" t="s">
        <v>2021</v>
      </c>
      <c r="U652" s="8">
        <v>43558</v>
      </c>
      <c r="W652" s="6" t="s">
        <v>33</v>
      </c>
      <c r="X652" s="95">
        <v>44538</v>
      </c>
    </row>
    <row r="653" spans="1:24" x14ac:dyDescent="0.25">
      <c r="A653" s="6" t="s">
        <v>65</v>
      </c>
      <c r="B653" s="94" t="s">
        <v>2264</v>
      </c>
      <c r="C653" s="6" t="s">
        <v>2265</v>
      </c>
      <c r="D653" s="140">
        <v>11327359</v>
      </c>
      <c r="E653" s="6" t="s">
        <v>615</v>
      </c>
      <c r="F653" s="10" t="s">
        <v>363</v>
      </c>
      <c r="G653" s="6">
        <v>1221624</v>
      </c>
      <c r="H653" s="8">
        <v>46560</v>
      </c>
      <c r="I653" s="8">
        <v>43339</v>
      </c>
      <c r="J653" s="8">
        <v>43339</v>
      </c>
      <c r="K653" s="95">
        <v>43341</v>
      </c>
      <c r="L653" s="95" t="s">
        <v>31</v>
      </c>
      <c r="M653" s="8">
        <v>43354</v>
      </c>
      <c r="N653" s="8">
        <v>43607</v>
      </c>
      <c r="O653" s="8">
        <v>43602</v>
      </c>
      <c r="P653" s="6" t="s">
        <v>35</v>
      </c>
      <c r="Q653" s="96">
        <v>121</v>
      </c>
      <c r="R653" s="97">
        <f t="shared" si="24"/>
        <v>0.33150684931506852</v>
      </c>
      <c r="S653" s="75">
        <f t="shared" si="23"/>
        <v>2737.9150684931506</v>
      </c>
      <c r="T653" s="124" t="s">
        <v>886</v>
      </c>
      <c r="U653" s="8">
        <v>43607</v>
      </c>
      <c r="W653" s="6" t="s">
        <v>84</v>
      </c>
      <c r="X653" s="95">
        <v>54072</v>
      </c>
    </row>
    <row r="654" spans="1:24" x14ac:dyDescent="0.25">
      <c r="A654" s="6" t="s">
        <v>168</v>
      </c>
      <c r="B654" s="94" t="s">
        <v>2266</v>
      </c>
      <c r="C654" s="6" t="s">
        <v>2267</v>
      </c>
      <c r="D654" s="140">
        <v>11255100</v>
      </c>
      <c r="E654" s="6" t="s">
        <v>2268</v>
      </c>
      <c r="F654" s="10" t="s">
        <v>57</v>
      </c>
      <c r="G654" s="6" t="s">
        <v>2269</v>
      </c>
      <c r="H654" s="8">
        <v>62017</v>
      </c>
      <c r="I654" s="8">
        <v>43501</v>
      </c>
      <c r="J654" s="8">
        <v>43503</v>
      </c>
      <c r="K654" s="95">
        <v>43503</v>
      </c>
      <c r="L654" s="95" t="s">
        <v>31</v>
      </c>
      <c r="M654" s="8">
        <v>43521</v>
      </c>
      <c r="N654" s="8">
        <v>43794</v>
      </c>
      <c r="O654" s="8">
        <v>43787</v>
      </c>
      <c r="P654" s="6" t="s">
        <v>35</v>
      </c>
      <c r="Q654" s="96">
        <v>2802</v>
      </c>
      <c r="R654" s="97">
        <f t="shared" si="24"/>
        <v>7.6767123287671231</v>
      </c>
      <c r="S654" s="75">
        <f t="shared" si="23"/>
        <v>63401.967123287672</v>
      </c>
      <c r="U654" s="8">
        <v>43803</v>
      </c>
      <c r="V654" s="6" t="s">
        <v>36</v>
      </c>
      <c r="W654" s="6" t="s">
        <v>84</v>
      </c>
      <c r="X654" s="95">
        <v>46640</v>
      </c>
    </row>
    <row r="655" spans="1:24" x14ac:dyDescent="0.25">
      <c r="A655" s="6" t="s">
        <v>85</v>
      </c>
      <c r="B655" s="94" t="s">
        <v>2270</v>
      </c>
      <c r="C655" s="6" t="s">
        <v>2271</v>
      </c>
      <c r="D655" s="140">
        <v>12130188</v>
      </c>
      <c r="E655" s="6" t="s">
        <v>1659</v>
      </c>
      <c r="F655" s="6" t="s">
        <v>81</v>
      </c>
      <c r="G655" s="6" t="s">
        <v>2272</v>
      </c>
      <c r="H655" s="8">
        <v>44933</v>
      </c>
      <c r="I655" s="8">
        <v>43236</v>
      </c>
      <c r="J655" s="8">
        <v>43236</v>
      </c>
      <c r="K655" s="95">
        <v>43236</v>
      </c>
      <c r="L655" s="95" t="s">
        <v>31</v>
      </c>
      <c r="M655" s="8">
        <v>43242</v>
      </c>
      <c r="N655" s="8">
        <v>43558</v>
      </c>
      <c r="O655" s="8">
        <v>43537</v>
      </c>
      <c r="P655" s="101" t="s">
        <v>52</v>
      </c>
      <c r="R655" s="97" t="str">
        <f t="shared" si="24"/>
        <v/>
      </c>
      <c r="S655" s="75" t="str">
        <f t="shared" si="23"/>
        <v/>
      </c>
      <c r="T655" s="124" t="s">
        <v>2273</v>
      </c>
      <c r="U655" s="8">
        <v>43558</v>
      </c>
      <c r="W655" s="6" t="s">
        <v>33</v>
      </c>
      <c r="X655" s="95">
        <v>46409</v>
      </c>
    </row>
    <row r="656" spans="1:24" x14ac:dyDescent="0.25">
      <c r="A656" s="6" t="s">
        <v>65</v>
      </c>
      <c r="B656" s="94" t="s">
        <v>1542</v>
      </c>
      <c r="C656" s="6" t="s">
        <v>2274</v>
      </c>
      <c r="D656" s="140">
        <v>11326898</v>
      </c>
      <c r="E656" s="6" t="s">
        <v>298</v>
      </c>
      <c r="F656" s="10" t="s">
        <v>205</v>
      </c>
      <c r="G656" s="6" t="s">
        <v>2275</v>
      </c>
      <c r="H656" s="8">
        <v>48129</v>
      </c>
      <c r="I656" s="8">
        <v>43339</v>
      </c>
      <c r="J656" s="8">
        <v>43339</v>
      </c>
      <c r="K656" s="95">
        <v>43355</v>
      </c>
      <c r="L656" s="95" t="s">
        <v>31</v>
      </c>
      <c r="M656" s="8">
        <v>43356</v>
      </c>
      <c r="N656" s="108">
        <v>44302</v>
      </c>
      <c r="O656" s="108">
        <v>44295</v>
      </c>
      <c r="P656" s="107" t="s">
        <v>35</v>
      </c>
      <c r="Q656" s="110">
        <v>718</v>
      </c>
      <c r="R656" s="97">
        <f t="shared" si="24"/>
        <v>1.9671232876712328</v>
      </c>
      <c r="S656" s="75">
        <f t="shared" si="23"/>
        <v>16246.471232876713</v>
      </c>
      <c r="U656" s="8">
        <v>44776</v>
      </c>
      <c r="W656" s="6" t="s">
        <v>33</v>
      </c>
      <c r="X656" s="95">
        <v>44602</v>
      </c>
    </row>
    <row r="657" spans="1:24" x14ac:dyDescent="0.25">
      <c r="A657" s="6" t="s">
        <v>65</v>
      </c>
      <c r="B657" s="94" t="s">
        <v>2276</v>
      </c>
      <c r="C657" s="6" t="s">
        <v>2277</v>
      </c>
      <c r="D657" s="140">
        <v>11323960</v>
      </c>
      <c r="E657" s="6" t="s">
        <v>314</v>
      </c>
      <c r="F657" s="10" t="s">
        <v>44</v>
      </c>
      <c r="G657" s="6" t="s">
        <v>2278</v>
      </c>
      <c r="H657" s="8">
        <v>87788</v>
      </c>
      <c r="I657" s="8">
        <v>43339</v>
      </c>
      <c r="J657" s="8">
        <v>43339</v>
      </c>
      <c r="K657" s="95">
        <v>43355</v>
      </c>
      <c r="L657" s="95" t="s">
        <v>31</v>
      </c>
      <c r="M657" s="8">
        <v>43356</v>
      </c>
      <c r="N657" s="8">
        <v>43501</v>
      </c>
      <c r="O657" s="8">
        <v>43481</v>
      </c>
      <c r="P657" s="6" t="s">
        <v>35</v>
      </c>
      <c r="Q657" s="96">
        <v>1095</v>
      </c>
      <c r="R657" s="97">
        <f t="shared" si="24"/>
        <v>3</v>
      </c>
      <c r="S657" s="75">
        <f t="shared" si="23"/>
        <v>24777</v>
      </c>
      <c r="T657" s="124" t="s">
        <v>301</v>
      </c>
      <c r="U657" s="8">
        <v>43501</v>
      </c>
      <c r="W657" s="6" t="s">
        <v>84</v>
      </c>
      <c r="X657" s="95">
        <v>47400</v>
      </c>
    </row>
    <row r="658" spans="1:24" x14ac:dyDescent="0.25">
      <c r="A658" s="6" t="s">
        <v>25</v>
      </c>
      <c r="B658" s="94" t="s">
        <v>449</v>
      </c>
      <c r="C658" s="6" t="s">
        <v>2279</v>
      </c>
      <c r="D658" s="140">
        <v>11488345</v>
      </c>
      <c r="E658" s="6" t="s">
        <v>1650</v>
      </c>
      <c r="F658" s="10" t="s">
        <v>934</v>
      </c>
      <c r="G658" s="6" t="s">
        <v>2280</v>
      </c>
      <c r="H658" s="8">
        <v>49572</v>
      </c>
      <c r="I658" s="8">
        <v>43480</v>
      </c>
      <c r="J658" s="8">
        <v>43804</v>
      </c>
      <c r="K658" s="95">
        <v>43839</v>
      </c>
      <c r="L658" s="95" t="s">
        <v>31</v>
      </c>
      <c r="M658" s="8">
        <v>43851</v>
      </c>
      <c r="P658" s="6" t="s">
        <v>628</v>
      </c>
      <c r="R658" s="97" t="str">
        <f t="shared" si="24"/>
        <v/>
      </c>
      <c r="S658" s="75" t="str">
        <f t="shared" si="23"/>
        <v/>
      </c>
      <c r="T658" s="124" t="s">
        <v>2281</v>
      </c>
      <c r="W658" s="6" t="s">
        <v>33</v>
      </c>
      <c r="X658" s="95">
        <v>50330</v>
      </c>
    </row>
    <row r="659" spans="1:24" x14ac:dyDescent="0.25">
      <c r="A659" s="6" t="s">
        <v>70</v>
      </c>
      <c r="B659" s="94" t="s">
        <v>2282</v>
      </c>
      <c r="C659" s="6" t="s">
        <v>2283</v>
      </c>
      <c r="D659" s="140">
        <v>12175207</v>
      </c>
      <c r="E659" s="6" t="s">
        <v>1103</v>
      </c>
      <c r="F659" s="6" t="s">
        <v>81</v>
      </c>
      <c r="G659" s="6" t="s">
        <v>2284</v>
      </c>
      <c r="H659" s="8">
        <v>48634</v>
      </c>
      <c r="I659" s="8">
        <v>43262</v>
      </c>
      <c r="J659" s="8">
        <v>43263</v>
      </c>
      <c r="K659" s="95">
        <v>43278</v>
      </c>
      <c r="L659" s="95" t="s">
        <v>31</v>
      </c>
      <c r="M659" s="8">
        <v>43280</v>
      </c>
      <c r="N659" s="8">
        <v>43558</v>
      </c>
      <c r="O659" s="8">
        <v>43537</v>
      </c>
      <c r="P659" s="101" t="s">
        <v>52</v>
      </c>
      <c r="R659" s="97" t="str">
        <f t="shared" si="24"/>
        <v/>
      </c>
      <c r="S659" s="75" t="str">
        <f t="shared" si="23"/>
        <v/>
      </c>
      <c r="T659" s="124" t="s">
        <v>2021</v>
      </c>
      <c r="U659" s="8">
        <v>43558</v>
      </c>
      <c r="W659" s="6" t="s">
        <v>33</v>
      </c>
      <c r="X659" s="95">
        <v>47044</v>
      </c>
    </row>
    <row r="660" spans="1:24" x14ac:dyDescent="0.25">
      <c r="A660" s="6" t="s">
        <v>65</v>
      </c>
      <c r="B660" s="94" t="s">
        <v>449</v>
      </c>
      <c r="C660" s="6" t="s">
        <v>2285</v>
      </c>
      <c r="D660" s="140">
        <v>11307954</v>
      </c>
      <c r="E660" s="6" t="s">
        <v>332</v>
      </c>
      <c r="F660" s="10" t="s">
        <v>44</v>
      </c>
      <c r="G660" s="6" t="s">
        <v>2286</v>
      </c>
      <c r="H660" s="8">
        <v>43850</v>
      </c>
      <c r="I660" s="8">
        <v>43348</v>
      </c>
      <c r="J660" s="8">
        <v>43348</v>
      </c>
      <c r="K660" s="95">
        <v>43369</v>
      </c>
      <c r="L660" s="95" t="s">
        <v>31</v>
      </c>
      <c r="M660" s="8">
        <v>43374</v>
      </c>
      <c r="R660" s="97" t="str">
        <f t="shared" si="24"/>
        <v/>
      </c>
      <c r="S660" s="75" t="str">
        <f t="shared" si="23"/>
        <v/>
      </c>
      <c r="T660" s="124" t="s">
        <v>2287</v>
      </c>
      <c r="U660" s="8">
        <v>43848</v>
      </c>
      <c r="V660" s="6" t="s">
        <v>36</v>
      </c>
      <c r="W660" s="6" t="s">
        <v>33</v>
      </c>
      <c r="X660" s="95">
        <v>52564</v>
      </c>
    </row>
    <row r="661" spans="1:24" x14ac:dyDescent="0.25">
      <c r="A661" s="6" t="s">
        <v>65</v>
      </c>
      <c r="B661" s="94" t="s">
        <v>2288</v>
      </c>
      <c r="C661" s="6" t="s">
        <v>2289</v>
      </c>
      <c r="D661" s="140">
        <v>11938761</v>
      </c>
      <c r="E661" s="6" t="s">
        <v>570</v>
      </c>
      <c r="F661" s="10" t="s">
        <v>148</v>
      </c>
      <c r="G661" s="6" t="s">
        <v>2290</v>
      </c>
      <c r="H661" s="8">
        <v>62822</v>
      </c>
      <c r="I661" s="8">
        <v>43339</v>
      </c>
      <c r="J661" s="8">
        <v>43339</v>
      </c>
      <c r="R661" s="97" t="str">
        <f t="shared" si="24"/>
        <v/>
      </c>
      <c r="S661" s="75" t="str">
        <f t="shared" si="23"/>
        <v/>
      </c>
      <c r="W661" s="6" t="s">
        <v>84</v>
      </c>
      <c r="X661" s="95">
        <v>45948</v>
      </c>
    </row>
    <row r="662" spans="1:24" x14ac:dyDescent="0.25">
      <c r="A662" s="6" t="s">
        <v>65</v>
      </c>
      <c r="B662" s="94" t="s">
        <v>334</v>
      </c>
      <c r="C662" s="6" t="s">
        <v>2291</v>
      </c>
      <c r="D662" s="140">
        <v>11932760</v>
      </c>
      <c r="E662" s="6" t="s">
        <v>962</v>
      </c>
      <c r="F662" s="10" t="s">
        <v>44</v>
      </c>
      <c r="G662" s="6" t="s">
        <v>2292</v>
      </c>
      <c r="H662" s="8">
        <v>47450</v>
      </c>
      <c r="I662" s="8">
        <v>43339</v>
      </c>
      <c r="J662" s="8">
        <v>43339</v>
      </c>
      <c r="K662" s="95">
        <v>43355</v>
      </c>
      <c r="L662" s="95" t="s">
        <v>31</v>
      </c>
      <c r="M662" s="8">
        <v>43360</v>
      </c>
      <c r="N662" s="8">
        <v>44274</v>
      </c>
      <c r="O662" s="8">
        <v>44070</v>
      </c>
      <c r="P662" s="6" t="s">
        <v>69</v>
      </c>
      <c r="R662" s="97" t="str">
        <f t="shared" si="24"/>
        <v/>
      </c>
      <c r="S662" s="75" t="str">
        <f t="shared" si="23"/>
        <v/>
      </c>
      <c r="T662" s="124" t="s">
        <v>2293</v>
      </c>
      <c r="U662" s="8">
        <v>44274</v>
      </c>
      <c r="W662" s="6" t="s">
        <v>33</v>
      </c>
      <c r="X662" s="95">
        <v>42043</v>
      </c>
    </row>
    <row r="663" spans="1:24" x14ac:dyDescent="0.25">
      <c r="A663" s="6" t="s">
        <v>168</v>
      </c>
      <c r="B663" s="94" t="s">
        <v>2294</v>
      </c>
      <c r="C663" s="6" t="s">
        <v>2295</v>
      </c>
      <c r="D663" s="140">
        <v>11889343</v>
      </c>
      <c r="E663" s="6" t="s">
        <v>714</v>
      </c>
      <c r="F663" s="10" t="s">
        <v>2296</v>
      </c>
      <c r="G663" s="6">
        <v>62007105</v>
      </c>
      <c r="H663" s="8">
        <v>46610</v>
      </c>
      <c r="I663" s="8">
        <v>43313</v>
      </c>
      <c r="J663" s="8">
        <v>43313</v>
      </c>
      <c r="K663" s="8">
        <v>43328</v>
      </c>
      <c r="L663" s="95" t="s">
        <v>31</v>
      </c>
      <c r="M663" s="8">
        <v>43328</v>
      </c>
      <c r="N663" s="8">
        <v>43539</v>
      </c>
      <c r="O663" s="8">
        <v>43538</v>
      </c>
      <c r="P663" s="6" t="s">
        <v>90</v>
      </c>
      <c r="Q663" s="96">
        <v>4748</v>
      </c>
      <c r="R663" s="97">
        <f t="shared" si="24"/>
        <v>13.008219178082191</v>
      </c>
      <c r="S663" s="75">
        <f t="shared" si="23"/>
        <v>107434.88219178082</v>
      </c>
      <c r="T663" s="124" t="s">
        <v>2297</v>
      </c>
      <c r="U663" s="8">
        <v>43539</v>
      </c>
      <c r="V663" s="6" t="s">
        <v>36</v>
      </c>
      <c r="W663" s="6" t="s">
        <v>84</v>
      </c>
      <c r="X663" s="95">
        <v>38741</v>
      </c>
    </row>
    <row r="664" spans="1:24" x14ac:dyDescent="0.25">
      <c r="A664" s="6" t="s">
        <v>65</v>
      </c>
      <c r="B664" s="94" t="s">
        <v>1196</v>
      </c>
      <c r="C664" s="6" t="s">
        <v>2298</v>
      </c>
      <c r="D664" s="140">
        <v>11923483</v>
      </c>
      <c r="E664" s="6" t="s">
        <v>104</v>
      </c>
      <c r="F664" s="10" t="s">
        <v>1384</v>
      </c>
      <c r="G664" s="6" t="s">
        <v>2299</v>
      </c>
      <c r="H664" s="8">
        <v>46535</v>
      </c>
      <c r="I664" s="8">
        <v>43339</v>
      </c>
      <c r="J664" s="8">
        <v>43339</v>
      </c>
      <c r="K664" s="95">
        <v>43355</v>
      </c>
      <c r="L664" s="95" t="s">
        <v>31</v>
      </c>
      <c r="M664" s="8">
        <v>43356</v>
      </c>
      <c r="N664" s="108">
        <v>43399</v>
      </c>
      <c r="O664" s="108">
        <v>43392</v>
      </c>
      <c r="P664" s="107" t="s">
        <v>69</v>
      </c>
      <c r="Q664" s="110">
        <v>0</v>
      </c>
      <c r="R664" s="97" t="str">
        <f t="shared" si="24"/>
        <v/>
      </c>
      <c r="S664" s="75" t="str">
        <f t="shared" si="23"/>
        <v/>
      </c>
      <c r="U664" s="8">
        <v>44776</v>
      </c>
      <c r="W664" s="6" t="s">
        <v>33</v>
      </c>
      <c r="X664" s="95">
        <v>51005</v>
      </c>
    </row>
    <row r="665" spans="1:24" x14ac:dyDescent="0.25">
      <c r="A665" s="6" t="s">
        <v>65</v>
      </c>
      <c r="B665" s="94" t="s">
        <v>202</v>
      </c>
      <c r="C665" s="6" t="s">
        <v>2300</v>
      </c>
      <c r="D665" s="140">
        <v>12129770</v>
      </c>
      <c r="E665" s="6" t="s">
        <v>878</v>
      </c>
      <c r="F665" s="10" t="s">
        <v>81</v>
      </c>
      <c r="G665" s="6" t="s">
        <v>2301</v>
      </c>
      <c r="H665" s="8">
        <v>44468</v>
      </c>
      <c r="I665" s="8">
        <v>43270</v>
      </c>
      <c r="J665" s="8">
        <v>43270</v>
      </c>
      <c r="K665" s="95">
        <v>43299</v>
      </c>
      <c r="L665" s="95" t="s">
        <v>31</v>
      </c>
      <c r="M665" s="8">
        <v>43305</v>
      </c>
      <c r="N665" s="8">
        <v>43558</v>
      </c>
      <c r="O665" s="8">
        <v>43537</v>
      </c>
      <c r="P665" s="101" t="s">
        <v>52</v>
      </c>
      <c r="R665" s="97" t="str">
        <f t="shared" si="24"/>
        <v/>
      </c>
      <c r="S665" s="75" t="str">
        <f t="shared" si="23"/>
        <v/>
      </c>
      <c r="T665" s="124" t="s">
        <v>2021</v>
      </c>
      <c r="U665" s="8">
        <v>43558</v>
      </c>
      <c r="W665" s="6" t="s">
        <v>33</v>
      </c>
      <c r="X665" s="95">
        <v>46501</v>
      </c>
    </row>
    <row r="666" spans="1:24" x14ac:dyDescent="0.25">
      <c r="A666" s="6" t="s">
        <v>65</v>
      </c>
      <c r="B666" s="94" t="s">
        <v>2302</v>
      </c>
      <c r="C666" s="6" t="s">
        <v>2303</v>
      </c>
      <c r="D666" s="140">
        <v>11918037</v>
      </c>
      <c r="E666" s="6" t="s">
        <v>73</v>
      </c>
      <c r="F666" s="10" t="s">
        <v>1588</v>
      </c>
      <c r="G666" s="6" t="s">
        <v>2304</v>
      </c>
      <c r="H666" s="8">
        <v>47963</v>
      </c>
      <c r="I666" s="8">
        <v>43339</v>
      </c>
      <c r="J666" s="8">
        <v>43339</v>
      </c>
      <c r="K666" s="95">
        <v>43355</v>
      </c>
      <c r="L666" s="95" t="s">
        <v>31</v>
      </c>
      <c r="M666" s="8">
        <v>43356</v>
      </c>
      <c r="N666" s="8">
        <v>43444</v>
      </c>
      <c r="O666" s="8">
        <v>43420</v>
      </c>
      <c r="P666" s="6" t="s">
        <v>35</v>
      </c>
      <c r="Q666" s="96">
        <v>1095</v>
      </c>
      <c r="R666" s="97">
        <f t="shared" si="24"/>
        <v>3</v>
      </c>
      <c r="S666" s="75">
        <f t="shared" ref="S666:S729" si="25">IF(Q666&gt;0, SUM(Q666)*(8259/365), "")</f>
        <v>24777</v>
      </c>
      <c r="U666" s="8">
        <v>43461</v>
      </c>
      <c r="W666" s="6" t="s">
        <v>33</v>
      </c>
      <c r="X666" s="95">
        <v>50196</v>
      </c>
    </row>
    <row r="667" spans="1:24" x14ac:dyDescent="0.25">
      <c r="A667" s="6" t="s">
        <v>85</v>
      </c>
      <c r="B667" s="94" t="s">
        <v>2305</v>
      </c>
      <c r="C667" s="6" t="s">
        <v>2306</v>
      </c>
      <c r="D667" s="140">
        <v>11957951</v>
      </c>
      <c r="E667" s="6" t="s">
        <v>866</v>
      </c>
      <c r="F667" s="10" t="s">
        <v>44</v>
      </c>
      <c r="G667" s="6" t="s">
        <v>2307</v>
      </c>
      <c r="H667" s="8">
        <v>112171</v>
      </c>
      <c r="I667" s="8">
        <v>43339</v>
      </c>
      <c r="J667" s="8">
        <v>43339</v>
      </c>
      <c r="K667" s="95">
        <v>43355</v>
      </c>
      <c r="L667" s="95" t="s">
        <v>31</v>
      </c>
      <c r="M667" s="8">
        <v>43356</v>
      </c>
      <c r="N667" s="108">
        <v>43545</v>
      </c>
      <c r="O667" s="108">
        <v>43535</v>
      </c>
      <c r="P667" s="107" t="s">
        <v>75</v>
      </c>
      <c r="Q667" s="110"/>
      <c r="R667" s="97" t="str">
        <f t="shared" si="24"/>
        <v/>
      </c>
      <c r="S667" s="75" t="str">
        <f t="shared" si="25"/>
        <v/>
      </c>
      <c r="U667" s="8">
        <v>44776</v>
      </c>
      <c r="W667" s="6" t="s">
        <v>84</v>
      </c>
      <c r="X667" s="95">
        <v>52431</v>
      </c>
    </row>
    <row r="668" spans="1:24" x14ac:dyDescent="0.25">
      <c r="A668" s="6" t="s">
        <v>65</v>
      </c>
      <c r="B668" s="94" t="s">
        <v>197</v>
      </c>
      <c r="C668" s="6" t="s">
        <v>2308</v>
      </c>
      <c r="D668" s="140">
        <v>11352651</v>
      </c>
      <c r="E668" s="6" t="s">
        <v>224</v>
      </c>
      <c r="F668" s="6" t="s">
        <v>44</v>
      </c>
      <c r="G668" s="6" t="s">
        <v>2309</v>
      </c>
      <c r="H668" s="8">
        <v>50681</v>
      </c>
      <c r="I668" s="8">
        <v>43341</v>
      </c>
      <c r="J668" s="8">
        <v>43341</v>
      </c>
      <c r="K668" s="95">
        <v>43362</v>
      </c>
      <c r="L668" s="95" t="s">
        <v>31</v>
      </c>
      <c r="M668" s="8">
        <v>43367</v>
      </c>
      <c r="N668" s="8">
        <v>43390</v>
      </c>
      <c r="O668" s="8">
        <v>43497</v>
      </c>
      <c r="P668" s="6" t="s">
        <v>35</v>
      </c>
      <c r="Q668" s="96">
        <v>1095</v>
      </c>
      <c r="R668" s="97">
        <f t="shared" si="24"/>
        <v>3</v>
      </c>
      <c r="S668" s="75">
        <f t="shared" si="25"/>
        <v>24777</v>
      </c>
      <c r="T668" s="124" t="s">
        <v>301</v>
      </c>
      <c r="U668" s="8">
        <v>43508</v>
      </c>
      <c r="W668" s="6" t="s">
        <v>33</v>
      </c>
      <c r="X668" s="95">
        <v>45222</v>
      </c>
    </row>
    <row r="669" spans="1:24" x14ac:dyDescent="0.25">
      <c r="A669" s="6" t="s">
        <v>65</v>
      </c>
      <c r="B669" s="94" t="s">
        <v>291</v>
      </c>
      <c r="C669" s="6" t="s">
        <v>2310</v>
      </c>
      <c r="D669" s="140">
        <v>12144903</v>
      </c>
      <c r="E669" s="6" t="s">
        <v>61</v>
      </c>
      <c r="F669" s="10" t="s">
        <v>81</v>
      </c>
      <c r="G669" s="6" t="s">
        <v>2311</v>
      </c>
      <c r="H669" s="8">
        <v>44324</v>
      </c>
      <c r="I669" s="8">
        <v>43270</v>
      </c>
      <c r="J669" s="8">
        <v>43270</v>
      </c>
      <c r="K669" s="95">
        <v>43283</v>
      </c>
      <c r="L669" s="95" t="s">
        <v>31</v>
      </c>
      <c r="M669" s="8">
        <v>43291</v>
      </c>
      <c r="N669" s="8">
        <v>43558</v>
      </c>
      <c r="O669" s="8">
        <v>43537</v>
      </c>
      <c r="P669" s="101" t="s">
        <v>52</v>
      </c>
      <c r="R669" s="97" t="str">
        <f t="shared" si="24"/>
        <v/>
      </c>
      <c r="S669" s="75" t="str">
        <f t="shared" si="25"/>
        <v/>
      </c>
      <c r="T669" s="124" t="s">
        <v>2021</v>
      </c>
      <c r="U669" s="8">
        <v>43558</v>
      </c>
      <c r="W669" s="6" t="s">
        <v>33</v>
      </c>
      <c r="X669" s="95">
        <v>45546</v>
      </c>
    </row>
    <row r="670" spans="1:24" x14ac:dyDescent="0.25">
      <c r="A670" s="6" t="s">
        <v>168</v>
      </c>
      <c r="B670" s="94" t="s">
        <v>2312</v>
      </c>
      <c r="C670" s="6" t="s">
        <v>2313</v>
      </c>
      <c r="D670" s="140">
        <v>11192757</v>
      </c>
      <c r="E670" s="6" t="s">
        <v>2314</v>
      </c>
      <c r="F670" s="10" t="s">
        <v>57</v>
      </c>
      <c r="G670" s="6" t="s">
        <v>2315</v>
      </c>
      <c r="H670" s="8">
        <v>77914</v>
      </c>
      <c r="I670" s="8">
        <v>44329</v>
      </c>
      <c r="J670" s="8">
        <v>44342</v>
      </c>
      <c r="K670" s="95">
        <v>44343</v>
      </c>
      <c r="L670" s="95" t="s">
        <v>31</v>
      </c>
      <c r="M670" s="8">
        <v>44361</v>
      </c>
      <c r="N670" s="8">
        <v>44566</v>
      </c>
      <c r="O670" s="8">
        <v>44543</v>
      </c>
      <c r="P670" s="6" t="s">
        <v>35</v>
      </c>
      <c r="Q670" s="96">
        <v>2710</v>
      </c>
      <c r="R670" s="97">
        <f t="shared" si="24"/>
        <v>7.4246575342465757</v>
      </c>
      <c r="S670" s="75">
        <f t="shared" si="25"/>
        <v>61320.246575342469</v>
      </c>
      <c r="U670" s="8">
        <v>44622</v>
      </c>
      <c r="W670" s="6" t="s">
        <v>84</v>
      </c>
      <c r="X670" s="7">
        <v>47283</v>
      </c>
    </row>
    <row r="671" spans="1:24" ht="30" x14ac:dyDescent="0.25">
      <c r="A671" s="6" t="s">
        <v>65</v>
      </c>
      <c r="B671" s="94" t="s">
        <v>2316</v>
      </c>
      <c r="C671" s="6" t="s">
        <v>2317</v>
      </c>
      <c r="D671" s="140">
        <v>11943293</v>
      </c>
      <c r="E671" s="6" t="s">
        <v>216</v>
      </c>
      <c r="F671" s="10" t="s">
        <v>81</v>
      </c>
      <c r="G671" s="6">
        <v>28481</v>
      </c>
      <c r="H671" s="8">
        <v>44866</v>
      </c>
      <c r="I671" s="8">
        <v>43272</v>
      </c>
      <c r="J671" s="8">
        <v>43272</v>
      </c>
      <c r="K671" s="95">
        <v>43283</v>
      </c>
      <c r="L671" s="95" t="s">
        <v>31</v>
      </c>
      <c r="M671" s="8">
        <v>43291</v>
      </c>
      <c r="N671" s="8">
        <v>43558</v>
      </c>
      <c r="O671" s="8">
        <v>43537</v>
      </c>
      <c r="P671" s="101" t="s">
        <v>52</v>
      </c>
      <c r="R671" s="97" t="str">
        <f t="shared" si="24"/>
        <v/>
      </c>
      <c r="S671" s="75" t="str">
        <f t="shared" si="25"/>
        <v/>
      </c>
      <c r="T671" s="124" t="s">
        <v>2318</v>
      </c>
      <c r="U671" s="8">
        <v>43558</v>
      </c>
      <c r="V671" s="6" t="s">
        <v>36</v>
      </c>
      <c r="W671" s="6" t="s">
        <v>33</v>
      </c>
      <c r="X671" s="95">
        <v>42916</v>
      </c>
    </row>
    <row r="672" spans="1:24" x14ac:dyDescent="0.25">
      <c r="A672" s="6" t="s">
        <v>37</v>
      </c>
      <c r="B672" s="94" t="s">
        <v>1891</v>
      </c>
      <c r="C672" s="6" t="s">
        <v>2319</v>
      </c>
      <c r="D672" s="140">
        <v>11204407</v>
      </c>
      <c r="E672" s="6" t="s">
        <v>228</v>
      </c>
      <c r="F672" s="10" t="s">
        <v>44</v>
      </c>
      <c r="G672" s="6" t="s">
        <v>2320</v>
      </c>
      <c r="H672" s="8">
        <v>46180</v>
      </c>
      <c r="I672" s="8">
        <v>43342</v>
      </c>
      <c r="J672" s="8">
        <v>43350</v>
      </c>
      <c r="K672" s="95">
        <v>43350</v>
      </c>
      <c r="L672" s="95" t="s">
        <v>31</v>
      </c>
      <c r="M672" s="8">
        <v>43360</v>
      </c>
      <c r="N672" s="108">
        <v>44348</v>
      </c>
      <c r="O672" s="108">
        <v>44344</v>
      </c>
      <c r="P672" s="107" t="s">
        <v>45</v>
      </c>
      <c r="Q672" s="110"/>
      <c r="R672" s="97" t="str">
        <f t="shared" si="24"/>
        <v/>
      </c>
      <c r="S672" s="75" t="str">
        <f t="shared" si="25"/>
        <v/>
      </c>
      <c r="T672" s="129" t="s">
        <v>2321</v>
      </c>
      <c r="U672" s="8">
        <v>44783</v>
      </c>
      <c r="W672" s="6" t="s">
        <v>33</v>
      </c>
      <c r="X672" s="95">
        <v>49081</v>
      </c>
    </row>
    <row r="673" spans="1:24" x14ac:dyDescent="0.25">
      <c r="A673" s="6" t="s">
        <v>117</v>
      </c>
      <c r="B673" s="94" t="s">
        <v>2322</v>
      </c>
      <c r="C673" s="6" t="s">
        <v>2323</v>
      </c>
      <c r="D673" s="140">
        <v>11571215</v>
      </c>
      <c r="E673" s="6" t="s">
        <v>2324</v>
      </c>
      <c r="F673" s="6" t="s">
        <v>299</v>
      </c>
      <c r="G673" s="6" t="s">
        <v>2325</v>
      </c>
      <c r="H673" s="8">
        <v>45266</v>
      </c>
      <c r="I673" s="8">
        <v>43343</v>
      </c>
      <c r="J673" s="8">
        <v>43343</v>
      </c>
      <c r="K673" s="95">
        <v>43348</v>
      </c>
      <c r="L673" s="95" t="s">
        <v>31</v>
      </c>
      <c r="M673" s="8">
        <v>43353</v>
      </c>
      <c r="N673" s="8">
        <v>43405</v>
      </c>
      <c r="O673" s="8">
        <v>43397</v>
      </c>
      <c r="P673" s="6" t="s">
        <v>35</v>
      </c>
      <c r="Q673" s="96">
        <v>730</v>
      </c>
      <c r="R673" s="97">
        <f t="shared" si="24"/>
        <v>2</v>
      </c>
      <c r="S673" s="75">
        <f t="shared" si="25"/>
        <v>16518</v>
      </c>
      <c r="U673" s="8">
        <v>43413</v>
      </c>
      <c r="V673" s="100"/>
      <c r="W673" s="100" t="s">
        <v>33</v>
      </c>
      <c r="X673" s="104">
        <v>43953</v>
      </c>
    </row>
    <row r="674" spans="1:24" x14ac:dyDescent="0.25">
      <c r="A674" s="6" t="s">
        <v>117</v>
      </c>
      <c r="B674" s="94" t="s">
        <v>467</v>
      </c>
      <c r="C674" s="6" t="s">
        <v>2326</v>
      </c>
      <c r="D674" s="140">
        <v>11956559</v>
      </c>
      <c r="E674" s="6" t="s">
        <v>540</v>
      </c>
      <c r="F674" s="6" t="s">
        <v>437</v>
      </c>
      <c r="G674" s="6" t="s">
        <v>2327</v>
      </c>
      <c r="H674" s="8">
        <v>45297</v>
      </c>
      <c r="I674" s="8">
        <v>43343</v>
      </c>
      <c r="J674" s="8">
        <v>43343</v>
      </c>
      <c r="K674" s="95">
        <v>43348</v>
      </c>
      <c r="L674" s="95" t="s">
        <v>31</v>
      </c>
      <c r="M674" s="8">
        <v>43353</v>
      </c>
      <c r="N674" s="8">
        <v>43402</v>
      </c>
      <c r="O674" s="8">
        <v>43396</v>
      </c>
      <c r="P674" s="6" t="s">
        <v>35</v>
      </c>
      <c r="Q674" s="96">
        <v>730</v>
      </c>
      <c r="R674" s="97">
        <f t="shared" si="24"/>
        <v>2</v>
      </c>
      <c r="S674" s="75">
        <f t="shared" si="25"/>
        <v>16518</v>
      </c>
      <c r="T674" s="124" t="s">
        <v>2328</v>
      </c>
      <c r="U674" s="8">
        <v>43405</v>
      </c>
      <c r="W674" s="6" t="s">
        <v>33</v>
      </c>
      <c r="X674" s="95">
        <v>42313</v>
      </c>
    </row>
    <row r="675" spans="1:24" x14ac:dyDescent="0.25">
      <c r="A675" s="6" t="s">
        <v>117</v>
      </c>
      <c r="B675" s="94" t="s">
        <v>2329</v>
      </c>
      <c r="C675" s="6" t="s">
        <v>2330</v>
      </c>
      <c r="D675" s="140">
        <v>11928829</v>
      </c>
      <c r="E675" s="6" t="s">
        <v>460</v>
      </c>
      <c r="F675" s="10" t="s">
        <v>44</v>
      </c>
      <c r="G675" s="6" t="s">
        <v>2331</v>
      </c>
      <c r="H675" s="8">
        <v>44672</v>
      </c>
      <c r="I675" s="8">
        <v>43343</v>
      </c>
      <c r="J675" s="95">
        <v>43343</v>
      </c>
      <c r="K675" s="95">
        <v>43347</v>
      </c>
      <c r="L675" s="95" t="s">
        <v>31</v>
      </c>
      <c r="M675" s="8">
        <v>43353</v>
      </c>
      <c r="N675" s="8">
        <v>43430</v>
      </c>
      <c r="O675" s="8">
        <v>43424</v>
      </c>
      <c r="P675" s="6" t="s">
        <v>35</v>
      </c>
      <c r="Q675" s="96">
        <v>730</v>
      </c>
      <c r="R675" s="97">
        <f t="shared" si="24"/>
        <v>2</v>
      </c>
      <c r="S675" s="75">
        <f t="shared" si="25"/>
        <v>16518</v>
      </c>
      <c r="T675" s="124" t="s">
        <v>561</v>
      </c>
      <c r="U675" s="8">
        <v>43433</v>
      </c>
      <c r="W675" s="6" t="s">
        <v>33</v>
      </c>
      <c r="X675" s="95">
        <v>42356</v>
      </c>
    </row>
    <row r="676" spans="1:24" x14ac:dyDescent="0.25">
      <c r="A676" s="6" t="s">
        <v>117</v>
      </c>
      <c r="B676" s="94" t="s">
        <v>197</v>
      </c>
      <c r="C676" s="6" t="s">
        <v>2332</v>
      </c>
      <c r="D676" s="140">
        <v>11263836</v>
      </c>
      <c r="E676" s="6" t="s">
        <v>104</v>
      </c>
      <c r="F676" s="10" t="s">
        <v>455</v>
      </c>
      <c r="G676" s="6" t="s">
        <v>2333</v>
      </c>
      <c r="H676" s="8">
        <v>64996</v>
      </c>
      <c r="I676" s="8">
        <v>43343</v>
      </c>
      <c r="J676" s="95">
        <v>43343</v>
      </c>
      <c r="K676" s="95">
        <v>43347</v>
      </c>
      <c r="L676" s="95" t="s">
        <v>31</v>
      </c>
      <c r="M676" s="8">
        <v>43353</v>
      </c>
      <c r="N676" s="8">
        <v>43433</v>
      </c>
      <c r="O676" s="8">
        <v>43425</v>
      </c>
      <c r="P676" s="6" t="s">
        <v>35</v>
      </c>
      <c r="Q676" s="96">
        <v>730</v>
      </c>
      <c r="R676" s="97">
        <f t="shared" si="24"/>
        <v>2</v>
      </c>
      <c r="S676" s="75">
        <f t="shared" si="25"/>
        <v>16518</v>
      </c>
      <c r="T676" s="124" t="s">
        <v>2334</v>
      </c>
      <c r="U676" s="8">
        <v>43437</v>
      </c>
      <c r="W676" s="6" t="s">
        <v>84</v>
      </c>
      <c r="X676" s="95">
        <v>50322</v>
      </c>
    </row>
    <row r="677" spans="1:24" x14ac:dyDescent="0.25">
      <c r="A677" s="6" t="s">
        <v>117</v>
      </c>
      <c r="B677" s="94" t="s">
        <v>2335</v>
      </c>
      <c r="C677" s="6" t="s">
        <v>2336</v>
      </c>
      <c r="D677" s="140">
        <v>11553061</v>
      </c>
      <c r="E677" s="6" t="s">
        <v>678</v>
      </c>
      <c r="F677" s="10" t="s">
        <v>455</v>
      </c>
      <c r="G677" s="6" t="s">
        <v>2337</v>
      </c>
      <c r="H677" s="8">
        <v>2958465</v>
      </c>
      <c r="I677" s="8">
        <v>43343</v>
      </c>
      <c r="J677" s="95">
        <v>43343</v>
      </c>
      <c r="K677" s="95">
        <v>43347</v>
      </c>
      <c r="L677" s="95" t="s">
        <v>31</v>
      </c>
      <c r="M677" s="8">
        <v>43353</v>
      </c>
      <c r="N677" s="8">
        <v>43433</v>
      </c>
      <c r="O677" s="8">
        <v>43418</v>
      </c>
      <c r="P677" s="6" t="s">
        <v>35</v>
      </c>
      <c r="Q677" s="96">
        <v>365</v>
      </c>
      <c r="R677" s="97">
        <f t="shared" ref="R677:R740" si="26">IF(Q677&gt;0, Q677/365, "")</f>
        <v>1</v>
      </c>
      <c r="S677" s="75">
        <f t="shared" si="25"/>
        <v>8259</v>
      </c>
      <c r="T677" s="124" t="s">
        <v>457</v>
      </c>
      <c r="U677" s="8">
        <v>43437</v>
      </c>
      <c r="W677" s="6" t="s">
        <v>84</v>
      </c>
      <c r="X677" s="6" t="s">
        <v>683</v>
      </c>
    </row>
    <row r="678" spans="1:24" x14ac:dyDescent="0.25">
      <c r="A678" s="6" t="s">
        <v>117</v>
      </c>
      <c r="B678" s="94" t="s">
        <v>2338</v>
      </c>
      <c r="C678" s="6" t="s">
        <v>2339</v>
      </c>
      <c r="D678" s="140">
        <v>11628366</v>
      </c>
      <c r="E678" s="6" t="s">
        <v>2340</v>
      </c>
      <c r="F678" s="6" t="s">
        <v>437</v>
      </c>
      <c r="G678" s="6" t="s">
        <v>2341</v>
      </c>
      <c r="H678" s="8">
        <v>45279</v>
      </c>
      <c r="I678" s="8">
        <v>43343</v>
      </c>
      <c r="J678" s="8">
        <v>43343</v>
      </c>
      <c r="K678" s="95">
        <v>43348</v>
      </c>
      <c r="L678" s="95" t="s">
        <v>31</v>
      </c>
      <c r="M678" s="8">
        <v>43351</v>
      </c>
      <c r="N678" s="8">
        <v>43453</v>
      </c>
      <c r="O678" s="8">
        <v>43113</v>
      </c>
      <c r="P678" s="6" t="s">
        <v>35</v>
      </c>
      <c r="Q678" s="96">
        <v>730</v>
      </c>
      <c r="R678" s="97">
        <f t="shared" si="26"/>
        <v>2</v>
      </c>
      <c r="S678" s="75">
        <f t="shared" si="25"/>
        <v>16518</v>
      </c>
      <c r="U678" s="8">
        <v>43455</v>
      </c>
      <c r="W678" s="6" t="s">
        <v>33</v>
      </c>
      <c r="X678" s="95">
        <v>44191</v>
      </c>
    </row>
    <row r="679" spans="1:24" x14ac:dyDescent="0.25">
      <c r="A679" s="6" t="s">
        <v>117</v>
      </c>
      <c r="B679" s="94" t="s">
        <v>590</v>
      </c>
      <c r="C679" s="6" t="s">
        <v>2342</v>
      </c>
      <c r="D679" s="140">
        <v>11902441</v>
      </c>
      <c r="E679" s="6" t="s">
        <v>247</v>
      </c>
      <c r="F679" s="10" t="s">
        <v>528</v>
      </c>
      <c r="G679" s="6" t="s">
        <v>2343</v>
      </c>
      <c r="H679" s="8">
        <v>71881</v>
      </c>
      <c r="I679" s="8">
        <v>43343</v>
      </c>
      <c r="J679" s="95">
        <v>43343</v>
      </c>
      <c r="K679" s="95">
        <v>43347</v>
      </c>
      <c r="L679" s="95" t="s">
        <v>31</v>
      </c>
      <c r="M679" s="8">
        <v>43353</v>
      </c>
      <c r="N679" s="8">
        <v>43364</v>
      </c>
      <c r="O679" s="8">
        <v>43418</v>
      </c>
      <c r="P679" s="6" t="s">
        <v>35</v>
      </c>
      <c r="Q679" s="96">
        <v>2434</v>
      </c>
      <c r="R679" s="97">
        <f t="shared" si="26"/>
        <v>6.6684931506849319</v>
      </c>
      <c r="S679" s="75">
        <f t="shared" si="25"/>
        <v>55075.084931506848</v>
      </c>
      <c r="T679" s="124" t="s">
        <v>1645</v>
      </c>
      <c r="U679" s="8">
        <v>43496</v>
      </c>
      <c r="V679" s="100"/>
      <c r="W679" s="100" t="s">
        <v>84</v>
      </c>
      <c r="X679" s="104">
        <v>46517</v>
      </c>
    </row>
    <row r="680" spans="1:24" x14ac:dyDescent="0.25">
      <c r="A680" s="6" t="s">
        <v>117</v>
      </c>
      <c r="B680" s="94" t="s">
        <v>2344</v>
      </c>
      <c r="C680" s="6" t="s">
        <v>2345</v>
      </c>
      <c r="D680" s="140">
        <v>11621656</v>
      </c>
      <c r="E680" s="6" t="s">
        <v>570</v>
      </c>
      <c r="F680" s="10" t="s">
        <v>528</v>
      </c>
      <c r="G680" s="6" t="s">
        <v>2346</v>
      </c>
      <c r="H680" s="8">
        <v>81738</v>
      </c>
      <c r="I680" s="8">
        <v>43343</v>
      </c>
      <c r="J680" s="95">
        <v>43343</v>
      </c>
      <c r="K680" s="95">
        <v>43347</v>
      </c>
      <c r="L680" s="95" t="s">
        <v>31</v>
      </c>
      <c r="M680" s="8">
        <v>43353</v>
      </c>
      <c r="N680" s="8">
        <v>43364</v>
      </c>
      <c r="O680" s="8">
        <v>43418</v>
      </c>
      <c r="P680" s="6" t="s">
        <v>35</v>
      </c>
      <c r="Q680" s="96">
        <v>365</v>
      </c>
      <c r="R680" s="97">
        <f t="shared" si="26"/>
        <v>1</v>
      </c>
      <c r="S680" s="75">
        <f t="shared" si="25"/>
        <v>8259</v>
      </c>
      <c r="T680" s="124" t="s">
        <v>159</v>
      </c>
      <c r="U680" s="8">
        <v>43481</v>
      </c>
      <c r="W680" s="6" t="s">
        <v>84</v>
      </c>
      <c r="X680" s="95">
        <v>48360</v>
      </c>
    </row>
    <row r="681" spans="1:24" x14ac:dyDescent="0.25">
      <c r="A681" s="6" t="s">
        <v>369</v>
      </c>
      <c r="B681" s="94" t="s">
        <v>2347</v>
      </c>
      <c r="C681" s="6" t="s">
        <v>2348</v>
      </c>
      <c r="D681" s="140">
        <v>11276371</v>
      </c>
      <c r="E681" s="6" t="s">
        <v>1156</v>
      </c>
      <c r="F681" s="10" t="s">
        <v>148</v>
      </c>
      <c r="G681" s="6" t="s">
        <v>2349</v>
      </c>
      <c r="H681" s="8">
        <v>46001</v>
      </c>
      <c r="I681" s="8">
        <v>43313</v>
      </c>
      <c r="J681" s="8">
        <v>43326</v>
      </c>
      <c r="K681" s="95">
        <v>43334</v>
      </c>
      <c r="L681" s="95" t="s">
        <v>31</v>
      </c>
      <c r="M681" s="8">
        <v>43341</v>
      </c>
      <c r="N681" s="8">
        <v>43669</v>
      </c>
      <c r="O681" s="8">
        <v>43657</v>
      </c>
      <c r="P681" s="6" t="s">
        <v>35</v>
      </c>
      <c r="Q681" s="96">
        <v>1655</v>
      </c>
      <c r="R681" s="97">
        <f t="shared" si="26"/>
        <v>4.5342465753424657</v>
      </c>
      <c r="S681" s="75">
        <f t="shared" si="25"/>
        <v>37448.342465753427</v>
      </c>
      <c r="T681" s="124">
        <v>43657</v>
      </c>
      <c r="U681" s="8">
        <v>43675</v>
      </c>
      <c r="W681" s="6" t="s">
        <v>33</v>
      </c>
      <c r="X681" s="95">
        <v>45098</v>
      </c>
    </row>
    <row r="682" spans="1:24" x14ac:dyDescent="0.25">
      <c r="A682" s="6" t="s">
        <v>117</v>
      </c>
      <c r="B682" s="94" t="s">
        <v>86</v>
      </c>
      <c r="C682" s="6" t="s">
        <v>2350</v>
      </c>
      <c r="D682" s="140">
        <v>11880866</v>
      </c>
      <c r="E682" s="6" t="s">
        <v>464</v>
      </c>
      <c r="F682" s="10" t="s">
        <v>528</v>
      </c>
      <c r="G682" s="6" t="s">
        <v>2351</v>
      </c>
      <c r="H682" s="8">
        <v>2958465</v>
      </c>
      <c r="I682" s="8">
        <v>43343</v>
      </c>
      <c r="J682" s="95">
        <v>43343</v>
      </c>
      <c r="K682" s="95">
        <v>43347</v>
      </c>
      <c r="L682" s="95" t="s">
        <v>31</v>
      </c>
      <c r="M682" s="8">
        <v>43353</v>
      </c>
      <c r="N682" s="8">
        <v>43364</v>
      </c>
      <c r="O682" s="8">
        <v>43418</v>
      </c>
      <c r="P682" s="6" t="s">
        <v>35</v>
      </c>
      <c r="Q682" s="96">
        <v>1095</v>
      </c>
      <c r="R682" s="97">
        <f t="shared" si="26"/>
        <v>3</v>
      </c>
      <c r="S682" s="75">
        <f t="shared" si="25"/>
        <v>24777</v>
      </c>
      <c r="T682" s="124">
        <v>43418</v>
      </c>
      <c r="U682" s="8">
        <v>43444</v>
      </c>
      <c r="W682" s="6" t="s">
        <v>84</v>
      </c>
      <c r="X682" s="95">
        <v>45584</v>
      </c>
    </row>
    <row r="683" spans="1:24" x14ac:dyDescent="0.25">
      <c r="A683" s="6" t="s">
        <v>65</v>
      </c>
      <c r="B683" s="94" t="s">
        <v>2226</v>
      </c>
      <c r="C683" s="6" t="s">
        <v>2352</v>
      </c>
      <c r="D683" s="140">
        <v>11302169</v>
      </c>
      <c r="E683" s="6" t="s">
        <v>1064</v>
      </c>
      <c r="F683" s="6" t="s">
        <v>81</v>
      </c>
      <c r="G683" s="6" t="s">
        <v>2353</v>
      </c>
      <c r="H683" s="8">
        <v>47297</v>
      </c>
      <c r="I683" s="8">
        <v>43278</v>
      </c>
      <c r="J683" s="8">
        <v>43279</v>
      </c>
      <c r="K683" s="95">
        <v>43299</v>
      </c>
      <c r="L683" s="95" t="s">
        <v>31</v>
      </c>
      <c r="M683" s="8">
        <v>43305</v>
      </c>
      <c r="N683" s="8">
        <v>43558</v>
      </c>
      <c r="O683" s="8">
        <v>43537</v>
      </c>
      <c r="P683" s="101" t="s">
        <v>52</v>
      </c>
      <c r="R683" s="97" t="str">
        <f t="shared" si="26"/>
        <v/>
      </c>
      <c r="S683" s="75" t="str">
        <f t="shared" si="25"/>
        <v/>
      </c>
      <c r="T683" s="124" t="s">
        <v>2021</v>
      </c>
      <c r="U683" s="8">
        <v>43558</v>
      </c>
      <c r="V683" s="107"/>
      <c r="W683" s="107" t="s">
        <v>33</v>
      </c>
      <c r="X683" s="109">
        <v>44993</v>
      </c>
    </row>
    <row r="684" spans="1:24" x14ac:dyDescent="0.25">
      <c r="A684" s="6" t="s">
        <v>70</v>
      </c>
      <c r="B684" s="94" t="s">
        <v>238</v>
      </c>
      <c r="C684" s="6" t="s">
        <v>2354</v>
      </c>
      <c r="D684" s="140">
        <v>11962629</v>
      </c>
      <c r="E684" s="6" t="s">
        <v>2355</v>
      </c>
      <c r="F684" s="10" t="s">
        <v>81</v>
      </c>
      <c r="G684" s="6" t="s">
        <v>2356</v>
      </c>
      <c r="H684" s="8">
        <v>44245</v>
      </c>
      <c r="I684" s="8">
        <v>43299</v>
      </c>
      <c r="J684" s="8">
        <v>43301</v>
      </c>
      <c r="K684" s="95">
        <v>43306</v>
      </c>
      <c r="L684" s="95" t="s">
        <v>31</v>
      </c>
      <c r="M684" s="8">
        <v>43312</v>
      </c>
      <c r="N684" s="8">
        <v>43558</v>
      </c>
      <c r="O684" s="8">
        <v>43537</v>
      </c>
      <c r="P684" s="101" t="s">
        <v>52</v>
      </c>
      <c r="R684" s="97" t="str">
        <f t="shared" si="26"/>
        <v/>
      </c>
      <c r="S684" s="75" t="str">
        <f t="shared" si="25"/>
        <v/>
      </c>
      <c r="T684" s="124" t="s">
        <v>2021</v>
      </c>
      <c r="U684" s="8">
        <v>43558</v>
      </c>
      <c r="W684" s="6" t="s">
        <v>33</v>
      </c>
      <c r="X684" s="95">
        <v>53767</v>
      </c>
    </row>
    <row r="685" spans="1:24" x14ac:dyDescent="0.25">
      <c r="A685" s="6" t="s">
        <v>117</v>
      </c>
      <c r="B685" s="94" t="s">
        <v>188</v>
      </c>
      <c r="C685" s="6" t="s">
        <v>2357</v>
      </c>
      <c r="D685" s="140">
        <v>11609343</v>
      </c>
      <c r="E685" s="6" t="s">
        <v>866</v>
      </c>
      <c r="F685" s="6" t="s">
        <v>309</v>
      </c>
      <c r="G685" s="6" t="s">
        <v>2358</v>
      </c>
      <c r="H685" s="8">
        <v>45708</v>
      </c>
      <c r="I685" s="8">
        <v>43343</v>
      </c>
      <c r="J685" s="8">
        <v>43343</v>
      </c>
      <c r="K685" s="95">
        <v>43347</v>
      </c>
      <c r="L685" s="95" t="s">
        <v>31</v>
      </c>
      <c r="M685" s="8">
        <v>43353</v>
      </c>
      <c r="N685" s="8">
        <v>43473</v>
      </c>
      <c r="O685" s="8">
        <v>43403</v>
      </c>
      <c r="P685" s="6" t="s">
        <v>35</v>
      </c>
      <c r="Q685" s="96">
        <v>365</v>
      </c>
      <c r="R685" s="97">
        <f t="shared" si="26"/>
        <v>1</v>
      </c>
      <c r="S685" s="75">
        <f t="shared" si="25"/>
        <v>8259</v>
      </c>
      <c r="T685" s="128" t="s">
        <v>2359</v>
      </c>
      <c r="U685" s="8">
        <v>43476</v>
      </c>
      <c r="W685" s="6" t="s">
        <v>33</v>
      </c>
      <c r="X685" s="95">
        <v>44212</v>
      </c>
    </row>
    <row r="686" spans="1:24" x14ac:dyDescent="0.25">
      <c r="A686" s="6" t="s">
        <v>117</v>
      </c>
      <c r="B686" s="94" t="s">
        <v>1123</v>
      </c>
      <c r="C686" s="6" t="s">
        <v>2360</v>
      </c>
      <c r="D686" s="140">
        <v>11905862</v>
      </c>
      <c r="E686" s="6" t="s">
        <v>1459</v>
      </c>
      <c r="F686" s="6" t="s">
        <v>309</v>
      </c>
      <c r="G686" s="6" t="s">
        <v>2361</v>
      </c>
      <c r="H686" s="8">
        <v>45414</v>
      </c>
      <c r="I686" s="8">
        <v>43343</v>
      </c>
      <c r="J686" s="8">
        <v>43343</v>
      </c>
      <c r="K686" s="95">
        <v>43348</v>
      </c>
      <c r="L686" s="95" t="s">
        <v>31</v>
      </c>
      <c r="M686" s="8">
        <v>43353</v>
      </c>
      <c r="R686" s="97" t="str">
        <f t="shared" si="26"/>
        <v/>
      </c>
      <c r="S686" s="75" t="str">
        <f t="shared" si="25"/>
        <v/>
      </c>
      <c r="W686" s="6" t="s">
        <v>33</v>
      </c>
      <c r="X686" s="95">
        <v>41481</v>
      </c>
    </row>
    <row r="687" spans="1:24" x14ac:dyDescent="0.25">
      <c r="A687" s="6" t="s">
        <v>25</v>
      </c>
      <c r="B687" s="94" t="s">
        <v>2192</v>
      </c>
      <c r="C687" s="6" t="s">
        <v>2193</v>
      </c>
      <c r="D687" s="140">
        <v>11948506</v>
      </c>
      <c r="E687" s="6" t="s">
        <v>166</v>
      </c>
      <c r="F687" s="10" t="s">
        <v>44</v>
      </c>
      <c r="G687" s="6" t="s">
        <v>1530</v>
      </c>
      <c r="H687" s="8">
        <v>47420</v>
      </c>
      <c r="I687" s="8">
        <v>43642</v>
      </c>
      <c r="J687" s="8">
        <v>43648</v>
      </c>
      <c r="K687" s="95">
        <v>43712</v>
      </c>
      <c r="L687" s="95" t="s">
        <v>359</v>
      </c>
      <c r="R687" s="97" t="str">
        <f t="shared" si="26"/>
        <v/>
      </c>
      <c r="S687" s="75" t="str">
        <f t="shared" si="25"/>
        <v/>
      </c>
      <c r="W687" s="6" t="s">
        <v>33</v>
      </c>
      <c r="X687" s="95">
        <v>38159</v>
      </c>
    </row>
    <row r="688" spans="1:24" x14ac:dyDescent="0.25">
      <c r="A688" s="6" t="s">
        <v>117</v>
      </c>
      <c r="B688" s="94" t="s">
        <v>1154</v>
      </c>
      <c r="C688" s="6" t="s">
        <v>2362</v>
      </c>
      <c r="D688" s="140">
        <v>11996571</v>
      </c>
      <c r="E688" s="6" t="s">
        <v>706</v>
      </c>
      <c r="F688" s="6" t="s">
        <v>29</v>
      </c>
      <c r="G688" s="6" t="s">
        <v>2363</v>
      </c>
      <c r="H688" s="8">
        <v>45212</v>
      </c>
      <c r="I688" s="8">
        <v>43343</v>
      </c>
      <c r="J688" s="8">
        <v>43343</v>
      </c>
      <c r="K688" s="95">
        <v>43348</v>
      </c>
      <c r="L688" s="95" t="s">
        <v>31</v>
      </c>
      <c r="M688" s="8">
        <v>43353</v>
      </c>
      <c r="N688" s="8">
        <v>43453</v>
      </c>
      <c r="O688" s="8">
        <v>43420</v>
      </c>
      <c r="P688" s="6" t="s">
        <v>35</v>
      </c>
      <c r="Q688" s="96">
        <v>121</v>
      </c>
      <c r="R688" s="97">
        <f t="shared" si="26"/>
        <v>0.33150684931506852</v>
      </c>
      <c r="S688" s="75">
        <f t="shared" si="25"/>
        <v>2737.9150684931506</v>
      </c>
      <c r="U688" s="8">
        <v>43455</v>
      </c>
      <c r="W688" s="6" t="s">
        <v>33</v>
      </c>
      <c r="X688" s="95">
        <v>38159</v>
      </c>
    </row>
    <row r="689" spans="1:24" x14ac:dyDescent="0.25">
      <c r="A689" s="6" t="s">
        <v>117</v>
      </c>
      <c r="B689" s="94" t="s">
        <v>2364</v>
      </c>
      <c r="C689" s="6" t="s">
        <v>2365</v>
      </c>
      <c r="D689" s="140">
        <v>11609073</v>
      </c>
      <c r="E689" s="6" t="s">
        <v>997</v>
      </c>
      <c r="F689" s="6" t="s">
        <v>44</v>
      </c>
      <c r="G689" s="6" t="s">
        <v>2366</v>
      </c>
      <c r="H689" s="8">
        <v>45668</v>
      </c>
      <c r="I689" s="8">
        <v>43343</v>
      </c>
      <c r="J689" s="8">
        <v>43343</v>
      </c>
      <c r="K689" s="95">
        <v>43347</v>
      </c>
      <c r="L689" s="95" t="s">
        <v>31</v>
      </c>
      <c r="M689" s="8">
        <v>43353</v>
      </c>
      <c r="R689" s="97" t="str">
        <f t="shared" si="26"/>
        <v/>
      </c>
      <c r="S689" s="75" t="str">
        <f t="shared" si="25"/>
        <v/>
      </c>
      <c r="W689" s="6" t="s">
        <v>33</v>
      </c>
      <c r="X689" s="95">
        <v>41671</v>
      </c>
    </row>
    <row r="690" spans="1:24" x14ac:dyDescent="0.25">
      <c r="A690" s="6" t="s">
        <v>117</v>
      </c>
      <c r="B690" s="94" t="s">
        <v>323</v>
      </c>
      <c r="C690" s="6" t="s">
        <v>2367</v>
      </c>
      <c r="D690" s="140">
        <v>11912333</v>
      </c>
      <c r="E690" s="6" t="s">
        <v>584</v>
      </c>
      <c r="F690" s="6" t="s">
        <v>309</v>
      </c>
      <c r="G690" s="6" t="s">
        <v>2368</v>
      </c>
      <c r="H690" s="8">
        <v>45642</v>
      </c>
      <c r="I690" s="8">
        <v>43343</v>
      </c>
      <c r="J690" s="8">
        <v>43343</v>
      </c>
      <c r="K690" s="95">
        <v>43347</v>
      </c>
      <c r="L690" s="95" t="s">
        <v>31</v>
      </c>
      <c r="M690" s="8">
        <v>43353</v>
      </c>
      <c r="N690" s="8">
        <v>43473</v>
      </c>
      <c r="O690" s="8">
        <v>43403</v>
      </c>
      <c r="P690" s="6" t="s">
        <v>35</v>
      </c>
      <c r="Q690" s="96">
        <v>974</v>
      </c>
      <c r="R690" s="97">
        <f t="shared" si="26"/>
        <v>2.6684931506849314</v>
      </c>
      <c r="S690" s="75">
        <f t="shared" si="25"/>
        <v>22039.084931506852</v>
      </c>
      <c r="T690" s="124" t="s">
        <v>2369</v>
      </c>
      <c r="U690" s="8">
        <v>43475</v>
      </c>
      <c r="W690" s="6" t="s">
        <v>33</v>
      </c>
      <c r="X690" s="95">
        <v>41341</v>
      </c>
    </row>
    <row r="691" spans="1:24" x14ac:dyDescent="0.25">
      <c r="A691" s="6" t="s">
        <v>117</v>
      </c>
      <c r="B691" s="94" t="s">
        <v>1366</v>
      </c>
      <c r="C691" s="6" t="s">
        <v>2370</v>
      </c>
      <c r="D691" s="140">
        <v>11893913</v>
      </c>
      <c r="E691" s="6" t="s">
        <v>480</v>
      </c>
      <c r="F691" s="6" t="s">
        <v>309</v>
      </c>
      <c r="G691" s="6" t="s">
        <v>2371</v>
      </c>
      <c r="H691" s="8">
        <v>45287</v>
      </c>
      <c r="I691" s="8">
        <v>43343</v>
      </c>
      <c r="J691" s="8">
        <v>43343</v>
      </c>
      <c r="K691" s="95">
        <v>43348</v>
      </c>
      <c r="L691" s="95" t="s">
        <v>31</v>
      </c>
      <c r="M691" s="8">
        <v>43353</v>
      </c>
      <c r="N691" s="8">
        <v>43473</v>
      </c>
      <c r="O691" s="8">
        <v>43403</v>
      </c>
      <c r="P691" s="6" t="s">
        <v>35</v>
      </c>
      <c r="Q691" s="96">
        <v>487</v>
      </c>
      <c r="R691" s="97">
        <f t="shared" si="26"/>
        <v>1.3342465753424657</v>
      </c>
      <c r="S691" s="75">
        <f t="shared" si="25"/>
        <v>11019.542465753426</v>
      </c>
      <c r="T691" s="124" t="s">
        <v>2372</v>
      </c>
      <c r="U691" s="8">
        <v>43475</v>
      </c>
      <c r="W691" s="6" t="s">
        <v>33</v>
      </c>
      <c r="X691" s="95">
        <v>49985</v>
      </c>
    </row>
    <row r="692" spans="1:24" x14ac:dyDescent="0.25">
      <c r="A692" s="6" t="s">
        <v>117</v>
      </c>
      <c r="B692" s="94" t="s">
        <v>944</v>
      </c>
      <c r="C692" s="6" t="s">
        <v>2373</v>
      </c>
      <c r="D692" s="140">
        <v>11677106</v>
      </c>
      <c r="E692" s="6" t="s">
        <v>714</v>
      </c>
      <c r="F692" s="6" t="s">
        <v>309</v>
      </c>
      <c r="G692" s="6" t="s">
        <v>2374</v>
      </c>
      <c r="H692" s="8">
        <v>45255</v>
      </c>
      <c r="I692" s="8">
        <v>43343</v>
      </c>
      <c r="J692" s="8">
        <v>43343</v>
      </c>
      <c r="K692" s="95">
        <v>43348</v>
      </c>
      <c r="L692" s="95" t="s">
        <v>31</v>
      </c>
      <c r="M692" s="8">
        <v>43353</v>
      </c>
      <c r="N692" s="8">
        <v>43473</v>
      </c>
      <c r="O692" s="8">
        <v>43403</v>
      </c>
      <c r="P692" s="6" t="s">
        <v>35</v>
      </c>
      <c r="Q692" s="96">
        <v>243</v>
      </c>
      <c r="R692" s="97">
        <f t="shared" si="26"/>
        <v>0.66575342465753429</v>
      </c>
      <c r="S692" s="75">
        <f t="shared" si="25"/>
        <v>5498.4575342465751</v>
      </c>
      <c r="T692" s="128" t="s">
        <v>2375</v>
      </c>
      <c r="U692" s="8">
        <v>43476</v>
      </c>
      <c r="W692" s="6" t="s">
        <v>84</v>
      </c>
      <c r="X692" s="95">
        <v>42256</v>
      </c>
    </row>
    <row r="693" spans="1:24" x14ac:dyDescent="0.25">
      <c r="A693" s="6" t="s">
        <v>70</v>
      </c>
      <c r="B693" s="94" t="s">
        <v>2376</v>
      </c>
      <c r="C693" s="6" t="s">
        <v>2377</v>
      </c>
      <c r="D693" s="140">
        <v>11925573</v>
      </c>
      <c r="E693" s="6" t="s">
        <v>153</v>
      </c>
      <c r="F693" s="6" t="s">
        <v>299</v>
      </c>
      <c r="G693" s="6" t="s">
        <v>2378</v>
      </c>
      <c r="H693" s="8">
        <v>44795</v>
      </c>
      <c r="I693" s="95">
        <v>43136</v>
      </c>
      <c r="J693" s="95">
        <v>43202</v>
      </c>
      <c r="K693" s="95">
        <v>43202</v>
      </c>
      <c r="L693" s="95" t="s">
        <v>31</v>
      </c>
      <c r="M693" s="8">
        <v>43206</v>
      </c>
      <c r="N693" s="8">
        <v>43601</v>
      </c>
      <c r="O693" s="8">
        <v>43598</v>
      </c>
      <c r="P693" s="6" t="s">
        <v>35</v>
      </c>
      <c r="Q693" s="96">
        <v>1095</v>
      </c>
      <c r="R693" s="97">
        <f t="shared" si="26"/>
        <v>3</v>
      </c>
      <c r="S693" s="75">
        <f t="shared" si="25"/>
        <v>24777</v>
      </c>
      <c r="T693" s="124" t="s">
        <v>301</v>
      </c>
      <c r="U693" s="8">
        <v>43601</v>
      </c>
      <c r="W693" s="6" t="s">
        <v>84</v>
      </c>
      <c r="X693" s="95">
        <v>45117</v>
      </c>
    </row>
    <row r="694" spans="1:24" x14ac:dyDescent="0.25">
      <c r="A694" s="6" t="s">
        <v>117</v>
      </c>
      <c r="B694" s="94" t="s">
        <v>2379</v>
      </c>
      <c r="C694" s="6" t="s">
        <v>2380</v>
      </c>
      <c r="D694" s="140">
        <v>11264359</v>
      </c>
      <c r="E694" s="6" t="s">
        <v>339</v>
      </c>
      <c r="F694" s="10" t="s">
        <v>437</v>
      </c>
      <c r="G694" s="6" t="s">
        <v>2381</v>
      </c>
      <c r="H694" s="8">
        <v>44816</v>
      </c>
      <c r="I694" s="8">
        <v>43343</v>
      </c>
      <c r="J694" s="95">
        <v>43343</v>
      </c>
      <c r="K694" s="95">
        <v>43347</v>
      </c>
      <c r="L694" s="95" t="s">
        <v>31</v>
      </c>
      <c r="M694" s="8">
        <v>43353</v>
      </c>
      <c r="N694" s="8">
        <v>43451</v>
      </c>
      <c r="O694" s="8">
        <v>43437</v>
      </c>
      <c r="P694" s="6" t="s">
        <v>35</v>
      </c>
      <c r="Q694" s="96">
        <v>365</v>
      </c>
      <c r="R694" s="97">
        <f t="shared" si="26"/>
        <v>1</v>
      </c>
      <c r="S694" s="75">
        <f t="shared" si="25"/>
        <v>8259</v>
      </c>
      <c r="U694" s="8">
        <v>43455</v>
      </c>
      <c r="W694" s="6" t="s">
        <v>33</v>
      </c>
      <c r="X694" s="95">
        <v>43911</v>
      </c>
    </row>
    <row r="695" spans="1:24" x14ac:dyDescent="0.25">
      <c r="A695" s="6" t="s">
        <v>117</v>
      </c>
      <c r="B695" s="94" t="s">
        <v>2382</v>
      </c>
      <c r="C695" s="6" t="s">
        <v>2383</v>
      </c>
      <c r="D695" s="140">
        <v>11845794</v>
      </c>
      <c r="E695" s="6" t="s">
        <v>1566</v>
      </c>
      <c r="F695" s="10" t="s">
        <v>134</v>
      </c>
      <c r="G695" s="6" t="s">
        <v>2384</v>
      </c>
      <c r="H695" s="8">
        <v>44785</v>
      </c>
      <c r="I695" s="8">
        <v>43343</v>
      </c>
      <c r="J695" s="95">
        <v>43343</v>
      </c>
      <c r="K695" s="95">
        <v>43347</v>
      </c>
      <c r="L695" s="95" t="s">
        <v>31</v>
      </c>
      <c r="M695" s="8">
        <v>43353</v>
      </c>
      <c r="N695" s="8">
        <v>43768</v>
      </c>
      <c r="O695" s="8">
        <v>43754</v>
      </c>
      <c r="P695" s="6" t="s">
        <v>35</v>
      </c>
      <c r="Q695" s="96">
        <v>1461</v>
      </c>
      <c r="R695" s="97">
        <f t="shared" si="26"/>
        <v>4.0027397260273974</v>
      </c>
      <c r="S695" s="75">
        <f t="shared" si="25"/>
        <v>33058.627397260272</v>
      </c>
      <c r="T695" s="124" t="s">
        <v>1007</v>
      </c>
      <c r="U695" s="8">
        <v>43768</v>
      </c>
      <c r="W695" s="6" t="s">
        <v>33</v>
      </c>
      <c r="X695" s="95">
        <v>42356</v>
      </c>
    </row>
    <row r="696" spans="1:24" x14ac:dyDescent="0.25">
      <c r="A696" s="6" t="s">
        <v>117</v>
      </c>
      <c r="B696" s="94" t="s">
        <v>944</v>
      </c>
      <c r="C696" s="6" t="s">
        <v>2385</v>
      </c>
      <c r="D696" s="140">
        <v>11492570</v>
      </c>
      <c r="E696" s="6" t="s">
        <v>247</v>
      </c>
      <c r="F696" s="10" t="s">
        <v>44</v>
      </c>
      <c r="G696" s="6" t="s">
        <v>2386</v>
      </c>
      <c r="H696" s="8">
        <v>44762</v>
      </c>
      <c r="I696" s="8">
        <v>43343</v>
      </c>
      <c r="J696" s="95">
        <v>43343</v>
      </c>
      <c r="K696" s="95">
        <v>43347</v>
      </c>
      <c r="L696" s="95" t="s">
        <v>31</v>
      </c>
      <c r="M696" s="8">
        <v>43353</v>
      </c>
      <c r="N696" s="8">
        <v>43600</v>
      </c>
      <c r="O696" s="8">
        <v>43594</v>
      </c>
      <c r="P696" s="6" t="s">
        <v>35</v>
      </c>
      <c r="Q696" s="96">
        <v>1461</v>
      </c>
      <c r="R696" s="97">
        <f t="shared" si="26"/>
        <v>4.0027397260273974</v>
      </c>
      <c r="S696" s="75">
        <f t="shared" si="25"/>
        <v>33058.627397260272</v>
      </c>
      <c r="T696" s="124" t="s">
        <v>2387</v>
      </c>
      <c r="U696" s="8">
        <v>43601</v>
      </c>
      <c r="W696" s="6" t="s">
        <v>84</v>
      </c>
      <c r="X696" s="95">
        <v>46975</v>
      </c>
    </row>
    <row r="697" spans="1:24" x14ac:dyDescent="0.25">
      <c r="A697" s="6" t="s">
        <v>117</v>
      </c>
      <c r="B697" s="94" t="s">
        <v>2388</v>
      </c>
      <c r="C697" s="6" t="s">
        <v>2389</v>
      </c>
      <c r="D697" s="140">
        <v>11217831</v>
      </c>
      <c r="E697" s="6" t="s">
        <v>61</v>
      </c>
      <c r="F697" s="10" t="s">
        <v>442</v>
      </c>
      <c r="G697" s="6" t="s">
        <v>2390</v>
      </c>
      <c r="H697" s="8">
        <v>44794</v>
      </c>
      <c r="I697" s="8">
        <v>43343</v>
      </c>
      <c r="J697" s="95">
        <v>43343</v>
      </c>
      <c r="K697" s="95">
        <v>43347</v>
      </c>
      <c r="L697" s="95" t="s">
        <v>31</v>
      </c>
      <c r="M697" s="8">
        <v>43353</v>
      </c>
      <c r="N697" s="8">
        <v>43574</v>
      </c>
      <c r="O697" s="8">
        <v>43567</v>
      </c>
      <c r="P697" s="6" t="s">
        <v>35</v>
      </c>
      <c r="Q697" s="96">
        <v>730</v>
      </c>
      <c r="R697" s="97">
        <f t="shared" si="26"/>
        <v>2</v>
      </c>
      <c r="S697" s="75">
        <f t="shared" si="25"/>
        <v>16518</v>
      </c>
      <c r="T697" s="124" t="s">
        <v>320</v>
      </c>
      <c r="U697" s="8">
        <v>43574</v>
      </c>
      <c r="W697" s="6" t="s">
        <v>33</v>
      </c>
      <c r="X697" s="95">
        <v>44178</v>
      </c>
    </row>
    <row r="698" spans="1:24" x14ac:dyDescent="0.25">
      <c r="A698" s="6" t="s">
        <v>117</v>
      </c>
      <c r="B698" s="94" t="s">
        <v>2391</v>
      </c>
      <c r="C698" s="6" t="s">
        <v>2392</v>
      </c>
      <c r="D698" s="140">
        <v>11761371</v>
      </c>
      <c r="E698" s="6" t="s">
        <v>339</v>
      </c>
      <c r="F698" s="10" t="s">
        <v>148</v>
      </c>
      <c r="G698" s="6" t="s">
        <v>2393</v>
      </c>
      <c r="H698" s="8">
        <v>44822</v>
      </c>
      <c r="I698" s="8">
        <v>43343</v>
      </c>
      <c r="J698" s="95">
        <v>43343</v>
      </c>
      <c r="K698" s="95">
        <v>43347</v>
      </c>
      <c r="L698" s="95" t="s">
        <v>31</v>
      </c>
      <c r="M698" s="8">
        <v>43353</v>
      </c>
      <c r="N698" s="8">
        <v>43565</v>
      </c>
      <c r="O698" s="8">
        <v>43509</v>
      </c>
      <c r="P698" s="6" t="s">
        <v>35</v>
      </c>
      <c r="Q698" s="96">
        <v>1461</v>
      </c>
      <c r="R698" s="97">
        <f t="shared" si="26"/>
        <v>4.0027397260273974</v>
      </c>
      <c r="S698" s="75">
        <f t="shared" si="25"/>
        <v>33058.627397260272</v>
      </c>
      <c r="T698" s="124" t="s">
        <v>1007</v>
      </c>
      <c r="U698" s="8">
        <v>43565</v>
      </c>
      <c r="W698" s="6" t="s">
        <v>33</v>
      </c>
      <c r="X698" s="95">
        <v>41798</v>
      </c>
    </row>
    <row r="699" spans="1:24" x14ac:dyDescent="0.25">
      <c r="A699" s="6" t="s">
        <v>117</v>
      </c>
      <c r="B699" s="94" t="s">
        <v>2394</v>
      </c>
      <c r="C699" s="6" t="s">
        <v>2395</v>
      </c>
      <c r="D699" s="140">
        <v>11791490</v>
      </c>
      <c r="E699" s="6" t="s">
        <v>366</v>
      </c>
      <c r="F699" s="10" t="s">
        <v>277</v>
      </c>
      <c r="G699" s="6" t="s">
        <v>2396</v>
      </c>
      <c r="H699" s="8">
        <v>67542</v>
      </c>
      <c r="I699" s="8">
        <v>43343</v>
      </c>
      <c r="J699" s="95">
        <v>43343</v>
      </c>
      <c r="K699" s="95">
        <v>43347</v>
      </c>
      <c r="L699" s="95" t="s">
        <v>31</v>
      </c>
      <c r="M699" s="8">
        <v>43353</v>
      </c>
      <c r="N699" s="8">
        <v>43929</v>
      </c>
      <c r="O699" s="8">
        <v>43923</v>
      </c>
      <c r="P699" s="6" t="s">
        <v>75</v>
      </c>
      <c r="R699" s="97" t="str">
        <f t="shared" si="26"/>
        <v/>
      </c>
      <c r="S699" s="75" t="str">
        <f t="shared" si="25"/>
        <v/>
      </c>
      <c r="U699" s="8">
        <v>43936</v>
      </c>
      <c r="W699" s="6" t="s">
        <v>84</v>
      </c>
      <c r="X699" s="95">
        <v>50456</v>
      </c>
    </row>
    <row r="700" spans="1:24" x14ac:dyDescent="0.25">
      <c r="A700" s="6" t="s">
        <v>117</v>
      </c>
      <c r="B700" s="94" t="s">
        <v>884</v>
      </c>
      <c r="C700" s="6" t="s">
        <v>2397</v>
      </c>
      <c r="D700" s="140">
        <v>11458751</v>
      </c>
      <c r="E700" s="6" t="s">
        <v>298</v>
      </c>
      <c r="F700" s="10" t="s">
        <v>309</v>
      </c>
      <c r="G700" s="6" t="s">
        <v>2398</v>
      </c>
      <c r="H700" s="8">
        <v>68126</v>
      </c>
      <c r="I700" s="8">
        <v>43343</v>
      </c>
      <c r="J700" s="95">
        <v>43343</v>
      </c>
      <c r="K700" s="95">
        <v>43347</v>
      </c>
      <c r="L700" s="95" t="s">
        <v>31</v>
      </c>
      <c r="M700" s="8">
        <v>43353</v>
      </c>
      <c r="N700" s="8">
        <v>43473</v>
      </c>
      <c r="O700" s="8">
        <v>43403</v>
      </c>
      <c r="P700" s="6" t="s">
        <v>35</v>
      </c>
      <c r="Q700" s="96">
        <v>365</v>
      </c>
      <c r="R700" s="97">
        <f t="shared" si="26"/>
        <v>1</v>
      </c>
      <c r="S700" s="75">
        <f t="shared" si="25"/>
        <v>8259</v>
      </c>
      <c r="T700" s="124" t="s">
        <v>716</v>
      </c>
      <c r="U700" s="8">
        <v>43475</v>
      </c>
      <c r="W700" s="6" t="s">
        <v>84</v>
      </c>
      <c r="X700" s="95">
        <v>46337</v>
      </c>
    </row>
    <row r="701" spans="1:24" x14ac:dyDescent="0.25">
      <c r="A701" s="6" t="s">
        <v>70</v>
      </c>
      <c r="B701" s="94" t="s">
        <v>2399</v>
      </c>
      <c r="C701" s="6" t="s">
        <v>2400</v>
      </c>
      <c r="D701" s="140">
        <v>12178058</v>
      </c>
      <c r="E701" s="6" t="s">
        <v>637</v>
      </c>
      <c r="F701" s="10" t="s">
        <v>81</v>
      </c>
      <c r="G701" s="6" t="s">
        <v>2401</v>
      </c>
      <c r="H701" s="8">
        <v>47863</v>
      </c>
      <c r="I701" s="8">
        <v>43306</v>
      </c>
      <c r="J701" s="8">
        <v>43306</v>
      </c>
      <c r="K701" s="95">
        <v>43319</v>
      </c>
      <c r="L701" s="95" t="s">
        <v>31</v>
      </c>
      <c r="M701" s="8">
        <v>43325</v>
      </c>
      <c r="N701" s="8">
        <v>43558</v>
      </c>
      <c r="O701" s="8">
        <v>43537</v>
      </c>
      <c r="P701" s="101" t="s">
        <v>52</v>
      </c>
      <c r="R701" s="97" t="str">
        <f t="shared" si="26"/>
        <v/>
      </c>
      <c r="S701" s="75" t="str">
        <f t="shared" si="25"/>
        <v/>
      </c>
      <c r="T701" s="124" t="s">
        <v>2021</v>
      </c>
      <c r="U701" s="8">
        <v>43558</v>
      </c>
      <c r="W701" s="6" t="s">
        <v>33</v>
      </c>
      <c r="X701" s="95">
        <v>47047</v>
      </c>
    </row>
    <row r="702" spans="1:24" ht="30" x14ac:dyDescent="0.25">
      <c r="A702" s="6" t="s">
        <v>117</v>
      </c>
      <c r="B702" s="94" t="s">
        <v>1994</v>
      </c>
      <c r="C702" s="6" t="s">
        <v>2402</v>
      </c>
      <c r="D702" s="140">
        <v>11271029</v>
      </c>
      <c r="E702" s="6" t="s">
        <v>1103</v>
      </c>
      <c r="F702" s="10" t="s">
        <v>148</v>
      </c>
      <c r="G702" s="6" t="s">
        <v>2403</v>
      </c>
      <c r="H702" s="8">
        <v>79626</v>
      </c>
      <c r="I702" s="8">
        <v>43343</v>
      </c>
      <c r="J702" s="95">
        <v>43343</v>
      </c>
      <c r="K702" s="95">
        <v>43347</v>
      </c>
      <c r="L702" s="95" t="s">
        <v>31</v>
      </c>
      <c r="M702" s="8">
        <v>43353</v>
      </c>
      <c r="R702" s="97" t="str">
        <f t="shared" si="26"/>
        <v/>
      </c>
      <c r="S702" s="75" t="str">
        <f t="shared" si="25"/>
        <v/>
      </c>
      <c r="T702" s="124" t="s">
        <v>2404</v>
      </c>
      <c r="W702" s="6" t="s">
        <v>84</v>
      </c>
      <c r="X702" s="95">
        <v>48528</v>
      </c>
    </row>
    <row r="703" spans="1:24" x14ac:dyDescent="0.25">
      <c r="A703" s="6" t="s">
        <v>117</v>
      </c>
      <c r="B703" s="94" t="s">
        <v>2405</v>
      </c>
      <c r="C703" s="6" t="s">
        <v>2406</v>
      </c>
      <c r="D703" s="140">
        <v>11192033</v>
      </c>
      <c r="E703" s="6" t="s">
        <v>464</v>
      </c>
      <c r="F703" s="10" t="s">
        <v>309</v>
      </c>
      <c r="G703" s="6" t="s">
        <v>2407</v>
      </c>
      <c r="H703" s="8">
        <v>85528</v>
      </c>
      <c r="I703" s="8">
        <v>43343</v>
      </c>
      <c r="J703" s="95">
        <v>43343</v>
      </c>
      <c r="K703" s="95">
        <v>43347</v>
      </c>
      <c r="L703" s="95" t="s">
        <v>31</v>
      </c>
      <c r="M703" s="8">
        <v>43353</v>
      </c>
      <c r="N703" s="8">
        <v>43473</v>
      </c>
      <c r="O703" s="8">
        <v>43403</v>
      </c>
      <c r="P703" s="6" t="s">
        <v>35</v>
      </c>
      <c r="Q703" s="96">
        <v>365</v>
      </c>
      <c r="R703" s="97">
        <f t="shared" si="26"/>
        <v>1</v>
      </c>
      <c r="S703" s="75">
        <f t="shared" si="25"/>
        <v>8259</v>
      </c>
      <c r="T703" s="124" t="s">
        <v>716</v>
      </c>
      <c r="U703" s="8">
        <v>43475</v>
      </c>
      <c r="W703" s="6" t="s">
        <v>84</v>
      </c>
      <c r="X703" s="95">
        <v>49483</v>
      </c>
    </row>
    <row r="704" spans="1:24" x14ac:dyDescent="0.25">
      <c r="A704" s="6" t="s">
        <v>117</v>
      </c>
      <c r="B704" s="94" t="s">
        <v>2408</v>
      </c>
      <c r="C704" s="6" t="s">
        <v>2409</v>
      </c>
      <c r="D704" s="140">
        <v>12106954</v>
      </c>
      <c r="E704" s="107" t="s">
        <v>997</v>
      </c>
      <c r="F704" s="6" t="s">
        <v>277</v>
      </c>
      <c r="G704" s="6" t="s">
        <v>2410</v>
      </c>
      <c r="H704" s="8">
        <v>43928</v>
      </c>
      <c r="I704" s="9">
        <v>43243</v>
      </c>
      <c r="J704" s="9">
        <v>43250</v>
      </c>
      <c r="K704" s="7">
        <v>43250</v>
      </c>
      <c r="L704" s="95" t="s">
        <v>31</v>
      </c>
      <c r="M704" s="9">
        <v>43258</v>
      </c>
      <c r="N704" s="8">
        <v>43279</v>
      </c>
      <c r="O704" s="8">
        <v>43633</v>
      </c>
      <c r="P704" s="6" t="s">
        <v>35</v>
      </c>
      <c r="Q704" s="96">
        <v>730</v>
      </c>
      <c r="R704" s="97">
        <f t="shared" si="26"/>
        <v>2</v>
      </c>
      <c r="S704" s="75">
        <f t="shared" si="25"/>
        <v>16518</v>
      </c>
      <c r="T704" s="128" t="s">
        <v>320</v>
      </c>
      <c r="U704" s="8">
        <v>43644</v>
      </c>
      <c r="W704" s="6" t="s">
        <v>84</v>
      </c>
      <c r="X704" s="95">
        <v>43904</v>
      </c>
    </row>
    <row r="705" spans="1:24" x14ac:dyDescent="0.25">
      <c r="A705" s="6" t="s">
        <v>117</v>
      </c>
      <c r="B705" s="94" t="s">
        <v>323</v>
      </c>
      <c r="C705" s="6" t="s">
        <v>2411</v>
      </c>
      <c r="D705" s="140">
        <v>11760519</v>
      </c>
      <c r="E705" s="6" t="s">
        <v>314</v>
      </c>
      <c r="F705" s="10" t="s">
        <v>277</v>
      </c>
      <c r="G705" s="6" t="s">
        <v>2412</v>
      </c>
      <c r="H705" s="8">
        <v>2958465</v>
      </c>
      <c r="I705" s="8">
        <v>43343</v>
      </c>
      <c r="J705" s="95">
        <v>43343</v>
      </c>
      <c r="K705" s="95">
        <v>43347</v>
      </c>
      <c r="L705" s="95" t="s">
        <v>31</v>
      </c>
      <c r="M705" s="8">
        <v>43353</v>
      </c>
      <c r="N705" s="8">
        <v>43955</v>
      </c>
      <c r="O705" s="8">
        <v>43941</v>
      </c>
      <c r="P705" s="6" t="s">
        <v>75</v>
      </c>
      <c r="R705" s="97" t="str">
        <f t="shared" si="26"/>
        <v/>
      </c>
      <c r="S705" s="75" t="str">
        <f t="shared" si="25"/>
        <v/>
      </c>
      <c r="U705" s="8">
        <v>43955</v>
      </c>
      <c r="W705" s="6" t="s">
        <v>84</v>
      </c>
      <c r="X705" s="6" t="s">
        <v>683</v>
      </c>
    </row>
    <row r="706" spans="1:24" x14ac:dyDescent="0.25">
      <c r="A706" s="6" t="s">
        <v>117</v>
      </c>
      <c r="B706" s="94" t="s">
        <v>234</v>
      </c>
      <c r="C706" s="6" t="s">
        <v>2413</v>
      </c>
      <c r="D706" s="140">
        <v>11821349</v>
      </c>
      <c r="E706" s="6" t="s">
        <v>366</v>
      </c>
      <c r="F706" s="10" t="s">
        <v>50</v>
      </c>
      <c r="G706" s="6" t="s">
        <v>2414</v>
      </c>
      <c r="H706" s="8">
        <v>2958465</v>
      </c>
      <c r="I706" s="8">
        <v>43343</v>
      </c>
      <c r="J706" s="95">
        <v>43343</v>
      </c>
      <c r="K706" s="95">
        <v>43347</v>
      </c>
      <c r="L706" s="95" t="s">
        <v>31</v>
      </c>
      <c r="M706" s="8">
        <v>43353</v>
      </c>
      <c r="N706" s="8">
        <v>43536</v>
      </c>
      <c r="O706" s="8">
        <v>43390</v>
      </c>
      <c r="P706" s="6" t="s">
        <v>35</v>
      </c>
      <c r="Q706" s="96">
        <v>1095</v>
      </c>
      <c r="R706" s="97">
        <f t="shared" si="26"/>
        <v>3</v>
      </c>
      <c r="S706" s="75">
        <f t="shared" si="25"/>
        <v>24777</v>
      </c>
      <c r="T706" s="124" t="s">
        <v>2415</v>
      </c>
      <c r="U706" s="8">
        <v>43536</v>
      </c>
      <c r="W706" s="6" t="s">
        <v>84</v>
      </c>
      <c r="X706" s="6" t="s">
        <v>683</v>
      </c>
    </row>
    <row r="707" spans="1:24" x14ac:dyDescent="0.25">
      <c r="A707" s="6" t="s">
        <v>117</v>
      </c>
      <c r="B707" s="94" t="s">
        <v>2416</v>
      </c>
      <c r="C707" s="6" t="s">
        <v>2417</v>
      </c>
      <c r="D707" s="140">
        <v>11868594</v>
      </c>
      <c r="E707" s="6" t="s">
        <v>881</v>
      </c>
      <c r="F707" s="10" t="s">
        <v>437</v>
      </c>
      <c r="G707" s="6" t="s">
        <v>2418</v>
      </c>
      <c r="H707" s="8">
        <v>2958465</v>
      </c>
      <c r="I707" s="8">
        <v>43343</v>
      </c>
      <c r="J707" s="95">
        <v>43343</v>
      </c>
      <c r="K707" s="95">
        <v>43347</v>
      </c>
      <c r="L707" s="95" t="s">
        <v>31</v>
      </c>
      <c r="M707" s="8">
        <v>43353</v>
      </c>
      <c r="N707" s="8">
        <v>43451</v>
      </c>
      <c r="O707" s="8">
        <v>43439</v>
      </c>
      <c r="P707" s="6" t="s">
        <v>35</v>
      </c>
      <c r="Q707" s="96">
        <v>730</v>
      </c>
      <c r="R707" s="97">
        <f t="shared" si="26"/>
        <v>2</v>
      </c>
      <c r="S707" s="75">
        <f t="shared" si="25"/>
        <v>16518</v>
      </c>
      <c r="U707" s="8">
        <v>43455</v>
      </c>
      <c r="W707" s="6" t="s">
        <v>84</v>
      </c>
      <c r="X707" s="6" t="s">
        <v>683</v>
      </c>
    </row>
    <row r="708" spans="1:24" x14ac:dyDescent="0.25">
      <c r="A708" s="6" t="s">
        <v>117</v>
      </c>
      <c r="B708" s="94" t="s">
        <v>2419</v>
      </c>
      <c r="C708" s="6" t="s">
        <v>2420</v>
      </c>
      <c r="D708" s="140">
        <v>11937272</v>
      </c>
      <c r="E708" s="6" t="s">
        <v>490</v>
      </c>
      <c r="F708" s="10" t="s">
        <v>309</v>
      </c>
      <c r="G708" s="6" t="s">
        <v>2421</v>
      </c>
      <c r="H708" s="8">
        <v>2958465</v>
      </c>
      <c r="I708" s="8">
        <v>43343</v>
      </c>
      <c r="J708" s="95">
        <v>43343</v>
      </c>
      <c r="K708" s="95">
        <v>43347</v>
      </c>
      <c r="L708" s="95" t="s">
        <v>31</v>
      </c>
      <c r="M708" s="8">
        <v>43353</v>
      </c>
      <c r="N708" s="8">
        <v>43473</v>
      </c>
      <c r="O708" s="8">
        <v>43403</v>
      </c>
      <c r="P708" s="6" t="s">
        <v>35</v>
      </c>
      <c r="Q708" s="96">
        <v>365</v>
      </c>
      <c r="R708" s="97">
        <f t="shared" si="26"/>
        <v>1</v>
      </c>
      <c r="S708" s="75">
        <f t="shared" si="25"/>
        <v>8259</v>
      </c>
      <c r="T708" s="124" t="s">
        <v>2422</v>
      </c>
      <c r="U708" s="8">
        <v>43475</v>
      </c>
      <c r="W708" s="6" t="s">
        <v>84</v>
      </c>
      <c r="X708" s="6" t="s">
        <v>683</v>
      </c>
    </row>
    <row r="709" spans="1:24" ht="45" x14ac:dyDescent="0.25">
      <c r="A709" s="6" t="s">
        <v>168</v>
      </c>
      <c r="B709" s="94" t="s">
        <v>2423</v>
      </c>
      <c r="C709" s="6" t="s">
        <v>2424</v>
      </c>
      <c r="D709" s="140">
        <v>11109394</v>
      </c>
      <c r="E709" s="6" t="s">
        <v>2425</v>
      </c>
      <c r="F709" s="10" t="s">
        <v>134</v>
      </c>
      <c r="G709" s="6" t="s">
        <v>2426</v>
      </c>
      <c r="H709" s="8">
        <v>46150</v>
      </c>
      <c r="I709" s="8">
        <v>43609</v>
      </c>
      <c r="J709" s="8">
        <v>43628</v>
      </c>
      <c r="K709" s="95">
        <v>43634</v>
      </c>
      <c r="L709" s="95" t="s">
        <v>31</v>
      </c>
      <c r="M709" s="8">
        <v>43635</v>
      </c>
      <c r="N709" s="8">
        <v>44141</v>
      </c>
      <c r="O709" s="8">
        <v>43908</v>
      </c>
      <c r="P709" s="6" t="s">
        <v>90</v>
      </c>
      <c r="Q709" s="96">
        <v>2165</v>
      </c>
      <c r="R709" s="97">
        <f t="shared" si="26"/>
        <v>5.9315068493150687</v>
      </c>
      <c r="S709" s="75">
        <f t="shared" si="25"/>
        <v>48988.315068493153</v>
      </c>
      <c r="T709" s="124" t="s">
        <v>2427</v>
      </c>
      <c r="U709" s="8">
        <v>44141</v>
      </c>
      <c r="W709" s="6" t="s">
        <v>84</v>
      </c>
      <c r="X709" s="95">
        <v>38721</v>
      </c>
    </row>
    <row r="710" spans="1:24" x14ac:dyDescent="0.25">
      <c r="A710" s="6" t="s">
        <v>117</v>
      </c>
      <c r="B710" s="94" t="s">
        <v>2428</v>
      </c>
      <c r="C710" s="6" t="s">
        <v>2429</v>
      </c>
      <c r="D710" s="140">
        <v>11188629</v>
      </c>
      <c r="E710" s="6" t="s">
        <v>570</v>
      </c>
      <c r="F710" s="10" t="s">
        <v>148</v>
      </c>
      <c r="G710" s="6" t="s">
        <v>2430</v>
      </c>
      <c r="H710" s="8">
        <v>2958465</v>
      </c>
      <c r="I710" s="8">
        <v>43343</v>
      </c>
      <c r="J710" s="95">
        <v>43343</v>
      </c>
      <c r="K710" s="95">
        <v>43347</v>
      </c>
      <c r="L710" s="95" t="s">
        <v>31</v>
      </c>
      <c r="M710" s="8">
        <v>43353</v>
      </c>
      <c r="N710" s="8">
        <v>43643</v>
      </c>
      <c r="O710" s="8">
        <v>43633</v>
      </c>
      <c r="P710" s="6" t="s">
        <v>35</v>
      </c>
      <c r="Q710" s="96">
        <v>365</v>
      </c>
      <c r="R710" s="97">
        <f t="shared" si="26"/>
        <v>1</v>
      </c>
      <c r="S710" s="75">
        <f t="shared" si="25"/>
        <v>8259</v>
      </c>
      <c r="T710" s="124" t="s">
        <v>159</v>
      </c>
      <c r="U710" s="8">
        <v>43643</v>
      </c>
      <c r="W710" s="6" t="s">
        <v>84</v>
      </c>
      <c r="X710" s="95">
        <v>36234</v>
      </c>
    </row>
    <row r="711" spans="1:24" x14ac:dyDescent="0.25">
      <c r="A711" s="6" t="s">
        <v>85</v>
      </c>
      <c r="B711" s="94" t="s">
        <v>197</v>
      </c>
      <c r="C711" s="6" t="s">
        <v>2431</v>
      </c>
      <c r="D711" s="140">
        <v>11323277</v>
      </c>
      <c r="E711" s="6" t="s">
        <v>997</v>
      </c>
      <c r="F711" s="10" t="s">
        <v>252</v>
      </c>
      <c r="G711" s="6">
        <v>50506287</v>
      </c>
      <c r="H711" s="8">
        <v>53830</v>
      </c>
      <c r="I711" s="8">
        <v>43299</v>
      </c>
      <c r="J711" s="8">
        <v>43301</v>
      </c>
      <c r="K711" s="95">
        <v>43313</v>
      </c>
      <c r="L711" s="95" t="s">
        <v>31</v>
      </c>
      <c r="M711" s="8">
        <v>43320</v>
      </c>
      <c r="N711" s="8">
        <v>43718</v>
      </c>
      <c r="O711" s="8">
        <v>43700</v>
      </c>
      <c r="P711" s="6" t="s">
        <v>35</v>
      </c>
      <c r="Q711" s="96">
        <v>5478</v>
      </c>
      <c r="R711" s="97">
        <f t="shared" si="26"/>
        <v>15.008219178082191</v>
      </c>
      <c r="S711" s="75">
        <f t="shared" si="25"/>
        <v>123952.88219178082</v>
      </c>
      <c r="T711" s="124" t="s">
        <v>2432</v>
      </c>
      <c r="U711" s="8">
        <v>43718</v>
      </c>
      <c r="W711" s="6" t="s">
        <v>33</v>
      </c>
      <c r="X711" s="95">
        <v>43676</v>
      </c>
    </row>
    <row r="712" spans="1:24" x14ac:dyDescent="0.25">
      <c r="A712" s="6" t="s">
        <v>65</v>
      </c>
      <c r="B712" s="94" t="s">
        <v>2433</v>
      </c>
      <c r="C712" s="6" t="s">
        <v>2434</v>
      </c>
      <c r="D712" s="140">
        <v>11305789</v>
      </c>
      <c r="E712" s="6" t="s">
        <v>866</v>
      </c>
      <c r="F712" s="117" t="s">
        <v>44</v>
      </c>
      <c r="G712" s="6" t="s">
        <v>2435</v>
      </c>
      <c r="H712" s="8">
        <v>51582</v>
      </c>
      <c r="I712" s="8">
        <v>43347</v>
      </c>
      <c r="J712" s="8">
        <v>43316</v>
      </c>
      <c r="K712" s="95">
        <v>43362</v>
      </c>
      <c r="L712" s="95" t="s">
        <v>31</v>
      </c>
      <c r="M712" s="8">
        <v>43367</v>
      </c>
      <c r="N712" s="8">
        <v>43430</v>
      </c>
      <c r="O712" s="8">
        <v>43420</v>
      </c>
      <c r="P712" s="6" t="s">
        <v>35</v>
      </c>
      <c r="Q712" s="96">
        <v>1095</v>
      </c>
      <c r="R712" s="97">
        <f t="shared" si="26"/>
        <v>3</v>
      </c>
      <c r="S712" s="75">
        <f t="shared" si="25"/>
        <v>24777</v>
      </c>
      <c r="T712" s="124" t="s">
        <v>2436</v>
      </c>
      <c r="U712" s="8">
        <v>43433</v>
      </c>
      <c r="W712" s="6" t="s">
        <v>33</v>
      </c>
      <c r="X712" s="95">
        <v>47915</v>
      </c>
    </row>
    <row r="713" spans="1:24" x14ac:dyDescent="0.25">
      <c r="A713" s="6" t="s">
        <v>65</v>
      </c>
      <c r="B713" s="94" t="s">
        <v>108</v>
      </c>
      <c r="C713" s="6" t="s">
        <v>2437</v>
      </c>
      <c r="D713" s="140">
        <v>11362547</v>
      </c>
      <c r="E713" s="6" t="s">
        <v>607</v>
      </c>
      <c r="F713" s="10" t="s">
        <v>44</v>
      </c>
      <c r="G713" s="6" t="s">
        <v>2438</v>
      </c>
      <c r="H713" s="8">
        <v>46298</v>
      </c>
      <c r="I713" s="8">
        <v>43347</v>
      </c>
      <c r="J713" s="8">
        <v>43347</v>
      </c>
      <c r="K713" s="95">
        <v>43362</v>
      </c>
      <c r="L713" s="95" t="s">
        <v>31</v>
      </c>
      <c r="M713" s="8">
        <v>43367</v>
      </c>
      <c r="N713" s="8">
        <v>43399</v>
      </c>
      <c r="O713" s="8">
        <v>43395</v>
      </c>
      <c r="P713" s="6" t="s">
        <v>35</v>
      </c>
      <c r="Q713" s="96">
        <v>1095</v>
      </c>
      <c r="R713" s="97">
        <f t="shared" si="26"/>
        <v>3</v>
      </c>
      <c r="S713" s="75">
        <f t="shared" si="25"/>
        <v>24777</v>
      </c>
      <c r="T713" s="124" t="s">
        <v>2436</v>
      </c>
      <c r="U713" s="8">
        <v>43405</v>
      </c>
      <c r="W713" s="6" t="s">
        <v>33</v>
      </c>
      <c r="X713" s="95">
        <v>41346</v>
      </c>
    </row>
    <row r="714" spans="1:24" x14ac:dyDescent="0.25">
      <c r="A714" s="6" t="s">
        <v>65</v>
      </c>
      <c r="B714" s="94" t="s">
        <v>1382</v>
      </c>
      <c r="C714" s="6" t="s">
        <v>2439</v>
      </c>
      <c r="D714" s="140">
        <v>11349762</v>
      </c>
      <c r="E714" s="6" t="s">
        <v>104</v>
      </c>
      <c r="F714" s="10" t="s">
        <v>363</v>
      </c>
      <c r="G714" s="6">
        <v>1414957</v>
      </c>
      <c r="H714" s="8">
        <v>45536</v>
      </c>
      <c r="I714" s="8">
        <v>43347</v>
      </c>
      <c r="J714" s="8">
        <v>43347</v>
      </c>
      <c r="K714" s="95">
        <v>43355</v>
      </c>
      <c r="L714" s="95" t="s">
        <v>31</v>
      </c>
      <c r="M714" s="8">
        <v>43360</v>
      </c>
      <c r="N714" s="8">
        <v>43406</v>
      </c>
      <c r="O714" s="8">
        <v>43397</v>
      </c>
      <c r="P714" s="6" t="s">
        <v>35</v>
      </c>
      <c r="Q714" s="96">
        <v>1095</v>
      </c>
      <c r="R714" s="97">
        <f t="shared" si="26"/>
        <v>3</v>
      </c>
      <c r="S714" s="75">
        <f t="shared" si="25"/>
        <v>24777</v>
      </c>
      <c r="T714" s="124" t="s">
        <v>1736</v>
      </c>
      <c r="U714" s="8">
        <v>43413</v>
      </c>
      <c r="W714" s="6" t="s">
        <v>33</v>
      </c>
      <c r="X714" s="95">
        <v>45145</v>
      </c>
    </row>
    <row r="715" spans="1:24" x14ac:dyDescent="0.25">
      <c r="A715" s="6" t="s">
        <v>65</v>
      </c>
      <c r="B715" s="94" t="s">
        <v>2440</v>
      </c>
      <c r="C715" s="6" t="s">
        <v>2441</v>
      </c>
      <c r="D715" s="140">
        <v>11281621</v>
      </c>
      <c r="E715" s="6" t="s">
        <v>289</v>
      </c>
      <c r="F715" s="10" t="s">
        <v>148</v>
      </c>
      <c r="G715" s="6" t="s">
        <v>2442</v>
      </c>
      <c r="H715" s="8">
        <v>56402</v>
      </c>
      <c r="I715" s="8">
        <v>43347</v>
      </c>
      <c r="J715" s="8">
        <v>43347</v>
      </c>
      <c r="K715" s="95">
        <v>43355</v>
      </c>
      <c r="L715" s="95" t="s">
        <v>31</v>
      </c>
      <c r="M715" s="8">
        <v>43360</v>
      </c>
      <c r="N715" s="8">
        <v>43391</v>
      </c>
      <c r="O715" s="8">
        <v>43375</v>
      </c>
      <c r="P715" s="6" t="s">
        <v>35</v>
      </c>
      <c r="Q715" s="96">
        <v>1095</v>
      </c>
      <c r="R715" s="97">
        <f t="shared" si="26"/>
        <v>3</v>
      </c>
      <c r="S715" s="75">
        <f t="shared" si="25"/>
        <v>24777</v>
      </c>
      <c r="T715" s="124" t="s">
        <v>1736</v>
      </c>
      <c r="U715" s="8">
        <v>43395</v>
      </c>
      <c r="W715" s="6" t="s">
        <v>33</v>
      </c>
      <c r="X715" s="95">
        <v>45908</v>
      </c>
    </row>
    <row r="716" spans="1:24" x14ac:dyDescent="0.25">
      <c r="A716" s="6" t="s">
        <v>65</v>
      </c>
      <c r="B716" s="94" t="s">
        <v>2443</v>
      </c>
      <c r="C716" s="6" t="s">
        <v>2444</v>
      </c>
      <c r="D716" s="140">
        <v>11362558</v>
      </c>
      <c r="E716" s="6" t="s">
        <v>570</v>
      </c>
      <c r="F716" s="10" t="s">
        <v>44</v>
      </c>
      <c r="G716" s="6" t="s">
        <v>2445</v>
      </c>
      <c r="H716" s="8">
        <v>46717</v>
      </c>
      <c r="I716" s="8">
        <v>43347</v>
      </c>
      <c r="J716" s="8">
        <v>43347</v>
      </c>
      <c r="K716" s="95">
        <v>43362</v>
      </c>
      <c r="L716" s="95" t="s">
        <v>31</v>
      </c>
      <c r="M716" s="8">
        <v>43367</v>
      </c>
      <c r="N716" s="8">
        <v>43399</v>
      </c>
      <c r="O716" s="8">
        <v>43382</v>
      </c>
      <c r="P716" s="6" t="s">
        <v>35</v>
      </c>
      <c r="Q716" s="96">
        <v>1095</v>
      </c>
      <c r="R716" s="97">
        <f t="shared" si="26"/>
        <v>3</v>
      </c>
      <c r="S716" s="75">
        <f t="shared" si="25"/>
        <v>24777</v>
      </c>
      <c r="T716" s="124" t="s">
        <v>1736</v>
      </c>
      <c r="U716" s="8">
        <v>43409</v>
      </c>
      <c r="W716" s="6" t="s">
        <v>33</v>
      </c>
      <c r="X716" s="95">
        <v>44999</v>
      </c>
    </row>
    <row r="717" spans="1:24" x14ac:dyDescent="0.25">
      <c r="A717" s="6" t="s">
        <v>65</v>
      </c>
      <c r="B717" s="94" t="s">
        <v>2446</v>
      </c>
      <c r="C717" s="6" t="s">
        <v>2447</v>
      </c>
      <c r="D717" s="140">
        <v>12131331</v>
      </c>
      <c r="E717" s="6" t="s">
        <v>1566</v>
      </c>
      <c r="F717" s="10" t="s">
        <v>81</v>
      </c>
      <c r="G717" s="6" t="s">
        <v>2448</v>
      </c>
      <c r="H717" s="8">
        <v>45244</v>
      </c>
      <c r="I717" s="8">
        <v>43332</v>
      </c>
      <c r="J717" s="8">
        <v>43333</v>
      </c>
      <c r="K717" s="95">
        <v>43334</v>
      </c>
      <c r="L717" s="95" t="s">
        <v>31</v>
      </c>
      <c r="M717" s="8">
        <v>43341</v>
      </c>
      <c r="N717" s="8">
        <v>43558</v>
      </c>
      <c r="O717" s="8">
        <v>43537</v>
      </c>
      <c r="P717" s="101" t="s">
        <v>52</v>
      </c>
      <c r="R717" s="97" t="str">
        <f t="shared" si="26"/>
        <v/>
      </c>
      <c r="S717" s="75" t="str">
        <f t="shared" si="25"/>
        <v/>
      </c>
      <c r="T717" s="124" t="s">
        <v>2021</v>
      </c>
      <c r="U717" s="8">
        <v>43558</v>
      </c>
      <c r="W717" s="6" t="s">
        <v>33</v>
      </c>
      <c r="X717" s="95">
        <v>46216</v>
      </c>
    </row>
    <row r="718" spans="1:24" x14ac:dyDescent="0.25">
      <c r="A718" s="6" t="s">
        <v>65</v>
      </c>
      <c r="B718" s="94" t="s">
        <v>2449</v>
      </c>
      <c r="C718" s="6" t="s">
        <v>2450</v>
      </c>
      <c r="D718" s="140">
        <v>12119804</v>
      </c>
      <c r="E718" s="6" t="s">
        <v>997</v>
      </c>
      <c r="F718" s="10" t="s">
        <v>81</v>
      </c>
      <c r="G718" s="6" t="s">
        <v>2451</v>
      </c>
      <c r="H718" s="8">
        <v>47028</v>
      </c>
      <c r="I718" s="8">
        <v>43333</v>
      </c>
      <c r="J718" s="8">
        <v>43333</v>
      </c>
      <c r="K718" s="95">
        <v>43334</v>
      </c>
      <c r="L718" s="95" t="s">
        <v>31</v>
      </c>
      <c r="M718" s="8">
        <v>43341</v>
      </c>
      <c r="N718" s="8">
        <v>43558</v>
      </c>
      <c r="O718" s="8">
        <v>43537</v>
      </c>
      <c r="P718" s="101" t="s">
        <v>52</v>
      </c>
      <c r="R718" s="97" t="str">
        <f t="shared" si="26"/>
        <v/>
      </c>
      <c r="S718" s="75" t="str">
        <f t="shared" si="25"/>
        <v/>
      </c>
      <c r="T718" s="124" t="s">
        <v>2021</v>
      </c>
      <c r="U718" s="8">
        <v>43558</v>
      </c>
      <c r="W718" s="6" t="s">
        <v>33</v>
      </c>
      <c r="X718" s="95">
        <v>46170</v>
      </c>
    </row>
    <row r="719" spans="1:24" x14ac:dyDescent="0.25">
      <c r="A719" s="6" t="s">
        <v>211</v>
      </c>
      <c r="B719" s="94" t="s">
        <v>2452</v>
      </c>
      <c r="C719" s="6" t="s">
        <v>2453</v>
      </c>
      <c r="D719" s="140">
        <v>12146809</v>
      </c>
      <c r="E719" s="6" t="s">
        <v>2454</v>
      </c>
      <c r="F719" s="10" t="s">
        <v>205</v>
      </c>
      <c r="G719" s="6" t="s">
        <v>2455</v>
      </c>
      <c r="H719" s="8">
        <v>45084</v>
      </c>
      <c r="I719" s="8">
        <v>43313</v>
      </c>
      <c r="J719" s="8">
        <v>43326</v>
      </c>
      <c r="K719" s="95">
        <v>43327</v>
      </c>
      <c r="L719" s="95" t="s">
        <v>31</v>
      </c>
      <c r="M719" s="8">
        <v>43334</v>
      </c>
      <c r="N719" s="8">
        <v>43357</v>
      </c>
      <c r="O719" s="8">
        <v>43539</v>
      </c>
      <c r="P719" s="101" t="s">
        <v>52</v>
      </c>
      <c r="R719" s="97" t="str">
        <f t="shared" si="26"/>
        <v/>
      </c>
      <c r="S719" s="75" t="str">
        <f t="shared" si="25"/>
        <v/>
      </c>
      <c r="T719" s="124" t="s">
        <v>2456</v>
      </c>
      <c r="U719" s="8">
        <v>43360</v>
      </c>
      <c r="W719" s="6" t="s">
        <v>33</v>
      </c>
      <c r="X719" s="95">
        <v>47517</v>
      </c>
    </row>
    <row r="720" spans="1:24" x14ac:dyDescent="0.25">
      <c r="A720" s="6" t="s">
        <v>37</v>
      </c>
      <c r="B720" s="94" t="s">
        <v>145</v>
      </c>
      <c r="C720" s="6" t="s">
        <v>2457</v>
      </c>
      <c r="D720" s="140">
        <v>10262488</v>
      </c>
      <c r="E720" s="6" t="s">
        <v>2458</v>
      </c>
      <c r="F720" s="10" t="s">
        <v>121</v>
      </c>
      <c r="G720" s="6" t="s">
        <v>2459</v>
      </c>
      <c r="H720" s="8">
        <v>44597</v>
      </c>
      <c r="I720" s="8">
        <v>43417</v>
      </c>
      <c r="J720" s="8">
        <v>43403</v>
      </c>
      <c r="K720" s="95">
        <v>43410</v>
      </c>
      <c r="L720" s="95" t="s">
        <v>31</v>
      </c>
      <c r="M720" s="8">
        <v>43410</v>
      </c>
      <c r="N720" s="8">
        <v>43551</v>
      </c>
      <c r="O720" s="8">
        <v>43539</v>
      </c>
      <c r="P720" s="6" t="s">
        <v>75</v>
      </c>
      <c r="R720" s="97" t="str">
        <f t="shared" si="26"/>
        <v/>
      </c>
      <c r="S720" s="75" t="str">
        <f t="shared" si="25"/>
        <v/>
      </c>
      <c r="U720" s="8">
        <v>43551</v>
      </c>
      <c r="W720" s="6" t="s">
        <v>33</v>
      </c>
      <c r="X720" s="95">
        <v>51847</v>
      </c>
    </row>
    <row r="721" spans="1:24" x14ac:dyDescent="0.25">
      <c r="A721" s="6" t="s">
        <v>65</v>
      </c>
      <c r="B721" s="94" t="s">
        <v>590</v>
      </c>
      <c r="C721" s="6" t="s">
        <v>2460</v>
      </c>
      <c r="D721" s="140">
        <v>11628978</v>
      </c>
      <c r="E721" s="6" t="s">
        <v>142</v>
      </c>
      <c r="F721" s="6" t="s">
        <v>528</v>
      </c>
      <c r="G721" s="6" t="s">
        <v>2461</v>
      </c>
      <c r="H721" s="8">
        <v>45211</v>
      </c>
      <c r="I721" s="8">
        <v>43272</v>
      </c>
      <c r="J721" s="8">
        <v>43272</v>
      </c>
      <c r="K721" s="95">
        <v>43283</v>
      </c>
      <c r="L721" s="95" t="s">
        <v>31</v>
      </c>
      <c r="M721" s="8">
        <v>43291</v>
      </c>
      <c r="N721" s="8">
        <v>43552</v>
      </c>
      <c r="O721" s="8">
        <v>43544</v>
      </c>
      <c r="P721" s="101" t="s">
        <v>182</v>
      </c>
      <c r="R721" s="97" t="str">
        <f t="shared" si="26"/>
        <v/>
      </c>
      <c r="S721" s="75" t="str">
        <f t="shared" si="25"/>
        <v/>
      </c>
      <c r="U721" s="8">
        <v>43552</v>
      </c>
      <c r="W721" s="6" t="s">
        <v>33</v>
      </c>
      <c r="X721" s="95">
        <v>44387</v>
      </c>
    </row>
    <row r="722" spans="1:24" x14ac:dyDescent="0.25">
      <c r="A722" s="6" t="s">
        <v>117</v>
      </c>
      <c r="B722" s="94" t="s">
        <v>590</v>
      </c>
      <c r="C722" s="6" t="s">
        <v>2462</v>
      </c>
      <c r="D722" s="140">
        <v>11887346</v>
      </c>
      <c r="E722" s="6" t="s">
        <v>256</v>
      </c>
      <c r="F722" s="6" t="s">
        <v>309</v>
      </c>
      <c r="G722" s="6" t="s">
        <v>2463</v>
      </c>
      <c r="H722" s="8">
        <v>45414</v>
      </c>
      <c r="I722" s="8">
        <v>43343</v>
      </c>
      <c r="J722" s="8">
        <v>43343</v>
      </c>
      <c r="K722" s="95">
        <v>43348</v>
      </c>
      <c r="L722" s="95" t="s">
        <v>31</v>
      </c>
      <c r="M722" s="8">
        <v>43353</v>
      </c>
      <c r="N722" s="8">
        <v>43546</v>
      </c>
      <c r="O722" s="8">
        <v>43545</v>
      </c>
      <c r="P722" s="6" t="s">
        <v>75</v>
      </c>
      <c r="R722" s="97" t="str">
        <f t="shared" si="26"/>
        <v/>
      </c>
      <c r="S722" s="75" t="str">
        <f t="shared" si="25"/>
        <v/>
      </c>
      <c r="U722" s="8">
        <v>43546</v>
      </c>
      <c r="W722" s="6" t="s">
        <v>33</v>
      </c>
      <c r="X722" s="95">
        <v>41571</v>
      </c>
    </row>
    <row r="723" spans="1:24" x14ac:dyDescent="0.25">
      <c r="A723" s="6" t="s">
        <v>37</v>
      </c>
      <c r="B723" s="94" t="s">
        <v>2464</v>
      </c>
      <c r="C723" s="6" t="s">
        <v>2465</v>
      </c>
      <c r="D723" s="140">
        <v>11550582</v>
      </c>
      <c r="E723" s="6" t="s">
        <v>2466</v>
      </c>
      <c r="F723" s="10" t="s">
        <v>44</v>
      </c>
      <c r="G723" s="6" t="s">
        <v>2467</v>
      </c>
      <c r="H723" s="8">
        <v>49948</v>
      </c>
      <c r="I723" s="8">
        <v>44061</v>
      </c>
      <c r="J723" s="8">
        <v>44078</v>
      </c>
      <c r="K723" s="95">
        <v>44082</v>
      </c>
      <c r="L723" s="95" t="s">
        <v>31</v>
      </c>
      <c r="M723" s="8">
        <v>44099</v>
      </c>
      <c r="N723" s="108">
        <v>44400</v>
      </c>
      <c r="O723" s="108">
        <v>44376</v>
      </c>
      <c r="P723" s="107" t="s">
        <v>52</v>
      </c>
      <c r="Q723" s="110"/>
      <c r="R723" s="97" t="str">
        <f t="shared" si="26"/>
        <v/>
      </c>
      <c r="S723" s="75" t="str">
        <f t="shared" si="25"/>
        <v/>
      </c>
      <c r="U723" s="8">
        <v>44776</v>
      </c>
      <c r="W723" s="6" t="s">
        <v>33</v>
      </c>
      <c r="X723" s="135">
        <v>52299</v>
      </c>
    </row>
    <row r="724" spans="1:24" x14ac:dyDescent="0.25">
      <c r="A724" s="6" t="s">
        <v>37</v>
      </c>
      <c r="B724" s="94" t="s">
        <v>2468</v>
      </c>
      <c r="C724" s="6" t="s">
        <v>2469</v>
      </c>
      <c r="D724" s="140">
        <v>12107915</v>
      </c>
      <c r="E724" s="6" t="s">
        <v>2187</v>
      </c>
      <c r="F724" s="10" t="s">
        <v>299</v>
      </c>
      <c r="G724" s="6" t="s">
        <v>2470</v>
      </c>
      <c r="H724" s="8">
        <v>44860</v>
      </c>
      <c r="I724" s="8">
        <v>44244</v>
      </c>
      <c r="J724" s="8">
        <v>44244</v>
      </c>
      <c r="K724" s="95">
        <v>44244</v>
      </c>
      <c r="L724" s="95" t="s">
        <v>31</v>
      </c>
      <c r="M724" s="8">
        <v>44272</v>
      </c>
      <c r="N724" s="108">
        <v>44690</v>
      </c>
      <c r="O724" s="108">
        <v>44631</v>
      </c>
      <c r="P724" s="107" t="s">
        <v>35</v>
      </c>
      <c r="Q724" s="110">
        <v>0</v>
      </c>
      <c r="R724" s="97" t="str">
        <f t="shared" si="26"/>
        <v/>
      </c>
      <c r="S724" s="75" t="str">
        <f t="shared" si="25"/>
        <v/>
      </c>
      <c r="T724" s="129" t="s">
        <v>2471</v>
      </c>
      <c r="U724" s="8">
        <v>44783</v>
      </c>
      <c r="W724" s="6" t="s">
        <v>33</v>
      </c>
      <c r="X724" s="7">
        <v>45870</v>
      </c>
    </row>
    <row r="725" spans="1:24" x14ac:dyDescent="0.25">
      <c r="A725" s="6" t="s">
        <v>65</v>
      </c>
      <c r="B725" s="94" t="s">
        <v>2472</v>
      </c>
      <c r="C725" s="6" t="s">
        <v>2473</v>
      </c>
      <c r="D725" s="140">
        <v>11017012</v>
      </c>
      <c r="E725" s="6" t="s">
        <v>892</v>
      </c>
      <c r="F725" s="10" t="s">
        <v>44</v>
      </c>
      <c r="G725" s="6" t="s">
        <v>2474</v>
      </c>
      <c r="H725" s="8">
        <v>46270</v>
      </c>
      <c r="I725" s="8">
        <v>43347</v>
      </c>
      <c r="J725" s="8">
        <v>43347</v>
      </c>
      <c r="K725" s="95">
        <v>43362</v>
      </c>
      <c r="L725" s="95" t="s">
        <v>31</v>
      </c>
      <c r="M725" s="8">
        <v>43367</v>
      </c>
      <c r="N725" s="108">
        <v>44004</v>
      </c>
      <c r="O725" s="108">
        <v>43999</v>
      </c>
      <c r="P725" s="107" t="s">
        <v>52</v>
      </c>
      <c r="Q725" s="110"/>
      <c r="R725" s="97" t="str">
        <f t="shared" si="26"/>
        <v/>
      </c>
      <c r="S725" s="75" t="str">
        <f t="shared" si="25"/>
        <v/>
      </c>
      <c r="U725" s="8">
        <v>44776</v>
      </c>
      <c r="W725" s="6" t="s">
        <v>33</v>
      </c>
      <c r="X725" s="95">
        <v>50446</v>
      </c>
    </row>
    <row r="726" spans="1:24" ht="30" x14ac:dyDescent="0.25">
      <c r="A726" s="6" t="s">
        <v>65</v>
      </c>
      <c r="B726" s="94" t="s">
        <v>1668</v>
      </c>
      <c r="C726" s="6" t="s">
        <v>2475</v>
      </c>
      <c r="D726" s="140">
        <v>11344866</v>
      </c>
      <c r="E726" s="6" t="s">
        <v>1752</v>
      </c>
      <c r="F726" s="10" t="s">
        <v>29</v>
      </c>
      <c r="G726" s="6" t="s">
        <v>2476</v>
      </c>
      <c r="H726" s="8">
        <v>44604</v>
      </c>
      <c r="I726" s="8">
        <v>43347</v>
      </c>
      <c r="J726" s="8">
        <v>43347</v>
      </c>
      <c r="K726" s="95">
        <v>43355</v>
      </c>
      <c r="L726" s="95" t="s">
        <v>31</v>
      </c>
      <c r="M726" s="8">
        <v>43360</v>
      </c>
      <c r="N726" s="8">
        <v>43553</v>
      </c>
      <c r="O726" s="8">
        <v>43553</v>
      </c>
      <c r="P726" s="6" t="s">
        <v>52</v>
      </c>
      <c r="R726" s="97" t="str">
        <f t="shared" si="26"/>
        <v/>
      </c>
      <c r="S726" s="75" t="str">
        <f t="shared" si="25"/>
        <v/>
      </c>
      <c r="T726" s="124" t="s">
        <v>2477</v>
      </c>
      <c r="U726" s="8">
        <v>43564</v>
      </c>
      <c r="W726" s="6" t="s">
        <v>33</v>
      </c>
      <c r="X726" s="95">
        <v>44691</v>
      </c>
    </row>
    <row r="727" spans="1:24" x14ac:dyDescent="0.25">
      <c r="A727" s="6" t="s">
        <v>65</v>
      </c>
      <c r="B727" s="94" t="s">
        <v>145</v>
      </c>
      <c r="C727" s="6" t="s">
        <v>2478</v>
      </c>
      <c r="D727" s="140">
        <v>11064361</v>
      </c>
      <c r="E727" s="6" t="s">
        <v>958</v>
      </c>
      <c r="F727" s="10" t="s">
        <v>44</v>
      </c>
      <c r="G727" s="6" t="s">
        <v>2479</v>
      </c>
      <c r="H727" s="8">
        <v>47443</v>
      </c>
      <c r="I727" s="8">
        <v>43347</v>
      </c>
      <c r="J727" s="8">
        <v>43347</v>
      </c>
      <c r="K727" s="95">
        <v>43362</v>
      </c>
      <c r="L727" s="95" t="s">
        <v>31</v>
      </c>
      <c r="M727" s="8">
        <v>43367</v>
      </c>
      <c r="N727" s="8">
        <v>43460</v>
      </c>
      <c r="O727" s="8">
        <v>43445</v>
      </c>
      <c r="P727" s="6" t="s">
        <v>35</v>
      </c>
      <c r="Q727" s="96">
        <v>1095</v>
      </c>
      <c r="R727" s="97">
        <f t="shared" si="26"/>
        <v>3</v>
      </c>
      <c r="S727" s="75">
        <f t="shared" si="25"/>
        <v>24777</v>
      </c>
      <c r="U727" s="8">
        <v>43460</v>
      </c>
      <c r="W727" s="6" t="s">
        <v>33</v>
      </c>
      <c r="X727" s="95">
        <v>49820</v>
      </c>
    </row>
    <row r="728" spans="1:24" x14ac:dyDescent="0.25">
      <c r="A728" s="6" t="s">
        <v>65</v>
      </c>
      <c r="B728" s="94" t="s">
        <v>2480</v>
      </c>
      <c r="C728" s="6" t="s">
        <v>2481</v>
      </c>
      <c r="D728" s="140">
        <v>11304336</v>
      </c>
      <c r="E728" s="6" t="s">
        <v>240</v>
      </c>
      <c r="F728" s="10" t="s">
        <v>44</v>
      </c>
      <c r="G728" s="6" t="s">
        <v>2482</v>
      </c>
      <c r="H728" s="8">
        <v>45336</v>
      </c>
      <c r="I728" s="8">
        <v>43347</v>
      </c>
      <c r="J728" s="8">
        <v>43347</v>
      </c>
      <c r="K728" s="95">
        <v>43376</v>
      </c>
      <c r="L728" s="95" t="s">
        <v>31</v>
      </c>
      <c r="M728" s="8">
        <v>43390</v>
      </c>
      <c r="N728" s="8">
        <v>43647</v>
      </c>
      <c r="O728" s="8">
        <v>43637</v>
      </c>
      <c r="P728" s="6" t="s">
        <v>35</v>
      </c>
      <c r="Q728" s="96">
        <v>548</v>
      </c>
      <c r="R728" s="97">
        <f t="shared" si="26"/>
        <v>1.5013698630136987</v>
      </c>
      <c r="S728" s="75">
        <f t="shared" si="25"/>
        <v>12399.813698630138</v>
      </c>
      <c r="U728" s="8">
        <v>43671</v>
      </c>
      <c r="W728" s="6" t="s">
        <v>33</v>
      </c>
      <c r="X728" s="95">
        <v>45621</v>
      </c>
    </row>
    <row r="729" spans="1:24" x14ac:dyDescent="0.25">
      <c r="A729" s="6" t="s">
        <v>65</v>
      </c>
      <c r="B729" s="94" t="s">
        <v>2483</v>
      </c>
      <c r="C729" s="6" t="s">
        <v>2484</v>
      </c>
      <c r="D729" s="140">
        <v>11230671</v>
      </c>
      <c r="E729" s="6" t="s">
        <v>289</v>
      </c>
      <c r="F729" s="10" t="s">
        <v>44</v>
      </c>
      <c r="G729" s="6" t="s">
        <v>2485</v>
      </c>
      <c r="H729" s="8">
        <v>63776</v>
      </c>
      <c r="I729" s="8">
        <v>43347</v>
      </c>
      <c r="J729" s="8">
        <v>43347</v>
      </c>
      <c r="K729" s="95">
        <v>43362</v>
      </c>
      <c r="L729" s="95" t="s">
        <v>31</v>
      </c>
      <c r="M729" s="8">
        <v>43367</v>
      </c>
      <c r="N729" s="8">
        <v>43446</v>
      </c>
      <c r="O729" s="8">
        <v>43430</v>
      </c>
      <c r="P729" s="6" t="s">
        <v>35</v>
      </c>
      <c r="Q729" s="96">
        <v>1095</v>
      </c>
      <c r="R729" s="97">
        <f t="shared" si="26"/>
        <v>3</v>
      </c>
      <c r="S729" s="75">
        <f t="shared" si="25"/>
        <v>24777</v>
      </c>
      <c r="U729" s="8">
        <v>43452</v>
      </c>
      <c r="W729" s="6" t="s">
        <v>84</v>
      </c>
      <c r="X729" s="95">
        <v>47576</v>
      </c>
    </row>
    <row r="730" spans="1:24" x14ac:dyDescent="0.25">
      <c r="A730" s="6" t="s">
        <v>65</v>
      </c>
      <c r="B730" s="94" t="s">
        <v>2486</v>
      </c>
      <c r="C730" s="6" t="s">
        <v>2487</v>
      </c>
      <c r="D730" s="140">
        <v>11299576</v>
      </c>
      <c r="E730" s="6" t="s">
        <v>480</v>
      </c>
      <c r="F730" s="10" t="s">
        <v>57</v>
      </c>
      <c r="G730" s="6" t="s">
        <v>2488</v>
      </c>
      <c r="H730" s="8">
        <v>45598</v>
      </c>
      <c r="I730" s="8">
        <v>43347</v>
      </c>
      <c r="J730" s="8">
        <v>43347</v>
      </c>
      <c r="K730" s="95">
        <v>43355</v>
      </c>
      <c r="L730" s="95" t="s">
        <v>31</v>
      </c>
      <c r="M730" s="8">
        <v>43360</v>
      </c>
      <c r="R730" s="97" t="str">
        <f t="shared" si="26"/>
        <v/>
      </c>
      <c r="S730" s="75" t="str">
        <f t="shared" ref="S730:S793" si="27">IF(Q730&gt;0, SUM(Q730)*(8259/365), "")</f>
        <v/>
      </c>
      <c r="W730" s="6" t="s">
        <v>33</v>
      </c>
      <c r="X730" s="95">
        <v>45298</v>
      </c>
    </row>
    <row r="731" spans="1:24" x14ac:dyDescent="0.25">
      <c r="A731" s="6" t="s">
        <v>65</v>
      </c>
      <c r="B731" s="94" t="s">
        <v>2489</v>
      </c>
      <c r="C731" s="6" t="s">
        <v>2490</v>
      </c>
      <c r="D731" s="140">
        <v>11354703</v>
      </c>
      <c r="E731" s="6" t="s">
        <v>1200</v>
      </c>
      <c r="F731" s="10" t="s">
        <v>57</v>
      </c>
      <c r="G731" s="6" t="s">
        <v>2491</v>
      </c>
      <c r="H731" s="8">
        <v>47818</v>
      </c>
      <c r="I731" s="8">
        <v>43347</v>
      </c>
      <c r="J731" s="8">
        <v>43347</v>
      </c>
      <c r="K731" s="95">
        <v>43355</v>
      </c>
      <c r="L731" s="95" t="s">
        <v>31</v>
      </c>
      <c r="M731" s="8">
        <v>43360</v>
      </c>
      <c r="N731" s="108">
        <v>43717</v>
      </c>
      <c r="O731" s="108">
        <v>43712</v>
      </c>
      <c r="P731" s="107" t="s">
        <v>35</v>
      </c>
      <c r="Q731" s="110">
        <v>1761</v>
      </c>
      <c r="R731" s="97">
        <f t="shared" si="26"/>
        <v>4.8246575342465752</v>
      </c>
      <c r="S731" s="75">
        <f t="shared" si="27"/>
        <v>39846.846575342468</v>
      </c>
      <c r="U731" s="8">
        <v>44776</v>
      </c>
      <c r="W731" s="6" t="s">
        <v>33</v>
      </c>
      <c r="X731" s="95">
        <v>53568</v>
      </c>
    </row>
    <row r="732" spans="1:24" x14ac:dyDescent="0.25">
      <c r="A732" s="6" t="s">
        <v>37</v>
      </c>
      <c r="B732" s="94" t="s">
        <v>2492</v>
      </c>
      <c r="C732" s="6" t="s">
        <v>2493</v>
      </c>
      <c r="D732" s="140">
        <v>11043110</v>
      </c>
      <c r="E732" s="6" t="s">
        <v>2494</v>
      </c>
      <c r="F732" s="10" t="s">
        <v>143</v>
      </c>
      <c r="G732" s="6" t="s">
        <v>2495</v>
      </c>
      <c r="H732" s="8">
        <v>44793</v>
      </c>
      <c r="I732" s="8">
        <v>43403</v>
      </c>
      <c r="J732" s="8">
        <v>43403</v>
      </c>
      <c r="K732" s="95">
        <v>43410</v>
      </c>
      <c r="L732" s="95" t="s">
        <v>31</v>
      </c>
      <c r="M732" s="8">
        <v>43410</v>
      </c>
      <c r="N732" s="8">
        <v>43573</v>
      </c>
      <c r="O732" s="8">
        <v>43553</v>
      </c>
      <c r="P732" s="6" t="s">
        <v>75</v>
      </c>
      <c r="R732" s="97" t="str">
        <f t="shared" si="26"/>
        <v/>
      </c>
      <c r="S732" s="75" t="str">
        <f t="shared" si="27"/>
        <v/>
      </c>
      <c r="U732" s="8">
        <v>43573</v>
      </c>
      <c r="W732" s="6" t="s">
        <v>33</v>
      </c>
      <c r="X732" s="95">
        <v>49878</v>
      </c>
    </row>
    <row r="733" spans="1:24" x14ac:dyDescent="0.25">
      <c r="A733" s="6" t="s">
        <v>65</v>
      </c>
      <c r="B733" s="94" t="s">
        <v>1212</v>
      </c>
      <c r="C733" s="6" t="s">
        <v>2496</v>
      </c>
      <c r="D733" s="140">
        <v>11064801</v>
      </c>
      <c r="E733" s="6" t="s">
        <v>314</v>
      </c>
      <c r="F733" s="10" t="s">
        <v>57</v>
      </c>
      <c r="G733" s="6" t="s">
        <v>2497</v>
      </c>
      <c r="H733" s="8">
        <v>54117</v>
      </c>
      <c r="I733" s="8">
        <v>43347</v>
      </c>
      <c r="J733" s="8">
        <v>43347</v>
      </c>
      <c r="K733" s="95">
        <v>43355</v>
      </c>
      <c r="L733" s="95" t="s">
        <v>31</v>
      </c>
      <c r="M733" s="8">
        <v>43356</v>
      </c>
      <c r="R733" s="97" t="str">
        <f t="shared" si="26"/>
        <v/>
      </c>
      <c r="S733" s="75" t="str">
        <f t="shared" si="27"/>
        <v/>
      </c>
      <c r="W733" s="6" t="s">
        <v>84</v>
      </c>
      <c r="X733" s="95">
        <v>45968</v>
      </c>
    </row>
    <row r="734" spans="1:24" x14ac:dyDescent="0.25">
      <c r="A734" s="6" t="s">
        <v>117</v>
      </c>
      <c r="B734" s="94" t="s">
        <v>1123</v>
      </c>
      <c r="C734" s="6" t="s">
        <v>2498</v>
      </c>
      <c r="D734" s="140">
        <v>11876559</v>
      </c>
      <c r="E734" s="6" t="s">
        <v>559</v>
      </c>
      <c r="F734" s="10" t="s">
        <v>148</v>
      </c>
      <c r="G734" s="6" t="s">
        <v>2499</v>
      </c>
      <c r="H734" s="8">
        <v>75211</v>
      </c>
      <c r="I734" s="8">
        <v>43343</v>
      </c>
      <c r="J734" s="95">
        <v>43343</v>
      </c>
      <c r="K734" s="95">
        <v>43347</v>
      </c>
      <c r="L734" s="95" t="s">
        <v>31</v>
      </c>
      <c r="M734" s="8">
        <v>43353</v>
      </c>
      <c r="N734" s="8">
        <v>43574</v>
      </c>
      <c r="O734" s="8">
        <v>43570</v>
      </c>
      <c r="P734" s="6" t="s">
        <v>52</v>
      </c>
      <c r="R734" s="97" t="str">
        <f t="shared" si="26"/>
        <v/>
      </c>
      <c r="S734" s="75" t="str">
        <f t="shared" si="27"/>
        <v/>
      </c>
      <c r="T734" s="124" t="s">
        <v>2500</v>
      </c>
      <c r="U734" s="8">
        <v>43579</v>
      </c>
      <c r="W734" s="6" t="s">
        <v>84</v>
      </c>
      <c r="X734" s="95">
        <v>51106</v>
      </c>
    </row>
    <row r="735" spans="1:24" x14ac:dyDescent="0.25">
      <c r="A735" s="6" t="s">
        <v>168</v>
      </c>
      <c r="B735" s="94" t="s">
        <v>1398</v>
      </c>
      <c r="C735" s="6" t="s">
        <v>2501</v>
      </c>
      <c r="D735" s="140">
        <v>11926448</v>
      </c>
      <c r="E735" s="6" t="s">
        <v>2502</v>
      </c>
      <c r="F735" s="10" t="s">
        <v>121</v>
      </c>
      <c r="G735" s="6" t="s">
        <v>2503</v>
      </c>
      <c r="H735" s="8">
        <v>49373</v>
      </c>
      <c r="I735" s="8">
        <v>44364</v>
      </c>
      <c r="J735" s="8">
        <v>44398</v>
      </c>
      <c r="K735" s="95">
        <v>44399</v>
      </c>
      <c r="L735" s="95" t="s">
        <v>359</v>
      </c>
      <c r="R735" s="97" t="str">
        <f t="shared" si="26"/>
        <v/>
      </c>
      <c r="S735" s="75" t="str">
        <f t="shared" si="27"/>
        <v/>
      </c>
      <c r="W735" s="6" t="s">
        <v>84</v>
      </c>
      <c r="X735" s="7">
        <v>45167</v>
      </c>
    </row>
    <row r="736" spans="1:24" x14ac:dyDescent="0.25">
      <c r="A736" s="6" t="s">
        <v>168</v>
      </c>
      <c r="B736" s="94" t="s">
        <v>2504</v>
      </c>
      <c r="C736" s="6" t="s">
        <v>2505</v>
      </c>
      <c r="D736" s="140" t="s">
        <v>2506</v>
      </c>
      <c r="E736" s="6" t="s">
        <v>318</v>
      </c>
      <c r="F736" s="10" t="s">
        <v>205</v>
      </c>
      <c r="G736" s="6" t="s">
        <v>2507</v>
      </c>
      <c r="H736" s="8">
        <v>46288</v>
      </c>
      <c r="I736" s="8">
        <v>43521</v>
      </c>
      <c r="J736" s="8">
        <v>43530</v>
      </c>
      <c r="K736" s="95">
        <v>43530</v>
      </c>
      <c r="L736" s="95" t="s">
        <v>31</v>
      </c>
      <c r="M736" s="8">
        <v>43531</v>
      </c>
      <c r="N736" s="8">
        <v>43616</v>
      </c>
      <c r="O736" s="8">
        <v>43608</v>
      </c>
      <c r="P736" s="6" t="s">
        <v>90</v>
      </c>
      <c r="Q736" s="96">
        <v>4462</v>
      </c>
      <c r="R736" s="97">
        <f t="shared" si="26"/>
        <v>12.224657534246575</v>
      </c>
      <c r="S736" s="75">
        <f t="shared" si="27"/>
        <v>100963.44657534247</v>
      </c>
      <c r="T736" s="124" t="s">
        <v>2508</v>
      </c>
      <c r="U736" s="8">
        <v>43616</v>
      </c>
      <c r="V736" s="6" t="s">
        <v>36</v>
      </c>
      <c r="W736" s="6" t="s">
        <v>84</v>
      </c>
      <c r="X736" s="95">
        <v>36791</v>
      </c>
    </row>
    <row r="737" spans="1:24" x14ac:dyDescent="0.25">
      <c r="A737" s="6" t="s">
        <v>65</v>
      </c>
      <c r="B737" s="94" t="s">
        <v>2509</v>
      </c>
      <c r="C737" s="6" t="s">
        <v>2510</v>
      </c>
      <c r="D737" s="140">
        <v>11352422</v>
      </c>
      <c r="E737" s="6" t="s">
        <v>204</v>
      </c>
      <c r="F737" s="10" t="s">
        <v>29</v>
      </c>
      <c r="G737" s="6" t="s">
        <v>2511</v>
      </c>
      <c r="H737" s="8">
        <v>50945</v>
      </c>
      <c r="I737" s="8">
        <v>43347</v>
      </c>
      <c r="J737" s="8">
        <v>43347</v>
      </c>
      <c r="K737" s="95">
        <v>43355</v>
      </c>
      <c r="L737" s="95" t="s">
        <v>31</v>
      </c>
      <c r="M737" s="8">
        <v>43360</v>
      </c>
      <c r="N737" s="108">
        <v>43574</v>
      </c>
      <c r="O737" s="108">
        <v>43560</v>
      </c>
      <c r="P737" s="107" t="s">
        <v>52</v>
      </c>
      <c r="Q737" s="110"/>
      <c r="R737" s="97" t="str">
        <f t="shared" si="26"/>
        <v/>
      </c>
      <c r="S737" s="75" t="str">
        <f t="shared" si="27"/>
        <v/>
      </c>
      <c r="U737" s="8">
        <v>44776</v>
      </c>
      <c r="W737" s="6" t="s">
        <v>84</v>
      </c>
      <c r="X737" s="95">
        <v>54598</v>
      </c>
    </row>
    <row r="738" spans="1:24" x14ac:dyDescent="0.25">
      <c r="A738" s="6" t="s">
        <v>65</v>
      </c>
      <c r="B738" s="94" t="s">
        <v>2512</v>
      </c>
      <c r="C738" s="6" t="s">
        <v>2513</v>
      </c>
      <c r="D738" s="140">
        <v>11266968</v>
      </c>
      <c r="E738" s="6" t="s">
        <v>289</v>
      </c>
      <c r="F738" s="10" t="s">
        <v>134</v>
      </c>
      <c r="G738" s="6" t="s">
        <v>2514</v>
      </c>
      <c r="H738" s="8">
        <v>46963</v>
      </c>
      <c r="I738" s="8">
        <v>43347</v>
      </c>
      <c r="J738" s="8">
        <v>43347</v>
      </c>
      <c r="K738" s="95">
        <v>43355</v>
      </c>
      <c r="L738" s="95" t="s">
        <v>31</v>
      </c>
      <c r="M738" s="8">
        <v>43356</v>
      </c>
      <c r="N738" s="8">
        <v>43586</v>
      </c>
      <c r="O738" s="8">
        <v>43566</v>
      </c>
      <c r="P738" s="6" t="s">
        <v>35</v>
      </c>
      <c r="Q738" s="96">
        <v>1095</v>
      </c>
      <c r="R738" s="97">
        <f t="shared" si="26"/>
        <v>3</v>
      </c>
      <c r="S738" s="75">
        <f t="shared" si="27"/>
        <v>24777</v>
      </c>
      <c r="T738" s="124" t="s">
        <v>301</v>
      </c>
      <c r="U738" s="8">
        <v>43586</v>
      </c>
      <c r="W738" s="6" t="s">
        <v>33</v>
      </c>
      <c r="X738" s="95">
        <v>42367</v>
      </c>
    </row>
    <row r="739" spans="1:24" x14ac:dyDescent="0.25">
      <c r="A739" s="6" t="s">
        <v>65</v>
      </c>
      <c r="B739" s="94" t="s">
        <v>250</v>
      </c>
      <c r="C739" s="6" t="s">
        <v>2515</v>
      </c>
      <c r="D739" s="140">
        <v>11346461</v>
      </c>
      <c r="E739" s="6" t="s">
        <v>678</v>
      </c>
      <c r="F739" s="10" t="s">
        <v>134</v>
      </c>
      <c r="G739" s="6" t="s">
        <v>2516</v>
      </c>
      <c r="H739" s="8">
        <v>45958</v>
      </c>
      <c r="I739" s="8">
        <v>43347</v>
      </c>
      <c r="J739" s="8">
        <v>43347</v>
      </c>
      <c r="K739" s="95">
        <v>43355</v>
      </c>
      <c r="L739" s="95" t="s">
        <v>31</v>
      </c>
      <c r="M739" s="8">
        <v>43360</v>
      </c>
      <c r="N739" s="8">
        <v>43536</v>
      </c>
      <c r="O739" s="8">
        <v>43530</v>
      </c>
      <c r="P739" s="6" t="s">
        <v>35</v>
      </c>
      <c r="Q739" s="96">
        <v>1095</v>
      </c>
      <c r="R739" s="97">
        <f t="shared" si="26"/>
        <v>3</v>
      </c>
      <c r="S739" s="75">
        <f t="shared" si="27"/>
        <v>24777</v>
      </c>
      <c r="T739" s="124" t="s">
        <v>301</v>
      </c>
      <c r="U739" s="8">
        <v>43536</v>
      </c>
      <c r="W739" s="6" t="s">
        <v>33</v>
      </c>
      <c r="X739" s="95">
        <v>45265</v>
      </c>
    </row>
    <row r="740" spans="1:24" x14ac:dyDescent="0.25">
      <c r="A740" s="6" t="s">
        <v>65</v>
      </c>
      <c r="B740" s="94" t="s">
        <v>1717</v>
      </c>
      <c r="C740" s="6" t="s">
        <v>2517</v>
      </c>
      <c r="D740" s="140">
        <v>11296122</v>
      </c>
      <c r="E740" s="6" t="s">
        <v>2518</v>
      </c>
      <c r="F740" s="10" t="s">
        <v>205</v>
      </c>
      <c r="G740" s="6" t="s">
        <v>1493</v>
      </c>
      <c r="H740" s="8">
        <v>2958465</v>
      </c>
      <c r="I740" s="8">
        <v>43347</v>
      </c>
      <c r="J740" s="8">
        <v>43347</v>
      </c>
      <c r="K740" s="95">
        <v>43355</v>
      </c>
      <c r="L740" s="95" t="s">
        <v>31</v>
      </c>
      <c r="M740" s="8">
        <v>43356</v>
      </c>
      <c r="N740" s="108">
        <v>43495</v>
      </c>
      <c r="O740" s="108">
        <v>43425</v>
      </c>
      <c r="P740" s="107" t="s">
        <v>69</v>
      </c>
      <c r="Q740" s="110">
        <v>0</v>
      </c>
      <c r="R740" s="97" t="str">
        <f t="shared" si="26"/>
        <v/>
      </c>
      <c r="S740" s="75" t="str">
        <f t="shared" si="27"/>
        <v/>
      </c>
      <c r="U740" s="8">
        <v>44776</v>
      </c>
      <c r="W740" s="6" t="s">
        <v>84</v>
      </c>
      <c r="X740" s="6" t="s">
        <v>683</v>
      </c>
    </row>
    <row r="741" spans="1:24" x14ac:dyDescent="0.25">
      <c r="A741" s="6" t="s">
        <v>65</v>
      </c>
      <c r="B741" s="94" t="s">
        <v>2519</v>
      </c>
      <c r="C741" s="6" t="s">
        <v>2520</v>
      </c>
      <c r="D741" s="140">
        <v>11199639</v>
      </c>
      <c r="E741" s="6" t="s">
        <v>1018</v>
      </c>
      <c r="F741" s="10" t="s">
        <v>100</v>
      </c>
      <c r="G741" s="6" t="s">
        <v>2521</v>
      </c>
      <c r="H741" s="8">
        <v>80511</v>
      </c>
      <c r="I741" s="8">
        <v>43347</v>
      </c>
      <c r="J741" s="8">
        <v>43347</v>
      </c>
      <c r="K741" s="95">
        <v>43355</v>
      </c>
      <c r="L741" s="95" t="s">
        <v>31</v>
      </c>
      <c r="M741" s="8">
        <v>43360</v>
      </c>
      <c r="N741" s="8">
        <v>43564</v>
      </c>
      <c r="O741" s="8">
        <v>43552</v>
      </c>
      <c r="P741" s="6" t="s">
        <v>35</v>
      </c>
      <c r="Q741" s="96">
        <v>2191</v>
      </c>
      <c r="R741" s="97">
        <f t="shared" ref="R741:R804" si="28">IF(Q741&gt;0, Q741/365, "")</f>
        <v>6.0027397260273974</v>
      </c>
      <c r="S741" s="75">
        <f t="shared" si="27"/>
        <v>49576.627397260272</v>
      </c>
      <c r="T741" s="124" t="s">
        <v>2522</v>
      </c>
      <c r="U741" s="8">
        <v>43565</v>
      </c>
      <c r="W741" s="6" t="s">
        <v>84</v>
      </c>
      <c r="X741" s="95">
        <v>48807</v>
      </c>
    </row>
    <row r="742" spans="1:24" x14ac:dyDescent="0.25">
      <c r="A742" s="6" t="s">
        <v>65</v>
      </c>
      <c r="B742" s="94" t="s">
        <v>2523</v>
      </c>
      <c r="C742" s="6" t="s">
        <v>2524</v>
      </c>
      <c r="D742" s="140">
        <v>11297279</v>
      </c>
      <c r="E742" s="6" t="s">
        <v>714</v>
      </c>
      <c r="F742" s="10" t="s">
        <v>44</v>
      </c>
      <c r="G742" s="6" t="s">
        <v>2525</v>
      </c>
      <c r="H742" s="8">
        <v>44107</v>
      </c>
      <c r="I742" s="8">
        <v>43347</v>
      </c>
      <c r="J742" s="8">
        <v>43347</v>
      </c>
      <c r="K742" s="95">
        <v>43362</v>
      </c>
      <c r="L742" s="95" t="s">
        <v>31</v>
      </c>
      <c r="M742" s="8">
        <v>43367</v>
      </c>
      <c r="R742" s="97" t="str">
        <f t="shared" si="28"/>
        <v/>
      </c>
      <c r="S742" s="75" t="str">
        <f t="shared" si="27"/>
        <v/>
      </c>
      <c r="T742" s="129" t="s">
        <v>2526</v>
      </c>
      <c r="U742" s="8">
        <v>44783</v>
      </c>
      <c r="W742" s="6" t="s">
        <v>33</v>
      </c>
      <c r="X742" s="95">
        <v>46136</v>
      </c>
    </row>
    <row r="743" spans="1:24" ht="30" x14ac:dyDescent="0.25">
      <c r="A743" s="6" t="s">
        <v>65</v>
      </c>
      <c r="B743" s="94" t="s">
        <v>1234</v>
      </c>
      <c r="C743" s="6" t="s">
        <v>2527</v>
      </c>
      <c r="D743" s="140">
        <v>11359404</v>
      </c>
      <c r="E743" s="6" t="s">
        <v>298</v>
      </c>
      <c r="F743" s="10" t="s">
        <v>29</v>
      </c>
      <c r="G743" s="6" t="s">
        <v>2528</v>
      </c>
      <c r="H743" s="8">
        <v>45128</v>
      </c>
      <c r="I743" s="8">
        <v>43347</v>
      </c>
      <c r="J743" s="8">
        <v>43347</v>
      </c>
      <c r="K743" s="95">
        <v>43362</v>
      </c>
      <c r="L743" s="95" t="s">
        <v>31</v>
      </c>
      <c r="M743" s="8">
        <v>43367</v>
      </c>
      <c r="N743" s="8">
        <v>43467</v>
      </c>
      <c r="O743" s="8">
        <v>43452</v>
      </c>
      <c r="P743" s="6" t="s">
        <v>35</v>
      </c>
      <c r="Q743" s="96">
        <v>365</v>
      </c>
      <c r="R743" s="97">
        <f t="shared" si="28"/>
        <v>1</v>
      </c>
      <c r="S743" s="75">
        <f t="shared" si="27"/>
        <v>8259</v>
      </c>
      <c r="T743" s="124" t="s">
        <v>2529</v>
      </c>
      <c r="U743" s="8">
        <v>43467</v>
      </c>
      <c r="W743" s="6" t="s">
        <v>33</v>
      </c>
      <c r="X743" s="95">
        <v>45464</v>
      </c>
    </row>
    <row r="744" spans="1:24" x14ac:dyDescent="0.25">
      <c r="A744" s="6" t="s">
        <v>65</v>
      </c>
      <c r="B744" s="94" t="s">
        <v>512</v>
      </c>
      <c r="C744" s="6" t="s">
        <v>2530</v>
      </c>
      <c r="D744" s="140">
        <v>11367644</v>
      </c>
      <c r="E744" s="6" t="s">
        <v>826</v>
      </c>
      <c r="F744" s="10" t="s">
        <v>57</v>
      </c>
      <c r="G744" s="6" t="s">
        <v>2531</v>
      </c>
      <c r="H744" s="8">
        <v>2958465</v>
      </c>
      <c r="I744" s="8">
        <v>43348</v>
      </c>
      <c r="J744" s="8">
        <v>43348</v>
      </c>
      <c r="K744" s="95">
        <v>43369</v>
      </c>
      <c r="L744" s="95" t="s">
        <v>31</v>
      </c>
      <c r="M744" s="8">
        <v>43374</v>
      </c>
      <c r="N744" s="8">
        <v>43608</v>
      </c>
      <c r="O744" s="8">
        <v>43573</v>
      </c>
      <c r="P744" s="6" t="s">
        <v>182</v>
      </c>
      <c r="R744" s="97" t="str">
        <f t="shared" si="28"/>
        <v/>
      </c>
      <c r="S744" s="75" t="str">
        <f t="shared" si="27"/>
        <v/>
      </c>
      <c r="U744" s="8">
        <v>43608</v>
      </c>
      <c r="W744" s="6" t="s">
        <v>84</v>
      </c>
      <c r="X744" s="6" t="s">
        <v>683</v>
      </c>
    </row>
    <row r="745" spans="1:24" x14ac:dyDescent="0.25">
      <c r="A745" s="6" t="s">
        <v>65</v>
      </c>
      <c r="B745" s="94" t="s">
        <v>1171</v>
      </c>
      <c r="C745" s="6" t="s">
        <v>2532</v>
      </c>
      <c r="D745" s="140">
        <v>11279530</v>
      </c>
      <c r="E745" s="6" t="s">
        <v>615</v>
      </c>
      <c r="F745" s="10" t="s">
        <v>44</v>
      </c>
      <c r="G745" s="6" t="s">
        <v>2533</v>
      </c>
      <c r="H745" s="8">
        <v>47175</v>
      </c>
      <c r="I745" s="8">
        <v>43347</v>
      </c>
      <c r="J745" s="8">
        <v>43347</v>
      </c>
      <c r="K745" s="95">
        <v>43362</v>
      </c>
      <c r="L745" s="95" t="s">
        <v>31</v>
      </c>
      <c r="M745" s="8">
        <v>43367</v>
      </c>
      <c r="R745" s="97" t="str">
        <f t="shared" si="28"/>
        <v/>
      </c>
      <c r="S745" s="75" t="str">
        <f t="shared" si="27"/>
        <v/>
      </c>
      <c r="W745" s="6" t="s">
        <v>33</v>
      </c>
      <c r="X745" s="95">
        <v>45762</v>
      </c>
    </row>
    <row r="746" spans="1:24" x14ac:dyDescent="0.25">
      <c r="A746" s="6" t="s">
        <v>65</v>
      </c>
      <c r="B746" s="94" t="s">
        <v>1265</v>
      </c>
      <c r="C746" s="6" t="s">
        <v>2534</v>
      </c>
      <c r="D746" s="140">
        <v>11295841</v>
      </c>
      <c r="E746" s="6" t="s">
        <v>472</v>
      </c>
      <c r="F746" s="10" t="s">
        <v>44</v>
      </c>
      <c r="G746" s="6" t="s">
        <v>2535</v>
      </c>
      <c r="H746" s="8">
        <v>58694</v>
      </c>
      <c r="I746" s="8">
        <v>43347</v>
      </c>
      <c r="J746" s="8">
        <v>43347</v>
      </c>
      <c r="K746" s="95">
        <v>43369</v>
      </c>
      <c r="L746" s="95" t="s">
        <v>31</v>
      </c>
      <c r="M746" s="8">
        <v>43374</v>
      </c>
      <c r="N746" s="108">
        <v>44207</v>
      </c>
      <c r="O746" s="108">
        <v>44182</v>
      </c>
      <c r="P746" s="107" t="s">
        <v>52</v>
      </c>
      <c r="Q746" s="110"/>
      <c r="R746" s="97" t="str">
        <f t="shared" si="28"/>
        <v/>
      </c>
      <c r="S746" s="75" t="str">
        <f t="shared" si="27"/>
        <v/>
      </c>
      <c r="U746" s="8">
        <v>44776</v>
      </c>
      <c r="W746" s="6" t="s">
        <v>84</v>
      </c>
      <c r="X746" s="95">
        <v>48987</v>
      </c>
    </row>
    <row r="747" spans="1:24" x14ac:dyDescent="0.25">
      <c r="A747" s="6" t="s">
        <v>65</v>
      </c>
      <c r="B747" s="94" t="s">
        <v>2536</v>
      </c>
      <c r="C747" s="6" t="s">
        <v>2537</v>
      </c>
      <c r="D747" s="140">
        <v>11029337</v>
      </c>
      <c r="E747" s="6" t="s">
        <v>892</v>
      </c>
      <c r="F747" s="10" t="s">
        <v>44</v>
      </c>
      <c r="G747" s="6" t="s">
        <v>2538</v>
      </c>
      <c r="H747" s="8">
        <v>47177</v>
      </c>
      <c r="I747" s="8">
        <v>43347</v>
      </c>
      <c r="J747" s="8">
        <v>43347</v>
      </c>
      <c r="K747" s="95">
        <v>43362</v>
      </c>
      <c r="L747" s="95" t="s">
        <v>31</v>
      </c>
      <c r="M747" s="8">
        <v>43367</v>
      </c>
      <c r="N747" s="108">
        <v>44400</v>
      </c>
      <c r="O747" s="108">
        <v>44384</v>
      </c>
      <c r="P747" s="107" t="s">
        <v>52</v>
      </c>
      <c r="Q747" s="110"/>
      <c r="R747" s="97" t="str">
        <f t="shared" si="28"/>
        <v/>
      </c>
      <c r="S747" s="75" t="str">
        <f t="shared" si="27"/>
        <v/>
      </c>
      <c r="U747" s="8">
        <v>44776</v>
      </c>
      <c r="W747" s="6" t="s">
        <v>33</v>
      </c>
      <c r="X747" s="95">
        <v>43625</v>
      </c>
    </row>
    <row r="748" spans="1:24" x14ac:dyDescent="0.25">
      <c r="A748" s="6" t="s">
        <v>65</v>
      </c>
      <c r="B748" s="94" t="s">
        <v>2539</v>
      </c>
      <c r="C748" s="6" t="s">
        <v>2540</v>
      </c>
      <c r="D748" s="140">
        <v>11074880</v>
      </c>
      <c r="E748" s="6" t="s">
        <v>1103</v>
      </c>
      <c r="F748" s="10" t="s">
        <v>44</v>
      </c>
      <c r="G748" s="6" t="s">
        <v>2541</v>
      </c>
      <c r="H748" s="8">
        <v>49169</v>
      </c>
      <c r="I748" s="8">
        <v>43347</v>
      </c>
      <c r="J748" s="8">
        <v>43347</v>
      </c>
      <c r="K748" s="95">
        <v>43362</v>
      </c>
      <c r="L748" s="95" t="s">
        <v>31</v>
      </c>
      <c r="M748" s="8">
        <v>43367</v>
      </c>
      <c r="R748" s="97" t="str">
        <f t="shared" si="28"/>
        <v/>
      </c>
      <c r="S748" s="75" t="str">
        <f t="shared" si="27"/>
        <v/>
      </c>
      <c r="W748" s="6" t="s">
        <v>33</v>
      </c>
      <c r="X748" s="95">
        <v>52259</v>
      </c>
    </row>
    <row r="749" spans="1:24" x14ac:dyDescent="0.25">
      <c r="A749" s="6" t="s">
        <v>65</v>
      </c>
      <c r="B749" s="94" t="s">
        <v>1900</v>
      </c>
      <c r="C749" s="6" t="s">
        <v>2542</v>
      </c>
      <c r="D749" s="140">
        <v>11557387</v>
      </c>
      <c r="E749" s="6" t="s">
        <v>607</v>
      </c>
      <c r="F749" s="10" t="s">
        <v>57</v>
      </c>
      <c r="G749" s="6" t="s">
        <v>2543</v>
      </c>
      <c r="H749" s="8">
        <v>44764</v>
      </c>
      <c r="I749" s="8">
        <v>43348</v>
      </c>
      <c r="J749" s="8">
        <v>43348</v>
      </c>
      <c r="K749" s="95">
        <v>43369</v>
      </c>
      <c r="L749" s="95" t="s">
        <v>31</v>
      </c>
      <c r="M749" s="8">
        <v>43374</v>
      </c>
      <c r="N749" s="8">
        <v>43403</v>
      </c>
      <c r="O749" s="8">
        <v>43410</v>
      </c>
      <c r="P749" s="6" t="s">
        <v>35</v>
      </c>
      <c r="Q749" s="96">
        <v>1095</v>
      </c>
      <c r="R749" s="97">
        <f t="shared" si="28"/>
        <v>3</v>
      </c>
      <c r="S749" s="75">
        <f t="shared" si="27"/>
        <v>24777</v>
      </c>
      <c r="U749" s="8">
        <v>43420</v>
      </c>
      <c r="V749" s="100"/>
      <c r="W749" s="100" t="s">
        <v>33</v>
      </c>
      <c r="X749" s="104">
        <v>43282</v>
      </c>
    </row>
    <row r="750" spans="1:24" x14ac:dyDescent="0.25">
      <c r="A750" s="6" t="s">
        <v>65</v>
      </c>
      <c r="B750" s="94" t="s">
        <v>271</v>
      </c>
      <c r="C750" s="6" t="s">
        <v>2544</v>
      </c>
      <c r="D750" s="140">
        <v>11311187</v>
      </c>
      <c r="E750" s="6" t="s">
        <v>480</v>
      </c>
      <c r="F750" s="10" t="s">
        <v>44</v>
      </c>
      <c r="G750" s="6" t="s">
        <v>2545</v>
      </c>
      <c r="H750" s="8">
        <v>47932</v>
      </c>
      <c r="I750" s="8">
        <v>43348</v>
      </c>
      <c r="J750" s="8">
        <v>43348</v>
      </c>
      <c r="K750" s="95">
        <v>43369</v>
      </c>
      <c r="L750" s="95" t="s">
        <v>31</v>
      </c>
      <c r="M750" s="8">
        <v>43374</v>
      </c>
      <c r="N750" s="8">
        <v>43403</v>
      </c>
      <c r="O750" s="8">
        <v>43397</v>
      </c>
      <c r="P750" s="6" t="s">
        <v>35</v>
      </c>
      <c r="Q750" s="96">
        <v>1095</v>
      </c>
      <c r="R750" s="97">
        <f t="shared" si="28"/>
        <v>3</v>
      </c>
      <c r="S750" s="75">
        <f t="shared" si="27"/>
        <v>24777</v>
      </c>
      <c r="T750" s="124" t="s">
        <v>1736</v>
      </c>
      <c r="U750" s="8">
        <v>43411</v>
      </c>
      <c r="W750" s="6" t="s">
        <v>33</v>
      </c>
      <c r="X750" s="95">
        <v>46395</v>
      </c>
    </row>
    <row r="751" spans="1:24" x14ac:dyDescent="0.25">
      <c r="A751" s="6" t="s">
        <v>65</v>
      </c>
      <c r="B751" s="94" t="s">
        <v>944</v>
      </c>
      <c r="C751" s="6" t="s">
        <v>2546</v>
      </c>
      <c r="D751" s="140">
        <v>12103589</v>
      </c>
      <c r="E751" s="6" t="s">
        <v>997</v>
      </c>
      <c r="F751" s="10" t="s">
        <v>44</v>
      </c>
      <c r="G751" s="6" t="s">
        <v>2547</v>
      </c>
      <c r="H751" s="8">
        <v>49471</v>
      </c>
      <c r="I751" s="8">
        <v>43348</v>
      </c>
      <c r="J751" s="8">
        <v>43348</v>
      </c>
      <c r="K751" s="95">
        <v>43369</v>
      </c>
      <c r="L751" s="95" t="s">
        <v>31</v>
      </c>
      <c r="M751" s="8">
        <v>43374</v>
      </c>
      <c r="N751" s="8">
        <v>43383</v>
      </c>
      <c r="O751" s="8">
        <v>43383</v>
      </c>
      <c r="P751" s="6" t="s">
        <v>35</v>
      </c>
      <c r="Q751" s="96">
        <v>1095</v>
      </c>
      <c r="R751" s="97">
        <f t="shared" si="28"/>
        <v>3</v>
      </c>
      <c r="S751" s="75">
        <f t="shared" si="27"/>
        <v>24777</v>
      </c>
      <c r="T751" s="124" t="s">
        <v>1736</v>
      </c>
      <c r="U751" s="8">
        <v>43395</v>
      </c>
      <c r="W751" s="6" t="s">
        <v>33</v>
      </c>
      <c r="X751" s="95">
        <v>47185</v>
      </c>
    </row>
    <row r="752" spans="1:24" x14ac:dyDescent="0.25">
      <c r="A752" s="6" t="s">
        <v>65</v>
      </c>
      <c r="B752" s="94" t="s">
        <v>2548</v>
      </c>
      <c r="C752" s="6" t="s">
        <v>2549</v>
      </c>
      <c r="D752" s="140">
        <v>12003377</v>
      </c>
      <c r="E752" s="6" t="s">
        <v>472</v>
      </c>
      <c r="F752" s="10" t="s">
        <v>205</v>
      </c>
      <c r="G752" s="6" t="s">
        <v>2550</v>
      </c>
      <c r="H752" s="8">
        <v>45895</v>
      </c>
      <c r="I752" s="8">
        <v>43348</v>
      </c>
      <c r="J752" s="8">
        <v>43348</v>
      </c>
      <c r="K752" s="95">
        <v>43369</v>
      </c>
      <c r="L752" s="95" t="s">
        <v>31</v>
      </c>
      <c r="M752" s="8">
        <v>43374</v>
      </c>
      <c r="N752" s="8">
        <v>43412</v>
      </c>
      <c r="O752" s="8">
        <v>43404</v>
      </c>
      <c r="P752" s="6" t="s">
        <v>35</v>
      </c>
      <c r="Q752" s="96">
        <v>1460</v>
      </c>
      <c r="R752" s="97">
        <f t="shared" si="28"/>
        <v>4</v>
      </c>
      <c r="S752" s="75">
        <f t="shared" si="27"/>
        <v>33036</v>
      </c>
      <c r="T752" s="124" t="s">
        <v>1736</v>
      </c>
      <c r="U752" s="8">
        <v>43413</v>
      </c>
      <c r="W752" s="6" t="s">
        <v>33</v>
      </c>
      <c r="X752" s="95">
        <v>43354</v>
      </c>
    </row>
    <row r="753" spans="1:28" x14ac:dyDescent="0.25">
      <c r="A753" s="6" t="s">
        <v>65</v>
      </c>
      <c r="B753" s="94" t="s">
        <v>2551</v>
      </c>
      <c r="C753" s="6" t="s">
        <v>2552</v>
      </c>
      <c r="D753" s="140">
        <v>11314156</v>
      </c>
      <c r="E753" s="6" t="s">
        <v>651</v>
      </c>
      <c r="F753" s="10" t="s">
        <v>205</v>
      </c>
      <c r="G753" s="6" t="s">
        <v>799</v>
      </c>
      <c r="H753" s="8">
        <v>45327</v>
      </c>
      <c r="I753" s="8">
        <v>43348</v>
      </c>
      <c r="J753" s="8">
        <v>43348</v>
      </c>
      <c r="K753" s="95">
        <v>43362</v>
      </c>
      <c r="L753" s="95" t="s">
        <v>31</v>
      </c>
      <c r="M753" s="8">
        <v>43367</v>
      </c>
      <c r="N753" s="8">
        <v>43391</v>
      </c>
      <c r="O753" s="8">
        <v>43417</v>
      </c>
      <c r="P753" s="6" t="s">
        <v>35</v>
      </c>
      <c r="Q753" s="96">
        <v>1095</v>
      </c>
      <c r="R753" s="97">
        <f t="shared" si="28"/>
        <v>3</v>
      </c>
      <c r="S753" s="75">
        <f t="shared" si="27"/>
        <v>24777</v>
      </c>
      <c r="T753" s="124">
        <v>43417</v>
      </c>
      <c r="U753" s="8">
        <v>43420</v>
      </c>
      <c r="W753" s="6" t="s">
        <v>33</v>
      </c>
      <c r="X753" s="95">
        <v>44897</v>
      </c>
    </row>
    <row r="754" spans="1:28" x14ac:dyDescent="0.25">
      <c r="A754" s="6" t="s">
        <v>65</v>
      </c>
      <c r="B754" s="94" t="s">
        <v>792</v>
      </c>
      <c r="C754" s="6" t="s">
        <v>2553</v>
      </c>
      <c r="D754" s="140">
        <v>11376279</v>
      </c>
      <c r="E754" s="6" t="s">
        <v>73</v>
      </c>
      <c r="F754" s="10" t="s">
        <v>29</v>
      </c>
      <c r="G754" s="6" t="s">
        <v>2554</v>
      </c>
      <c r="H754" s="8">
        <v>54293</v>
      </c>
      <c r="I754" s="8">
        <v>43348</v>
      </c>
      <c r="J754" s="8">
        <v>43348</v>
      </c>
      <c r="K754" s="95">
        <v>43369</v>
      </c>
      <c r="L754" s="95" t="s">
        <v>31</v>
      </c>
      <c r="M754" s="8">
        <v>43374</v>
      </c>
      <c r="N754" s="8">
        <v>43431</v>
      </c>
      <c r="O754" s="8">
        <v>43483</v>
      </c>
      <c r="P754" s="6" t="s">
        <v>35</v>
      </c>
      <c r="Q754" s="96">
        <v>608</v>
      </c>
      <c r="R754" s="97">
        <f t="shared" si="28"/>
        <v>1.6657534246575343</v>
      </c>
      <c r="S754" s="75">
        <f t="shared" si="27"/>
        <v>13757.457534246576</v>
      </c>
      <c r="T754" s="124" t="s">
        <v>2555</v>
      </c>
      <c r="U754" s="8">
        <v>43511</v>
      </c>
      <c r="W754" s="6" t="s">
        <v>33</v>
      </c>
      <c r="X754" s="95">
        <v>46796</v>
      </c>
    </row>
    <row r="755" spans="1:28" x14ac:dyDescent="0.25">
      <c r="A755" s="6" t="s">
        <v>65</v>
      </c>
      <c r="B755" s="94" t="s">
        <v>108</v>
      </c>
      <c r="C755" s="6" t="s">
        <v>2556</v>
      </c>
      <c r="D755" s="140">
        <v>12145596</v>
      </c>
      <c r="E755" s="6" t="s">
        <v>656</v>
      </c>
      <c r="F755" s="10" t="s">
        <v>57</v>
      </c>
      <c r="G755" s="6" t="s">
        <v>2557</v>
      </c>
      <c r="H755" s="8">
        <v>46760</v>
      </c>
      <c r="I755" s="8">
        <v>43273</v>
      </c>
      <c r="J755" s="8">
        <v>43273</v>
      </c>
      <c r="K755" s="95">
        <v>43292</v>
      </c>
      <c r="L755" s="95" t="s">
        <v>31</v>
      </c>
      <c r="M755" s="8">
        <v>43299</v>
      </c>
      <c r="N755" s="8">
        <v>43602</v>
      </c>
      <c r="O755" s="8">
        <v>43574</v>
      </c>
      <c r="P755" s="6" t="s">
        <v>75</v>
      </c>
      <c r="R755" s="97" t="str">
        <f t="shared" si="28"/>
        <v/>
      </c>
      <c r="S755" s="75" t="str">
        <f t="shared" si="27"/>
        <v/>
      </c>
      <c r="U755" s="8">
        <v>43602</v>
      </c>
      <c r="W755" s="6" t="s">
        <v>33</v>
      </c>
      <c r="X755" s="95">
        <v>46190</v>
      </c>
    </row>
    <row r="756" spans="1:28" x14ac:dyDescent="0.25">
      <c r="A756" s="6" t="s">
        <v>37</v>
      </c>
      <c r="B756" s="94" t="s">
        <v>2558</v>
      </c>
      <c r="C756" s="6" t="s">
        <v>2559</v>
      </c>
      <c r="D756" s="140">
        <v>11278192</v>
      </c>
      <c r="E756" s="6" t="s">
        <v>228</v>
      </c>
      <c r="F756" s="10" t="s">
        <v>121</v>
      </c>
      <c r="G756" s="6" t="s">
        <v>2560</v>
      </c>
      <c r="H756" s="8">
        <v>46304</v>
      </c>
      <c r="I756" s="8">
        <v>43454</v>
      </c>
      <c r="J756" s="8">
        <v>43455</v>
      </c>
      <c r="K756" s="95">
        <v>43455</v>
      </c>
      <c r="L756" s="95" t="s">
        <v>31</v>
      </c>
      <c r="M756" s="8">
        <v>43461</v>
      </c>
      <c r="N756" s="8">
        <v>43747</v>
      </c>
      <c r="O756" s="8">
        <v>43574</v>
      </c>
      <c r="P756" s="6" t="s">
        <v>75</v>
      </c>
      <c r="R756" s="97" t="str">
        <f t="shared" si="28"/>
        <v/>
      </c>
      <c r="S756" s="75" t="str">
        <f t="shared" si="27"/>
        <v/>
      </c>
      <c r="U756" s="8">
        <v>43747</v>
      </c>
      <c r="W756" s="6" t="s">
        <v>33</v>
      </c>
      <c r="X756" s="95">
        <v>45917</v>
      </c>
    </row>
    <row r="757" spans="1:28" x14ac:dyDescent="0.25">
      <c r="A757" s="6" t="s">
        <v>70</v>
      </c>
      <c r="B757" s="94" t="s">
        <v>2561</v>
      </c>
      <c r="C757" s="6" t="s">
        <v>2562</v>
      </c>
      <c r="D757" s="140">
        <v>11351641</v>
      </c>
      <c r="E757" s="6" t="s">
        <v>339</v>
      </c>
      <c r="F757" s="10" t="s">
        <v>143</v>
      </c>
      <c r="G757" s="6" t="s">
        <v>1625</v>
      </c>
      <c r="H757" s="8">
        <v>51736</v>
      </c>
      <c r="I757" s="8">
        <v>43384</v>
      </c>
      <c r="J757" s="8">
        <v>43384</v>
      </c>
      <c r="K757" s="95">
        <v>43384</v>
      </c>
      <c r="L757" s="95" t="s">
        <v>31</v>
      </c>
      <c r="M757" s="8">
        <v>43390</v>
      </c>
      <c r="N757" s="8">
        <v>43581</v>
      </c>
      <c r="O757" s="8">
        <v>43577</v>
      </c>
      <c r="P757" s="6" t="s">
        <v>75</v>
      </c>
      <c r="R757" s="97" t="str">
        <f t="shared" si="28"/>
        <v/>
      </c>
      <c r="S757" s="75" t="str">
        <f t="shared" si="27"/>
        <v/>
      </c>
      <c r="U757" s="8">
        <v>43584</v>
      </c>
      <c r="W757" s="6" t="s">
        <v>33</v>
      </c>
      <c r="X757" s="95">
        <v>46582</v>
      </c>
    </row>
    <row r="758" spans="1:28" x14ac:dyDescent="0.25">
      <c r="A758" s="6" t="s">
        <v>37</v>
      </c>
      <c r="B758" s="94" t="s">
        <v>2563</v>
      </c>
      <c r="C758" s="6" t="s">
        <v>2564</v>
      </c>
      <c r="D758" s="140">
        <v>1109621</v>
      </c>
      <c r="E758" s="6" t="s">
        <v>232</v>
      </c>
      <c r="F758" s="10" t="s">
        <v>95</v>
      </c>
      <c r="G758" s="6" t="s">
        <v>2565</v>
      </c>
      <c r="H758" s="8">
        <v>45467</v>
      </c>
      <c r="I758" s="8">
        <v>43448</v>
      </c>
      <c r="J758" s="8">
        <v>43452</v>
      </c>
      <c r="K758" s="95">
        <v>43452</v>
      </c>
      <c r="L758" s="95" t="s">
        <v>31</v>
      </c>
      <c r="M758" s="8">
        <v>43461</v>
      </c>
      <c r="N758" s="8">
        <v>43656</v>
      </c>
      <c r="O758" s="8">
        <v>43578</v>
      </c>
      <c r="P758" s="6" t="s">
        <v>75</v>
      </c>
      <c r="R758" s="97" t="str">
        <f t="shared" si="28"/>
        <v/>
      </c>
      <c r="S758" s="75" t="str">
        <f t="shared" si="27"/>
        <v/>
      </c>
      <c r="U758" s="8">
        <v>43656</v>
      </c>
      <c r="W758" s="6" t="s">
        <v>33</v>
      </c>
      <c r="X758" s="95">
        <v>49878</v>
      </c>
    </row>
    <row r="759" spans="1:28" ht="30" x14ac:dyDescent="0.25">
      <c r="A759" s="6" t="s">
        <v>168</v>
      </c>
      <c r="B759" s="94" t="s">
        <v>2566</v>
      </c>
      <c r="C759" s="6" t="s">
        <v>2567</v>
      </c>
      <c r="D759" s="140">
        <v>11044224</v>
      </c>
      <c r="E759" s="6" t="s">
        <v>2568</v>
      </c>
      <c r="F759" s="10" t="s">
        <v>29</v>
      </c>
      <c r="G759" s="6" t="s">
        <v>2569</v>
      </c>
      <c r="H759" s="8">
        <v>48483</v>
      </c>
      <c r="I759" s="8">
        <v>44491</v>
      </c>
      <c r="J759" s="8">
        <v>44553</v>
      </c>
      <c r="K759" s="95">
        <v>44557</v>
      </c>
      <c r="L759" s="95" t="s">
        <v>31</v>
      </c>
      <c r="M759" s="8">
        <v>44607</v>
      </c>
      <c r="N759" s="8">
        <v>44816</v>
      </c>
      <c r="O759" s="8">
        <v>44811</v>
      </c>
      <c r="P759" s="6" t="s">
        <v>90</v>
      </c>
      <c r="Q759" s="96">
        <v>8030</v>
      </c>
      <c r="R759" s="97">
        <f t="shared" si="28"/>
        <v>22</v>
      </c>
      <c r="S759" s="75">
        <f t="shared" si="27"/>
        <v>181698</v>
      </c>
      <c r="T759" s="8" t="s">
        <v>2570</v>
      </c>
      <c r="U759" s="8">
        <v>45068</v>
      </c>
      <c r="V759" s="6" t="s">
        <v>581</v>
      </c>
      <c r="W759" s="6" t="s">
        <v>84</v>
      </c>
      <c r="X759" s="7">
        <v>44820</v>
      </c>
    </row>
    <row r="760" spans="1:28" x14ac:dyDescent="0.25">
      <c r="A760" s="6" t="s">
        <v>37</v>
      </c>
      <c r="B760" s="94" t="s">
        <v>411</v>
      </c>
      <c r="C760" s="6" t="s">
        <v>2571</v>
      </c>
      <c r="D760" s="140">
        <v>11354312</v>
      </c>
      <c r="E760" s="6" t="s">
        <v>362</v>
      </c>
      <c r="F760" s="10" t="s">
        <v>44</v>
      </c>
      <c r="G760" s="6" t="s">
        <v>2572</v>
      </c>
      <c r="H760" s="8">
        <v>44859</v>
      </c>
      <c r="I760" s="8">
        <v>44222</v>
      </c>
      <c r="J760" s="8">
        <v>44236</v>
      </c>
      <c r="K760" s="95">
        <v>44238</v>
      </c>
      <c r="L760" s="95" t="s">
        <v>31</v>
      </c>
      <c r="M760" s="8">
        <v>44244</v>
      </c>
      <c r="R760" s="97" t="str">
        <f t="shared" si="28"/>
        <v/>
      </c>
      <c r="S760" s="75" t="str">
        <f t="shared" si="27"/>
        <v/>
      </c>
      <c r="T760" s="129" t="s">
        <v>2573</v>
      </c>
      <c r="U760" s="8">
        <v>44783</v>
      </c>
      <c r="W760" s="6" t="s">
        <v>33</v>
      </c>
      <c r="X760" s="7">
        <v>44767</v>
      </c>
    </row>
    <row r="761" spans="1:28" ht="30" x14ac:dyDescent="0.25">
      <c r="A761" s="6" t="s">
        <v>65</v>
      </c>
      <c r="B761" s="94" t="s">
        <v>102</v>
      </c>
      <c r="C761" s="6" t="s">
        <v>2574</v>
      </c>
      <c r="D761" s="140">
        <v>11306625</v>
      </c>
      <c r="E761" s="6" t="s">
        <v>464</v>
      </c>
      <c r="F761" s="10" t="s">
        <v>29</v>
      </c>
      <c r="G761" s="6" t="s">
        <v>959</v>
      </c>
      <c r="H761" s="8">
        <v>44292</v>
      </c>
      <c r="I761" s="8">
        <v>43347</v>
      </c>
      <c r="J761" s="8">
        <v>43347</v>
      </c>
      <c r="K761" s="95">
        <v>43355</v>
      </c>
      <c r="L761" s="95" t="s">
        <v>31</v>
      </c>
      <c r="M761" s="8">
        <v>43360</v>
      </c>
      <c r="N761" s="8">
        <v>43628</v>
      </c>
      <c r="O761" s="8">
        <v>43605</v>
      </c>
      <c r="P761" s="6" t="s">
        <v>52</v>
      </c>
      <c r="R761" s="97" t="str">
        <f t="shared" si="28"/>
        <v/>
      </c>
      <c r="S761" s="75" t="str">
        <f t="shared" si="27"/>
        <v/>
      </c>
      <c r="T761" s="124" t="s">
        <v>2477</v>
      </c>
      <c r="U761" s="8">
        <v>43628</v>
      </c>
      <c r="W761" s="6" t="s">
        <v>33</v>
      </c>
      <c r="X761" s="95">
        <v>46075</v>
      </c>
    </row>
    <row r="762" spans="1:28" x14ac:dyDescent="0.25">
      <c r="A762" s="6" t="s">
        <v>168</v>
      </c>
      <c r="B762" s="94" t="s">
        <v>2575</v>
      </c>
      <c r="C762" s="6" t="s">
        <v>2576</v>
      </c>
      <c r="D762" s="140">
        <v>10246554</v>
      </c>
      <c r="E762" s="6" t="s">
        <v>2577</v>
      </c>
      <c r="F762" s="10" t="s">
        <v>44</v>
      </c>
      <c r="G762" s="6" t="s">
        <v>2578</v>
      </c>
      <c r="H762" s="8">
        <v>52774</v>
      </c>
      <c r="I762" s="8">
        <v>43521</v>
      </c>
      <c r="J762" s="8">
        <v>43530</v>
      </c>
      <c r="K762" s="95">
        <v>43530</v>
      </c>
      <c r="L762" s="95" t="s">
        <v>31</v>
      </c>
      <c r="M762" s="8">
        <v>43531</v>
      </c>
      <c r="N762" s="8">
        <v>43823</v>
      </c>
      <c r="O762" s="8">
        <v>43809</v>
      </c>
      <c r="P762" s="6" t="s">
        <v>35</v>
      </c>
      <c r="Q762" s="96">
        <v>14975.25</v>
      </c>
      <c r="R762" s="97">
        <f t="shared" si="28"/>
        <v>41.028082191780825</v>
      </c>
      <c r="S762" s="75">
        <f t="shared" si="27"/>
        <v>338850.93082191783</v>
      </c>
      <c r="T762" s="124" t="s">
        <v>2579</v>
      </c>
      <c r="U762" s="8">
        <v>43823</v>
      </c>
      <c r="W762" s="6" t="s">
        <v>84</v>
      </c>
      <c r="X762" s="95">
        <v>44433</v>
      </c>
    </row>
    <row r="763" spans="1:28" x14ac:dyDescent="0.25">
      <c r="A763" s="6" t="s">
        <v>25</v>
      </c>
      <c r="B763" s="94" t="s">
        <v>2033</v>
      </c>
      <c r="C763" s="6" t="s">
        <v>2580</v>
      </c>
      <c r="D763" s="140">
        <v>11601435</v>
      </c>
      <c r="E763" s="6" t="s">
        <v>714</v>
      </c>
      <c r="F763" s="10" t="s">
        <v>205</v>
      </c>
      <c r="G763" s="6" t="s">
        <v>2581</v>
      </c>
      <c r="H763" s="8">
        <v>51758</v>
      </c>
      <c r="I763" s="8">
        <v>43469</v>
      </c>
      <c r="J763" s="8">
        <v>43579</v>
      </c>
      <c r="K763" s="95">
        <v>43581</v>
      </c>
      <c r="L763" s="95" t="s">
        <v>31</v>
      </c>
      <c r="M763" s="8">
        <v>43587</v>
      </c>
      <c r="N763" s="8">
        <v>43628</v>
      </c>
      <c r="O763" s="8">
        <v>43607</v>
      </c>
      <c r="P763" s="6" t="s">
        <v>52</v>
      </c>
      <c r="R763" s="97" t="str">
        <f t="shared" si="28"/>
        <v/>
      </c>
      <c r="S763" s="75" t="str">
        <f t="shared" si="27"/>
        <v/>
      </c>
      <c r="U763" s="8">
        <v>43628</v>
      </c>
      <c r="W763" s="6" t="s">
        <v>33</v>
      </c>
      <c r="X763" s="95">
        <v>52194</v>
      </c>
      <c r="AB763" s="89" t="s">
        <v>2582</v>
      </c>
    </row>
    <row r="764" spans="1:28" x14ac:dyDescent="0.25">
      <c r="A764" s="6" t="s">
        <v>168</v>
      </c>
      <c r="B764" s="94" t="s">
        <v>2583</v>
      </c>
      <c r="C764" s="6" t="s">
        <v>2584</v>
      </c>
      <c r="D764" s="140">
        <v>11332828</v>
      </c>
      <c r="E764" s="6" t="s">
        <v>1185</v>
      </c>
      <c r="F764" s="10" t="s">
        <v>57</v>
      </c>
      <c r="G764" s="6" t="s">
        <v>2585</v>
      </c>
      <c r="H764" s="8">
        <v>44888</v>
      </c>
      <c r="I764" s="8">
        <v>43907</v>
      </c>
      <c r="R764" s="97" t="str">
        <f t="shared" si="28"/>
        <v/>
      </c>
      <c r="S764" s="75" t="str">
        <f t="shared" si="27"/>
        <v/>
      </c>
      <c r="T764" s="124" t="s">
        <v>2586</v>
      </c>
      <c r="U764" s="8">
        <v>44070</v>
      </c>
      <c r="W764" s="6" t="s">
        <v>33</v>
      </c>
      <c r="X764" s="95">
        <v>51384</v>
      </c>
    </row>
    <row r="765" spans="1:28" ht="30" x14ac:dyDescent="0.25">
      <c r="A765" s="6" t="s">
        <v>168</v>
      </c>
      <c r="B765" s="94" t="s">
        <v>2587</v>
      </c>
      <c r="C765" s="6" t="s">
        <v>2588</v>
      </c>
      <c r="D765" s="140">
        <v>11038231</v>
      </c>
      <c r="E765" s="6" t="s">
        <v>2589</v>
      </c>
      <c r="F765" s="10" t="s">
        <v>44</v>
      </c>
      <c r="G765" s="6" t="s">
        <v>2590</v>
      </c>
      <c r="H765" s="8">
        <v>45596</v>
      </c>
      <c r="I765" s="8">
        <v>43852</v>
      </c>
      <c r="J765" s="8">
        <v>43895</v>
      </c>
      <c r="K765" s="95">
        <v>43899</v>
      </c>
      <c r="L765" s="95" t="s">
        <v>31</v>
      </c>
      <c r="M765" s="8">
        <v>44041</v>
      </c>
      <c r="N765" s="8">
        <v>44516</v>
      </c>
      <c r="O765" s="8">
        <v>44434</v>
      </c>
      <c r="P765" s="6" t="s">
        <v>75</v>
      </c>
      <c r="R765" s="97" t="str">
        <f t="shared" si="28"/>
        <v/>
      </c>
      <c r="S765" s="75" t="str">
        <f t="shared" si="27"/>
        <v/>
      </c>
      <c r="T765" s="124" t="s">
        <v>2591</v>
      </c>
      <c r="U765" s="8">
        <v>44518</v>
      </c>
      <c r="W765" s="6" t="s">
        <v>84</v>
      </c>
      <c r="X765" s="95">
        <v>50808</v>
      </c>
    </row>
    <row r="766" spans="1:28" x14ac:dyDescent="0.25">
      <c r="A766" s="6" t="s">
        <v>65</v>
      </c>
      <c r="B766" s="94" t="s">
        <v>411</v>
      </c>
      <c r="C766" s="6" t="s">
        <v>2592</v>
      </c>
      <c r="D766" s="140">
        <v>11372658</v>
      </c>
      <c r="E766" s="6" t="s">
        <v>104</v>
      </c>
      <c r="F766" s="10" t="s">
        <v>205</v>
      </c>
      <c r="G766" s="6" t="s">
        <v>1493</v>
      </c>
      <c r="H766" s="8">
        <v>2958465</v>
      </c>
      <c r="I766" s="8">
        <v>43348</v>
      </c>
      <c r="J766" s="8">
        <v>43348</v>
      </c>
      <c r="K766" s="95">
        <v>43362</v>
      </c>
      <c r="L766" s="95" t="s">
        <v>31</v>
      </c>
      <c r="M766" s="8">
        <v>43367</v>
      </c>
      <c r="N766" s="108">
        <v>43423</v>
      </c>
      <c r="O766" s="108">
        <v>43413</v>
      </c>
      <c r="P766" s="107" t="s">
        <v>69</v>
      </c>
      <c r="Q766" s="110"/>
      <c r="R766" s="97" t="str">
        <f t="shared" si="28"/>
        <v/>
      </c>
      <c r="S766" s="75" t="str">
        <f t="shared" si="27"/>
        <v/>
      </c>
      <c r="U766" s="8">
        <v>44776</v>
      </c>
      <c r="W766" s="6" t="s">
        <v>84</v>
      </c>
      <c r="X766" s="6" t="s">
        <v>683</v>
      </c>
    </row>
    <row r="767" spans="1:28" x14ac:dyDescent="0.25">
      <c r="A767" s="6" t="s">
        <v>168</v>
      </c>
      <c r="B767" s="94" t="s">
        <v>2593</v>
      </c>
      <c r="C767" s="6" t="s">
        <v>2594</v>
      </c>
      <c r="D767" s="140">
        <v>11610612</v>
      </c>
      <c r="E767" s="6" t="s">
        <v>2314</v>
      </c>
      <c r="F767" s="10" t="s">
        <v>1225</v>
      </c>
      <c r="G767" s="6" t="s">
        <v>2595</v>
      </c>
      <c r="H767" s="8">
        <v>51269</v>
      </c>
      <c r="I767" s="8">
        <v>44404</v>
      </c>
      <c r="J767" s="8">
        <v>44414</v>
      </c>
      <c r="K767" s="95">
        <v>44419</v>
      </c>
      <c r="L767" s="95" t="s">
        <v>359</v>
      </c>
      <c r="R767" s="97" t="str">
        <f t="shared" si="28"/>
        <v/>
      </c>
      <c r="S767" s="75" t="str">
        <f t="shared" si="27"/>
        <v/>
      </c>
      <c r="W767" s="6" t="s">
        <v>84</v>
      </c>
      <c r="X767" s="7">
        <v>47985</v>
      </c>
    </row>
    <row r="768" spans="1:28" x14ac:dyDescent="0.25">
      <c r="A768" s="6" t="s">
        <v>65</v>
      </c>
      <c r="B768" s="94" t="s">
        <v>102</v>
      </c>
      <c r="C768" s="6" t="s">
        <v>2596</v>
      </c>
      <c r="D768" s="140">
        <v>11633027</v>
      </c>
      <c r="E768" s="6" t="s">
        <v>289</v>
      </c>
      <c r="F768" s="10" t="s">
        <v>134</v>
      </c>
      <c r="G768" s="6" t="s">
        <v>2597</v>
      </c>
      <c r="H768" s="8">
        <v>47202</v>
      </c>
      <c r="I768" s="8">
        <v>43335</v>
      </c>
      <c r="J768" s="8">
        <v>43335</v>
      </c>
      <c r="K768" s="95">
        <v>43341</v>
      </c>
      <c r="L768" s="95" t="s">
        <v>31</v>
      </c>
      <c r="M768" s="8">
        <v>43354</v>
      </c>
      <c r="N768" s="8">
        <v>43704</v>
      </c>
      <c r="O768" s="8">
        <v>43664</v>
      </c>
      <c r="P768" s="6" t="s">
        <v>35</v>
      </c>
      <c r="Q768" s="96">
        <v>1095</v>
      </c>
      <c r="R768" s="97">
        <f t="shared" si="28"/>
        <v>3</v>
      </c>
      <c r="S768" s="75">
        <f t="shared" si="27"/>
        <v>24777</v>
      </c>
      <c r="T768" s="124" t="s">
        <v>301</v>
      </c>
      <c r="U768" s="8">
        <v>43704</v>
      </c>
      <c r="W768" s="6" t="s">
        <v>84</v>
      </c>
      <c r="X768" s="95">
        <v>50341</v>
      </c>
    </row>
    <row r="769" spans="1:24" x14ac:dyDescent="0.25">
      <c r="A769" s="6" t="s">
        <v>65</v>
      </c>
      <c r="B769" s="94" t="s">
        <v>2598</v>
      </c>
      <c r="C769" s="6" t="s">
        <v>2599</v>
      </c>
      <c r="D769" s="140">
        <v>12115495</v>
      </c>
      <c r="E769" s="6" t="s">
        <v>686</v>
      </c>
      <c r="F769" s="10" t="s">
        <v>2600</v>
      </c>
      <c r="G769" s="6">
        <v>1434614</v>
      </c>
      <c r="H769" s="8">
        <v>49284</v>
      </c>
      <c r="I769" s="8">
        <v>43348</v>
      </c>
      <c r="J769" s="8">
        <v>43348</v>
      </c>
      <c r="K769" s="95">
        <v>43362</v>
      </c>
      <c r="L769" s="95" t="s">
        <v>31</v>
      </c>
      <c r="M769" s="8">
        <v>43367</v>
      </c>
      <c r="N769" s="8">
        <v>43462</v>
      </c>
      <c r="O769" s="8">
        <v>43412</v>
      </c>
      <c r="P769" s="6" t="s">
        <v>35</v>
      </c>
      <c r="Q769" s="96">
        <v>1095</v>
      </c>
      <c r="R769" s="97">
        <f t="shared" si="28"/>
        <v>3</v>
      </c>
      <c r="S769" s="75">
        <f t="shared" si="27"/>
        <v>24777</v>
      </c>
      <c r="T769" s="124" t="s">
        <v>2601</v>
      </c>
      <c r="U769" s="8">
        <v>43462</v>
      </c>
      <c r="W769" s="6" t="s">
        <v>33</v>
      </c>
      <c r="X769" s="95">
        <v>46749</v>
      </c>
    </row>
    <row r="770" spans="1:24" x14ac:dyDescent="0.25">
      <c r="A770" s="6" t="s">
        <v>65</v>
      </c>
      <c r="B770" s="94" t="s">
        <v>2602</v>
      </c>
      <c r="C770" s="6" t="s">
        <v>2603</v>
      </c>
      <c r="D770" s="140">
        <v>11987447</v>
      </c>
      <c r="E770" s="6" t="s">
        <v>607</v>
      </c>
      <c r="F770" s="10" t="s">
        <v>62</v>
      </c>
      <c r="G770" s="6" t="s">
        <v>2604</v>
      </c>
      <c r="H770" s="8">
        <v>44207</v>
      </c>
      <c r="I770" s="8">
        <v>43348</v>
      </c>
      <c r="J770" s="8">
        <v>43348</v>
      </c>
      <c r="K770" s="95">
        <v>43362</v>
      </c>
      <c r="L770" s="95" t="s">
        <v>31</v>
      </c>
      <c r="M770" s="8">
        <v>43367</v>
      </c>
      <c r="N770" s="8">
        <v>43690</v>
      </c>
      <c r="O770" s="8">
        <v>43679</v>
      </c>
      <c r="P770" s="6" t="s">
        <v>90</v>
      </c>
      <c r="Q770" s="96">
        <v>1095.75</v>
      </c>
      <c r="R770" s="97">
        <f t="shared" si="28"/>
        <v>3.0020547945205478</v>
      </c>
      <c r="S770" s="75">
        <f t="shared" si="27"/>
        <v>24793.970547945206</v>
      </c>
      <c r="T770" s="124" t="s">
        <v>2605</v>
      </c>
      <c r="U770" s="8">
        <v>43696</v>
      </c>
      <c r="V770" s="6" t="s">
        <v>36</v>
      </c>
      <c r="W770" s="6" t="s">
        <v>33</v>
      </c>
      <c r="X770" s="95">
        <v>42995</v>
      </c>
    </row>
    <row r="771" spans="1:24" x14ac:dyDescent="0.25">
      <c r="A771" s="6" t="s">
        <v>65</v>
      </c>
      <c r="B771" s="94" t="s">
        <v>145</v>
      </c>
      <c r="C771" s="6" t="s">
        <v>2606</v>
      </c>
      <c r="D771" s="140">
        <v>12112076</v>
      </c>
      <c r="E771" s="6" t="s">
        <v>289</v>
      </c>
      <c r="F771" s="10" t="s">
        <v>277</v>
      </c>
      <c r="G771" s="6" t="s">
        <v>2607</v>
      </c>
      <c r="H771" s="8">
        <v>45339</v>
      </c>
      <c r="I771" s="8">
        <v>43348</v>
      </c>
      <c r="J771" s="8">
        <v>43348</v>
      </c>
      <c r="K771" s="95">
        <v>43362</v>
      </c>
      <c r="L771" s="95" t="s">
        <v>31</v>
      </c>
      <c r="M771" s="8">
        <v>43367</v>
      </c>
      <c r="R771" s="97" t="str">
        <f t="shared" si="28"/>
        <v/>
      </c>
      <c r="S771" s="75" t="str">
        <f t="shared" si="27"/>
        <v/>
      </c>
      <c r="W771" s="6" t="s">
        <v>33</v>
      </c>
      <c r="X771" s="95">
        <v>46614</v>
      </c>
    </row>
    <row r="772" spans="1:24" x14ac:dyDescent="0.25">
      <c r="A772" s="6" t="s">
        <v>65</v>
      </c>
      <c r="B772" s="94" t="s">
        <v>2608</v>
      </c>
      <c r="C772" s="6" t="s">
        <v>2609</v>
      </c>
      <c r="D772" s="140">
        <v>11557177</v>
      </c>
      <c r="E772" s="6" t="s">
        <v>446</v>
      </c>
      <c r="F772" s="10" t="s">
        <v>44</v>
      </c>
      <c r="G772" s="6" t="s">
        <v>2610</v>
      </c>
      <c r="H772" s="8">
        <v>64020</v>
      </c>
      <c r="I772" s="8">
        <v>43348</v>
      </c>
      <c r="J772" s="8">
        <v>43348</v>
      </c>
      <c r="K772" s="95">
        <v>43369</v>
      </c>
      <c r="L772" s="95" t="s">
        <v>31</v>
      </c>
      <c r="M772" s="8">
        <v>43374</v>
      </c>
      <c r="N772" s="108">
        <v>43412</v>
      </c>
      <c r="O772" s="108">
        <v>43402</v>
      </c>
      <c r="P772" s="107" t="s">
        <v>52</v>
      </c>
      <c r="Q772" s="110"/>
      <c r="R772" s="97" t="str">
        <f t="shared" si="28"/>
        <v/>
      </c>
      <c r="S772" s="75" t="str">
        <f t="shared" si="27"/>
        <v/>
      </c>
      <c r="U772" s="8">
        <v>44776</v>
      </c>
      <c r="W772" s="6" t="s">
        <v>84</v>
      </c>
      <c r="X772" s="95">
        <v>53155</v>
      </c>
    </row>
    <row r="773" spans="1:24" x14ac:dyDescent="0.25">
      <c r="A773" s="6" t="s">
        <v>65</v>
      </c>
      <c r="B773" s="94" t="s">
        <v>2611</v>
      </c>
      <c r="C773" s="6" t="s">
        <v>2612</v>
      </c>
      <c r="D773" s="140">
        <v>12102862</v>
      </c>
      <c r="E773" s="6" t="s">
        <v>157</v>
      </c>
      <c r="F773" s="10" t="s">
        <v>277</v>
      </c>
      <c r="G773" s="6" t="s">
        <v>2613</v>
      </c>
      <c r="H773" s="8">
        <v>45725</v>
      </c>
      <c r="I773" s="8">
        <v>43348</v>
      </c>
      <c r="J773" s="8">
        <v>43348</v>
      </c>
      <c r="K773" s="95">
        <v>43362</v>
      </c>
      <c r="L773" s="95" t="s">
        <v>31</v>
      </c>
      <c r="M773" s="8">
        <v>43367</v>
      </c>
      <c r="N773" s="8">
        <v>43929</v>
      </c>
      <c r="O773" s="8">
        <v>43923</v>
      </c>
      <c r="P773" s="6" t="s">
        <v>75</v>
      </c>
      <c r="R773" s="97" t="str">
        <f t="shared" si="28"/>
        <v/>
      </c>
      <c r="S773" s="75" t="str">
        <f t="shared" si="27"/>
        <v/>
      </c>
      <c r="U773" s="8">
        <v>43936</v>
      </c>
      <c r="W773" s="6" t="s">
        <v>33</v>
      </c>
      <c r="X773" s="95">
        <v>46298</v>
      </c>
    </row>
    <row r="774" spans="1:24" x14ac:dyDescent="0.25">
      <c r="A774" s="6" t="s">
        <v>65</v>
      </c>
      <c r="B774" s="94" t="s">
        <v>2245</v>
      </c>
      <c r="C774" s="6" t="s">
        <v>2614</v>
      </c>
      <c r="D774" s="140">
        <v>11529296</v>
      </c>
      <c r="E774" s="6" t="s">
        <v>1566</v>
      </c>
      <c r="F774" s="10" t="s">
        <v>44</v>
      </c>
      <c r="G774" s="6" t="s">
        <v>2615</v>
      </c>
      <c r="H774" s="8">
        <v>76652</v>
      </c>
      <c r="I774" s="8">
        <v>43348</v>
      </c>
      <c r="J774" s="8">
        <v>43348</v>
      </c>
      <c r="K774" s="95">
        <v>43369</v>
      </c>
      <c r="L774" s="95" t="s">
        <v>31</v>
      </c>
      <c r="M774" s="8">
        <v>43374</v>
      </c>
      <c r="R774" s="97" t="str">
        <f t="shared" si="28"/>
        <v/>
      </c>
      <c r="S774" s="75" t="str">
        <f t="shared" si="27"/>
        <v/>
      </c>
      <c r="W774" s="6" t="s">
        <v>84</v>
      </c>
      <c r="X774" s="95">
        <v>49673</v>
      </c>
    </row>
    <row r="775" spans="1:24" ht="60" x14ac:dyDescent="0.25">
      <c r="A775" s="6" t="s">
        <v>25</v>
      </c>
      <c r="B775" s="94" t="s">
        <v>1123</v>
      </c>
      <c r="C775" s="6" t="s">
        <v>2616</v>
      </c>
      <c r="D775" s="140">
        <v>11251116</v>
      </c>
      <c r="E775" s="6" t="s">
        <v>2086</v>
      </c>
      <c r="F775" s="10" t="s">
        <v>29</v>
      </c>
      <c r="G775" s="6" t="s">
        <v>2617</v>
      </c>
      <c r="H775" s="8">
        <v>46982</v>
      </c>
      <c r="I775" s="8">
        <v>43594</v>
      </c>
      <c r="J775" s="8">
        <v>43594</v>
      </c>
      <c r="K775" s="95">
        <v>43627</v>
      </c>
      <c r="L775" s="95" t="s">
        <v>31</v>
      </c>
      <c r="M775" s="8">
        <v>43634</v>
      </c>
      <c r="N775" s="8">
        <v>44488</v>
      </c>
      <c r="O775" s="8">
        <v>43882</v>
      </c>
      <c r="P775" s="6" t="s">
        <v>52</v>
      </c>
      <c r="R775" s="97" t="str">
        <f t="shared" si="28"/>
        <v/>
      </c>
      <c r="S775" s="75" t="str">
        <f t="shared" si="27"/>
        <v/>
      </c>
      <c r="T775" s="2" t="s">
        <v>2618</v>
      </c>
      <c r="U775" s="8">
        <v>44488</v>
      </c>
      <c r="W775" s="6" t="s">
        <v>33</v>
      </c>
      <c r="X775" s="95">
        <v>50364</v>
      </c>
    </row>
    <row r="776" spans="1:24" x14ac:dyDescent="0.25">
      <c r="A776" s="6" t="s">
        <v>65</v>
      </c>
      <c r="B776" s="94" t="s">
        <v>837</v>
      </c>
      <c r="C776" s="6" t="s">
        <v>2619</v>
      </c>
      <c r="D776" s="140">
        <v>11373838</v>
      </c>
      <c r="E776" s="6" t="s">
        <v>464</v>
      </c>
      <c r="F776" s="10" t="s">
        <v>29</v>
      </c>
      <c r="G776" s="6" t="s">
        <v>1247</v>
      </c>
      <c r="H776" s="8">
        <v>45828</v>
      </c>
      <c r="I776" s="8">
        <v>43348</v>
      </c>
      <c r="J776" s="8">
        <v>43348</v>
      </c>
      <c r="K776" s="95">
        <v>43369</v>
      </c>
      <c r="L776" s="95" t="s">
        <v>31</v>
      </c>
      <c r="M776" s="8">
        <v>43374</v>
      </c>
      <c r="N776" s="8">
        <v>44301</v>
      </c>
      <c r="O776" s="8">
        <v>44287</v>
      </c>
      <c r="P776" s="6" t="s">
        <v>52</v>
      </c>
      <c r="R776" s="97" t="str">
        <f t="shared" si="28"/>
        <v/>
      </c>
      <c r="S776" s="75" t="str">
        <f t="shared" si="27"/>
        <v/>
      </c>
      <c r="U776" s="8">
        <v>44301</v>
      </c>
      <c r="W776" s="6" t="s">
        <v>33</v>
      </c>
      <c r="X776" s="95">
        <v>44735</v>
      </c>
    </row>
    <row r="777" spans="1:24" x14ac:dyDescent="0.25">
      <c r="A777" s="6" t="s">
        <v>25</v>
      </c>
      <c r="B777" s="94" t="s">
        <v>2620</v>
      </c>
      <c r="C777" s="6" t="s">
        <v>2621</v>
      </c>
      <c r="D777" s="140">
        <v>11827158</v>
      </c>
      <c r="E777" s="6" t="s">
        <v>339</v>
      </c>
      <c r="F777" s="10" t="s">
        <v>44</v>
      </c>
      <c r="G777" s="6" t="s">
        <v>2622</v>
      </c>
      <c r="H777" s="8">
        <v>47268</v>
      </c>
      <c r="I777" s="8">
        <v>43640</v>
      </c>
      <c r="J777" s="95">
        <v>43641</v>
      </c>
      <c r="K777" s="95">
        <v>43675</v>
      </c>
      <c r="L777" s="95" t="s">
        <v>359</v>
      </c>
      <c r="R777" s="97" t="str">
        <f t="shared" si="28"/>
        <v/>
      </c>
      <c r="S777" s="75" t="str">
        <f t="shared" si="27"/>
        <v/>
      </c>
      <c r="W777" s="6" t="s">
        <v>33</v>
      </c>
      <c r="X777" s="95">
        <v>50925</v>
      </c>
    </row>
    <row r="778" spans="1:24" x14ac:dyDescent="0.25">
      <c r="A778" s="6" t="s">
        <v>37</v>
      </c>
      <c r="B778" s="94" t="s">
        <v>2623</v>
      </c>
      <c r="C778" s="6" t="s">
        <v>2624</v>
      </c>
      <c r="D778" s="140">
        <v>1135439</v>
      </c>
      <c r="E778" s="6" t="s">
        <v>514</v>
      </c>
      <c r="F778" s="10" t="s">
        <v>44</v>
      </c>
      <c r="G778" s="6" t="s">
        <v>2625</v>
      </c>
      <c r="H778" s="8">
        <v>45113</v>
      </c>
      <c r="I778" s="8">
        <v>43465</v>
      </c>
      <c r="J778" s="8">
        <v>43469</v>
      </c>
      <c r="K778" s="95">
        <v>43469</v>
      </c>
      <c r="L778" s="95" t="s">
        <v>31</v>
      </c>
      <c r="M778" s="8">
        <v>43469</v>
      </c>
      <c r="R778" s="97" t="str">
        <f t="shared" si="28"/>
        <v/>
      </c>
      <c r="S778" s="75" t="str">
        <f t="shared" si="27"/>
        <v/>
      </c>
      <c r="T778" s="129" t="s">
        <v>2626</v>
      </c>
      <c r="U778" s="8">
        <v>44783</v>
      </c>
      <c r="W778" s="6" t="s">
        <v>33</v>
      </c>
      <c r="X778" s="95">
        <v>49840</v>
      </c>
    </row>
    <row r="779" spans="1:24" x14ac:dyDescent="0.25">
      <c r="A779" s="6" t="s">
        <v>65</v>
      </c>
      <c r="B779" s="94" t="s">
        <v>1784</v>
      </c>
      <c r="C779" s="6" t="s">
        <v>2627</v>
      </c>
      <c r="D779" s="140">
        <v>11367249</v>
      </c>
      <c r="E779" s="6" t="s">
        <v>314</v>
      </c>
      <c r="F779" s="10" t="s">
        <v>139</v>
      </c>
      <c r="G779" s="6" t="s">
        <v>2628</v>
      </c>
      <c r="H779" s="8">
        <v>45018</v>
      </c>
      <c r="I779" s="8">
        <v>43348</v>
      </c>
      <c r="J779" s="8">
        <v>43348</v>
      </c>
      <c r="K779" s="95">
        <v>43369</v>
      </c>
      <c r="L779" s="95" t="s">
        <v>31</v>
      </c>
      <c r="M779" s="8">
        <v>43374</v>
      </c>
      <c r="N779" s="108">
        <v>43404</v>
      </c>
      <c r="O779" s="108">
        <v>43397</v>
      </c>
      <c r="P779" s="107" t="s">
        <v>52</v>
      </c>
      <c r="Q779" s="110"/>
      <c r="R779" s="97" t="str">
        <f t="shared" si="28"/>
        <v/>
      </c>
      <c r="S779" s="75" t="str">
        <f t="shared" si="27"/>
        <v/>
      </c>
      <c r="U779" s="8">
        <v>44776</v>
      </c>
      <c r="W779" s="6" t="s">
        <v>33</v>
      </c>
      <c r="X779" s="95">
        <v>45687</v>
      </c>
    </row>
    <row r="780" spans="1:24" x14ac:dyDescent="0.25">
      <c r="A780" s="6" t="s">
        <v>65</v>
      </c>
      <c r="B780" s="94" t="s">
        <v>197</v>
      </c>
      <c r="C780" s="6" t="s">
        <v>2629</v>
      </c>
      <c r="D780" s="140">
        <v>11313634</v>
      </c>
      <c r="E780" s="6" t="s">
        <v>289</v>
      </c>
      <c r="F780" s="10" t="s">
        <v>44</v>
      </c>
      <c r="G780" s="6" t="s">
        <v>2630</v>
      </c>
      <c r="H780" s="8">
        <v>46014</v>
      </c>
      <c r="I780" s="8">
        <v>43348</v>
      </c>
      <c r="J780" s="8">
        <v>43348</v>
      </c>
      <c r="K780" s="95">
        <v>43376</v>
      </c>
      <c r="L780" s="95" t="s">
        <v>31</v>
      </c>
      <c r="M780" s="8">
        <v>43390</v>
      </c>
      <c r="N780" s="8">
        <v>44274</v>
      </c>
      <c r="O780" s="8">
        <v>43420</v>
      </c>
      <c r="P780" s="6" t="s">
        <v>35</v>
      </c>
      <c r="Q780" s="96">
        <v>1095</v>
      </c>
      <c r="R780" s="97">
        <f t="shared" si="28"/>
        <v>3</v>
      </c>
      <c r="S780" s="75">
        <f t="shared" si="27"/>
        <v>24777</v>
      </c>
      <c r="T780" s="124" t="s">
        <v>2631</v>
      </c>
      <c r="U780" s="8">
        <v>44274</v>
      </c>
      <c r="W780" s="6" t="s">
        <v>33</v>
      </c>
      <c r="X780" s="95">
        <v>46030</v>
      </c>
    </row>
    <row r="781" spans="1:24" x14ac:dyDescent="0.25">
      <c r="A781" s="6" t="s">
        <v>65</v>
      </c>
      <c r="B781" s="94" t="s">
        <v>2632</v>
      </c>
      <c r="C781" s="6" t="s">
        <v>2633</v>
      </c>
      <c r="D781" s="140">
        <v>11312555</v>
      </c>
      <c r="E781" s="6" t="s">
        <v>460</v>
      </c>
      <c r="F781" s="10" t="s">
        <v>44</v>
      </c>
      <c r="G781" s="6" t="s">
        <v>2634</v>
      </c>
      <c r="H781" s="8">
        <v>45822</v>
      </c>
      <c r="I781" s="8">
        <v>43348</v>
      </c>
      <c r="J781" s="8">
        <v>43348</v>
      </c>
      <c r="K781" s="95">
        <v>43369</v>
      </c>
      <c r="L781" s="95" t="s">
        <v>31</v>
      </c>
      <c r="M781" s="8">
        <v>43374</v>
      </c>
      <c r="R781" s="97" t="str">
        <f t="shared" si="28"/>
        <v/>
      </c>
      <c r="S781" s="75" t="str">
        <f t="shared" si="27"/>
        <v/>
      </c>
      <c r="W781" s="6" t="s">
        <v>33</v>
      </c>
      <c r="X781" s="95">
        <v>45989</v>
      </c>
    </row>
    <row r="782" spans="1:24" x14ac:dyDescent="0.25">
      <c r="A782" s="6" t="s">
        <v>65</v>
      </c>
      <c r="B782" s="94" t="s">
        <v>2635</v>
      </c>
      <c r="C782" s="6" t="s">
        <v>2636</v>
      </c>
      <c r="D782" s="140">
        <v>11992336</v>
      </c>
      <c r="E782" s="6" t="s">
        <v>866</v>
      </c>
      <c r="F782" s="10" t="s">
        <v>81</v>
      </c>
      <c r="G782" s="6" t="s">
        <v>2637</v>
      </c>
      <c r="H782" s="8" t="s">
        <v>683</v>
      </c>
      <c r="I782" s="8">
        <v>43348</v>
      </c>
      <c r="J782" s="8">
        <v>43348</v>
      </c>
      <c r="K782" s="95">
        <v>43362</v>
      </c>
      <c r="L782" s="95" t="s">
        <v>31</v>
      </c>
      <c r="M782" s="8">
        <v>43367</v>
      </c>
      <c r="N782" s="8">
        <v>43560</v>
      </c>
      <c r="O782" s="8">
        <v>43560</v>
      </c>
      <c r="P782" s="6" t="s">
        <v>35</v>
      </c>
      <c r="Q782" s="96">
        <v>3652</v>
      </c>
      <c r="R782" s="97">
        <f t="shared" si="28"/>
        <v>10.005479452054795</v>
      </c>
      <c r="S782" s="75">
        <f t="shared" si="27"/>
        <v>82635.254794520544</v>
      </c>
      <c r="T782" s="124" t="s">
        <v>2638</v>
      </c>
      <c r="U782" s="8">
        <v>43565</v>
      </c>
      <c r="W782" s="6" t="s">
        <v>84</v>
      </c>
      <c r="X782" s="95">
        <v>53073</v>
      </c>
    </row>
    <row r="783" spans="1:24" x14ac:dyDescent="0.25">
      <c r="A783" s="6" t="s">
        <v>70</v>
      </c>
      <c r="B783" s="94" t="s">
        <v>704</v>
      </c>
      <c r="C783" s="6" t="s">
        <v>2639</v>
      </c>
      <c r="D783" s="140">
        <v>11615369</v>
      </c>
      <c r="E783" s="6" t="s">
        <v>928</v>
      </c>
      <c r="F783" s="10" t="s">
        <v>29</v>
      </c>
      <c r="G783" s="6" t="s">
        <v>2640</v>
      </c>
      <c r="H783" s="8">
        <v>44070</v>
      </c>
      <c r="I783" s="8">
        <v>43361</v>
      </c>
      <c r="J783" s="8">
        <v>43361</v>
      </c>
      <c r="K783" s="95">
        <v>43376</v>
      </c>
      <c r="L783" s="95" t="s">
        <v>31</v>
      </c>
      <c r="M783" s="8">
        <v>43390</v>
      </c>
      <c r="R783" s="97" t="str">
        <f t="shared" si="28"/>
        <v/>
      </c>
      <c r="S783" s="75" t="str">
        <f t="shared" si="27"/>
        <v/>
      </c>
      <c r="T783" s="124" t="s">
        <v>253</v>
      </c>
      <c r="U783" s="8">
        <v>43765</v>
      </c>
      <c r="V783" s="6" t="s">
        <v>36</v>
      </c>
      <c r="W783" s="6" t="s">
        <v>33</v>
      </c>
      <c r="X783" s="95">
        <v>43679</v>
      </c>
    </row>
    <row r="784" spans="1:24" x14ac:dyDescent="0.25">
      <c r="A784" s="6" t="s">
        <v>37</v>
      </c>
      <c r="B784" s="94" t="s">
        <v>2162</v>
      </c>
      <c r="C784" s="6" t="s">
        <v>2641</v>
      </c>
      <c r="D784" s="140">
        <v>11649013</v>
      </c>
      <c r="E784" s="6" t="s">
        <v>2642</v>
      </c>
      <c r="F784" s="10" t="s">
        <v>44</v>
      </c>
      <c r="G784" s="6" t="s">
        <v>2643</v>
      </c>
      <c r="H784" s="8">
        <v>46553</v>
      </c>
      <c r="I784" s="8">
        <v>43683</v>
      </c>
      <c r="J784" s="8">
        <v>43689</v>
      </c>
      <c r="K784" s="95">
        <v>43689</v>
      </c>
      <c r="L784" s="95" t="s">
        <v>31</v>
      </c>
      <c r="M784" s="8">
        <v>43693</v>
      </c>
      <c r="N784" s="8">
        <v>43823</v>
      </c>
      <c r="O784" s="8">
        <v>43809</v>
      </c>
      <c r="P784" s="6" t="s">
        <v>52</v>
      </c>
      <c r="R784" s="97" t="str">
        <f t="shared" si="28"/>
        <v/>
      </c>
      <c r="S784" s="75" t="str">
        <f t="shared" si="27"/>
        <v/>
      </c>
      <c r="U784" s="8">
        <v>43823</v>
      </c>
      <c r="W784" s="6" t="s">
        <v>33</v>
      </c>
      <c r="X784" s="95">
        <v>46539</v>
      </c>
    </row>
    <row r="785" spans="1:24" x14ac:dyDescent="0.25">
      <c r="A785" s="6" t="s">
        <v>65</v>
      </c>
      <c r="B785" s="94" t="s">
        <v>2644</v>
      </c>
      <c r="C785" s="6" t="s">
        <v>2645</v>
      </c>
      <c r="D785" s="140">
        <v>12105282</v>
      </c>
      <c r="E785" s="6" t="s">
        <v>185</v>
      </c>
      <c r="F785" s="10" t="s">
        <v>205</v>
      </c>
      <c r="G785" s="6" t="s">
        <v>2646</v>
      </c>
      <c r="H785" s="8">
        <v>45984</v>
      </c>
      <c r="I785" s="8">
        <v>43348</v>
      </c>
      <c r="J785" s="8">
        <v>43348</v>
      </c>
      <c r="K785" s="95">
        <v>43369</v>
      </c>
      <c r="L785" s="95" t="s">
        <v>31</v>
      </c>
      <c r="M785" s="8">
        <v>43374</v>
      </c>
      <c r="N785" s="108">
        <v>43448</v>
      </c>
      <c r="O785" s="108">
        <v>43440</v>
      </c>
      <c r="P785" s="107" t="s">
        <v>35</v>
      </c>
      <c r="Q785" s="110">
        <v>877</v>
      </c>
      <c r="R785" s="97">
        <f t="shared" si="28"/>
        <v>2.4027397260273973</v>
      </c>
      <c r="S785" s="75">
        <f t="shared" si="27"/>
        <v>19844.227397260274</v>
      </c>
      <c r="U785" s="8">
        <v>44776</v>
      </c>
      <c r="W785" s="6" t="s">
        <v>33</v>
      </c>
      <c r="X785" s="95">
        <v>45988</v>
      </c>
    </row>
    <row r="786" spans="1:24" x14ac:dyDescent="0.25">
      <c r="A786" s="6" t="s">
        <v>65</v>
      </c>
      <c r="B786" s="94" t="s">
        <v>173</v>
      </c>
      <c r="C786" s="6" t="s">
        <v>2647</v>
      </c>
      <c r="D786" s="140">
        <v>12103373</v>
      </c>
      <c r="E786" s="6" t="s">
        <v>866</v>
      </c>
      <c r="F786" s="10" t="s">
        <v>143</v>
      </c>
      <c r="G786" s="6" t="s">
        <v>2648</v>
      </c>
      <c r="H786" s="8">
        <v>47334</v>
      </c>
      <c r="I786" s="8">
        <v>43348</v>
      </c>
      <c r="J786" s="8">
        <v>43348</v>
      </c>
      <c r="K786" s="95">
        <v>43376</v>
      </c>
      <c r="L786" s="95" t="s">
        <v>31</v>
      </c>
      <c r="M786" s="8">
        <v>43390</v>
      </c>
      <c r="N786" s="9">
        <v>43518</v>
      </c>
      <c r="O786" s="8">
        <v>43509</v>
      </c>
      <c r="P786" s="6" t="s">
        <v>35</v>
      </c>
      <c r="Q786" s="96">
        <v>243</v>
      </c>
      <c r="R786" s="97">
        <f t="shared" si="28"/>
        <v>0.66575342465753429</v>
      </c>
      <c r="S786" s="75">
        <f t="shared" si="27"/>
        <v>5498.4575342465751</v>
      </c>
      <c r="T786" s="124" t="s">
        <v>2649</v>
      </c>
      <c r="U786" s="8">
        <v>43518</v>
      </c>
      <c r="W786" s="6" t="s">
        <v>33</v>
      </c>
      <c r="X786" s="95">
        <v>46173</v>
      </c>
    </row>
    <row r="787" spans="1:24" x14ac:dyDescent="0.25">
      <c r="A787" s="6" t="s">
        <v>85</v>
      </c>
      <c r="B787" s="94" t="s">
        <v>2650</v>
      </c>
      <c r="C787" s="6" t="s">
        <v>2651</v>
      </c>
      <c r="D787" s="140">
        <v>11322565</v>
      </c>
      <c r="E787" s="6" t="s">
        <v>314</v>
      </c>
      <c r="F787" s="10" t="s">
        <v>44</v>
      </c>
      <c r="G787" s="6" t="s">
        <v>2652</v>
      </c>
      <c r="H787" s="8">
        <v>43712</v>
      </c>
      <c r="I787" s="8">
        <v>43410</v>
      </c>
      <c r="J787" s="8">
        <v>43413</v>
      </c>
      <c r="K787" s="95">
        <v>43425</v>
      </c>
      <c r="L787" s="95" t="s">
        <v>31</v>
      </c>
      <c r="M787" s="8">
        <v>43430</v>
      </c>
      <c r="R787" s="97" t="str">
        <f t="shared" si="28"/>
        <v/>
      </c>
      <c r="S787" s="75" t="str">
        <f t="shared" si="27"/>
        <v/>
      </c>
      <c r="T787" s="124" t="s">
        <v>253</v>
      </c>
      <c r="U787" s="8">
        <v>43622</v>
      </c>
      <c r="V787" s="6" t="s">
        <v>36</v>
      </c>
      <c r="W787" s="6" t="s">
        <v>33</v>
      </c>
      <c r="X787" s="95">
        <v>44853</v>
      </c>
    </row>
    <row r="788" spans="1:24" x14ac:dyDescent="0.25">
      <c r="A788" s="6" t="s">
        <v>65</v>
      </c>
      <c r="B788" s="94" t="s">
        <v>1265</v>
      </c>
      <c r="C788" s="6" t="s">
        <v>2653</v>
      </c>
      <c r="D788" s="140">
        <v>12102861</v>
      </c>
      <c r="E788" s="6" t="s">
        <v>289</v>
      </c>
      <c r="F788" s="10" t="s">
        <v>277</v>
      </c>
      <c r="G788" s="6" t="s">
        <v>2654</v>
      </c>
      <c r="H788" s="8">
        <v>45568</v>
      </c>
      <c r="I788" s="8">
        <v>43348</v>
      </c>
      <c r="J788" s="8">
        <v>43348</v>
      </c>
      <c r="K788" s="95">
        <v>43362</v>
      </c>
      <c r="L788" s="95" t="s">
        <v>31</v>
      </c>
      <c r="M788" s="8">
        <v>43367</v>
      </c>
      <c r="N788" s="8">
        <v>43929</v>
      </c>
      <c r="O788" s="8">
        <v>43923</v>
      </c>
      <c r="P788" s="6" t="s">
        <v>75</v>
      </c>
      <c r="R788" s="97" t="str">
        <f t="shared" si="28"/>
        <v/>
      </c>
      <c r="S788" s="75" t="str">
        <f t="shared" si="27"/>
        <v/>
      </c>
      <c r="U788" s="8">
        <v>43936</v>
      </c>
      <c r="W788" s="6" t="s">
        <v>33</v>
      </c>
      <c r="X788" s="95">
        <v>46295</v>
      </c>
    </row>
    <row r="789" spans="1:24" ht="30" x14ac:dyDescent="0.25">
      <c r="A789" s="6" t="s">
        <v>25</v>
      </c>
      <c r="B789" s="94" t="s">
        <v>870</v>
      </c>
      <c r="C789" s="6" t="s">
        <v>2655</v>
      </c>
      <c r="D789" s="140">
        <v>11218861</v>
      </c>
      <c r="E789" s="6" t="s">
        <v>49</v>
      </c>
      <c r="F789" s="10" t="s">
        <v>205</v>
      </c>
      <c r="G789" s="6" t="s">
        <v>2656</v>
      </c>
      <c r="H789" s="8">
        <v>45488</v>
      </c>
      <c r="I789" s="8">
        <v>43756</v>
      </c>
      <c r="J789" s="8">
        <v>43759</v>
      </c>
      <c r="K789" s="95">
        <v>43801</v>
      </c>
      <c r="L789" s="95" t="s">
        <v>31</v>
      </c>
      <c r="M789" s="8">
        <v>43805</v>
      </c>
      <c r="N789" s="8">
        <v>44302</v>
      </c>
      <c r="O789" s="8">
        <v>43903</v>
      </c>
      <c r="P789" s="6" t="s">
        <v>75</v>
      </c>
      <c r="R789" s="97" t="str">
        <f t="shared" si="28"/>
        <v/>
      </c>
      <c r="S789" s="75" t="str">
        <f t="shared" si="27"/>
        <v/>
      </c>
      <c r="T789" s="124" t="s">
        <v>2657</v>
      </c>
      <c r="U789" s="8">
        <v>44302</v>
      </c>
      <c r="W789" s="6" t="s">
        <v>33</v>
      </c>
      <c r="X789" s="95">
        <v>43640</v>
      </c>
    </row>
    <row r="790" spans="1:24" x14ac:dyDescent="0.25">
      <c r="A790" s="6" t="s">
        <v>65</v>
      </c>
      <c r="B790" s="94" t="s">
        <v>1894</v>
      </c>
      <c r="C790" s="6" t="s">
        <v>2658</v>
      </c>
      <c r="D790" s="140">
        <v>11979854</v>
      </c>
      <c r="E790" s="6" t="s">
        <v>1662</v>
      </c>
      <c r="F790" s="10" t="s">
        <v>277</v>
      </c>
      <c r="G790" s="6" t="s">
        <v>2659</v>
      </c>
      <c r="H790" s="8">
        <v>48522</v>
      </c>
      <c r="I790" s="8">
        <v>43348</v>
      </c>
      <c r="J790" s="8">
        <v>43348</v>
      </c>
      <c r="K790" s="95">
        <v>43362</v>
      </c>
      <c r="L790" s="95" t="s">
        <v>31</v>
      </c>
      <c r="M790" s="8">
        <v>43367</v>
      </c>
      <c r="N790" s="8">
        <v>43924</v>
      </c>
      <c r="O790" s="8">
        <v>43909</v>
      </c>
      <c r="P790" s="6" t="s">
        <v>52</v>
      </c>
      <c r="R790" s="97" t="str">
        <f t="shared" si="28"/>
        <v/>
      </c>
      <c r="S790" s="75" t="str">
        <f t="shared" si="27"/>
        <v/>
      </c>
      <c r="U790" s="8">
        <v>43936</v>
      </c>
      <c r="W790" s="6" t="s">
        <v>33</v>
      </c>
      <c r="X790" s="95">
        <v>44428</v>
      </c>
    </row>
    <row r="791" spans="1:24" x14ac:dyDescent="0.25">
      <c r="A791" s="6" t="s">
        <v>65</v>
      </c>
      <c r="B791" s="94" t="s">
        <v>2660</v>
      </c>
      <c r="C791" s="6" t="s">
        <v>2661</v>
      </c>
      <c r="D791" s="140">
        <v>11974779</v>
      </c>
      <c r="E791" s="6" t="s">
        <v>962</v>
      </c>
      <c r="F791" s="10" t="s">
        <v>2662</v>
      </c>
      <c r="G791" s="6" t="s">
        <v>2663</v>
      </c>
      <c r="H791" s="8">
        <v>47785</v>
      </c>
      <c r="I791" s="8">
        <v>43348</v>
      </c>
      <c r="J791" s="8">
        <v>43348</v>
      </c>
      <c r="K791" s="95">
        <v>43362</v>
      </c>
      <c r="L791" s="95" t="s">
        <v>31</v>
      </c>
      <c r="M791" s="8">
        <v>43367</v>
      </c>
      <c r="N791" s="9">
        <v>43518</v>
      </c>
      <c r="O791" s="8">
        <v>43502</v>
      </c>
      <c r="P791" s="6" t="s">
        <v>35</v>
      </c>
      <c r="Q791" s="96">
        <v>121</v>
      </c>
      <c r="R791" s="97">
        <f t="shared" si="28"/>
        <v>0.33150684931506852</v>
      </c>
      <c r="S791" s="75">
        <f t="shared" si="27"/>
        <v>2737.9150684931506</v>
      </c>
      <c r="T791" s="124" t="s">
        <v>886</v>
      </c>
      <c r="U791" s="8">
        <v>43518</v>
      </c>
      <c r="W791" s="6" t="s">
        <v>33</v>
      </c>
      <c r="X791" s="95">
        <v>52393</v>
      </c>
    </row>
    <row r="792" spans="1:24" x14ac:dyDescent="0.25">
      <c r="A792" s="6" t="s">
        <v>65</v>
      </c>
      <c r="B792" s="94" t="s">
        <v>1162</v>
      </c>
      <c r="C792" s="6" t="s">
        <v>2664</v>
      </c>
      <c r="D792" s="140">
        <v>11600575</v>
      </c>
      <c r="E792" s="6" t="s">
        <v>1566</v>
      </c>
      <c r="F792" s="10" t="s">
        <v>95</v>
      </c>
      <c r="G792" s="6" t="s">
        <v>2175</v>
      </c>
      <c r="H792" s="8">
        <v>46452</v>
      </c>
      <c r="I792" s="8">
        <v>43348</v>
      </c>
      <c r="J792" s="8">
        <v>43348</v>
      </c>
      <c r="K792" s="95">
        <v>43362</v>
      </c>
      <c r="L792" s="95" t="s">
        <v>31</v>
      </c>
      <c r="M792" s="8">
        <v>43367</v>
      </c>
      <c r="N792" s="8">
        <v>43545</v>
      </c>
      <c r="O792" s="8">
        <v>43480</v>
      </c>
      <c r="P792" s="6" t="s">
        <v>35</v>
      </c>
      <c r="Q792" s="96">
        <v>1095</v>
      </c>
      <c r="R792" s="97">
        <f t="shared" si="28"/>
        <v>3</v>
      </c>
      <c r="S792" s="75">
        <f t="shared" si="27"/>
        <v>24777</v>
      </c>
      <c r="T792" s="124" t="s">
        <v>301</v>
      </c>
      <c r="U792" s="8">
        <v>43545</v>
      </c>
      <c r="W792" s="6" t="s">
        <v>33</v>
      </c>
      <c r="X792" s="95">
        <v>44071</v>
      </c>
    </row>
    <row r="793" spans="1:24" x14ac:dyDescent="0.25">
      <c r="A793" s="6" t="s">
        <v>65</v>
      </c>
      <c r="B793" s="94" t="s">
        <v>102</v>
      </c>
      <c r="C793" s="6" t="s">
        <v>2665</v>
      </c>
      <c r="D793" s="140">
        <v>12102859</v>
      </c>
      <c r="E793" s="6" t="s">
        <v>1539</v>
      </c>
      <c r="F793" s="10" t="s">
        <v>29</v>
      </c>
      <c r="G793" s="6" t="s">
        <v>2666</v>
      </c>
      <c r="H793" s="8">
        <v>52754</v>
      </c>
      <c r="I793" s="8">
        <v>43348</v>
      </c>
      <c r="J793" s="8">
        <v>43348</v>
      </c>
      <c r="K793" s="95">
        <v>43369</v>
      </c>
      <c r="L793" s="95" t="s">
        <v>31</v>
      </c>
      <c r="M793" s="8">
        <v>43374</v>
      </c>
      <c r="N793" s="8">
        <v>44274</v>
      </c>
      <c r="O793" s="8">
        <v>43493</v>
      </c>
      <c r="P793" s="6" t="s">
        <v>75</v>
      </c>
      <c r="R793" s="97" t="str">
        <f t="shared" si="28"/>
        <v/>
      </c>
      <c r="S793" s="75" t="str">
        <f t="shared" si="27"/>
        <v/>
      </c>
      <c r="U793" s="8">
        <v>44274</v>
      </c>
      <c r="W793" s="6" t="s">
        <v>33</v>
      </c>
      <c r="X793" s="95">
        <v>44384</v>
      </c>
    </row>
    <row r="794" spans="1:24" x14ac:dyDescent="0.25">
      <c r="A794" s="6" t="s">
        <v>65</v>
      </c>
      <c r="B794" s="94" t="s">
        <v>202</v>
      </c>
      <c r="C794" s="6" t="s">
        <v>2667</v>
      </c>
      <c r="D794" s="140">
        <v>12149887</v>
      </c>
      <c r="E794" s="6" t="s">
        <v>656</v>
      </c>
      <c r="F794" s="10" t="s">
        <v>44</v>
      </c>
      <c r="G794" s="6" t="s">
        <v>2668</v>
      </c>
      <c r="H794" s="8">
        <v>50742</v>
      </c>
      <c r="I794" s="8">
        <v>43293</v>
      </c>
      <c r="J794" s="8">
        <v>43299</v>
      </c>
      <c r="K794" s="95">
        <v>43313</v>
      </c>
      <c r="L794" s="95" t="s">
        <v>31</v>
      </c>
      <c r="M794" s="95">
        <v>43320</v>
      </c>
      <c r="N794" s="8">
        <v>43635</v>
      </c>
      <c r="O794" s="8">
        <v>43627</v>
      </c>
      <c r="P794" s="6" t="s">
        <v>75</v>
      </c>
      <c r="R794" s="97" t="str">
        <f t="shared" si="28"/>
        <v/>
      </c>
      <c r="S794" s="75" t="str">
        <f t="shared" ref="S794:S857" si="29">IF(Q794&gt;0, SUM(Q794)*(8259/365), "")</f>
        <v/>
      </c>
      <c r="U794" s="8">
        <v>43643</v>
      </c>
      <c r="W794" s="6" t="s">
        <v>33</v>
      </c>
      <c r="X794" s="95">
        <v>46990</v>
      </c>
    </row>
    <row r="795" spans="1:24" x14ac:dyDescent="0.25">
      <c r="A795" s="6" t="s">
        <v>65</v>
      </c>
      <c r="B795" s="94" t="s">
        <v>108</v>
      </c>
      <c r="C795" s="6" t="s">
        <v>2669</v>
      </c>
      <c r="D795" s="140">
        <v>12002475</v>
      </c>
      <c r="E795" s="6" t="s">
        <v>104</v>
      </c>
      <c r="F795" s="10" t="s">
        <v>44</v>
      </c>
      <c r="G795" s="6" t="s">
        <v>2670</v>
      </c>
      <c r="H795" s="8" t="s">
        <v>683</v>
      </c>
      <c r="I795" s="8">
        <v>43348</v>
      </c>
      <c r="J795" s="8">
        <v>43348</v>
      </c>
      <c r="K795" s="95">
        <v>43369</v>
      </c>
      <c r="L795" s="95" t="s">
        <v>31</v>
      </c>
      <c r="M795" s="8">
        <v>43374</v>
      </c>
      <c r="N795" s="8">
        <v>43487</v>
      </c>
      <c r="O795" s="8">
        <v>43472</v>
      </c>
      <c r="P795" s="6" t="s">
        <v>35</v>
      </c>
      <c r="Q795" s="96">
        <v>1095</v>
      </c>
      <c r="R795" s="97">
        <f t="shared" si="28"/>
        <v>3</v>
      </c>
      <c r="S795" s="75">
        <f t="shared" si="29"/>
        <v>24777</v>
      </c>
      <c r="T795" s="124" t="s">
        <v>1541</v>
      </c>
      <c r="U795" s="8">
        <v>43487</v>
      </c>
      <c r="W795" s="6" t="s">
        <v>84</v>
      </c>
      <c r="X795" s="95">
        <v>53035</v>
      </c>
    </row>
    <row r="796" spans="1:24" x14ac:dyDescent="0.25">
      <c r="A796" s="6" t="s">
        <v>65</v>
      </c>
      <c r="B796" s="94" t="s">
        <v>2671</v>
      </c>
      <c r="C796" s="6" t="s">
        <v>2672</v>
      </c>
      <c r="D796" s="140">
        <v>11599904</v>
      </c>
      <c r="E796" s="6" t="s">
        <v>559</v>
      </c>
      <c r="F796" s="10" t="s">
        <v>277</v>
      </c>
      <c r="G796" s="6" t="s">
        <v>2673</v>
      </c>
      <c r="H796" s="8">
        <v>45648</v>
      </c>
      <c r="I796" s="8">
        <v>43348</v>
      </c>
      <c r="J796" s="8">
        <v>43348</v>
      </c>
      <c r="K796" s="95">
        <v>43362</v>
      </c>
      <c r="L796" s="95" t="s">
        <v>31</v>
      </c>
      <c r="M796" s="8">
        <v>43367</v>
      </c>
      <c r="N796" s="8">
        <v>43929</v>
      </c>
      <c r="O796" s="8">
        <v>43923</v>
      </c>
      <c r="P796" s="6" t="s">
        <v>75</v>
      </c>
      <c r="R796" s="97" t="str">
        <f t="shared" si="28"/>
        <v/>
      </c>
      <c r="S796" s="75" t="str">
        <f t="shared" si="29"/>
        <v/>
      </c>
      <c r="U796" s="8">
        <v>43936</v>
      </c>
      <c r="W796" s="6" t="s">
        <v>33</v>
      </c>
      <c r="X796" s="95">
        <v>44211</v>
      </c>
    </row>
    <row r="797" spans="1:24" x14ac:dyDescent="0.25">
      <c r="A797" s="6" t="s">
        <v>65</v>
      </c>
      <c r="B797" s="94" t="s">
        <v>2253</v>
      </c>
      <c r="C797" s="6" t="s">
        <v>2674</v>
      </c>
      <c r="D797" s="140">
        <v>11979019</v>
      </c>
      <c r="E797" s="6" t="s">
        <v>314</v>
      </c>
      <c r="F797" s="10" t="s">
        <v>44</v>
      </c>
      <c r="G797" s="6" t="s">
        <v>2675</v>
      </c>
      <c r="H797" s="8">
        <v>44015</v>
      </c>
      <c r="I797" s="8">
        <v>43348</v>
      </c>
      <c r="J797" s="8">
        <v>43348</v>
      </c>
      <c r="K797" s="95">
        <v>43369</v>
      </c>
      <c r="L797" s="95" t="s">
        <v>31</v>
      </c>
      <c r="M797" s="8">
        <v>43374</v>
      </c>
      <c r="N797" s="8">
        <v>43467</v>
      </c>
      <c r="O797" s="8">
        <v>43452</v>
      </c>
      <c r="P797" s="6" t="s">
        <v>90</v>
      </c>
      <c r="Q797" s="96">
        <v>1095</v>
      </c>
      <c r="R797" s="97">
        <f t="shared" si="28"/>
        <v>3</v>
      </c>
      <c r="S797" s="75">
        <f t="shared" si="29"/>
        <v>24777</v>
      </c>
      <c r="T797" s="124" t="s">
        <v>2676</v>
      </c>
      <c r="U797" s="8">
        <v>43467</v>
      </c>
      <c r="V797" s="6" t="s">
        <v>36</v>
      </c>
      <c r="W797" s="6" t="s">
        <v>33</v>
      </c>
      <c r="X797" s="95">
        <v>42781</v>
      </c>
    </row>
    <row r="798" spans="1:24" x14ac:dyDescent="0.25">
      <c r="A798" s="6" t="s">
        <v>37</v>
      </c>
      <c r="B798" s="94" t="s">
        <v>86</v>
      </c>
      <c r="C798" s="6" t="s">
        <v>2677</v>
      </c>
      <c r="D798" s="140">
        <v>11567260</v>
      </c>
      <c r="E798" s="6" t="s">
        <v>2678</v>
      </c>
      <c r="F798" s="10" t="s">
        <v>29</v>
      </c>
      <c r="G798" s="6" t="s">
        <v>2679</v>
      </c>
      <c r="H798" s="8">
        <v>46845</v>
      </c>
      <c r="I798" s="8">
        <v>43346</v>
      </c>
      <c r="J798" s="8">
        <v>43350</v>
      </c>
      <c r="K798" s="95">
        <v>43353</v>
      </c>
      <c r="L798" s="95" t="s">
        <v>31</v>
      </c>
      <c r="M798" s="8">
        <v>43355</v>
      </c>
      <c r="N798" s="8">
        <v>43644</v>
      </c>
      <c r="O798" s="8">
        <v>43630</v>
      </c>
      <c r="P798" s="6" t="s">
        <v>75</v>
      </c>
      <c r="R798" s="97" t="str">
        <f t="shared" si="28"/>
        <v/>
      </c>
      <c r="S798" s="75" t="str">
        <f t="shared" si="29"/>
        <v/>
      </c>
      <c r="U798" s="8">
        <v>43644</v>
      </c>
      <c r="W798" s="6" t="s">
        <v>33</v>
      </c>
      <c r="X798" s="95">
        <v>44047</v>
      </c>
    </row>
    <row r="799" spans="1:24" x14ac:dyDescent="0.25">
      <c r="A799" s="6" t="s">
        <v>37</v>
      </c>
      <c r="B799" s="94" t="s">
        <v>2680</v>
      </c>
      <c r="C799" s="6" t="s">
        <v>2681</v>
      </c>
      <c r="D799" s="140">
        <v>11603893</v>
      </c>
      <c r="E799" s="6" t="s">
        <v>353</v>
      </c>
      <c r="F799" s="10" t="s">
        <v>44</v>
      </c>
      <c r="G799" s="6" t="s">
        <v>2682</v>
      </c>
      <c r="H799" s="8">
        <v>53931</v>
      </c>
      <c r="I799" s="8">
        <v>43349</v>
      </c>
      <c r="J799" s="8">
        <v>43350</v>
      </c>
      <c r="K799" s="95">
        <v>43353</v>
      </c>
      <c r="L799" s="95" t="s">
        <v>31</v>
      </c>
      <c r="M799" s="8">
        <v>43360</v>
      </c>
      <c r="R799" s="97" t="str">
        <f t="shared" si="28"/>
        <v/>
      </c>
      <c r="S799" s="75" t="str">
        <f t="shared" si="29"/>
        <v/>
      </c>
      <c r="W799" s="6" t="s">
        <v>84</v>
      </c>
      <c r="X799" s="95">
        <v>47300</v>
      </c>
    </row>
    <row r="800" spans="1:24" x14ac:dyDescent="0.25">
      <c r="A800" s="6" t="s">
        <v>37</v>
      </c>
      <c r="B800" s="94" t="s">
        <v>2683</v>
      </c>
      <c r="C800" s="6" t="s">
        <v>2684</v>
      </c>
      <c r="D800" s="140">
        <v>11182098</v>
      </c>
      <c r="E800" s="6" t="s">
        <v>2685</v>
      </c>
      <c r="F800" s="10" t="s">
        <v>134</v>
      </c>
      <c r="G800" s="6" t="s">
        <v>2686</v>
      </c>
      <c r="H800" s="8">
        <v>48884</v>
      </c>
      <c r="I800" s="8">
        <v>43349</v>
      </c>
      <c r="J800" s="8">
        <v>43350</v>
      </c>
      <c r="K800" s="95">
        <v>43353</v>
      </c>
      <c r="L800" s="95" t="s">
        <v>31</v>
      </c>
      <c r="M800" s="8">
        <v>43364</v>
      </c>
      <c r="N800" s="8">
        <v>43823</v>
      </c>
      <c r="O800" s="8">
        <v>43759</v>
      </c>
      <c r="P800" s="6" t="s">
        <v>52</v>
      </c>
      <c r="R800" s="97" t="str">
        <f t="shared" si="28"/>
        <v/>
      </c>
      <c r="S800" s="75" t="str">
        <f t="shared" si="29"/>
        <v/>
      </c>
      <c r="U800" s="8">
        <v>43823</v>
      </c>
      <c r="W800" s="6" t="s">
        <v>33</v>
      </c>
      <c r="X800" s="95">
        <v>50021</v>
      </c>
    </row>
    <row r="801" spans="1:24" x14ac:dyDescent="0.25">
      <c r="A801" s="6" t="s">
        <v>70</v>
      </c>
      <c r="B801" s="94" t="s">
        <v>173</v>
      </c>
      <c r="C801" s="6" t="s">
        <v>2687</v>
      </c>
      <c r="D801" s="140">
        <v>11368107</v>
      </c>
      <c r="E801" s="6" t="s">
        <v>298</v>
      </c>
      <c r="F801" s="6" t="s">
        <v>143</v>
      </c>
      <c r="G801" s="6" t="s">
        <v>2688</v>
      </c>
      <c r="H801" s="8">
        <v>46604</v>
      </c>
      <c r="I801" s="95">
        <v>43136</v>
      </c>
      <c r="J801" s="95">
        <v>43202</v>
      </c>
      <c r="K801" s="95">
        <v>43202</v>
      </c>
      <c r="L801" s="95" t="s">
        <v>31</v>
      </c>
      <c r="M801" s="8">
        <v>43206</v>
      </c>
      <c r="N801" s="8">
        <v>43871</v>
      </c>
      <c r="O801" s="8">
        <v>43794</v>
      </c>
      <c r="P801" s="6" t="s">
        <v>75</v>
      </c>
      <c r="R801" s="97" t="str">
        <f t="shared" si="28"/>
        <v/>
      </c>
      <c r="S801" s="75" t="str">
        <f t="shared" si="29"/>
        <v/>
      </c>
      <c r="U801" s="8">
        <v>43871</v>
      </c>
      <c r="W801" s="6" t="s">
        <v>84</v>
      </c>
      <c r="X801" s="95">
        <v>44433</v>
      </c>
    </row>
    <row r="802" spans="1:24" x14ac:dyDescent="0.25">
      <c r="A802" s="6" t="s">
        <v>168</v>
      </c>
      <c r="B802" s="94" t="s">
        <v>2689</v>
      </c>
      <c r="C802" s="6" t="s">
        <v>2690</v>
      </c>
      <c r="D802" s="140">
        <v>11120200</v>
      </c>
      <c r="E802" s="6" t="s">
        <v>2691</v>
      </c>
      <c r="F802" s="10" t="s">
        <v>1225</v>
      </c>
      <c r="G802" s="6" t="s">
        <v>2692</v>
      </c>
      <c r="H802" s="8">
        <v>44684</v>
      </c>
      <c r="I802" s="8">
        <v>43635</v>
      </c>
      <c r="J802" s="8">
        <v>43648</v>
      </c>
      <c r="K802" s="95">
        <v>43648</v>
      </c>
      <c r="L802" s="95" t="s">
        <v>31</v>
      </c>
      <c r="M802" s="8">
        <v>43656</v>
      </c>
      <c r="N802" s="8">
        <v>43915</v>
      </c>
      <c r="O802" s="8">
        <v>43899</v>
      </c>
      <c r="P802" s="6" t="s">
        <v>90</v>
      </c>
      <c r="Q802" s="96">
        <v>767</v>
      </c>
      <c r="R802" s="97">
        <f t="shared" si="28"/>
        <v>2.1013698630136988</v>
      </c>
      <c r="S802" s="75">
        <f t="shared" si="29"/>
        <v>17355.213698630138</v>
      </c>
      <c r="T802" s="124" t="s">
        <v>2693</v>
      </c>
      <c r="U802" s="8">
        <v>43916</v>
      </c>
      <c r="V802" s="6" t="s">
        <v>36</v>
      </c>
      <c r="W802" s="6" t="s">
        <v>84</v>
      </c>
      <c r="X802" s="95">
        <v>36895</v>
      </c>
    </row>
    <row r="803" spans="1:24" x14ac:dyDescent="0.25">
      <c r="A803" s="6" t="s">
        <v>37</v>
      </c>
      <c r="B803" s="94" t="s">
        <v>2694</v>
      </c>
      <c r="C803" s="6" t="s">
        <v>2695</v>
      </c>
      <c r="D803" s="140">
        <v>11308445</v>
      </c>
      <c r="E803" s="6" t="s">
        <v>2696</v>
      </c>
      <c r="F803" s="10" t="s">
        <v>293</v>
      </c>
      <c r="G803" s="6">
        <v>166672</v>
      </c>
      <c r="H803" s="8">
        <v>44180</v>
      </c>
      <c r="I803" s="8">
        <v>43353</v>
      </c>
      <c r="J803" s="8">
        <v>43355</v>
      </c>
      <c r="K803" s="95">
        <v>43356</v>
      </c>
      <c r="L803" s="95" t="s">
        <v>31</v>
      </c>
      <c r="M803" s="8">
        <v>43368</v>
      </c>
      <c r="R803" s="97" t="str">
        <f t="shared" si="28"/>
        <v/>
      </c>
      <c r="S803" s="75" t="str">
        <f t="shared" si="29"/>
        <v/>
      </c>
      <c r="T803" s="124" t="s">
        <v>2697</v>
      </c>
      <c r="U803" s="8">
        <v>44141</v>
      </c>
      <c r="W803" s="6" t="s">
        <v>33</v>
      </c>
      <c r="X803" s="95">
        <v>49673</v>
      </c>
    </row>
    <row r="804" spans="1:24" ht="20.25" customHeight="1" x14ac:dyDescent="0.25">
      <c r="A804" s="6" t="s">
        <v>168</v>
      </c>
      <c r="B804" s="94" t="s">
        <v>2698</v>
      </c>
      <c r="C804" s="6" t="s">
        <v>2699</v>
      </c>
      <c r="D804" s="140">
        <v>11011687</v>
      </c>
      <c r="E804" s="6" t="s">
        <v>171</v>
      </c>
      <c r="F804" s="10" t="s">
        <v>44</v>
      </c>
      <c r="G804" s="6" t="s">
        <v>2700</v>
      </c>
      <c r="H804" s="8">
        <v>45322</v>
      </c>
      <c r="I804" s="8">
        <v>44173</v>
      </c>
      <c r="J804" s="8">
        <v>44224</v>
      </c>
      <c r="K804" s="95">
        <v>44225</v>
      </c>
      <c r="L804" s="95" t="s">
        <v>31</v>
      </c>
      <c r="M804" s="8">
        <v>44230</v>
      </c>
      <c r="N804" s="8">
        <v>44355</v>
      </c>
      <c r="O804" s="8">
        <v>44344</v>
      </c>
      <c r="P804" s="6" t="s">
        <v>35</v>
      </c>
      <c r="Q804" s="96">
        <v>1303</v>
      </c>
      <c r="R804" s="97">
        <f t="shared" si="28"/>
        <v>3.56986301369863</v>
      </c>
      <c r="S804" s="75">
        <f t="shared" si="29"/>
        <v>29483.498630136986</v>
      </c>
      <c r="U804" s="8">
        <v>44669</v>
      </c>
      <c r="V804" s="6" t="s">
        <v>36</v>
      </c>
      <c r="W804" s="6" t="s">
        <v>33</v>
      </c>
      <c r="X804" s="95">
        <v>49198</v>
      </c>
    </row>
    <row r="805" spans="1:24" x14ac:dyDescent="0.25">
      <c r="A805" s="6" t="s">
        <v>168</v>
      </c>
      <c r="B805" s="94" t="s">
        <v>2701</v>
      </c>
      <c r="C805" s="6" t="s">
        <v>2702</v>
      </c>
      <c r="D805" s="140">
        <v>10227899</v>
      </c>
      <c r="E805" s="6" t="s">
        <v>357</v>
      </c>
      <c r="F805" s="10" t="s">
        <v>44</v>
      </c>
      <c r="G805" s="6" t="s">
        <v>2703</v>
      </c>
      <c r="H805" s="8">
        <v>45765</v>
      </c>
      <c r="I805" s="8">
        <v>44242</v>
      </c>
      <c r="J805" s="8">
        <v>44267</v>
      </c>
      <c r="K805" s="95">
        <v>44271</v>
      </c>
      <c r="L805" s="95" t="s">
        <v>31</v>
      </c>
      <c r="M805" s="8">
        <v>44272</v>
      </c>
      <c r="N805" s="8">
        <v>44419</v>
      </c>
      <c r="O805" s="8">
        <v>44372</v>
      </c>
      <c r="P805" s="6" t="s">
        <v>90</v>
      </c>
      <c r="Q805" s="96">
        <v>1340</v>
      </c>
      <c r="R805" s="97">
        <f t="shared" ref="R805:R868" si="30">IF(Q805&gt;0, Q805/365, "")</f>
        <v>3.6712328767123288</v>
      </c>
      <c r="S805" s="75">
        <f t="shared" si="29"/>
        <v>30320.712328767124</v>
      </c>
      <c r="T805" s="124" t="s">
        <v>2704</v>
      </c>
      <c r="U805" s="8">
        <v>44419</v>
      </c>
      <c r="V805" s="6" t="s">
        <v>36</v>
      </c>
      <c r="W805" s="6" t="s">
        <v>33</v>
      </c>
      <c r="X805" s="7">
        <v>47076</v>
      </c>
    </row>
    <row r="806" spans="1:24" x14ac:dyDescent="0.25">
      <c r="A806" s="6" t="s">
        <v>25</v>
      </c>
      <c r="B806" s="94" t="s">
        <v>108</v>
      </c>
      <c r="C806" s="6" t="s">
        <v>2705</v>
      </c>
      <c r="D806" s="140">
        <v>11222774</v>
      </c>
      <c r="E806" s="6" t="s">
        <v>928</v>
      </c>
      <c r="F806" s="10" t="s">
        <v>44</v>
      </c>
      <c r="G806" s="6" t="s">
        <v>2706</v>
      </c>
      <c r="H806" s="8">
        <v>47881</v>
      </c>
      <c r="I806" s="8">
        <v>43592</v>
      </c>
      <c r="J806" s="8">
        <v>43592</v>
      </c>
      <c r="K806" s="95">
        <v>43602</v>
      </c>
      <c r="L806" s="95" t="s">
        <v>31</v>
      </c>
      <c r="M806" s="8">
        <v>43627</v>
      </c>
      <c r="N806" s="8">
        <v>43648</v>
      </c>
      <c r="O806" s="8">
        <v>43633</v>
      </c>
      <c r="P806" s="6" t="s">
        <v>75</v>
      </c>
      <c r="R806" s="97" t="str">
        <f t="shared" si="30"/>
        <v/>
      </c>
      <c r="S806" s="75" t="str">
        <f t="shared" si="29"/>
        <v/>
      </c>
      <c r="U806" s="8">
        <v>43648</v>
      </c>
      <c r="W806" s="6" t="s">
        <v>33</v>
      </c>
      <c r="X806" s="95">
        <v>49899</v>
      </c>
    </row>
    <row r="807" spans="1:24" x14ac:dyDescent="0.25">
      <c r="A807" s="6" t="s">
        <v>25</v>
      </c>
      <c r="B807" s="94" t="s">
        <v>1519</v>
      </c>
      <c r="C807" s="6" t="s">
        <v>2707</v>
      </c>
      <c r="D807" s="140">
        <v>11796349</v>
      </c>
      <c r="E807" s="6" t="s">
        <v>2708</v>
      </c>
      <c r="F807" s="10" t="s">
        <v>57</v>
      </c>
      <c r="G807" s="6" t="s">
        <v>2709</v>
      </c>
      <c r="H807" s="8">
        <v>43637</v>
      </c>
      <c r="I807" s="8">
        <v>43600</v>
      </c>
      <c r="J807" s="8">
        <v>43600</v>
      </c>
      <c r="K807" s="95">
        <v>43620</v>
      </c>
      <c r="L807" s="95" t="s">
        <v>31</v>
      </c>
      <c r="M807" s="8">
        <v>43629</v>
      </c>
      <c r="N807" s="8">
        <v>43648</v>
      </c>
      <c r="O807" s="8">
        <v>43634</v>
      </c>
      <c r="P807" s="6" t="s">
        <v>75</v>
      </c>
      <c r="R807" s="97" t="str">
        <f t="shared" si="30"/>
        <v/>
      </c>
      <c r="S807" s="75" t="str">
        <f t="shared" si="29"/>
        <v/>
      </c>
      <c r="U807" s="8">
        <v>43663</v>
      </c>
      <c r="W807" s="6" t="s">
        <v>33</v>
      </c>
      <c r="X807" s="95">
        <v>42071</v>
      </c>
    </row>
    <row r="808" spans="1:24" x14ac:dyDescent="0.25">
      <c r="A808" s="6" t="s">
        <v>70</v>
      </c>
      <c r="B808" s="94" t="s">
        <v>2162</v>
      </c>
      <c r="C808" s="6" t="s">
        <v>2710</v>
      </c>
      <c r="D808" s="140">
        <v>11355034</v>
      </c>
      <c r="E808" s="6" t="s">
        <v>997</v>
      </c>
      <c r="F808" s="10" t="s">
        <v>528</v>
      </c>
      <c r="G808" s="6" t="s">
        <v>2711</v>
      </c>
      <c r="H808" s="8">
        <v>44946</v>
      </c>
      <c r="I808" s="8">
        <v>43361</v>
      </c>
      <c r="J808" s="8">
        <v>43361</v>
      </c>
      <c r="K808" s="95">
        <v>43369</v>
      </c>
      <c r="L808" s="95" t="s">
        <v>31</v>
      </c>
      <c r="M808" s="8">
        <v>43374</v>
      </c>
      <c r="R808" s="97" t="str">
        <f t="shared" si="30"/>
        <v/>
      </c>
      <c r="S808" s="75" t="str">
        <f t="shared" si="29"/>
        <v/>
      </c>
      <c r="T808" s="129" t="s">
        <v>2712</v>
      </c>
      <c r="U808" s="8">
        <v>44783</v>
      </c>
      <c r="W808" s="6" t="s">
        <v>33</v>
      </c>
      <c r="X808" s="95">
        <v>51777</v>
      </c>
    </row>
    <row r="809" spans="1:24" ht="30" x14ac:dyDescent="0.25">
      <c r="A809" s="6" t="s">
        <v>70</v>
      </c>
      <c r="B809" s="94" t="s">
        <v>2713</v>
      </c>
      <c r="C809" s="6" t="s">
        <v>2714</v>
      </c>
      <c r="D809" s="140">
        <v>11358804</v>
      </c>
      <c r="E809" s="6" t="s">
        <v>1096</v>
      </c>
      <c r="F809" s="10" t="s">
        <v>44</v>
      </c>
      <c r="G809" s="6" t="s">
        <v>2715</v>
      </c>
      <c r="H809" s="8">
        <v>47707</v>
      </c>
      <c r="I809" s="8">
        <v>43361</v>
      </c>
      <c r="J809" s="8">
        <v>43361</v>
      </c>
      <c r="K809" s="95">
        <v>43369</v>
      </c>
      <c r="L809" s="95" t="s">
        <v>31</v>
      </c>
      <c r="M809" s="8">
        <v>43374</v>
      </c>
      <c r="N809" s="8">
        <v>43524</v>
      </c>
      <c r="O809" s="8">
        <v>43488</v>
      </c>
      <c r="P809" s="6" t="s">
        <v>69</v>
      </c>
      <c r="R809" s="97" t="str">
        <f t="shared" si="30"/>
        <v/>
      </c>
      <c r="S809" s="75" t="str">
        <f t="shared" si="29"/>
        <v/>
      </c>
      <c r="T809" s="124" t="s">
        <v>2716</v>
      </c>
      <c r="U809" s="8">
        <v>43524</v>
      </c>
      <c r="W809" s="6" t="s">
        <v>33</v>
      </c>
      <c r="X809" s="95">
        <v>45385</v>
      </c>
    </row>
    <row r="810" spans="1:24" x14ac:dyDescent="0.25">
      <c r="A810" s="6" t="s">
        <v>70</v>
      </c>
      <c r="B810" s="94" t="s">
        <v>2717</v>
      </c>
      <c r="C810" s="6" t="s">
        <v>2718</v>
      </c>
      <c r="D810" s="140">
        <v>11359798</v>
      </c>
      <c r="E810" s="6" t="s">
        <v>881</v>
      </c>
      <c r="F810" s="10" t="s">
        <v>205</v>
      </c>
      <c r="G810" s="6" t="s">
        <v>745</v>
      </c>
      <c r="H810" s="8">
        <v>50429</v>
      </c>
      <c r="I810" s="8">
        <v>43361</v>
      </c>
      <c r="J810" s="8">
        <v>43361</v>
      </c>
      <c r="K810" s="95">
        <v>43369</v>
      </c>
      <c r="L810" s="95" t="s">
        <v>31</v>
      </c>
      <c r="M810" s="8">
        <v>43374</v>
      </c>
      <c r="R810" s="97" t="str">
        <f t="shared" si="30"/>
        <v/>
      </c>
      <c r="S810" s="75" t="str">
        <f t="shared" si="29"/>
        <v/>
      </c>
      <c r="T810" s="124" t="s">
        <v>1702</v>
      </c>
      <c r="W810" s="6" t="s">
        <v>33</v>
      </c>
      <c r="X810" s="95">
        <v>45682</v>
      </c>
    </row>
    <row r="811" spans="1:24" x14ac:dyDescent="0.25">
      <c r="A811" s="6" t="s">
        <v>70</v>
      </c>
      <c r="B811" s="94" t="s">
        <v>1123</v>
      </c>
      <c r="C811" s="6" t="s">
        <v>2719</v>
      </c>
      <c r="D811" s="140">
        <v>11574866</v>
      </c>
      <c r="E811" s="6" t="s">
        <v>1459</v>
      </c>
      <c r="F811" s="10" t="s">
        <v>57</v>
      </c>
      <c r="G811" s="6" t="s">
        <v>2720</v>
      </c>
      <c r="H811" s="8">
        <v>44142</v>
      </c>
      <c r="I811" s="8">
        <v>43361</v>
      </c>
      <c r="J811" s="8">
        <v>43361</v>
      </c>
      <c r="K811" s="95">
        <v>43369</v>
      </c>
      <c r="L811" s="95" t="s">
        <v>31</v>
      </c>
      <c r="M811" s="8">
        <v>43374</v>
      </c>
      <c r="R811" s="97" t="str">
        <f t="shared" si="30"/>
        <v/>
      </c>
      <c r="S811" s="75" t="str">
        <f t="shared" si="29"/>
        <v/>
      </c>
      <c r="T811" s="124" t="s">
        <v>2721</v>
      </c>
      <c r="U811" s="8">
        <v>44274</v>
      </c>
      <c r="W811" s="6" t="s">
        <v>33</v>
      </c>
      <c r="X811" s="95">
        <v>43933</v>
      </c>
    </row>
    <row r="812" spans="1:24" x14ac:dyDescent="0.25">
      <c r="A812" s="6" t="s">
        <v>70</v>
      </c>
      <c r="B812" s="94" t="s">
        <v>2722</v>
      </c>
      <c r="C812" s="6" t="s">
        <v>2723</v>
      </c>
      <c r="D812" s="140">
        <v>11278826</v>
      </c>
      <c r="E812" s="6" t="s">
        <v>1529</v>
      </c>
      <c r="F812" s="10" t="s">
        <v>44</v>
      </c>
      <c r="G812" s="6" t="s">
        <v>2724</v>
      </c>
      <c r="H812" s="8">
        <v>46816</v>
      </c>
      <c r="I812" s="8">
        <v>43361</v>
      </c>
      <c r="J812" s="8">
        <v>43361</v>
      </c>
      <c r="K812" s="95">
        <v>43369</v>
      </c>
      <c r="L812" s="95" t="s">
        <v>31</v>
      </c>
      <c r="M812" s="8">
        <v>43374</v>
      </c>
      <c r="N812" s="8">
        <v>43507</v>
      </c>
      <c r="O812" s="8">
        <v>43455</v>
      </c>
      <c r="P812" s="6" t="s">
        <v>35</v>
      </c>
      <c r="Q812" s="96">
        <v>730</v>
      </c>
      <c r="R812" s="97">
        <f t="shared" si="30"/>
        <v>2</v>
      </c>
      <c r="S812" s="75">
        <f t="shared" si="29"/>
        <v>16518</v>
      </c>
      <c r="T812" s="124" t="s">
        <v>320</v>
      </c>
      <c r="U812" s="8">
        <v>43507</v>
      </c>
      <c r="W812" s="6" t="s">
        <v>33</v>
      </c>
      <c r="X812" s="95">
        <v>45853</v>
      </c>
    </row>
    <row r="813" spans="1:24" x14ac:dyDescent="0.25">
      <c r="A813" s="6" t="s">
        <v>70</v>
      </c>
      <c r="B813" s="94" t="s">
        <v>2725</v>
      </c>
      <c r="C813" s="6" t="s">
        <v>2726</v>
      </c>
      <c r="D813" s="140">
        <v>11279536</v>
      </c>
      <c r="E813" s="6" t="s">
        <v>314</v>
      </c>
      <c r="F813" s="10" t="s">
        <v>134</v>
      </c>
      <c r="G813" s="6" t="s">
        <v>2727</v>
      </c>
      <c r="H813" s="8">
        <v>46479</v>
      </c>
      <c r="I813" s="8">
        <v>43361</v>
      </c>
      <c r="J813" s="8">
        <v>43361</v>
      </c>
      <c r="K813" s="95">
        <v>43376</v>
      </c>
      <c r="L813" s="95" t="s">
        <v>31</v>
      </c>
      <c r="M813" s="8">
        <v>43390</v>
      </c>
      <c r="N813" s="8">
        <v>44274</v>
      </c>
      <c r="O813" s="8">
        <v>43521</v>
      </c>
      <c r="P813" s="6" t="s">
        <v>75</v>
      </c>
      <c r="R813" s="97" t="str">
        <f t="shared" si="30"/>
        <v/>
      </c>
      <c r="S813" s="75" t="str">
        <f t="shared" si="29"/>
        <v/>
      </c>
      <c r="U813" s="8">
        <v>44274</v>
      </c>
      <c r="W813" s="6" t="s">
        <v>33</v>
      </c>
      <c r="X813" s="95">
        <v>45793</v>
      </c>
    </row>
    <row r="814" spans="1:24" x14ac:dyDescent="0.25">
      <c r="A814" s="6" t="s">
        <v>70</v>
      </c>
      <c r="B814" s="94" t="s">
        <v>2728</v>
      </c>
      <c r="C814" s="6" t="s">
        <v>2729</v>
      </c>
      <c r="D814" s="140">
        <v>11593647</v>
      </c>
      <c r="E814" s="6" t="s">
        <v>180</v>
      </c>
      <c r="F814" s="10" t="s">
        <v>29</v>
      </c>
      <c r="G814" s="6" t="s">
        <v>2730</v>
      </c>
      <c r="H814" s="8">
        <v>44347</v>
      </c>
      <c r="I814" s="8">
        <v>43361</v>
      </c>
      <c r="J814" s="8">
        <v>43361</v>
      </c>
      <c r="K814" s="95">
        <v>43376</v>
      </c>
      <c r="L814" s="95" t="s">
        <v>31</v>
      </c>
      <c r="M814" s="8">
        <v>43390</v>
      </c>
      <c r="R814" s="97" t="str">
        <f t="shared" si="30"/>
        <v/>
      </c>
      <c r="S814" s="75" t="str">
        <f t="shared" si="29"/>
        <v/>
      </c>
      <c r="T814" s="124" t="s">
        <v>2731</v>
      </c>
      <c r="U814" s="8">
        <v>44274</v>
      </c>
      <c r="W814" s="6" t="s">
        <v>33</v>
      </c>
      <c r="X814" s="95">
        <v>44366</v>
      </c>
    </row>
    <row r="815" spans="1:24" x14ac:dyDescent="0.25">
      <c r="A815" s="6" t="s">
        <v>65</v>
      </c>
      <c r="B815" s="94" t="s">
        <v>2732</v>
      </c>
      <c r="C815" s="6" t="s">
        <v>2733</v>
      </c>
      <c r="D815" s="140">
        <v>11558014</v>
      </c>
      <c r="E815" s="6" t="s">
        <v>289</v>
      </c>
      <c r="F815" s="10" t="s">
        <v>205</v>
      </c>
      <c r="G815" s="6" t="s">
        <v>2734</v>
      </c>
      <c r="H815" s="8">
        <v>43804</v>
      </c>
      <c r="I815" s="8">
        <v>43410</v>
      </c>
      <c r="J815" s="8">
        <v>43413</v>
      </c>
      <c r="K815" s="95">
        <v>43425</v>
      </c>
      <c r="L815" s="95" t="s">
        <v>31</v>
      </c>
      <c r="M815" s="8">
        <v>43430</v>
      </c>
      <c r="R815" s="97" t="str">
        <f t="shared" si="30"/>
        <v/>
      </c>
      <c r="S815" s="75" t="str">
        <f t="shared" si="29"/>
        <v/>
      </c>
      <c r="T815" s="124" t="s">
        <v>253</v>
      </c>
      <c r="U815" s="8">
        <v>43738</v>
      </c>
      <c r="V815" s="6" t="s">
        <v>36</v>
      </c>
      <c r="W815" s="6" t="s">
        <v>33</v>
      </c>
      <c r="X815" s="95">
        <v>43595</v>
      </c>
    </row>
    <row r="816" spans="1:24" x14ac:dyDescent="0.25">
      <c r="A816" s="6" t="s">
        <v>70</v>
      </c>
      <c r="B816" s="94" t="s">
        <v>1328</v>
      </c>
      <c r="C816" s="6" t="s">
        <v>2735</v>
      </c>
      <c r="D816" s="140">
        <v>11276130</v>
      </c>
      <c r="E816" s="6" t="s">
        <v>289</v>
      </c>
      <c r="F816" s="10" t="s">
        <v>205</v>
      </c>
      <c r="G816" s="6" t="s">
        <v>2736</v>
      </c>
      <c r="H816" s="8">
        <v>45256</v>
      </c>
      <c r="I816" s="8">
        <v>43361</v>
      </c>
      <c r="J816" s="8">
        <v>43361</v>
      </c>
      <c r="K816" s="95">
        <v>43376</v>
      </c>
      <c r="L816" s="95" t="s">
        <v>31</v>
      </c>
      <c r="M816" s="8">
        <v>43390</v>
      </c>
      <c r="N816" s="8">
        <v>43804</v>
      </c>
      <c r="O816" s="8">
        <v>43794</v>
      </c>
      <c r="P816" s="6" t="s">
        <v>52</v>
      </c>
      <c r="R816" s="97" t="str">
        <f t="shared" si="30"/>
        <v/>
      </c>
      <c r="S816" s="75" t="str">
        <f t="shared" si="29"/>
        <v/>
      </c>
      <c r="U816" s="8">
        <v>43804</v>
      </c>
      <c r="W816" s="6" t="s">
        <v>33</v>
      </c>
      <c r="X816" s="95">
        <v>45580</v>
      </c>
    </row>
    <row r="817" spans="1:24" x14ac:dyDescent="0.25">
      <c r="A817" s="6" t="s">
        <v>85</v>
      </c>
      <c r="B817" s="94" t="s">
        <v>2737</v>
      </c>
      <c r="C817" s="6" t="s">
        <v>2738</v>
      </c>
      <c r="D817" s="140">
        <v>11364114</v>
      </c>
      <c r="E817" s="6" t="s">
        <v>268</v>
      </c>
      <c r="F817" s="10" t="s">
        <v>205</v>
      </c>
      <c r="G817" s="6" t="s">
        <v>2739</v>
      </c>
      <c r="H817" s="8">
        <v>44228</v>
      </c>
      <c r="I817" s="8">
        <v>43361</v>
      </c>
      <c r="J817" s="8">
        <v>43361</v>
      </c>
      <c r="K817" s="95">
        <v>43369</v>
      </c>
      <c r="L817" s="95" t="s">
        <v>31</v>
      </c>
      <c r="M817" s="8">
        <v>43374</v>
      </c>
      <c r="N817" s="8">
        <v>43577</v>
      </c>
      <c r="O817" s="8">
        <v>43560</v>
      </c>
      <c r="P817" s="6" t="s">
        <v>69</v>
      </c>
      <c r="R817" s="97" t="str">
        <f t="shared" si="30"/>
        <v/>
      </c>
      <c r="S817" s="75" t="str">
        <f t="shared" si="29"/>
        <v/>
      </c>
      <c r="T817" s="124" t="s">
        <v>265</v>
      </c>
      <c r="U817" s="8">
        <v>43579</v>
      </c>
      <c r="W817" s="6" t="s">
        <v>33</v>
      </c>
      <c r="X817" s="95">
        <v>55678</v>
      </c>
    </row>
    <row r="818" spans="1:24" x14ac:dyDescent="0.25">
      <c r="A818" s="6" t="s">
        <v>85</v>
      </c>
      <c r="B818" s="94" t="s">
        <v>2740</v>
      </c>
      <c r="C818" s="6" t="s">
        <v>2741</v>
      </c>
      <c r="D818" s="140">
        <v>11364743</v>
      </c>
      <c r="E818" s="6" t="s">
        <v>224</v>
      </c>
      <c r="F818" s="10" t="s">
        <v>44</v>
      </c>
      <c r="G818" s="6" t="s">
        <v>2742</v>
      </c>
      <c r="H818" s="8">
        <v>48695</v>
      </c>
      <c r="I818" s="8">
        <v>43361</v>
      </c>
      <c r="J818" s="8">
        <v>43361</v>
      </c>
      <c r="K818" s="95">
        <v>43369</v>
      </c>
      <c r="L818" s="95" t="s">
        <v>31</v>
      </c>
      <c r="M818" s="8">
        <v>43374</v>
      </c>
      <c r="N818" s="8">
        <v>43558</v>
      </c>
      <c r="O818" s="8">
        <v>43553</v>
      </c>
      <c r="P818" s="6" t="s">
        <v>35</v>
      </c>
      <c r="Q818" s="96">
        <v>1216</v>
      </c>
      <c r="R818" s="97">
        <f t="shared" si="30"/>
        <v>3.3315068493150686</v>
      </c>
      <c r="S818" s="75">
        <f t="shared" si="29"/>
        <v>27514.915068493152</v>
      </c>
      <c r="T818" s="124" t="s">
        <v>1671</v>
      </c>
      <c r="U818" s="8">
        <v>43558</v>
      </c>
      <c r="W818" s="6" t="s">
        <v>33</v>
      </c>
      <c r="X818" s="95">
        <v>47678</v>
      </c>
    </row>
    <row r="819" spans="1:24" x14ac:dyDescent="0.25">
      <c r="A819" s="6" t="s">
        <v>117</v>
      </c>
      <c r="B819" s="94" t="s">
        <v>2743</v>
      </c>
      <c r="C819" s="6" t="s">
        <v>2744</v>
      </c>
      <c r="D819" s="140">
        <v>11366653</v>
      </c>
      <c r="E819" s="6" t="s">
        <v>224</v>
      </c>
      <c r="F819" s="10" t="s">
        <v>455</v>
      </c>
      <c r="G819" s="6" t="s">
        <v>2745</v>
      </c>
      <c r="H819" s="8" t="s">
        <v>683</v>
      </c>
      <c r="I819" s="8">
        <v>43361</v>
      </c>
      <c r="J819" s="8">
        <v>43361</v>
      </c>
      <c r="K819" s="95">
        <v>43369</v>
      </c>
      <c r="L819" s="95" t="s">
        <v>31</v>
      </c>
      <c r="M819" s="8">
        <v>43374</v>
      </c>
      <c r="N819" s="8">
        <v>43433</v>
      </c>
      <c r="O819" s="8">
        <v>43423</v>
      </c>
      <c r="P819" s="6" t="s">
        <v>35</v>
      </c>
      <c r="Q819" s="96">
        <v>365</v>
      </c>
      <c r="R819" s="97">
        <f t="shared" si="30"/>
        <v>1</v>
      </c>
      <c r="S819" s="75">
        <f t="shared" si="29"/>
        <v>8259</v>
      </c>
      <c r="T819" s="128" t="s">
        <v>2746</v>
      </c>
      <c r="U819" s="8">
        <v>43439</v>
      </c>
      <c r="W819" s="6" t="s">
        <v>84</v>
      </c>
      <c r="X819" s="6" t="s">
        <v>683</v>
      </c>
    </row>
    <row r="820" spans="1:24" x14ac:dyDescent="0.25">
      <c r="A820" s="6" t="s">
        <v>117</v>
      </c>
      <c r="B820" s="94" t="s">
        <v>884</v>
      </c>
      <c r="C820" s="6" t="s">
        <v>2747</v>
      </c>
      <c r="D820" s="140">
        <v>11295619</v>
      </c>
      <c r="E820" s="6" t="s">
        <v>314</v>
      </c>
      <c r="F820" s="10" t="s">
        <v>148</v>
      </c>
      <c r="G820" s="6" t="s">
        <v>2748</v>
      </c>
      <c r="H820" s="8">
        <v>65732</v>
      </c>
      <c r="I820" s="8">
        <v>43361</v>
      </c>
      <c r="J820" s="8">
        <v>43361</v>
      </c>
      <c r="K820" s="95">
        <v>43369</v>
      </c>
      <c r="L820" s="95" t="s">
        <v>31</v>
      </c>
      <c r="M820" s="8">
        <v>43374</v>
      </c>
      <c r="R820" s="97" t="str">
        <f t="shared" si="30"/>
        <v/>
      </c>
      <c r="S820" s="75" t="str">
        <f t="shared" si="29"/>
        <v/>
      </c>
      <c r="W820" s="6" t="s">
        <v>84</v>
      </c>
      <c r="X820" s="95">
        <v>50275</v>
      </c>
    </row>
    <row r="821" spans="1:24" x14ac:dyDescent="0.25">
      <c r="A821" s="6" t="s">
        <v>117</v>
      </c>
      <c r="B821" s="94" t="s">
        <v>2749</v>
      </c>
      <c r="C821" s="6" t="s">
        <v>2750</v>
      </c>
      <c r="D821" s="140">
        <v>12111613</v>
      </c>
      <c r="E821" s="6" t="s">
        <v>446</v>
      </c>
      <c r="F821" s="10" t="s">
        <v>528</v>
      </c>
      <c r="G821" s="6" t="s">
        <v>2751</v>
      </c>
      <c r="H821" s="8">
        <v>44767</v>
      </c>
      <c r="I821" s="8">
        <v>43361</v>
      </c>
      <c r="J821" s="8">
        <v>43361</v>
      </c>
      <c r="K821" s="95">
        <v>43369</v>
      </c>
      <c r="L821" s="95" t="s">
        <v>31</v>
      </c>
      <c r="M821" s="8">
        <v>43374</v>
      </c>
      <c r="N821" s="8">
        <v>43451</v>
      </c>
      <c r="O821" s="8">
        <v>43425</v>
      </c>
      <c r="P821" s="6" t="s">
        <v>35</v>
      </c>
      <c r="Q821" s="96">
        <v>730</v>
      </c>
      <c r="R821" s="97">
        <f t="shared" si="30"/>
        <v>2</v>
      </c>
      <c r="S821" s="75">
        <f t="shared" si="29"/>
        <v>16518</v>
      </c>
      <c r="U821" s="8">
        <v>43455</v>
      </c>
      <c r="W821" s="6" t="s">
        <v>33</v>
      </c>
      <c r="X821" s="95">
        <v>43556</v>
      </c>
    </row>
    <row r="822" spans="1:24" ht="30" x14ac:dyDescent="0.25">
      <c r="A822" s="6" t="s">
        <v>168</v>
      </c>
      <c r="B822" s="94" t="s">
        <v>1717</v>
      </c>
      <c r="C822" s="6" t="s">
        <v>2752</v>
      </c>
      <c r="D822" s="140">
        <v>11102013</v>
      </c>
      <c r="E822" s="6" t="s">
        <v>714</v>
      </c>
      <c r="F822" s="10" t="s">
        <v>143</v>
      </c>
      <c r="G822" s="6">
        <v>178826</v>
      </c>
      <c r="H822" s="8">
        <v>46599</v>
      </c>
      <c r="I822" s="95">
        <v>43229</v>
      </c>
      <c r="J822" s="95">
        <v>43229</v>
      </c>
      <c r="K822" s="95">
        <v>43229</v>
      </c>
      <c r="L822" s="95" t="s">
        <v>31</v>
      </c>
      <c r="M822" s="8">
        <v>43235</v>
      </c>
      <c r="N822" s="8">
        <v>43404</v>
      </c>
      <c r="O822" s="8">
        <v>43395</v>
      </c>
      <c r="P822" s="6" t="s">
        <v>90</v>
      </c>
      <c r="Q822" s="96">
        <v>6209</v>
      </c>
      <c r="R822" s="97">
        <f t="shared" si="30"/>
        <v>17.010958904109589</v>
      </c>
      <c r="S822" s="75">
        <f t="shared" si="29"/>
        <v>140493.50958904109</v>
      </c>
      <c r="T822" s="124" t="s">
        <v>2753</v>
      </c>
      <c r="U822" s="8">
        <v>43404</v>
      </c>
      <c r="V822" s="6" t="s">
        <v>36</v>
      </c>
      <c r="W822" s="6" t="s">
        <v>84</v>
      </c>
      <c r="X822" s="95">
        <v>44399</v>
      </c>
    </row>
    <row r="823" spans="1:24" x14ac:dyDescent="0.25">
      <c r="A823" s="6" t="s">
        <v>25</v>
      </c>
      <c r="B823" s="94" t="s">
        <v>2754</v>
      </c>
      <c r="C823" s="6" t="s">
        <v>2755</v>
      </c>
      <c r="D823" s="140">
        <v>11010104</v>
      </c>
      <c r="E823" s="6" t="s">
        <v>386</v>
      </c>
      <c r="F823" s="10" t="s">
        <v>62</v>
      </c>
      <c r="G823" s="6" t="s">
        <v>2756</v>
      </c>
      <c r="H823" s="8">
        <v>46462</v>
      </c>
      <c r="I823" s="8">
        <v>43595</v>
      </c>
      <c r="J823" s="8">
        <v>43595</v>
      </c>
      <c r="K823" s="95">
        <v>43602</v>
      </c>
      <c r="L823" s="95" t="s">
        <v>31</v>
      </c>
      <c r="M823" s="8">
        <v>43627</v>
      </c>
      <c r="N823" s="8">
        <v>43654</v>
      </c>
      <c r="O823" s="8">
        <v>43635</v>
      </c>
      <c r="P823" s="6" t="s">
        <v>52</v>
      </c>
      <c r="R823" s="97" t="str">
        <f t="shared" si="30"/>
        <v/>
      </c>
      <c r="S823" s="75" t="str">
        <f t="shared" si="29"/>
        <v/>
      </c>
      <c r="U823" s="8">
        <v>43656</v>
      </c>
      <c r="W823" s="6" t="s">
        <v>33</v>
      </c>
      <c r="X823" s="95">
        <v>48035</v>
      </c>
    </row>
    <row r="824" spans="1:24" ht="30" x14ac:dyDescent="0.25">
      <c r="A824" s="6" t="s">
        <v>37</v>
      </c>
      <c r="B824" s="94" t="s">
        <v>2757</v>
      </c>
      <c r="C824" s="6" t="s">
        <v>2758</v>
      </c>
      <c r="D824" s="140">
        <v>11322516</v>
      </c>
      <c r="E824" s="6" t="s">
        <v>2759</v>
      </c>
      <c r="F824" s="10" t="s">
        <v>528</v>
      </c>
      <c r="G824" s="6" t="s">
        <v>2760</v>
      </c>
      <c r="H824" s="8">
        <v>44041</v>
      </c>
      <c r="I824" s="8">
        <v>43448</v>
      </c>
      <c r="J824" s="8">
        <v>43452</v>
      </c>
      <c r="K824" s="95">
        <v>43452</v>
      </c>
      <c r="L824" s="95" t="s">
        <v>31</v>
      </c>
      <c r="M824" s="8">
        <v>43461</v>
      </c>
      <c r="N824" s="8">
        <v>43509</v>
      </c>
      <c r="O824" s="8">
        <v>43501</v>
      </c>
      <c r="P824" s="6" t="s">
        <v>90</v>
      </c>
      <c r="Q824" s="96">
        <v>1947</v>
      </c>
      <c r="R824" s="97">
        <f t="shared" si="30"/>
        <v>5.3342465753424655</v>
      </c>
      <c r="S824" s="75">
        <f t="shared" si="29"/>
        <v>44055.542465753424</v>
      </c>
      <c r="T824" s="124" t="s">
        <v>2761</v>
      </c>
      <c r="U824" s="8">
        <v>43509</v>
      </c>
      <c r="V824" s="6" t="s">
        <v>36</v>
      </c>
      <c r="W824" s="6" t="s">
        <v>33</v>
      </c>
      <c r="X824" s="95">
        <v>44627</v>
      </c>
    </row>
    <row r="825" spans="1:24" x14ac:dyDescent="0.25">
      <c r="A825" s="6" t="s">
        <v>37</v>
      </c>
      <c r="B825" s="94" t="s">
        <v>2701</v>
      </c>
      <c r="C825" s="6" t="s">
        <v>2702</v>
      </c>
      <c r="D825" s="140">
        <v>10227899</v>
      </c>
      <c r="E825" s="6" t="s">
        <v>386</v>
      </c>
      <c r="F825" s="10" t="s">
        <v>44</v>
      </c>
      <c r="G825" s="6" t="s">
        <v>2703</v>
      </c>
      <c r="H825" s="8">
        <v>45957</v>
      </c>
      <c r="I825" s="8">
        <v>43367</v>
      </c>
      <c r="J825" s="8">
        <v>43368</v>
      </c>
      <c r="K825" s="95">
        <v>43374</v>
      </c>
      <c r="L825" s="95" t="s">
        <v>359</v>
      </c>
      <c r="R825" s="97" t="str">
        <f t="shared" si="30"/>
        <v/>
      </c>
      <c r="S825" s="75" t="str">
        <f t="shared" si="29"/>
        <v/>
      </c>
      <c r="W825" s="6" t="s">
        <v>33</v>
      </c>
      <c r="X825" s="95">
        <v>47076</v>
      </c>
    </row>
    <row r="826" spans="1:24" x14ac:dyDescent="0.25">
      <c r="A826" s="6" t="s">
        <v>37</v>
      </c>
      <c r="B826" s="94" t="s">
        <v>2762</v>
      </c>
      <c r="C826" s="6" t="s">
        <v>2763</v>
      </c>
      <c r="D826" s="140">
        <v>11189016</v>
      </c>
      <c r="E826" s="6" t="s">
        <v>2764</v>
      </c>
      <c r="F826" s="10" t="s">
        <v>44</v>
      </c>
      <c r="G826" s="6" t="s">
        <v>2765</v>
      </c>
      <c r="H826" s="8">
        <v>46643</v>
      </c>
      <c r="I826" s="8">
        <v>43816</v>
      </c>
      <c r="J826" s="8">
        <v>43859</v>
      </c>
      <c r="K826" s="95">
        <v>43864</v>
      </c>
      <c r="L826" s="95" t="s">
        <v>31</v>
      </c>
      <c r="M826" s="8">
        <v>43868</v>
      </c>
      <c r="N826" s="8">
        <v>43924</v>
      </c>
      <c r="O826" s="8">
        <v>43917</v>
      </c>
      <c r="P826" s="6" t="s">
        <v>75</v>
      </c>
      <c r="R826" s="97" t="str">
        <f t="shared" si="30"/>
        <v/>
      </c>
      <c r="S826" s="75" t="str">
        <f t="shared" si="29"/>
        <v/>
      </c>
      <c r="U826" s="8">
        <v>43924</v>
      </c>
      <c r="W826" s="6" t="s">
        <v>33</v>
      </c>
      <c r="X826" s="95">
        <v>48230</v>
      </c>
    </row>
    <row r="827" spans="1:24" x14ac:dyDescent="0.25">
      <c r="A827" s="6" t="s">
        <v>37</v>
      </c>
      <c r="B827" s="94" t="s">
        <v>2766</v>
      </c>
      <c r="C827" s="6" t="s">
        <v>2767</v>
      </c>
      <c r="D827" s="140">
        <v>11306435</v>
      </c>
      <c r="E827" s="6" t="s">
        <v>2454</v>
      </c>
      <c r="F827" s="10" t="s">
        <v>57</v>
      </c>
      <c r="G827" s="6" t="s">
        <v>2768</v>
      </c>
      <c r="H827" s="8">
        <v>48295</v>
      </c>
      <c r="I827" s="8">
        <v>43371</v>
      </c>
      <c r="J827" s="8">
        <v>43369</v>
      </c>
      <c r="K827" s="95">
        <v>43376</v>
      </c>
      <c r="L827" s="95" t="s">
        <v>359</v>
      </c>
      <c r="R827" s="97" t="str">
        <f t="shared" si="30"/>
        <v/>
      </c>
      <c r="S827" s="75" t="str">
        <f t="shared" si="29"/>
        <v/>
      </c>
      <c r="W827" s="6" t="s">
        <v>33</v>
      </c>
      <c r="X827" s="95">
        <v>49096</v>
      </c>
    </row>
    <row r="828" spans="1:24" ht="60" x14ac:dyDescent="0.25">
      <c r="A828" s="6" t="s">
        <v>37</v>
      </c>
      <c r="B828" s="94" t="s">
        <v>2769</v>
      </c>
      <c r="C828" s="6" t="s">
        <v>2770</v>
      </c>
      <c r="D828" s="140">
        <v>11791934</v>
      </c>
      <c r="E828" s="6" t="s">
        <v>2771</v>
      </c>
      <c r="F828" s="10" t="s">
        <v>44</v>
      </c>
      <c r="G828" s="6" t="s">
        <v>2772</v>
      </c>
      <c r="H828" s="8">
        <v>46757</v>
      </c>
      <c r="I828" s="8">
        <v>43691</v>
      </c>
      <c r="J828" s="8">
        <v>43704</v>
      </c>
      <c r="K828" s="95">
        <v>43704</v>
      </c>
      <c r="L828" s="95" t="s">
        <v>31</v>
      </c>
      <c r="M828" s="8">
        <v>43720</v>
      </c>
      <c r="N828" s="8">
        <v>43796</v>
      </c>
      <c r="O828" s="8">
        <v>43784</v>
      </c>
      <c r="P828" s="6" t="s">
        <v>182</v>
      </c>
      <c r="R828" s="97" t="str">
        <f t="shared" si="30"/>
        <v/>
      </c>
      <c r="S828" s="75" t="str">
        <f t="shared" si="29"/>
        <v/>
      </c>
      <c r="W828" s="6" t="s">
        <v>33</v>
      </c>
      <c r="X828" s="95">
        <v>50187</v>
      </c>
    </row>
    <row r="829" spans="1:24" x14ac:dyDescent="0.25">
      <c r="A829" s="6" t="s">
        <v>65</v>
      </c>
      <c r="B829" s="94" t="s">
        <v>2773</v>
      </c>
      <c r="C829" s="6" t="s">
        <v>2774</v>
      </c>
      <c r="D829" s="140">
        <v>11624561</v>
      </c>
      <c r="E829" s="6" t="s">
        <v>446</v>
      </c>
      <c r="F829" s="10" t="s">
        <v>29</v>
      </c>
      <c r="G829" s="6" t="s">
        <v>2775</v>
      </c>
      <c r="H829" s="8">
        <v>47080</v>
      </c>
      <c r="I829" s="8">
        <v>43335</v>
      </c>
      <c r="J829" s="8">
        <v>43335</v>
      </c>
      <c r="K829" s="95">
        <v>43355</v>
      </c>
      <c r="L829" s="95" t="s">
        <v>31</v>
      </c>
      <c r="M829" s="8">
        <v>43356</v>
      </c>
      <c r="N829" s="8">
        <v>43643</v>
      </c>
      <c r="O829" s="8">
        <v>43641</v>
      </c>
      <c r="P829" s="6" t="s">
        <v>75</v>
      </c>
      <c r="R829" s="97" t="str">
        <f t="shared" si="30"/>
        <v/>
      </c>
      <c r="S829" s="75" t="str">
        <f t="shared" si="29"/>
        <v/>
      </c>
      <c r="U829" s="8">
        <v>43643</v>
      </c>
      <c r="W829" s="100" t="s">
        <v>84</v>
      </c>
      <c r="X829" s="104">
        <v>45520</v>
      </c>
    </row>
    <row r="830" spans="1:24" x14ac:dyDescent="0.25">
      <c r="A830" s="6" t="s">
        <v>168</v>
      </c>
      <c r="B830" s="94" t="s">
        <v>1717</v>
      </c>
      <c r="C830" s="6" t="s">
        <v>2776</v>
      </c>
      <c r="D830" s="140">
        <v>11019332</v>
      </c>
      <c r="E830" s="6" t="s">
        <v>304</v>
      </c>
      <c r="F830" s="10" t="s">
        <v>50</v>
      </c>
      <c r="G830" s="6" t="s">
        <v>2777</v>
      </c>
      <c r="H830" s="8">
        <v>48718</v>
      </c>
      <c r="I830" s="8">
        <v>43530</v>
      </c>
      <c r="J830" s="8">
        <v>43538</v>
      </c>
      <c r="K830" s="95">
        <v>43538</v>
      </c>
      <c r="L830" s="95" t="s">
        <v>359</v>
      </c>
      <c r="R830" s="97" t="str">
        <f t="shared" si="30"/>
        <v/>
      </c>
      <c r="S830" s="75" t="str">
        <f t="shared" si="29"/>
        <v/>
      </c>
      <c r="W830" s="6" t="s">
        <v>84</v>
      </c>
      <c r="X830" s="95">
        <v>46362</v>
      </c>
    </row>
    <row r="831" spans="1:24" x14ac:dyDescent="0.25">
      <c r="A831" s="6" t="s">
        <v>25</v>
      </c>
      <c r="B831" s="94" t="s">
        <v>944</v>
      </c>
      <c r="C831" s="6" t="s">
        <v>2778</v>
      </c>
      <c r="D831" s="140">
        <v>10263148</v>
      </c>
      <c r="E831" s="6" t="s">
        <v>2779</v>
      </c>
      <c r="F831" s="10" t="s">
        <v>363</v>
      </c>
      <c r="G831" s="6">
        <v>1458764</v>
      </c>
      <c r="H831" s="8">
        <v>44718</v>
      </c>
      <c r="I831" s="8">
        <v>43595</v>
      </c>
      <c r="J831" s="8">
        <v>43595</v>
      </c>
      <c r="K831" s="95">
        <v>43602</v>
      </c>
      <c r="L831" s="95" t="s">
        <v>31</v>
      </c>
      <c r="M831" s="8">
        <v>43627</v>
      </c>
      <c r="N831" s="8">
        <v>43668</v>
      </c>
      <c r="O831" s="8">
        <v>43642</v>
      </c>
      <c r="P831" s="6" t="s">
        <v>52</v>
      </c>
      <c r="R831" s="97" t="str">
        <f t="shared" si="30"/>
        <v/>
      </c>
      <c r="S831" s="75" t="str">
        <f t="shared" si="29"/>
        <v/>
      </c>
      <c r="U831" s="8">
        <v>43668</v>
      </c>
      <c r="W831" s="6" t="s">
        <v>33</v>
      </c>
      <c r="X831" s="95">
        <v>50517</v>
      </c>
    </row>
    <row r="832" spans="1:24" x14ac:dyDescent="0.25">
      <c r="A832" s="6" t="s">
        <v>65</v>
      </c>
      <c r="B832" s="94" t="s">
        <v>145</v>
      </c>
      <c r="C832" s="6" t="s">
        <v>2780</v>
      </c>
      <c r="D832" s="140">
        <v>12196639</v>
      </c>
      <c r="E832" s="6" t="s">
        <v>656</v>
      </c>
      <c r="F832" s="10" t="s">
        <v>81</v>
      </c>
      <c r="G832" s="6" t="s">
        <v>2781</v>
      </c>
      <c r="H832" s="8">
        <v>46409</v>
      </c>
      <c r="I832" s="8">
        <v>43381</v>
      </c>
      <c r="J832" s="8">
        <v>43384</v>
      </c>
      <c r="K832" s="95">
        <v>43384</v>
      </c>
      <c r="L832" s="95" t="s">
        <v>31</v>
      </c>
      <c r="M832" s="8">
        <v>43390</v>
      </c>
      <c r="N832" s="108">
        <v>44637</v>
      </c>
      <c r="O832" s="108">
        <v>44580</v>
      </c>
      <c r="P832" s="107" t="s">
        <v>35</v>
      </c>
      <c r="Q832" s="110">
        <v>974</v>
      </c>
      <c r="R832" s="97">
        <f t="shared" si="30"/>
        <v>2.6684931506849314</v>
      </c>
      <c r="S832" s="75">
        <f t="shared" si="29"/>
        <v>22039.084931506852</v>
      </c>
      <c r="U832" s="8">
        <v>44776</v>
      </c>
      <c r="W832" s="6" t="s">
        <v>33</v>
      </c>
      <c r="X832" s="95">
        <v>48083</v>
      </c>
    </row>
    <row r="833" spans="1:24" ht="30" x14ac:dyDescent="0.25">
      <c r="A833" s="6" t="s">
        <v>70</v>
      </c>
      <c r="B833" s="94" t="s">
        <v>2782</v>
      </c>
      <c r="C833" s="6" t="s">
        <v>2783</v>
      </c>
      <c r="D833" s="140">
        <v>11960329</v>
      </c>
      <c r="E833" s="6" t="s">
        <v>1200</v>
      </c>
      <c r="F833" s="10" t="s">
        <v>44</v>
      </c>
      <c r="G833" s="6" t="s">
        <v>2784</v>
      </c>
      <c r="H833" s="8">
        <v>61000</v>
      </c>
      <c r="I833" s="8">
        <v>43307</v>
      </c>
      <c r="J833" s="8">
        <v>43307</v>
      </c>
      <c r="K833" s="95">
        <v>43327</v>
      </c>
      <c r="L833" s="95" t="s">
        <v>31</v>
      </c>
      <c r="M833" s="8">
        <v>43334</v>
      </c>
      <c r="N833" s="8">
        <v>43654</v>
      </c>
      <c r="O833" s="8">
        <v>43643</v>
      </c>
      <c r="P833" s="6" t="s">
        <v>52</v>
      </c>
      <c r="R833" s="97" t="str">
        <f t="shared" si="30"/>
        <v/>
      </c>
      <c r="S833" s="75" t="str">
        <f t="shared" si="29"/>
        <v/>
      </c>
      <c r="T833" s="124" t="s">
        <v>2785</v>
      </c>
      <c r="U833" s="8">
        <v>43654</v>
      </c>
      <c r="W833" s="6" t="s">
        <v>84</v>
      </c>
      <c r="X833" s="95">
        <v>46123</v>
      </c>
    </row>
    <row r="834" spans="1:24" x14ac:dyDescent="0.25">
      <c r="A834" s="6" t="s">
        <v>37</v>
      </c>
      <c r="B834" s="94" t="s">
        <v>837</v>
      </c>
      <c r="C834" s="6" t="s">
        <v>2786</v>
      </c>
      <c r="D834" s="140">
        <v>11747656</v>
      </c>
      <c r="E834" s="6" t="s">
        <v>2787</v>
      </c>
      <c r="F834" s="10" t="s">
        <v>57</v>
      </c>
      <c r="G834" s="6" t="s">
        <v>2788</v>
      </c>
      <c r="H834" s="8">
        <v>45024</v>
      </c>
      <c r="I834" s="8">
        <v>43697</v>
      </c>
      <c r="J834" s="8">
        <v>43711</v>
      </c>
      <c r="K834" s="95">
        <v>43711</v>
      </c>
      <c r="L834" s="95" t="s">
        <v>31</v>
      </c>
      <c r="M834" s="8">
        <v>43718</v>
      </c>
      <c r="N834" s="8">
        <v>43767</v>
      </c>
      <c r="O834" s="8">
        <v>43745</v>
      </c>
      <c r="P834" s="6" t="s">
        <v>75</v>
      </c>
      <c r="R834" s="97" t="str">
        <f t="shared" si="30"/>
        <v/>
      </c>
      <c r="S834" s="75" t="str">
        <f t="shared" si="29"/>
        <v/>
      </c>
      <c r="U834" s="8">
        <v>43899</v>
      </c>
      <c r="W834" s="6" t="s">
        <v>33</v>
      </c>
      <c r="X834" s="95">
        <v>48184</v>
      </c>
    </row>
    <row r="835" spans="1:24" x14ac:dyDescent="0.25">
      <c r="A835" s="6" t="s">
        <v>65</v>
      </c>
      <c r="B835" s="94" t="s">
        <v>2789</v>
      </c>
      <c r="C835" s="6" t="s">
        <v>2790</v>
      </c>
      <c r="D835" s="140">
        <v>12163662</v>
      </c>
      <c r="E835" s="6" t="s">
        <v>94</v>
      </c>
      <c r="F835" s="10" t="s">
        <v>81</v>
      </c>
      <c r="G835" s="6" t="s">
        <v>2791</v>
      </c>
      <c r="H835" s="8">
        <v>46514</v>
      </c>
      <c r="I835" s="8">
        <v>43381</v>
      </c>
      <c r="J835" s="8">
        <v>43384</v>
      </c>
      <c r="K835" s="95">
        <v>43384</v>
      </c>
      <c r="L835" s="95" t="s">
        <v>31</v>
      </c>
      <c r="M835" s="8">
        <v>43390</v>
      </c>
      <c r="N835" s="108">
        <v>44428</v>
      </c>
      <c r="O835" s="108">
        <v>44411</v>
      </c>
      <c r="P835" s="107" t="s">
        <v>35</v>
      </c>
      <c r="Q835" s="110">
        <v>0</v>
      </c>
      <c r="R835" s="97" t="str">
        <f t="shared" si="30"/>
        <v/>
      </c>
      <c r="S835" s="75" t="str">
        <f t="shared" si="29"/>
        <v/>
      </c>
      <c r="T835" s="129" t="s">
        <v>2792</v>
      </c>
      <c r="U835" s="8">
        <v>44776</v>
      </c>
      <c r="W835" s="6" t="s">
        <v>33</v>
      </c>
      <c r="X835" s="95">
        <v>48095</v>
      </c>
    </row>
    <row r="836" spans="1:24" x14ac:dyDescent="0.25">
      <c r="A836" s="6" t="s">
        <v>65</v>
      </c>
      <c r="B836" s="94" t="s">
        <v>145</v>
      </c>
      <c r="C836" s="6" t="s">
        <v>2793</v>
      </c>
      <c r="D836" s="140">
        <v>11371693</v>
      </c>
      <c r="E836" s="6" t="s">
        <v>464</v>
      </c>
      <c r="F836" s="10" t="s">
        <v>29</v>
      </c>
      <c r="G836" s="6" t="s">
        <v>2794</v>
      </c>
      <c r="H836" s="8">
        <v>58029</v>
      </c>
      <c r="I836" s="8">
        <v>43381</v>
      </c>
      <c r="J836" s="8">
        <v>43384</v>
      </c>
      <c r="K836" s="95">
        <v>43384</v>
      </c>
      <c r="L836" s="95" t="s">
        <v>31</v>
      </c>
      <c r="M836" s="8">
        <v>43390</v>
      </c>
      <c r="N836" s="108">
        <v>43549</v>
      </c>
      <c r="O836" s="108">
        <v>43543</v>
      </c>
      <c r="P836" s="107" t="s">
        <v>69</v>
      </c>
      <c r="Q836" s="110">
        <v>0</v>
      </c>
      <c r="R836" s="97" t="str">
        <f t="shared" si="30"/>
        <v/>
      </c>
      <c r="S836" s="75" t="str">
        <f t="shared" si="29"/>
        <v/>
      </c>
      <c r="U836" s="8">
        <v>44776</v>
      </c>
      <c r="W836" s="6" t="s">
        <v>84</v>
      </c>
      <c r="X836" s="95">
        <v>54768</v>
      </c>
    </row>
    <row r="837" spans="1:24" x14ac:dyDescent="0.25">
      <c r="A837" s="6" t="s">
        <v>70</v>
      </c>
      <c r="B837" s="94" t="s">
        <v>496</v>
      </c>
      <c r="C837" s="6" t="s">
        <v>2795</v>
      </c>
      <c r="D837" s="140">
        <v>12150268</v>
      </c>
      <c r="E837" s="6" t="s">
        <v>607</v>
      </c>
      <c r="F837" s="10" t="s">
        <v>44</v>
      </c>
      <c r="G837" s="6" t="s">
        <v>2796</v>
      </c>
      <c r="H837" s="8">
        <v>79211</v>
      </c>
      <c r="I837" s="8">
        <v>43381</v>
      </c>
      <c r="J837" s="8">
        <v>43384</v>
      </c>
      <c r="K837" s="95">
        <v>43384</v>
      </c>
      <c r="L837" s="95" t="s">
        <v>31</v>
      </c>
      <c r="M837" s="8">
        <v>43390</v>
      </c>
      <c r="N837" s="8">
        <v>43980</v>
      </c>
      <c r="O837" s="8">
        <v>43888</v>
      </c>
      <c r="P837" s="6" t="s">
        <v>35</v>
      </c>
      <c r="Q837" s="96">
        <v>2800</v>
      </c>
      <c r="R837" s="97">
        <f t="shared" si="30"/>
        <v>7.6712328767123283</v>
      </c>
      <c r="S837" s="75">
        <f t="shared" si="29"/>
        <v>63356.712328767127</v>
      </c>
      <c r="T837" s="124" t="s">
        <v>2797</v>
      </c>
      <c r="U837" s="8">
        <v>44005</v>
      </c>
      <c r="W837" s="6" t="s">
        <v>84</v>
      </c>
      <c r="X837" s="95">
        <v>51465</v>
      </c>
    </row>
    <row r="838" spans="1:24" x14ac:dyDescent="0.25">
      <c r="A838" s="6" t="s">
        <v>85</v>
      </c>
      <c r="B838" s="94" t="s">
        <v>1717</v>
      </c>
      <c r="C838" s="6" t="s">
        <v>2798</v>
      </c>
      <c r="D838" s="140">
        <v>11641560</v>
      </c>
      <c r="E838" s="6" t="s">
        <v>49</v>
      </c>
      <c r="F838" s="10" t="s">
        <v>252</v>
      </c>
      <c r="G838" s="6" t="s">
        <v>2799</v>
      </c>
      <c r="H838" s="8">
        <v>47717</v>
      </c>
      <c r="I838" s="8">
        <v>43381</v>
      </c>
      <c r="J838" s="8">
        <v>43384</v>
      </c>
      <c r="K838" s="95">
        <v>43384</v>
      </c>
      <c r="L838" s="95" t="s">
        <v>31</v>
      </c>
      <c r="M838" s="8">
        <v>43390</v>
      </c>
      <c r="N838" s="8">
        <v>44902</v>
      </c>
      <c r="O838" s="8">
        <v>44895</v>
      </c>
      <c r="P838" s="6" t="s">
        <v>75</v>
      </c>
      <c r="R838" s="97" t="str">
        <f t="shared" si="30"/>
        <v/>
      </c>
      <c r="S838" s="75" t="str">
        <f t="shared" si="29"/>
        <v/>
      </c>
      <c r="T838" s="157" t="s">
        <v>2800</v>
      </c>
      <c r="U838" s="8">
        <v>45023</v>
      </c>
      <c r="W838" s="6" t="s">
        <v>33</v>
      </c>
      <c r="X838" s="95">
        <v>51653</v>
      </c>
    </row>
    <row r="839" spans="1:24" x14ac:dyDescent="0.25">
      <c r="A839" s="6" t="s">
        <v>85</v>
      </c>
      <c r="B839" s="94" t="s">
        <v>873</v>
      </c>
      <c r="C839" s="6" t="s">
        <v>2801</v>
      </c>
      <c r="D839" s="140">
        <v>11308485</v>
      </c>
      <c r="E839" s="6" t="s">
        <v>706</v>
      </c>
      <c r="F839" s="10" t="s">
        <v>29</v>
      </c>
      <c r="G839" s="6" t="s">
        <v>2802</v>
      </c>
      <c r="H839" s="8">
        <v>50810</v>
      </c>
      <c r="I839" s="8">
        <v>43381</v>
      </c>
      <c r="J839" s="8">
        <v>43384</v>
      </c>
      <c r="K839" s="95">
        <v>43384</v>
      </c>
      <c r="L839" s="95" t="s">
        <v>31</v>
      </c>
      <c r="M839" s="8">
        <v>43390</v>
      </c>
      <c r="N839" s="108">
        <v>43628</v>
      </c>
      <c r="O839" s="108">
        <v>43613</v>
      </c>
      <c r="P839" s="107" t="s">
        <v>52</v>
      </c>
      <c r="Q839" s="110"/>
      <c r="R839" s="97" t="str">
        <f t="shared" si="30"/>
        <v/>
      </c>
      <c r="S839" s="75" t="str">
        <f t="shared" si="29"/>
        <v/>
      </c>
      <c r="U839" s="8">
        <v>44776</v>
      </c>
      <c r="W839" s="6" t="s">
        <v>33</v>
      </c>
      <c r="X839" s="95">
        <v>46315</v>
      </c>
    </row>
    <row r="840" spans="1:24" x14ac:dyDescent="0.25">
      <c r="A840" s="6" t="s">
        <v>85</v>
      </c>
      <c r="B840" s="94" t="s">
        <v>2399</v>
      </c>
      <c r="C840" s="6" t="s">
        <v>2803</v>
      </c>
      <c r="D840" s="140">
        <v>11651663</v>
      </c>
      <c r="E840" s="6" t="s">
        <v>714</v>
      </c>
      <c r="F840" s="10" t="s">
        <v>44</v>
      </c>
      <c r="G840" s="6" t="s">
        <v>2804</v>
      </c>
      <c r="H840" s="8">
        <v>49367</v>
      </c>
      <c r="I840" s="8">
        <v>43381</v>
      </c>
      <c r="J840" s="8">
        <v>43384</v>
      </c>
      <c r="K840" s="95">
        <v>43384</v>
      </c>
      <c r="L840" s="95" t="s">
        <v>31</v>
      </c>
      <c r="M840" s="8">
        <v>43390</v>
      </c>
      <c r="N840" s="8">
        <v>43549</v>
      </c>
      <c r="O840" s="8">
        <v>43503</v>
      </c>
      <c r="P840" s="6" t="s">
        <v>35</v>
      </c>
      <c r="Q840" s="96">
        <v>1826</v>
      </c>
      <c r="R840" s="97">
        <f t="shared" si="30"/>
        <v>5.0027397260273974</v>
      </c>
      <c r="S840" s="75">
        <f t="shared" si="29"/>
        <v>41317.627397260272</v>
      </c>
      <c r="U840" s="8">
        <v>43549</v>
      </c>
      <c r="W840" s="6" t="s">
        <v>33</v>
      </c>
      <c r="X840" s="95">
        <v>42093</v>
      </c>
    </row>
    <row r="841" spans="1:24" x14ac:dyDescent="0.25">
      <c r="A841" s="6" t="s">
        <v>85</v>
      </c>
      <c r="B841" s="94" t="s">
        <v>323</v>
      </c>
      <c r="C841" s="6" t="s">
        <v>2805</v>
      </c>
      <c r="D841" s="140">
        <v>12195696</v>
      </c>
      <c r="E841" s="6" t="s">
        <v>318</v>
      </c>
      <c r="F841" s="10" t="s">
        <v>143</v>
      </c>
      <c r="G841" s="6" t="s">
        <v>2806</v>
      </c>
      <c r="H841" s="8">
        <v>49586</v>
      </c>
      <c r="I841" s="8">
        <v>43381</v>
      </c>
      <c r="J841" s="8">
        <v>43384</v>
      </c>
      <c r="K841" s="95">
        <v>43384</v>
      </c>
      <c r="L841" s="95" t="s">
        <v>31</v>
      </c>
      <c r="M841" s="8">
        <v>43390</v>
      </c>
      <c r="N841" s="8">
        <v>43657</v>
      </c>
      <c r="O841" s="8">
        <v>43605</v>
      </c>
      <c r="P841" s="6" t="s">
        <v>35</v>
      </c>
      <c r="Q841" s="96">
        <v>2069.75</v>
      </c>
      <c r="R841" s="97">
        <f t="shared" si="30"/>
        <v>5.6705479452054792</v>
      </c>
      <c r="S841" s="75">
        <f t="shared" si="29"/>
        <v>46833.055479452058</v>
      </c>
      <c r="T841" s="124" t="s">
        <v>2807</v>
      </c>
      <c r="U841" s="8">
        <v>43657</v>
      </c>
      <c r="W841" s="6" t="s">
        <v>33</v>
      </c>
      <c r="X841" s="95">
        <v>47304</v>
      </c>
    </row>
    <row r="842" spans="1:24" x14ac:dyDescent="0.25">
      <c r="A842" s="6" t="s">
        <v>85</v>
      </c>
      <c r="B842" s="94" t="s">
        <v>234</v>
      </c>
      <c r="C842" s="6" t="s">
        <v>2808</v>
      </c>
      <c r="D842" s="140">
        <v>12193303</v>
      </c>
      <c r="E842" s="6" t="s">
        <v>928</v>
      </c>
      <c r="F842" s="10" t="s">
        <v>29</v>
      </c>
      <c r="G842" s="6" t="s">
        <v>2809</v>
      </c>
      <c r="H842" s="8">
        <v>47535</v>
      </c>
      <c r="I842" s="8">
        <v>43381</v>
      </c>
      <c r="J842" s="8">
        <v>43384</v>
      </c>
      <c r="K842" s="95">
        <v>43384</v>
      </c>
      <c r="L842" s="118" t="s">
        <v>31</v>
      </c>
      <c r="M842" s="8">
        <v>43390</v>
      </c>
      <c r="R842" s="97" t="str">
        <f t="shared" si="30"/>
        <v/>
      </c>
      <c r="S842" s="75" t="str">
        <f t="shared" si="29"/>
        <v/>
      </c>
      <c r="T842" s="124" t="s">
        <v>2810</v>
      </c>
      <c r="W842" s="6" t="s">
        <v>33</v>
      </c>
      <c r="X842" s="95">
        <v>53850</v>
      </c>
    </row>
    <row r="843" spans="1:24" x14ac:dyDescent="0.25">
      <c r="A843" s="6" t="s">
        <v>85</v>
      </c>
      <c r="B843" s="94" t="s">
        <v>2811</v>
      </c>
      <c r="C843" s="6" t="s">
        <v>2812</v>
      </c>
      <c r="D843" s="140">
        <v>12185772</v>
      </c>
      <c r="E843" s="6" t="s">
        <v>344</v>
      </c>
      <c r="F843" s="10" t="s">
        <v>44</v>
      </c>
      <c r="G843" s="6" t="s">
        <v>2813</v>
      </c>
      <c r="H843" s="8">
        <v>48513</v>
      </c>
      <c r="I843" s="8">
        <v>43381</v>
      </c>
      <c r="J843" s="8">
        <v>43384</v>
      </c>
      <c r="K843" s="95">
        <v>43384</v>
      </c>
      <c r="L843" s="95" t="s">
        <v>31</v>
      </c>
      <c r="M843" s="8">
        <v>43390</v>
      </c>
      <c r="N843" s="8">
        <v>43504</v>
      </c>
      <c r="O843" s="8">
        <v>43489</v>
      </c>
      <c r="P843" s="6" t="s">
        <v>35</v>
      </c>
      <c r="Q843" s="96">
        <v>1826</v>
      </c>
      <c r="R843" s="97">
        <f t="shared" si="30"/>
        <v>5.0027397260273974</v>
      </c>
      <c r="S843" s="75">
        <f t="shared" si="29"/>
        <v>41317.627397260272</v>
      </c>
      <c r="T843" s="124" t="s">
        <v>601</v>
      </c>
      <c r="U843" s="8">
        <v>43504</v>
      </c>
      <c r="W843" s="6" t="s">
        <v>33</v>
      </c>
      <c r="X843" s="95">
        <v>53796</v>
      </c>
    </row>
    <row r="844" spans="1:24" x14ac:dyDescent="0.25">
      <c r="A844" s="6" t="s">
        <v>37</v>
      </c>
      <c r="B844" s="94" t="s">
        <v>2814</v>
      </c>
      <c r="C844" s="6" t="s">
        <v>2815</v>
      </c>
      <c r="D844" s="140">
        <v>11629172</v>
      </c>
      <c r="E844" s="6" t="s">
        <v>2816</v>
      </c>
      <c r="F844" s="10" t="s">
        <v>134</v>
      </c>
      <c r="G844" s="6">
        <v>11629172</v>
      </c>
      <c r="H844" s="8">
        <v>45848</v>
      </c>
      <c r="I844" s="8">
        <v>43383</v>
      </c>
      <c r="J844" s="8">
        <v>43397</v>
      </c>
      <c r="K844" s="95">
        <v>43398</v>
      </c>
      <c r="L844" s="95" t="s">
        <v>359</v>
      </c>
      <c r="R844" s="97" t="str">
        <f t="shared" si="30"/>
        <v/>
      </c>
      <c r="S844" s="75" t="str">
        <f t="shared" si="29"/>
        <v/>
      </c>
      <c r="W844" s="6" t="s">
        <v>33</v>
      </c>
      <c r="X844" s="95">
        <v>51116</v>
      </c>
    </row>
    <row r="845" spans="1:24" x14ac:dyDescent="0.25">
      <c r="A845" s="6" t="s">
        <v>37</v>
      </c>
      <c r="B845" s="94" t="s">
        <v>2817</v>
      </c>
      <c r="C845" s="6" t="s">
        <v>2818</v>
      </c>
      <c r="D845" s="140">
        <v>11051991</v>
      </c>
      <c r="E845" s="6" t="s">
        <v>1443</v>
      </c>
      <c r="F845" s="10" t="s">
        <v>44</v>
      </c>
      <c r="G845" s="6" t="s">
        <v>2819</v>
      </c>
      <c r="H845" s="8">
        <v>48897</v>
      </c>
      <c r="I845" s="8">
        <v>43367</v>
      </c>
      <c r="J845" s="8">
        <v>43367</v>
      </c>
      <c r="K845" s="95">
        <v>43367</v>
      </c>
      <c r="L845" s="95" t="s">
        <v>31</v>
      </c>
      <c r="M845" s="8">
        <v>43371</v>
      </c>
      <c r="N845" s="8">
        <v>43664</v>
      </c>
      <c r="O845" s="8">
        <v>43643</v>
      </c>
      <c r="P845" s="6" t="s">
        <v>75</v>
      </c>
      <c r="R845" s="97" t="str">
        <f t="shared" si="30"/>
        <v/>
      </c>
      <c r="S845" s="75" t="str">
        <f t="shared" si="29"/>
        <v/>
      </c>
      <c r="U845" s="8">
        <v>43664</v>
      </c>
      <c r="W845" s="6" t="s">
        <v>33</v>
      </c>
      <c r="X845" s="95">
        <v>49083</v>
      </c>
    </row>
    <row r="846" spans="1:24" x14ac:dyDescent="0.25">
      <c r="A846" s="6" t="s">
        <v>25</v>
      </c>
      <c r="B846" s="94" t="s">
        <v>2820</v>
      </c>
      <c r="C846" s="6" t="s">
        <v>2821</v>
      </c>
      <c r="D846" s="140">
        <v>11054543</v>
      </c>
      <c r="E846" s="6" t="s">
        <v>2708</v>
      </c>
      <c r="F846" s="10" t="s">
        <v>57</v>
      </c>
      <c r="G846" s="6" t="s">
        <v>2822</v>
      </c>
      <c r="H846" s="8">
        <v>44157</v>
      </c>
      <c r="I846" s="8">
        <v>43601</v>
      </c>
      <c r="J846" s="8">
        <v>43601</v>
      </c>
      <c r="K846" s="95">
        <v>43629</v>
      </c>
      <c r="L846" s="95" t="s">
        <v>31</v>
      </c>
      <c r="M846" s="8">
        <v>43634</v>
      </c>
      <c r="N846" s="8">
        <v>43651</v>
      </c>
      <c r="O846" s="8">
        <v>43643</v>
      </c>
      <c r="P846" s="6" t="s">
        <v>182</v>
      </c>
      <c r="R846" s="97" t="str">
        <f t="shared" si="30"/>
        <v/>
      </c>
      <c r="S846" s="75" t="str">
        <f t="shared" si="29"/>
        <v/>
      </c>
      <c r="U846" s="8">
        <v>43651</v>
      </c>
      <c r="W846" s="6" t="s">
        <v>33</v>
      </c>
      <c r="X846" s="95">
        <v>42247</v>
      </c>
    </row>
    <row r="847" spans="1:24" x14ac:dyDescent="0.25">
      <c r="A847" s="6" t="s">
        <v>25</v>
      </c>
      <c r="B847" s="94" t="s">
        <v>1879</v>
      </c>
      <c r="C847" s="6" t="s">
        <v>2823</v>
      </c>
      <c r="D847" s="140">
        <v>11255092</v>
      </c>
      <c r="E847" s="6" t="s">
        <v>228</v>
      </c>
      <c r="F847" s="10" t="s">
        <v>121</v>
      </c>
      <c r="G847" s="6" t="s">
        <v>2824</v>
      </c>
      <c r="H847" s="8">
        <v>44203</v>
      </c>
      <c r="I847" s="8">
        <v>43615</v>
      </c>
      <c r="J847" s="8">
        <v>43615</v>
      </c>
      <c r="K847" s="95">
        <v>43629</v>
      </c>
      <c r="L847" s="95" t="s">
        <v>31</v>
      </c>
      <c r="M847" s="8">
        <v>43634</v>
      </c>
      <c r="N847" s="8">
        <v>43657</v>
      </c>
      <c r="O847" s="8">
        <v>43644</v>
      </c>
      <c r="P847" s="6" t="s">
        <v>75</v>
      </c>
      <c r="R847" s="97" t="str">
        <f t="shared" si="30"/>
        <v/>
      </c>
      <c r="S847" s="75" t="str">
        <f t="shared" si="29"/>
        <v/>
      </c>
      <c r="U847" s="8">
        <v>43663</v>
      </c>
      <c r="W847" s="6" t="s">
        <v>33</v>
      </c>
      <c r="X847" s="95">
        <v>43274</v>
      </c>
    </row>
    <row r="848" spans="1:24" x14ac:dyDescent="0.25">
      <c r="A848" s="6" t="s">
        <v>70</v>
      </c>
      <c r="B848" s="94" t="s">
        <v>1021</v>
      </c>
      <c r="C848" s="6" t="s">
        <v>2825</v>
      </c>
      <c r="D848" s="140">
        <v>12190859</v>
      </c>
      <c r="E848" s="6" t="s">
        <v>527</v>
      </c>
      <c r="F848" s="10" t="s">
        <v>176</v>
      </c>
      <c r="G848" s="6">
        <v>2018002360</v>
      </c>
      <c r="H848" s="8">
        <v>47806</v>
      </c>
      <c r="I848" s="8">
        <v>43384</v>
      </c>
      <c r="J848" s="8">
        <v>43384</v>
      </c>
      <c r="K848" s="95">
        <v>43376</v>
      </c>
      <c r="L848" s="95" t="s">
        <v>31</v>
      </c>
      <c r="M848" s="8">
        <v>43390</v>
      </c>
      <c r="R848" s="97" t="str">
        <f t="shared" si="30"/>
        <v/>
      </c>
      <c r="S848" s="75" t="str">
        <f t="shared" si="29"/>
        <v/>
      </c>
      <c r="T848" s="124" t="s">
        <v>1702</v>
      </c>
      <c r="W848" s="6" t="s">
        <v>33</v>
      </c>
      <c r="X848" s="95">
        <v>48236</v>
      </c>
    </row>
    <row r="849" spans="1:24" x14ac:dyDescent="0.25">
      <c r="A849" s="6" t="s">
        <v>70</v>
      </c>
      <c r="B849" s="94" t="s">
        <v>420</v>
      </c>
      <c r="C849" s="6" t="s">
        <v>2826</v>
      </c>
      <c r="D849" s="140">
        <v>12190954</v>
      </c>
      <c r="E849" s="6" t="s">
        <v>2827</v>
      </c>
      <c r="F849" s="10" t="s">
        <v>252</v>
      </c>
      <c r="G849" s="6" t="s">
        <v>2828</v>
      </c>
      <c r="H849" s="8">
        <v>44926</v>
      </c>
      <c r="I849" s="8">
        <v>43384</v>
      </c>
      <c r="J849" s="8">
        <v>43384</v>
      </c>
      <c r="K849" s="95">
        <v>43384</v>
      </c>
      <c r="L849" s="95" t="s">
        <v>31</v>
      </c>
      <c r="M849" s="8">
        <v>43390</v>
      </c>
      <c r="R849" s="97" t="str">
        <f t="shared" si="30"/>
        <v/>
      </c>
      <c r="S849" s="75" t="str">
        <f t="shared" si="29"/>
        <v/>
      </c>
      <c r="T849" s="124" t="s">
        <v>2829</v>
      </c>
      <c r="U849" s="8">
        <v>45008</v>
      </c>
      <c r="W849" s="6" t="s">
        <v>33</v>
      </c>
      <c r="X849" s="95">
        <v>54492</v>
      </c>
    </row>
    <row r="850" spans="1:24" x14ac:dyDescent="0.25">
      <c r="A850" s="6" t="s">
        <v>70</v>
      </c>
      <c r="B850" s="94" t="s">
        <v>2253</v>
      </c>
      <c r="C850" s="6" t="s">
        <v>2830</v>
      </c>
      <c r="D850" s="140">
        <v>12190163</v>
      </c>
      <c r="E850" s="6" t="s">
        <v>490</v>
      </c>
      <c r="F850" s="10" t="s">
        <v>44</v>
      </c>
      <c r="G850" s="6" t="s">
        <v>2831</v>
      </c>
      <c r="H850" s="8">
        <v>80209</v>
      </c>
      <c r="I850" s="8">
        <v>43384</v>
      </c>
      <c r="J850" s="8">
        <v>43384</v>
      </c>
      <c r="K850" s="95">
        <v>43384</v>
      </c>
      <c r="L850" s="95" t="s">
        <v>31</v>
      </c>
      <c r="M850" s="8">
        <v>43390</v>
      </c>
      <c r="N850" s="108">
        <v>44064</v>
      </c>
      <c r="O850" s="108">
        <v>43971</v>
      </c>
      <c r="P850" s="107" t="s">
        <v>75</v>
      </c>
      <c r="Q850" s="110"/>
      <c r="R850" s="97" t="str">
        <f t="shared" si="30"/>
        <v/>
      </c>
      <c r="S850" s="75" t="str">
        <f t="shared" si="29"/>
        <v/>
      </c>
      <c r="W850" s="6" t="s">
        <v>84</v>
      </c>
      <c r="X850" s="95">
        <v>53270</v>
      </c>
    </row>
    <row r="851" spans="1:24" x14ac:dyDescent="0.25">
      <c r="A851" s="6" t="s">
        <v>25</v>
      </c>
      <c r="B851" s="94" t="s">
        <v>590</v>
      </c>
      <c r="C851" s="6" t="s">
        <v>1416</v>
      </c>
      <c r="D851" s="140">
        <v>11291140</v>
      </c>
      <c r="E851" s="6" t="s">
        <v>607</v>
      </c>
      <c r="F851" s="10" t="s">
        <v>50</v>
      </c>
      <c r="G851" s="6" t="s">
        <v>1417</v>
      </c>
      <c r="H851" s="8">
        <v>46579</v>
      </c>
      <c r="I851" s="8">
        <v>43615</v>
      </c>
      <c r="J851" s="8">
        <v>43615</v>
      </c>
      <c r="K851" s="95">
        <v>43648</v>
      </c>
      <c r="L851" s="95" t="s">
        <v>359</v>
      </c>
      <c r="R851" s="97" t="str">
        <f t="shared" si="30"/>
        <v/>
      </c>
      <c r="S851" s="75" t="str">
        <f t="shared" si="29"/>
        <v/>
      </c>
      <c r="W851" s="6" t="s">
        <v>33</v>
      </c>
      <c r="X851" s="95">
        <v>51926</v>
      </c>
    </row>
    <row r="852" spans="1:24" x14ac:dyDescent="0.25">
      <c r="A852" s="6" t="s">
        <v>85</v>
      </c>
      <c r="B852" s="94" t="s">
        <v>2832</v>
      </c>
      <c r="C852" s="6" t="s">
        <v>2833</v>
      </c>
      <c r="D852" s="140">
        <v>11260776</v>
      </c>
      <c r="E852" s="6" t="s">
        <v>460</v>
      </c>
      <c r="F852" s="10" t="s">
        <v>148</v>
      </c>
      <c r="G852" s="6" t="s">
        <v>2834</v>
      </c>
      <c r="H852" s="8">
        <v>57705</v>
      </c>
      <c r="I852" s="8">
        <v>43299</v>
      </c>
      <c r="J852" s="8">
        <v>43301</v>
      </c>
      <c r="K852" s="95">
        <v>43313</v>
      </c>
      <c r="L852" s="95" t="s">
        <v>31</v>
      </c>
      <c r="M852" s="8">
        <v>43320</v>
      </c>
      <c r="N852" s="8">
        <v>44488</v>
      </c>
      <c r="O852" s="8">
        <v>43907</v>
      </c>
      <c r="P852" s="6" t="s">
        <v>35</v>
      </c>
      <c r="Q852" s="96">
        <v>4382.91</v>
      </c>
      <c r="R852" s="97">
        <f t="shared" si="30"/>
        <v>12.007972602739725</v>
      </c>
      <c r="S852" s="75">
        <f t="shared" si="29"/>
        <v>99173.845726027401</v>
      </c>
      <c r="U852" s="8">
        <v>44488</v>
      </c>
      <c r="W852" s="6" t="s">
        <v>33</v>
      </c>
      <c r="X852" s="95">
        <v>50094</v>
      </c>
    </row>
    <row r="853" spans="1:24" x14ac:dyDescent="0.25">
      <c r="A853" s="6" t="s">
        <v>25</v>
      </c>
      <c r="B853" s="94" t="s">
        <v>173</v>
      </c>
      <c r="C853" s="6" t="s">
        <v>2835</v>
      </c>
      <c r="D853" s="140">
        <v>11258810</v>
      </c>
      <c r="E853" s="6" t="s">
        <v>578</v>
      </c>
      <c r="F853" s="10" t="s">
        <v>44</v>
      </c>
      <c r="G853" s="6" t="s">
        <v>2836</v>
      </c>
      <c r="H853" s="8">
        <v>45576</v>
      </c>
      <c r="I853" s="8">
        <v>43615</v>
      </c>
      <c r="J853" s="8">
        <v>43615</v>
      </c>
      <c r="K853" s="95">
        <v>43629</v>
      </c>
      <c r="L853" s="95" t="s">
        <v>31</v>
      </c>
      <c r="M853" s="8">
        <v>43634</v>
      </c>
      <c r="N853" s="8">
        <v>43664</v>
      </c>
      <c r="O853" s="8">
        <v>43644</v>
      </c>
      <c r="P853" s="6" t="s">
        <v>52</v>
      </c>
      <c r="R853" s="97" t="str">
        <f t="shared" si="30"/>
        <v/>
      </c>
      <c r="S853" s="75" t="str">
        <f t="shared" si="29"/>
        <v/>
      </c>
      <c r="U853" s="8">
        <v>43664</v>
      </c>
      <c r="W853" s="6" t="s">
        <v>33</v>
      </c>
      <c r="X853" s="95">
        <v>50219</v>
      </c>
    </row>
    <row r="854" spans="1:24" x14ac:dyDescent="0.25">
      <c r="A854" s="6" t="s">
        <v>25</v>
      </c>
      <c r="B854" s="94" t="s">
        <v>2837</v>
      </c>
      <c r="C854" s="6" t="s">
        <v>2838</v>
      </c>
      <c r="D854" s="140">
        <v>11752902</v>
      </c>
      <c r="E854" s="6" t="s">
        <v>88</v>
      </c>
      <c r="F854" s="10" t="s">
        <v>44</v>
      </c>
      <c r="G854" s="6" t="s">
        <v>2839</v>
      </c>
      <c r="H854" s="8">
        <v>45557</v>
      </c>
      <c r="I854" s="8">
        <v>43480</v>
      </c>
      <c r="J854" s="8">
        <v>43593</v>
      </c>
      <c r="K854" s="95">
        <v>43602</v>
      </c>
      <c r="L854" s="95" t="s">
        <v>31</v>
      </c>
      <c r="M854" s="8">
        <v>43629</v>
      </c>
      <c r="N854" s="8">
        <v>43668</v>
      </c>
      <c r="O854" s="8">
        <v>43647</v>
      </c>
      <c r="P854" s="6" t="s">
        <v>75</v>
      </c>
      <c r="R854" s="97" t="str">
        <f t="shared" si="30"/>
        <v/>
      </c>
      <c r="S854" s="75" t="str">
        <f t="shared" si="29"/>
        <v/>
      </c>
      <c r="U854" s="8">
        <v>43668</v>
      </c>
      <c r="W854" s="6" t="s">
        <v>33</v>
      </c>
      <c r="X854" s="95">
        <v>50304</v>
      </c>
    </row>
    <row r="855" spans="1:24" x14ac:dyDescent="0.25">
      <c r="A855" s="6" t="s">
        <v>37</v>
      </c>
      <c r="B855" s="94" t="s">
        <v>2840</v>
      </c>
      <c r="C855" s="6" t="s">
        <v>2841</v>
      </c>
      <c r="D855" s="140">
        <v>11024281</v>
      </c>
      <c r="E855" s="6" t="s">
        <v>2842</v>
      </c>
      <c r="F855" s="10" t="s">
        <v>29</v>
      </c>
      <c r="G855" s="6" t="s">
        <v>2843</v>
      </c>
      <c r="H855" s="8">
        <v>47831</v>
      </c>
      <c r="I855" s="8">
        <v>43384</v>
      </c>
      <c r="J855" s="8">
        <v>43395</v>
      </c>
      <c r="K855" s="95">
        <v>43395</v>
      </c>
      <c r="L855" s="95" t="s">
        <v>31</v>
      </c>
      <c r="M855" s="8">
        <v>43398</v>
      </c>
      <c r="N855" s="8">
        <v>43545</v>
      </c>
      <c r="O855" s="8">
        <v>43537</v>
      </c>
      <c r="P855" s="6" t="s">
        <v>35</v>
      </c>
      <c r="Q855" s="96">
        <v>3652</v>
      </c>
      <c r="R855" s="97">
        <f t="shared" si="30"/>
        <v>10.005479452054795</v>
      </c>
      <c r="S855" s="75">
        <f t="shared" si="29"/>
        <v>82635.254794520544</v>
      </c>
      <c r="T855" s="124" t="s">
        <v>2844</v>
      </c>
      <c r="U855" s="8">
        <v>43545</v>
      </c>
      <c r="W855" s="6" t="s">
        <v>33</v>
      </c>
      <c r="X855" s="95">
        <v>44576</v>
      </c>
    </row>
    <row r="856" spans="1:24" x14ac:dyDescent="0.25">
      <c r="A856" s="6" t="s">
        <v>37</v>
      </c>
      <c r="B856" s="94" t="s">
        <v>1894</v>
      </c>
      <c r="C856" s="6" t="s">
        <v>2845</v>
      </c>
      <c r="D856" s="140">
        <v>12157191</v>
      </c>
      <c r="E856" s="6" t="s">
        <v>2846</v>
      </c>
      <c r="F856" s="10" t="s">
        <v>44</v>
      </c>
      <c r="G856" s="6" t="s">
        <v>2847</v>
      </c>
      <c r="H856" s="8">
        <v>46479</v>
      </c>
      <c r="I856" s="8">
        <v>43396</v>
      </c>
      <c r="J856" s="8">
        <v>43410</v>
      </c>
      <c r="K856" s="95">
        <v>43410</v>
      </c>
      <c r="L856" s="95" t="s">
        <v>31</v>
      </c>
      <c r="M856" s="8">
        <v>43410</v>
      </c>
      <c r="N856" s="8">
        <v>43535</v>
      </c>
      <c r="O856" s="8">
        <v>43531</v>
      </c>
      <c r="P856" s="6" t="s">
        <v>52</v>
      </c>
      <c r="R856" s="97" t="str">
        <f t="shared" si="30"/>
        <v/>
      </c>
      <c r="S856" s="75" t="str">
        <f t="shared" si="29"/>
        <v/>
      </c>
      <c r="U856" s="8">
        <v>43535</v>
      </c>
      <c r="W856" s="6" t="s">
        <v>33</v>
      </c>
      <c r="X856" s="95">
        <v>51635</v>
      </c>
    </row>
    <row r="857" spans="1:24" ht="30" x14ac:dyDescent="0.25">
      <c r="A857" s="6" t="s">
        <v>40</v>
      </c>
      <c r="B857" s="94" t="s">
        <v>2848</v>
      </c>
      <c r="C857" s="6" t="s">
        <v>2849</v>
      </c>
      <c r="D857" s="140">
        <v>11895161</v>
      </c>
      <c r="E857" s="6" t="s">
        <v>2850</v>
      </c>
      <c r="F857" s="10" t="s">
        <v>57</v>
      </c>
      <c r="G857" s="6" t="s">
        <v>2851</v>
      </c>
      <c r="H857" s="8">
        <v>47088</v>
      </c>
      <c r="I857" s="8">
        <v>43398</v>
      </c>
      <c r="J857" s="8">
        <v>43403</v>
      </c>
      <c r="K857" s="95">
        <v>43410</v>
      </c>
      <c r="L857" s="95" t="s">
        <v>31</v>
      </c>
      <c r="M857" s="8">
        <v>43410</v>
      </c>
      <c r="N857" s="8">
        <v>43549</v>
      </c>
      <c r="O857" s="8">
        <v>43458</v>
      </c>
      <c r="P857" s="6" t="s">
        <v>45</v>
      </c>
      <c r="R857" s="97" t="str">
        <f t="shared" si="30"/>
        <v/>
      </c>
      <c r="S857" s="75" t="str">
        <f t="shared" si="29"/>
        <v/>
      </c>
      <c r="T857" s="124" t="s">
        <v>2852</v>
      </c>
      <c r="U857" s="8">
        <v>43549</v>
      </c>
      <c r="V857" s="107"/>
      <c r="W857" s="107" t="s">
        <v>84</v>
      </c>
      <c r="X857" s="109">
        <v>45236</v>
      </c>
    </row>
    <row r="858" spans="1:24" ht="30" x14ac:dyDescent="0.25">
      <c r="A858" s="6" t="s">
        <v>168</v>
      </c>
      <c r="B858" s="94" t="s">
        <v>1717</v>
      </c>
      <c r="C858" s="6" t="s">
        <v>2853</v>
      </c>
      <c r="D858" s="140">
        <v>10245889</v>
      </c>
      <c r="E858" s="6" t="s">
        <v>2854</v>
      </c>
      <c r="F858" s="10" t="s">
        <v>44</v>
      </c>
      <c r="G858" s="6" t="s">
        <v>2855</v>
      </c>
      <c r="H858" s="8">
        <v>46518</v>
      </c>
      <c r="I858" s="8">
        <v>43535</v>
      </c>
      <c r="J858" s="8">
        <v>43783</v>
      </c>
      <c r="K858" s="8">
        <v>43783</v>
      </c>
      <c r="L858" s="95" t="s">
        <v>31</v>
      </c>
      <c r="M858" s="8">
        <v>43794</v>
      </c>
      <c r="N858" s="8">
        <v>44113</v>
      </c>
      <c r="O858" s="8">
        <v>44110</v>
      </c>
      <c r="P858" s="6" t="s">
        <v>90</v>
      </c>
      <c r="Q858" s="96">
        <v>2239</v>
      </c>
      <c r="R858" s="97">
        <f t="shared" si="30"/>
        <v>6.1342465753424653</v>
      </c>
      <c r="S858" s="75">
        <f t="shared" ref="S858:S921" si="31">IF(Q858&gt;0, SUM(Q858)*(8259/365), "")</f>
        <v>50662.742465753428</v>
      </c>
      <c r="T858" s="124" t="s">
        <v>2856</v>
      </c>
      <c r="U858" s="8">
        <v>44134</v>
      </c>
      <c r="V858" s="6" t="s">
        <v>581</v>
      </c>
      <c r="W858" s="6" t="s">
        <v>84</v>
      </c>
      <c r="X858" s="95">
        <v>37438</v>
      </c>
    </row>
    <row r="859" spans="1:24" x14ac:dyDescent="0.25">
      <c r="A859" s="6" t="s">
        <v>25</v>
      </c>
      <c r="B859" s="94" t="s">
        <v>2857</v>
      </c>
      <c r="C859" s="6" t="s">
        <v>2858</v>
      </c>
      <c r="D859" s="140">
        <v>11055203</v>
      </c>
      <c r="E859" s="6" t="s">
        <v>125</v>
      </c>
      <c r="F859" s="10" t="s">
        <v>44</v>
      </c>
      <c r="G859" s="6" t="s">
        <v>2859</v>
      </c>
      <c r="H859" s="8">
        <v>46817</v>
      </c>
      <c r="I859" s="8">
        <v>43601</v>
      </c>
      <c r="J859" s="8">
        <v>43601</v>
      </c>
      <c r="K859" s="95">
        <v>43634</v>
      </c>
      <c r="L859" s="95" t="s">
        <v>31</v>
      </c>
      <c r="M859" s="8">
        <v>43636</v>
      </c>
      <c r="N859" s="8">
        <v>43668</v>
      </c>
      <c r="O859" s="8">
        <v>43647</v>
      </c>
      <c r="P859" s="6" t="s">
        <v>75</v>
      </c>
      <c r="R859" s="97" t="str">
        <f t="shared" si="30"/>
        <v/>
      </c>
      <c r="S859" s="75" t="str">
        <f t="shared" si="31"/>
        <v/>
      </c>
      <c r="U859" s="8">
        <v>43668</v>
      </c>
      <c r="W859" s="6" t="s">
        <v>33</v>
      </c>
      <c r="X859" s="95">
        <v>50491</v>
      </c>
    </row>
    <row r="860" spans="1:24" x14ac:dyDescent="0.25">
      <c r="A860" s="6" t="s">
        <v>25</v>
      </c>
      <c r="B860" s="94" t="s">
        <v>2860</v>
      </c>
      <c r="C860" s="6" t="s">
        <v>2861</v>
      </c>
      <c r="D860" s="140">
        <v>11744474</v>
      </c>
      <c r="E860" s="6" t="s">
        <v>332</v>
      </c>
      <c r="F860" s="10" t="s">
        <v>44</v>
      </c>
      <c r="G860" s="6" t="s">
        <v>2862</v>
      </c>
      <c r="H860" s="8">
        <v>46271</v>
      </c>
      <c r="I860" s="8">
        <v>43480</v>
      </c>
      <c r="J860" s="8">
        <v>43593</v>
      </c>
      <c r="K860" s="95">
        <v>43602</v>
      </c>
      <c r="L860" s="95" t="s">
        <v>31</v>
      </c>
      <c r="M860" s="8">
        <v>43629</v>
      </c>
      <c r="N860" s="8">
        <v>43753</v>
      </c>
      <c r="O860" s="8">
        <v>43733</v>
      </c>
      <c r="P860" s="6" t="s">
        <v>52</v>
      </c>
      <c r="R860" s="97" t="str">
        <f t="shared" si="30"/>
        <v/>
      </c>
      <c r="S860" s="75" t="str">
        <f t="shared" si="31"/>
        <v/>
      </c>
      <c r="T860" s="124" t="s">
        <v>2863</v>
      </c>
      <c r="U860" s="8">
        <v>43753</v>
      </c>
      <c r="W860" s="6" t="s">
        <v>33</v>
      </c>
      <c r="X860" s="95">
        <v>50539</v>
      </c>
    </row>
    <row r="861" spans="1:24" x14ac:dyDescent="0.25">
      <c r="A861" s="6" t="s">
        <v>77</v>
      </c>
      <c r="B861" s="94" t="s">
        <v>2864</v>
      </c>
      <c r="C861" s="6" t="s">
        <v>2865</v>
      </c>
      <c r="D861" s="140">
        <v>11553550</v>
      </c>
      <c r="E861" s="6" t="s">
        <v>247</v>
      </c>
      <c r="F861" s="10" t="s">
        <v>57</v>
      </c>
      <c r="G861" s="6" t="s">
        <v>2866</v>
      </c>
      <c r="H861" s="8">
        <v>43666</v>
      </c>
      <c r="I861" s="8">
        <v>43399</v>
      </c>
      <c r="J861" s="8">
        <v>43399</v>
      </c>
      <c r="K861" s="95">
        <v>43404</v>
      </c>
      <c r="L861" s="95" t="s">
        <v>31</v>
      </c>
      <c r="M861" s="8">
        <v>43409</v>
      </c>
      <c r="R861" s="97" t="str">
        <f t="shared" si="30"/>
        <v/>
      </c>
      <c r="S861" s="75" t="str">
        <f t="shared" si="31"/>
        <v/>
      </c>
      <c r="W861" s="6" t="s">
        <v>84</v>
      </c>
      <c r="X861" s="95">
        <v>45349</v>
      </c>
    </row>
    <row r="862" spans="1:24" x14ac:dyDescent="0.25">
      <c r="A862" s="6" t="s">
        <v>77</v>
      </c>
      <c r="B862" s="94" t="s">
        <v>197</v>
      </c>
      <c r="C862" s="6" t="s">
        <v>2867</v>
      </c>
      <c r="D862" s="140">
        <v>11330014</v>
      </c>
      <c r="E862" s="6" t="s">
        <v>881</v>
      </c>
      <c r="F862" s="10" t="s">
        <v>143</v>
      </c>
      <c r="G862" s="6" t="s">
        <v>2868</v>
      </c>
      <c r="H862" s="8">
        <v>52844</v>
      </c>
      <c r="I862" s="8">
        <v>43399</v>
      </c>
      <c r="J862" s="8">
        <v>43399</v>
      </c>
      <c r="K862" s="95">
        <v>43404</v>
      </c>
      <c r="L862" s="95" t="s">
        <v>31</v>
      </c>
      <c r="M862" s="8">
        <v>43409</v>
      </c>
      <c r="N862" s="8">
        <v>43759</v>
      </c>
      <c r="O862" s="8">
        <v>43731</v>
      </c>
      <c r="P862" s="6" t="s">
        <v>35</v>
      </c>
      <c r="Q862" s="96">
        <v>1364</v>
      </c>
      <c r="R862" s="97">
        <f t="shared" si="30"/>
        <v>3.7369863013698632</v>
      </c>
      <c r="S862" s="75">
        <f t="shared" si="31"/>
        <v>30863.769863013698</v>
      </c>
      <c r="U862" s="8">
        <v>43774</v>
      </c>
      <c r="W862" s="6" t="s">
        <v>84</v>
      </c>
      <c r="X862" s="95">
        <v>47471</v>
      </c>
    </row>
    <row r="863" spans="1:24" x14ac:dyDescent="0.25">
      <c r="A863" s="6" t="s">
        <v>77</v>
      </c>
      <c r="B863" s="94" t="s">
        <v>1853</v>
      </c>
      <c r="C863" s="6" t="s">
        <v>2869</v>
      </c>
      <c r="D863" s="140">
        <v>11348935</v>
      </c>
      <c r="E863" s="6" t="s">
        <v>61</v>
      </c>
      <c r="F863" s="10" t="s">
        <v>121</v>
      </c>
      <c r="G863" s="6" t="s">
        <v>2870</v>
      </c>
      <c r="H863" s="8">
        <v>45696</v>
      </c>
      <c r="I863" s="8">
        <v>43399</v>
      </c>
      <c r="J863" s="8">
        <v>43399</v>
      </c>
      <c r="K863" s="95">
        <v>43404</v>
      </c>
      <c r="L863" s="95" t="s">
        <v>31</v>
      </c>
      <c r="M863" s="8">
        <v>43409</v>
      </c>
      <c r="N863" s="108">
        <v>43619</v>
      </c>
      <c r="O863" s="108">
        <v>43614</v>
      </c>
      <c r="P863" s="107" t="s">
        <v>69</v>
      </c>
      <c r="Q863" s="110"/>
      <c r="R863" s="97" t="str">
        <f t="shared" si="30"/>
        <v/>
      </c>
      <c r="S863" s="75" t="str">
        <f t="shared" si="31"/>
        <v/>
      </c>
      <c r="U863" s="8">
        <v>44776</v>
      </c>
      <c r="W863" s="6" t="s">
        <v>84</v>
      </c>
      <c r="X863" s="95">
        <v>48259</v>
      </c>
    </row>
    <row r="864" spans="1:24" x14ac:dyDescent="0.25">
      <c r="A864" s="6" t="s">
        <v>168</v>
      </c>
      <c r="B864" s="94" t="s">
        <v>2329</v>
      </c>
      <c r="C864" s="6" t="s">
        <v>2871</v>
      </c>
      <c r="D864" s="140">
        <v>11886656</v>
      </c>
      <c r="E864" s="6" t="s">
        <v>2872</v>
      </c>
      <c r="F864" s="10" t="s">
        <v>1225</v>
      </c>
      <c r="G864" s="6" t="s">
        <v>2873</v>
      </c>
      <c r="H864" s="8">
        <v>44686</v>
      </c>
      <c r="I864" s="8">
        <v>43609</v>
      </c>
      <c r="J864" s="8">
        <v>43627</v>
      </c>
      <c r="K864" s="95">
        <v>43627</v>
      </c>
      <c r="L864" s="95" t="s">
        <v>31</v>
      </c>
      <c r="M864" s="8">
        <v>43635</v>
      </c>
      <c r="N864" s="8">
        <v>43857</v>
      </c>
      <c r="O864" s="8">
        <v>43818</v>
      </c>
      <c r="P864" s="6" t="s">
        <v>75</v>
      </c>
      <c r="R864" s="97" t="str">
        <f t="shared" si="30"/>
        <v/>
      </c>
      <c r="S864" s="75" t="str">
        <f t="shared" si="31"/>
        <v/>
      </c>
      <c r="U864" s="8">
        <v>43857</v>
      </c>
      <c r="W864" s="6" t="s">
        <v>84</v>
      </c>
      <c r="X864" s="95">
        <v>45263</v>
      </c>
    </row>
    <row r="865" spans="1:24" x14ac:dyDescent="0.25">
      <c r="A865" s="6" t="s">
        <v>37</v>
      </c>
      <c r="B865" s="94" t="s">
        <v>837</v>
      </c>
      <c r="C865" s="6" t="s">
        <v>2874</v>
      </c>
      <c r="D865" s="140">
        <v>12004572</v>
      </c>
      <c r="E865" s="6" t="s">
        <v>2875</v>
      </c>
      <c r="F865" s="10" t="s">
        <v>44</v>
      </c>
      <c r="G865" s="6" t="s">
        <v>2876</v>
      </c>
      <c r="H865" s="8">
        <v>50785</v>
      </c>
      <c r="I865" s="8">
        <v>44119</v>
      </c>
      <c r="J865" s="8">
        <v>44127</v>
      </c>
      <c r="K865" s="95">
        <v>44144</v>
      </c>
      <c r="L865" s="95" t="s">
        <v>31</v>
      </c>
      <c r="M865" s="8">
        <v>44147</v>
      </c>
      <c r="N865" s="54">
        <v>44650</v>
      </c>
      <c r="O865" s="54">
        <v>44391</v>
      </c>
      <c r="P865" s="56" t="s">
        <v>35</v>
      </c>
      <c r="Q865" s="77">
        <v>0</v>
      </c>
      <c r="R865" s="97" t="str">
        <f t="shared" si="30"/>
        <v/>
      </c>
      <c r="S865" s="75" t="str">
        <f t="shared" si="31"/>
        <v/>
      </c>
      <c r="U865" s="8">
        <v>44776</v>
      </c>
      <c r="W865" s="6" t="s">
        <v>33</v>
      </c>
      <c r="X865" s="135">
        <v>53577</v>
      </c>
    </row>
    <row r="866" spans="1:24" x14ac:dyDescent="0.25">
      <c r="A866" s="6" t="s">
        <v>37</v>
      </c>
      <c r="B866" s="94" t="s">
        <v>2877</v>
      </c>
      <c r="C866" s="6" t="s">
        <v>2878</v>
      </c>
      <c r="D866" s="140">
        <v>11301285</v>
      </c>
      <c r="E866" s="6" t="s">
        <v>2879</v>
      </c>
      <c r="F866" s="10" t="s">
        <v>299</v>
      </c>
      <c r="G866" s="6" t="s">
        <v>2880</v>
      </c>
      <c r="H866" s="8">
        <v>45260</v>
      </c>
      <c r="I866" s="8">
        <v>44256</v>
      </c>
      <c r="J866" s="8">
        <v>44267</v>
      </c>
      <c r="K866" s="95">
        <v>44271</v>
      </c>
      <c r="L866" s="95" t="s">
        <v>31</v>
      </c>
      <c r="M866" s="8">
        <v>44273</v>
      </c>
      <c r="R866" s="97" t="str">
        <f t="shared" si="30"/>
        <v/>
      </c>
      <c r="S866" s="75" t="str">
        <f t="shared" si="31"/>
        <v/>
      </c>
      <c r="T866" s="124" t="s">
        <v>2881</v>
      </c>
      <c r="U866" s="8">
        <v>44959</v>
      </c>
      <c r="W866" s="6" t="s">
        <v>33</v>
      </c>
      <c r="X866" s="7">
        <v>46854</v>
      </c>
    </row>
    <row r="867" spans="1:24" ht="30" x14ac:dyDescent="0.25">
      <c r="A867" s="6" t="s">
        <v>37</v>
      </c>
      <c r="B867" s="94" t="s">
        <v>2882</v>
      </c>
      <c r="C867" s="6" t="s">
        <v>2883</v>
      </c>
      <c r="D867" s="140">
        <v>10261691</v>
      </c>
      <c r="E867" s="6" t="s">
        <v>386</v>
      </c>
      <c r="F867" s="10" t="s">
        <v>134</v>
      </c>
      <c r="G867" s="6" t="s">
        <v>2884</v>
      </c>
      <c r="H867" s="8">
        <v>44116</v>
      </c>
      <c r="I867" s="8">
        <v>43374</v>
      </c>
      <c r="J867" s="8">
        <v>43375</v>
      </c>
      <c r="K867" s="95">
        <v>43376</v>
      </c>
      <c r="L867" s="95" t="s">
        <v>31</v>
      </c>
      <c r="M867" s="8">
        <v>43378</v>
      </c>
      <c r="N867" s="8">
        <v>43553</v>
      </c>
      <c r="O867" s="8">
        <v>43537</v>
      </c>
      <c r="P867" s="6" t="s">
        <v>90</v>
      </c>
      <c r="Q867" s="96">
        <v>3652</v>
      </c>
      <c r="R867" s="97">
        <f t="shared" si="30"/>
        <v>10.005479452054795</v>
      </c>
      <c r="S867" s="75">
        <f t="shared" si="31"/>
        <v>82635.254794520544</v>
      </c>
      <c r="T867" s="124" t="s">
        <v>2885</v>
      </c>
      <c r="U867" s="8">
        <v>43553</v>
      </c>
      <c r="V867" s="6" t="s">
        <v>581</v>
      </c>
      <c r="W867" s="6" t="s">
        <v>33</v>
      </c>
      <c r="X867" s="95">
        <v>48468</v>
      </c>
    </row>
    <row r="868" spans="1:24" x14ac:dyDescent="0.25">
      <c r="A868" s="6" t="s">
        <v>37</v>
      </c>
      <c r="B868" s="94" t="s">
        <v>2886</v>
      </c>
      <c r="C868" s="6" t="s">
        <v>2887</v>
      </c>
      <c r="D868" s="140">
        <v>12123180</v>
      </c>
      <c r="E868" s="6" t="s">
        <v>120</v>
      </c>
      <c r="F868" s="10" t="s">
        <v>62</v>
      </c>
      <c r="G868" s="6" t="s">
        <v>2888</v>
      </c>
      <c r="H868" s="8">
        <v>46149</v>
      </c>
      <c r="I868" s="8">
        <v>43404</v>
      </c>
      <c r="J868" s="8">
        <v>43403</v>
      </c>
      <c r="K868" s="95">
        <v>43410</v>
      </c>
      <c r="L868" s="95" t="s">
        <v>359</v>
      </c>
      <c r="R868" s="97" t="str">
        <f t="shared" si="30"/>
        <v/>
      </c>
      <c r="S868" s="75" t="str">
        <f t="shared" si="31"/>
        <v/>
      </c>
      <c r="W868" s="6" t="s">
        <v>33</v>
      </c>
      <c r="X868" s="95">
        <v>46868</v>
      </c>
    </row>
    <row r="869" spans="1:24" x14ac:dyDescent="0.25">
      <c r="A869" s="6" t="s">
        <v>37</v>
      </c>
      <c r="B869" s="94" t="s">
        <v>2889</v>
      </c>
      <c r="C869" s="6" t="s">
        <v>2890</v>
      </c>
      <c r="D869" s="140">
        <v>12171865</v>
      </c>
      <c r="E869" s="6" t="s">
        <v>73</v>
      </c>
      <c r="F869" s="10" t="s">
        <v>44</v>
      </c>
      <c r="G869" s="6" t="s">
        <v>2891</v>
      </c>
      <c r="H869" s="8">
        <v>52893</v>
      </c>
      <c r="I869" s="8">
        <v>43465</v>
      </c>
      <c r="J869" s="8">
        <v>43469</v>
      </c>
      <c r="K869" s="95">
        <v>43469</v>
      </c>
      <c r="L869" s="95" t="s">
        <v>31</v>
      </c>
      <c r="M869" s="8">
        <v>43469</v>
      </c>
      <c r="N869" s="8">
        <v>43497</v>
      </c>
      <c r="O869" s="8">
        <v>43483</v>
      </c>
      <c r="P869" s="6" t="s">
        <v>75</v>
      </c>
      <c r="R869" s="97" t="str">
        <f t="shared" ref="R869:R932" si="32">IF(Q869&gt;0, Q869/365, "")</f>
        <v/>
      </c>
      <c r="S869" s="75" t="str">
        <f t="shared" si="31"/>
        <v/>
      </c>
      <c r="U869" s="8">
        <v>44883</v>
      </c>
      <c r="W869" s="6" t="s">
        <v>33</v>
      </c>
      <c r="X869" s="95">
        <v>47784</v>
      </c>
    </row>
    <row r="870" spans="1:24" x14ac:dyDescent="0.25">
      <c r="A870" s="6" t="s">
        <v>37</v>
      </c>
      <c r="B870" s="94" t="s">
        <v>1672</v>
      </c>
      <c r="C870" s="6" t="s">
        <v>2892</v>
      </c>
      <c r="D870" s="140">
        <v>11347410</v>
      </c>
      <c r="E870" s="6" t="s">
        <v>2893</v>
      </c>
      <c r="F870" s="10" t="s">
        <v>62</v>
      </c>
      <c r="G870" s="6" t="s">
        <v>2894</v>
      </c>
      <c r="H870" s="8">
        <v>48648</v>
      </c>
      <c r="I870" s="8">
        <v>43479</v>
      </c>
      <c r="J870" s="8">
        <v>43480</v>
      </c>
      <c r="K870" s="95">
        <v>43488</v>
      </c>
      <c r="L870" s="95" t="s">
        <v>31</v>
      </c>
      <c r="M870" s="8">
        <v>43493</v>
      </c>
      <c r="N870" s="8">
        <v>43668</v>
      </c>
      <c r="O870" s="8">
        <v>43657</v>
      </c>
      <c r="P870" s="6" t="s">
        <v>52</v>
      </c>
      <c r="R870" s="97" t="str">
        <f t="shared" si="32"/>
        <v/>
      </c>
      <c r="S870" s="75" t="str">
        <f t="shared" si="31"/>
        <v/>
      </c>
      <c r="T870" s="124" t="s">
        <v>2895</v>
      </c>
      <c r="U870" s="8">
        <v>43668</v>
      </c>
      <c r="W870" s="6" t="s">
        <v>33</v>
      </c>
      <c r="X870" s="95">
        <v>46361</v>
      </c>
    </row>
    <row r="871" spans="1:24" x14ac:dyDescent="0.25">
      <c r="A871" s="6" t="s">
        <v>25</v>
      </c>
      <c r="B871" s="94" t="s">
        <v>2896</v>
      </c>
      <c r="C871" s="6" t="s">
        <v>2897</v>
      </c>
      <c r="D871" s="140">
        <v>11070966</v>
      </c>
      <c r="E871" s="6" t="s">
        <v>1018</v>
      </c>
      <c r="F871" s="10" t="s">
        <v>44</v>
      </c>
      <c r="G871" s="6" t="s">
        <v>2898</v>
      </c>
      <c r="H871" s="8">
        <v>48486</v>
      </c>
      <c r="I871" s="8">
        <v>43620</v>
      </c>
      <c r="J871" s="8">
        <v>43620</v>
      </c>
      <c r="K871" s="95">
        <v>43648</v>
      </c>
      <c r="L871" s="95" t="s">
        <v>31</v>
      </c>
      <c r="M871" s="8">
        <v>43651</v>
      </c>
      <c r="N871" s="8">
        <v>43668</v>
      </c>
      <c r="O871" s="8">
        <v>43658</v>
      </c>
      <c r="P871" s="6" t="s">
        <v>75</v>
      </c>
      <c r="R871" s="97" t="str">
        <f t="shared" si="32"/>
        <v/>
      </c>
      <c r="S871" s="75" t="str">
        <f t="shared" si="31"/>
        <v/>
      </c>
      <c r="U871" s="8">
        <v>43669</v>
      </c>
      <c r="W871" s="6" t="s">
        <v>33</v>
      </c>
      <c r="X871" s="95">
        <v>48331</v>
      </c>
    </row>
    <row r="872" spans="1:24" x14ac:dyDescent="0.25">
      <c r="A872" s="6" t="s">
        <v>117</v>
      </c>
      <c r="B872" s="94" t="s">
        <v>2899</v>
      </c>
      <c r="C872" s="6" t="s">
        <v>2900</v>
      </c>
      <c r="D872" s="140">
        <v>11874025</v>
      </c>
      <c r="E872" s="6" t="s">
        <v>559</v>
      </c>
      <c r="F872" s="10" t="s">
        <v>62</v>
      </c>
      <c r="G872" s="6" t="s">
        <v>2901</v>
      </c>
      <c r="H872" s="8">
        <v>44203</v>
      </c>
      <c r="I872" s="8">
        <v>43838</v>
      </c>
      <c r="J872" s="8">
        <v>43838</v>
      </c>
      <c r="K872" s="95">
        <v>43840</v>
      </c>
      <c r="L872" s="95" t="s">
        <v>31</v>
      </c>
      <c r="M872" s="8">
        <v>43847</v>
      </c>
      <c r="R872" s="97" t="str">
        <f t="shared" si="32"/>
        <v/>
      </c>
      <c r="S872" s="75" t="str">
        <f t="shared" si="31"/>
        <v/>
      </c>
      <c r="T872" s="124" t="s">
        <v>2902</v>
      </c>
      <c r="U872" s="8">
        <v>43924</v>
      </c>
      <c r="V872" s="6" t="s">
        <v>36</v>
      </c>
      <c r="W872" s="6" t="s">
        <v>33</v>
      </c>
      <c r="X872" s="95">
        <v>42623</v>
      </c>
    </row>
    <row r="873" spans="1:24" x14ac:dyDescent="0.25">
      <c r="A873" s="6" t="s">
        <v>65</v>
      </c>
      <c r="B873" s="94" t="s">
        <v>2903</v>
      </c>
      <c r="C873" s="6" t="s">
        <v>2904</v>
      </c>
      <c r="D873" s="140">
        <v>11965992</v>
      </c>
      <c r="E873" s="6" t="s">
        <v>166</v>
      </c>
      <c r="F873" s="10" t="s">
        <v>143</v>
      </c>
      <c r="G873" s="6" t="s">
        <v>2905</v>
      </c>
      <c r="H873" s="8">
        <v>43753</v>
      </c>
      <c r="I873" s="8">
        <v>43410</v>
      </c>
      <c r="J873" s="8">
        <v>43413</v>
      </c>
      <c r="K873" s="95">
        <v>43425</v>
      </c>
      <c r="L873" s="95" t="s">
        <v>31</v>
      </c>
      <c r="M873" s="8">
        <v>43430</v>
      </c>
      <c r="N873" s="8">
        <v>43867</v>
      </c>
      <c r="O873" s="8">
        <v>43861</v>
      </c>
      <c r="P873" s="6" t="s">
        <v>90</v>
      </c>
      <c r="Q873" s="96">
        <v>365</v>
      </c>
      <c r="R873" s="97">
        <f t="shared" si="32"/>
        <v>1</v>
      </c>
      <c r="S873" s="75">
        <f t="shared" si="31"/>
        <v>8259</v>
      </c>
      <c r="T873" s="124" t="s">
        <v>2881</v>
      </c>
      <c r="U873" s="8">
        <v>43868</v>
      </c>
      <c r="V873" s="6" t="s">
        <v>36</v>
      </c>
      <c r="W873" s="6" t="s">
        <v>33</v>
      </c>
      <c r="X873" s="95">
        <v>41690</v>
      </c>
    </row>
    <row r="874" spans="1:24" x14ac:dyDescent="0.25">
      <c r="A874" s="6" t="s">
        <v>70</v>
      </c>
      <c r="B874" s="94" t="s">
        <v>2906</v>
      </c>
      <c r="C874" s="6" t="s">
        <v>2907</v>
      </c>
      <c r="D874" s="140">
        <v>11340033</v>
      </c>
      <c r="E874" s="6" t="s">
        <v>958</v>
      </c>
      <c r="F874" s="6" t="s">
        <v>148</v>
      </c>
      <c r="G874" s="6" t="s">
        <v>2908</v>
      </c>
      <c r="H874" s="8">
        <v>43986</v>
      </c>
      <c r="I874" s="95">
        <v>43136</v>
      </c>
      <c r="J874" s="95">
        <v>43202</v>
      </c>
      <c r="K874" s="95">
        <v>43207</v>
      </c>
      <c r="L874" s="95" t="s">
        <v>31</v>
      </c>
      <c r="M874" s="8">
        <v>43213</v>
      </c>
      <c r="R874" s="97" t="str">
        <f t="shared" si="32"/>
        <v/>
      </c>
      <c r="S874" s="75" t="str">
        <f t="shared" si="31"/>
        <v/>
      </c>
      <c r="T874" s="124" t="s">
        <v>2909</v>
      </c>
      <c r="U874" s="8">
        <v>44134</v>
      </c>
      <c r="V874" s="6" t="s">
        <v>36</v>
      </c>
      <c r="W874" s="6" t="s">
        <v>33</v>
      </c>
      <c r="X874" s="95">
        <v>44593</v>
      </c>
    </row>
    <row r="875" spans="1:24" ht="30" x14ac:dyDescent="0.25">
      <c r="A875" s="6" t="s">
        <v>65</v>
      </c>
      <c r="B875" s="94" t="s">
        <v>806</v>
      </c>
      <c r="C875" s="6" t="s">
        <v>2910</v>
      </c>
      <c r="D875" s="140">
        <v>11619179</v>
      </c>
      <c r="E875" s="6" t="s">
        <v>125</v>
      </c>
      <c r="F875" s="10" t="s">
        <v>44</v>
      </c>
      <c r="G875" s="6" t="s">
        <v>2911</v>
      </c>
      <c r="H875" s="8">
        <v>43728</v>
      </c>
      <c r="I875" s="8">
        <v>43412</v>
      </c>
      <c r="J875" s="8">
        <v>43413</v>
      </c>
      <c r="K875" s="95">
        <v>43425</v>
      </c>
      <c r="L875" s="95" t="s">
        <v>31</v>
      </c>
      <c r="M875" s="8">
        <v>43430</v>
      </c>
      <c r="N875" s="8">
        <v>43489</v>
      </c>
      <c r="O875" s="8">
        <v>43481</v>
      </c>
      <c r="P875" s="6" t="s">
        <v>90</v>
      </c>
      <c r="Q875" s="96">
        <v>1095</v>
      </c>
      <c r="R875" s="97">
        <f t="shared" si="32"/>
        <v>3</v>
      </c>
      <c r="S875" s="75">
        <f t="shared" si="31"/>
        <v>24777</v>
      </c>
      <c r="T875" s="124" t="s">
        <v>2912</v>
      </c>
      <c r="U875" s="8">
        <v>43537</v>
      </c>
      <c r="V875" s="6" t="s">
        <v>36</v>
      </c>
      <c r="W875" s="6" t="s">
        <v>33</v>
      </c>
      <c r="X875" s="95">
        <v>51090</v>
      </c>
    </row>
    <row r="876" spans="1:24" x14ac:dyDescent="0.25">
      <c r="A876" s="6" t="s">
        <v>70</v>
      </c>
      <c r="B876" s="94" t="s">
        <v>2913</v>
      </c>
      <c r="C876" s="6" t="s">
        <v>2914</v>
      </c>
      <c r="D876" s="140">
        <v>12150789</v>
      </c>
      <c r="E876" s="6" t="s">
        <v>1756</v>
      </c>
      <c r="F876" s="6" t="s">
        <v>134</v>
      </c>
      <c r="G876" s="6" t="s">
        <v>2915</v>
      </c>
      <c r="H876" s="8">
        <v>48917</v>
      </c>
      <c r="I876" s="8">
        <v>43413</v>
      </c>
      <c r="J876" s="8">
        <v>43417</v>
      </c>
      <c r="L876" s="95" t="s">
        <v>31</v>
      </c>
      <c r="M876" s="8">
        <v>43430</v>
      </c>
      <c r="R876" s="97" t="str">
        <f t="shared" si="32"/>
        <v/>
      </c>
      <c r="S876" s="75" t="str">
        <f t="shared" si="31"/>
        <v/>
      </c>
      <c r="T876" s="124" t="s">
        <v>2916</v>
      </c>
      <c r="W876" s="6" t="s">
        <v>33</v>
      </c>
      <c r="X876" s="95">
        <v>47291</v>
      </c>
    </row>
    <row r="877" spans="1:24" x14ac:dyDescent="0.25">
      <c r="A877" s="101" t="s">
        <v>70</v>
      </c>
      <c r="B877" s="102" t="s">
        <v>2728</v>
      </c>
      <c r="C877" s="101" t="s">
        <v>2917</v>
      </c>
      <c r="D877" s="141">
        <v>12152539</v>
      </c>
      <c r="E877" s="6" t="s">
        <v>289</v>
      </c>
      <c r="F877" s="101" t="s">
        <v>139</v>
      </c>
      <c r="G877" s="101" t="s">
        <v>2918</v>
      </c>
      <c r="H877" s="103">
        <v>47249</v>
      </c>
      <c r="I877" s="103">
        <v>43413</v>
      </c>
      <c r="J877" s="103">
        <v>43417</v>
      </c>
      <c r="K877" s="104"/>
      <c r="L877" s="104" t="s">
        <v>31</v>
      </c>
      <c r="M877" s="103">
        <v>43430</v>
      </c>
      <c r="N877" s="103">
        <v>43531</v>
      </c>
      <c r="O877" s="103">
        <v>43522</v>
      </c>
      <c r="P877" s="6" t="s">
        <v>69</v>
      </c>
      <c r="Q877" s="105"/>
      <c r="R877" s="97" t="str">
        <f t="shared" si="32"/>
        <v/>
      </c>
      <c r="S877" s="75" t="str">
        <f t="shared" si="31"/>
        <v/>
      </c>
      <c r="T877" s="125" t="s">
        <v>2919</v>
      </c>
      <c r="U877" s="8">
        <v>43531</v>
      </c>
      <c r="W877" s="6" t="s">
        <v>33</v>
      </c>
      <c r="X877" s="95">
        <v>47257</v>
      </c>
    </row>
    <row r="878" spans="1:24" x14ac:dyDescent="0.25">
      <c r="A878" s="6" t="s">
        <v>168</v>
      </c>
      <c r="B878" s="94" t="s">
        <v>2920</v>
      </c>
      <c r="C878" s="6" t="s">
        <v>2921</v>
      </c>
      <c r="D878" s="140">
        <v>11153883</v>
      </c>
      <c r="E878" s="6" t="s">
        <v>2922</v>
      </c>
      <c r="F878" s="10" t="s">
        <v>44</v>
      </c>
      <c r="G878" s="6" t="s">
        <v>2923</v>
      </c>
      <c r="H878" s="8">
        <v>49907</v>
      </c>
      <c r="I878" s="8">
        <v>44046</v>
      </c>
      <c r="J878" s="8">
        <v>44082</v>
      </c>
      <c r="K878" s="95">
        <v>44082</v>
      </c>
      <c r="L878" s="95" t="s">
        <v>31</v>
      </c>
      <c r="M878" s="8">
        <v>44099</v>
      </c>
      <c r="N878" s="8">
        <v>44341</v>
      </c>
      <c r="O878" s="8">
        <v>44329</v>
      </c>
      <c r="P878" s="6" t="s">
        <v>90</v>
      </c>
      <c r="Q878" s="96">
        <v>4136</v>
      </c>
      <c r="R878" s="97">
        <f t="shared" si="32"/>
        <v>11.331506849315069</v>
      </c>
      <c r="S878" s="75">
        <f t="shared" si="31"/>
        <v>93586.915068493152</v>
      </c>
      <c r="T878" s="124" t="s">
        <v>2924</v>
      </c>
      <c r="U878" s="8">
        <v>44341</v>
      </c>
      <c r="V878" s="6" t="s">
        <v>36</v>
      </c>
      <c r="W878" s="6" t="s">
        <v>84</v>
      </c>
      <c r="X878" s="135">
        <v>48478</v>
      </c>
    </row>
    <row r="879" spans="1:24" x14ac:dyDescent="0.25">
      <c r="A879" s="6" t="s">
        <v>25</v>
      </c>
      <c r="B879" s="94" t="s">
        <v>2925</v>
      </c>
      <c r="C879" s="6" t="s">
        <v>2926</v>
      </c>
      <c r="D879" s="140">
        <v>11860962</v>
      </c>
      <c r="E879" s="6" t="s">
        <v>1752</v>
      </c>
      <c r="F879" s="10" t="s">
        <v>29</v>
      </c>
      <c r="G879" s="6" t="s">
        <v>2927</v>
      </c>
      <c r="H879" s="8">
        <v>48731</v>
      </c>
      <c r="I879" s="8">
        <v>43616</v>
      </c>
      <c r="J879" s="8">
        <v>43616</v>
      </c>
      <c r="K879" s="95">
        <v>43641</v>
      </c>
      <c r="L879" s="95" t="s">
        <v>31</v>
      </c>
      <c r="M879" s="8">
        <v>43648</v>
      </c>
      <c r="N879" s="8">
        <v>43685</v>
      </c>
      <c r="O879" s="8">
        <v>43661</v>
      </c>
      <c r="P879" s="6" t="s">
        <v>75</v>
      </c>
      <c r="R879" s="97" t="str">
        <f t="shared" si="32"/>
        <v/>
      </c>
      <c r="S879" s="75" t="str">
        <f t="shared" si="31"/>
        <v/>
      </c>
      <c r="U879" s="8">
        <v>43685</v>
      </c>
      <c r="W879" s="6" t="s">
        <v>33</v>
      </c>
      <c r="X879" s="95">
        <v>51482</v>
      </c>
    </row>
    <row r="880" spans="1:24" x14ac:dyDescent="0.25">
      <c r="A880" s="6" t="s">
        <v>37</v>
      </c>
      <c r="B880" s="106" t="s">
        <v>2928</v>
      </c>
      <c r="C880" s="107" t="s">
        <v>2929</v>
      </c>
      <c r="D880" s="142">
        <v>11313822</v>
      </c>
      <c r="E880" s="107" t="s">
        <v>2458</v>
      </c>
      <c r="F880" s="56" t="s">
        <v>205</v>
      </c>
      <c r="G880" s="107" t="s">
        <v>2930</v>
      </c>
      <c r="H880" s="108">
        <v>45012</v>
      </c>
      <c r="I880" s="108">
        <v>43417</v>
      </c>
      <c r="J880" s="108">
        <v>43421</v>
      </c>
      <c r="K880" s="109">
        <v>43421</v>
      </c>
      <c r="L880" s="109" t="s">
        <v>359</v>
      </c>
      <c r="M880" s="108"/>
      <c r="N880" s="108"/>
      <c r="O880" s="108"/>
      <c r="P880" s="107"/>
      <c r="Q880" s="110"/>
      <c r="R880" s="120" t="str">
        <f t="shared" si="32"/>
        <v/>
      </c>
      <c r="S880" s="75" t="str">
        <f t="shared" si="31"/>
        <v/>
      </c>
      <c r="T880" s="129"/>
      <c r="W880" s="6" t="s">
        <v>33</v>
      </c>
      <c r="X880" s="95">
        <v>56487</v>
      </c>
    </row>
    <row r="881" spans="1:24" ht="45" x14ac:dyDescent="0.25">
      <c r="A881" s="6" t="s">
        <v>37</v>
      </c>
      <c r="B881" s="94" t="s">
        <v>2931</v>
      </c>
      <c r="C881" s="6" t="s">
        <v>2932</v>
      </c>
      <c r="D881" s="140">
        <v>11304093</v>
      </c>
      <c r="E881" s="6" t="s">
        <v>2933</v>
      </c>
      <c r="F881" s="10" t="s">
        <v>205</v>
      </c>
      <c r="G881" s="6" t="s">
        <v>2934</v>
      </c>
      <c r="H881" s="8">
        <v>44485</v>
      </c>
      <c r="I881" s="8">
        <v>43432</v>
      </c>
      <c r="J881" s="8">
        <v>43434</v>
      </c>
      <c r="K881" s="95">
        <v>43437</v>
      </c>
      <c r="L881" s="95" t="s">
        <v>31</v>
      </c>
      <c r="M881" s="8">
        <v>43447</v>
      </c>
      <c r="N881" s="8">
        <v>43809</v>
      </c>
      <c r="O881" s="8">
        <v>43781</v>
      </c>
      <c r="P881" s="6" t="s">
        <v>75</v>
      </c>
      <c r="R881" s="97" t="str">
        <f t="shared" si="32"/>
        <v/>
      </c>
      <c r="S881" s="75" t="str">
        <f t="shared" si="31"/>
        <v/>
      </c>
      <c r="T881" s="124" t="s">
        <v>2935</v>
      </c>
      <c r="U881" s="8">
        <v>43846</v>
      </c>
      <c r="W881" s="6" t="s">
        <v>33</v>
      </c>
      <c r="X881" s="95">
        <v>45955</v>
      </c>
    </row>
    <row r="882" spans="1:24" x14ac:dyDescent="0.25">
      <c r="A882" s="6" t="s">
        <v>37</v>
      </c>
      <c r="B882" s="106" t="s">
        <v>2936</v>
      </c>
      <c r="C882" s="107" t="s">
        <v>2937</v>
      </c>
      <c r="D882" s="142">
        <v>11189732</v>
      </c>
      <c r="E882" s="107" t="s">
        <v>1539</v>
      </c>
      <c r="F882" s="56" t="s">
        <v>29</v>
      </c>
      <c r="G882" s="107" t="s">
        <v>2938</v>
      </c>
      <c r="H882" s="108">
        <v>50284</v>
      </c>
      <c r="I882" s="108">
        <v>43417</v>
      </c>
      <c r="J882" s="108">
        <v>43421</v>
      </c>
      <c r="K882" s="109">
        <v>43421</v>
      </c>
      <c r="L882" s="109" t="s">
        <v>31</v>
      </c>
      <c r="M882" s="108">
        <v>43433</v>
      </c>
      <c r="N882" s="108">
        <v>44061</v>
      </c>
      <c r="O882" s="108">
        <v>44050</v>
      </c>
      <c r="P882" s="107" t="s">
        <v>35</v>
      </c>
      <c r="Q882" s="110">
        <v>2909</v>
      </c>
      <c r="R882" s="120">
        <f t="shared" si="32"/>
        <v>7.9698630136986299</v>
      </c>
      <c r="S882" s="75">
        <f t="shared" si="31"/>
        <v>65823.098630136985</v>
      </c>
      <c r="T882" s="129"/>
      <c r="U882" s="8">
        <v>44776</v>
      </c>
      <c r="W882" s="6" t="s">
        <v>33</v>
      </c>
      <c r="X882" s="95">
        <v>49085</v>
      </c>
    </row>
    <row r="883" spans="1:24" x14ac:dyDescent="0.25">
      <c r="A883" s="6" t="s">
        <v>37</v>
      </c>
      <c r="B883" s="106" t="s">
        <v>145</v>
      </c>
      <c r="C883" s="107" t="s">
        <v>2939</v>
      </c>
      <c r="D883" s="142">
        <v>11221509</v>
      </c>
      <c r="E883" s="107" t="s">
        <v>2940</v>
      </c>
      <c r="F883" s="56" t="s">
        <v>57</v>
      </c>
      <c r="G883" s="107" t="s">
        <v>2941</v>
      </c>
      <c r="H883" s="108">
        <v>45093</v>
      </c>
      <c r="I883" s="108">
        <v>43417</v>
      </c>
      <c r="J883" s="108">
        <v>43420</v>
      </c>
      <c r="K883" s="109">
        <v>43420</v>
      </c>
      <c r="L883" s="109" t="s">
        <v>31</v>
      </c>
      <c r="M883" s="108">
        <v>43433</v>
      </c>
      <c r="N883" s="108"/>
      <c r="O883" s="108"/>
      <c r="P883" s="107"/>
      <c r="Q883" s="110"/>
      <c r="R883" s="120" t="str">
        <f t="shared" si="32"/>
        <v/>
      </c>
      <c r="S883" s="75" t="str">
        <f t="shared" si="31"/>
        <v/>
      </c>
      <c r="T883" s="129" t="s">
        <v>2942</v>
      </c>
      <c r="U883" s="8">
        <v>44783</v>
      </c>
      <c r="W883" s="6" t="s">
        <v>33</v>
      </c>
      <c r="X883" s="95">
        <v>49836</v>
      </c>
    </row>
    <row r="884" spans="1:24" x14ac:dyDescent="0.25">
      <c r="A884" s="6" t="s">
        <v>85</v>
      </c>
      <c r="B884" s="94" t="s">
        <v>2943</v>
      </c>
      <c r="C884" s="6" t="s">
        <v>2944</v>
      </c>
      <c r="D884" s="140">
        <v>11632532</v>
      </c>
      <c r="E884" s="6" t="s">
        <v>878</v>
      </c>
      <c r="F884" s="10" t="s">
        <v>363</v>
      </c>
      <c r="G884" s="6">
        <v>1097581</v>
      </c>
      <c r="H884" s="8">
        <v>50986</v>
      </c>
      <c r="I884" s="8">
        <v>43299</v>
      </c>
      <c r="J884" s="8">
        <v>43301</v>
      </c>
      <c r="K884" s="95">
        <v>43306</v>
      </c>
      <c r="L884" s="95" t="s">
        <v>31</v>
      </c>
      <c r="M884" s="8">
        <v>43312</v>
      </c>
      <c r="N884" s="8">
        <v>43698</v>
      </c>
      <c r="O884" s="8">
        <v>43685</v>
      </c>
      <c r="P884" s="6" t="s">
        <v>35</v>
      </c>
      <c r="Q884" s="96">
        <v>7691</v>
      </c>
      <c r="R884" s="97">
        <f t="shared" si="32"/>
        <v>21.07123287671233</v>
      </c>
      <c r="S884" s="75">
        <f t="shared" si="31"/>
        <v>174027.31232876712</v>
      </c>
      <c r="U884" s="8">
        <v>43699</v>
      </c>
      <c r="W884" s="6" t="s">
        <v>33</v>
      </c>
      <c r="X884" s="95">
        <v>43492</v>
      </c>
    </row>
    <row r="885" spans="1:24" x14ac:dyDescent="0.25">
      <c r="A885" s="6" t="s">
        <v>77</v>
      </c>
      <c r="B885" s="94" t="s">
        <v>2945</v>
      </c>
      <c r="C885" s="6" t="s">
        <v>2946</v>
      </c>
      <c r="D885" s="140">
        <v>11628142</v>
      </c>
      <c r="E885" s="6" t="s">
        <v>472</v>
      </c>
      <c r="F885" s="10" t="s">
        <v>293</v>
      </c>
      <c r="G885" s="6" t="s">
        <v>2947</v>
      </c>
      <c r="H885" s="8">
        <v>50833</v>
      </c>
      <c r="I885" s="8">
        <v>43399</v>
      </c>
      <c r="J885" s="8">
        <v>43399</v>
      </c>
      <c r="K885" s="95">
        <v>43404</v>
      </c>
      <c r="L885" s="95" t="s">
        <v>31</v>
      </c>
      <c r="M885" s="8">
        <v>43409</v>
      </c>
      <c r="N885" s="8">
        <v>43340</v>
      </c>
      <c r="O885" s="8">
        <v>43662</v>
      </c>
      <c r="P885" s="6" t="s">
        <v>75</v>
      </c>
      <c r="R885" s="97" t="str">
        <f t="shared" si="32"/>
        <v/>
      </c>
      <c r="S885" s="75" t="str">
        <f t="shared" si="31"/>
        <v/>
      </c>
      <c r="T885" s="124" t="s">
        <v>1597</v>
      </c>
      <c r="U885" s="8">
        <v>43705</v>
      </c>
      <c r="W885" s="6" t="s">
        <v>33</v>
      </c>
      <c r="X885" s="95">
        <v>44475</v>
      </c>
    </row>
    <row r="886" spans="1:24" x14ac:dyDescent="0.25">
      <c r="A886" s="6" t="s">
        <v>37</v>
      </c>
      <c r="B886" s="94" t="s">
        <v>2948</v>
      </c>
      <c r="C886" s="6" t="s">
        <v>2949</v>
      </c>
      <c r="D886" s="140">
        <v>12107767</v>
      </c>
      <c r="E886" s="6" t="s">
        <v>175</v>
      </c>
      <c r="F886" s="10" t="s">
        <v>205</v>
      </c>
      <c r="G886" s="6" t="s">
        <v>2950</v>
      </c>
      <c r="H886" s="8">
        <v>45054</v>
      </c>
      <c r="I886" s="8">
        <v>43419</v>
      </c>
      <c r="J886" s="8">
        <v>43431</v>
      </c>
      <c r="K886" s="95">
        <v>43431</v>
      </c>
      <c r="L886" s="95" t="s">
        <v>31</v>
      </c>
      <c r="M886" s="8">
        <v>43433</v>
      </c>
      <c r="R886" s="97" t="str">
        <f t="shared" si="32"/>
        <v/>
      </c>
      <c r="S886" s="75" t="str">
        <f t="shared" si="31"/>
        <v/>
      </c>
      <c r="T886" s="124" t="s">
        <v>2951</v>
      </c>
      <c r="U886" s="8">
        <v>44319</v>
      </c>
      <c r="W886" s="6" t="s">
        <v>33</v>
      </c>
      <c r="X886" s="95">
        <v>51228</v>
      </c>
    </row>
    <row r="887" spans="1:24" x14ac:dyDescent="0.25">
      <c r="A887" s="6" t="s">
        <v>25</v>
      </c>
      <c r="B887" s="94" t="s">
        <v>944</v>
      </c>
      <c r="C887" s="6" t="s">
        <v>2952</v>
      </c>
      <c r="D887" s="140">
        <v>11270432</v>
      </c>
      <c r="E887" s="6" t="s">
        <v>1927</v>
      </c>
      <c r="F887" s="10" t="s">
        <v>57</v>
      </c>
      <c r="G887" s="6" t="s">
        <v>2953</v>
      </c>
      <c r="H887" s="8">
        <v>45057</v>
      </c>
      <c r="I887" s="8">
        <v>43615</v>
      </c>
      <c r="J887" s="8">
        <v>43616</v>
      </c>
      <c r="K887" s="95">
        <v>43648</v>
      </c>
      <c r="L887" s="95" t="s">
        <v>31</v>
      </c>
      <c r="M887" s="8">
        <v>43655</v>
      </c>
      <c r="N887" s="8">
        <v>43665</v>
      </c>
      <c r="O887" s="8">
        <v>43662</v>
      </c>
      <c r="P887" s="6" t="s">
        <v>75</v>
      </c>
      <c r="R887" s="97" t="str">
        <f t="shared" si="32"/>
        <v/>
      </c>
      <c r="S887" s="75" t="str">
        <f t="shared" si="31"/>
        <v/>
      </c>
      <c r="U887" s="8">
        <v>43665</v>
      </c>
      <c r="W887" s="6" t="s">
        <v>33</v>
      </c>
      <c r="X887" s="95">
        <v>49737</v>
      </c>
    </row>
    <row r="888" spans="1:24" x14ac:dyDescent="0.25">
      <c r="A888" s="6" t="s">
        <v>25</v>
      </c>
      <c r="B888" s="94" t="s">
        <v>2954</v>
      </c>
      <c r="C888" s="6" t="s">
        <v>2955</v>
      </c>
      <c r="D888" s="140">
        <v>11225141</v>
      </c>
      <c r="E888" s="6" t="s">
        <v>2956</v>
      </c>
      <c r="F888" s="10" t="s">
        <v>121</v>
      </c>
      <c r="G888" s="6" t="s">
        <v>2957</v>
      </c>
      <c r="H888" s="8">
        <v>43976</v>
      </c>
      <c r="I888" s="8">
        <v>43594</v>
      </c>
      <c r="J888" s="8">
        <v>43594</v>
      </c>
      <c r="K888" s="95">
        <v>43627</v>
      </c>
      <c r="L888" s="95" t="s">
        <v>31</v>
      </c>
      <c r="M888" s="8">
        <v>43634</v>
      </c>
      <c r="N888" s="8">
        <v>43683</v>
      </c>
      <c r="O888" s="8">
        <v>43665</v>
      </c>
      <c r="P888" s="6" t="s">
        <v>75</v>
      </c>
      <c r="R888" s="97" t="str">
        <f t="shared" si="32"/>
        <v/>
      </c>
      <c r="S888" s="75" t="str">
        <f t="shared" si="31"/>
        <v/>
      </c>
      <c r="U888" s="8">
        <v>43684</v>
      </c>
      <c r="W888" s="6" t="s">
        <v>33</v>
      </c>
      <c r="X888" s="95">
        <v>42397</v>
      </c>
    </row>
    <row r="889" spans="1:24" ht="30" x14ac:dyDescent="0.25">
      <c r="A889" s="6" t="s">
        <v>37</v>
      </c>
      <c r="B889" s="94" t="s">
        <v>337</v>
      </c>
      <c r="C889" s="6" t="s">
        <v>2958</v>
      </c>
      <c r="D889" s="140">
        <v>11246941</v>
      </c>
      <c r="E889" s="6" t="s">
        <v>2959</v>
      </c>
      <c r="F889" s="10" t="s">
        <v>134</v>
      </c>
      <c r="G889" s="6" t="s">
        <v>2960</v>
      </c>
      <c r="H889" s="8">
        <v>46614</v>
      </c>
      <c r="I889" s="8">
        <v>43430</v>
      </c>
      <c r="J889" s="8">
        <v>43432</v>
      </c>
      <c r="K889" s="95">
        <v>43432</v>
      </c>
      <c r="L889" s="95" t="s">
        <v>359</v>
      </c>
      <c r="R889" s="97" t="str">
        <f t="shared" si="32"/>
        <v/>
      </c>
      <c r="S889" s="75" t="str">
        <f t="shared" si="31"/>
        <v/>
      </c>
      <c r="W889" s="6" t="s">
        <v>33</v>
      </c>
      <c r="X889" s="95">
        <v>48547</v>
      </c>
    </row>
    <row r="890" spans="1:24" x14ac:dyDescent="0.25">
      <c r="A890" s="6" t="s">
        <v>70</v>
      </c>
      <c r="B890" s="94" t="s">
        <v>2961</v>
      </c>
      <c r="C890" s="6" t="s">
        <v>2962</v>
      </c>
      <c r="D890" s="140">
        <v>11609954</v>
      </c>
      <c r="E890" s="6" t="s">
        <v>1752</v>
      </c>
      <c r="F890" s="6" t="s">
        <v>44</v>
      </c>
      <c r="G890" s="6" t="s">
        <v>2963</v>
      </c>
      <c r="H890" s="8">
        <v>44860</v>
      </c>
      <c r="I890" s="8">
        <v>43262</v>
      </c>
      <c r="J890" s="8">
        <v>43263</v>
      </c>
      <c r="K890" s="95">
        <v>43278</v>
      </c>
      <c r="L890" s="95" t="s">
        <v>31</v>
      </c>
      <c r="M890" s="8">
        <v>43280</v>
      </c>
      <c r="N890" s="8">
        <v>43777</v>
      </c>
      <c r="O890" s="8">
        <v>43740</v>
      </c>
      <c r="P890" s="6" t="s">
        <v>35</v>
      </c>
      <c r="Q890" s="96">
        <v>365</v>
      </c>
      <c r="R890" s="97">
        <f t="shared" si="32"/>
        <v>1</v>
      </c>
      <c r="S890" s="75">
        <f t="shared" si="31"/>
        <v>8259</v>
      </c>
      <c r="U890" s="8">
        <v>43794</v>
      </c>
      <c r="W890" s="6" t="s">
        <v>84</v>
      </c>
      <c r="X890" s="95">
        <v>45630</v>
      </c>
    </row>
    <row r="891" spans="1:24" x14ac:dyDescent="0.25">
      <c r="A891" s="6" t="s">
        <v>25</v>
      </c>
      <c r="B891" s="94" t="s">
        <v>145</v>
      </c>
      <c r="C891" s="6" t="s">
        <v>2964</v>
      </c>
      <c r="D891" s="140">
        <v>11070589</v>
      </c>
      <c r="E891" s="6" t="s">
        <v>175</v>
      </c>
      <c r="F891" s="10" t="s">
        <v>121</v>
      </c>
      <c r="G891" s="6" t="s">
        <v>2965</v>
      </c>
      <c r="H891" s="8">
        <v>44946</v>
      </c>
      <c r="I891" s="8">
        <v>43620</v>
      </c>
      <c r="J891" s="8">
        <v>43620</v>
      </c>
      <c r="K891" s="95">
        <v>43648</v>
      </c>
      <c r="L891" s="95" t="s">
        <v>31</v>
      </c>
      <c r="M891" s="8">
        <v>43651</v>
      </c>
      <c r="N891" s="8">
        <v>43677</v>
      </c>
      <c r="O891" s="8">
        <v>43669</v>
      </c>
      <c r="P891" s="6" t="s">
        <v>75</v>
      </c>
      <c r="R891" s="97" t="str">
        <f t="shared" si="32"/>
        <v/>
      </c>
      <c r="S891" s="75" t="str">
        <f t="shared" si="31"/>
        <v/>
      </c>
      <c r="U891" s="8">
        <v>43679</v>
      </c>
      <c r="W891" s="6" t="s">
        <v>33</v>
      </c>
      <c r="X891" s="95">
        <v>48605</v>
      </c>
    </row>
    <row r="892" spans="1:24" x14ac:dyDescent="0.25">
      <c r="A892" s="6" t="s">
        <v>168</v>
      </c>
      <c r="B892" s="94" t="s">
        <v>2966</v>
      </c>
      <c r="C892" s="6" t="s">
        <v>2967</v>
      </c>
      <c r="D892" s="140">
        <v>11026175</v>
      </c>
      <c r="E892" s="6" t="s">
        <v>2968</v>
      </c>
      <c r="F892" s="10" t="s">
        <v>29</v>
      </c>
      <c r="G892" s="6" t="s">
        <v>2969</v>
      </c>
      <c r="H892" s="8">
        <v>48097</v>
      </c>
      <c r="I892" s="8">
        <v>44092</v>
      </c>
      <c r="J892" s="8">
        <v>44142</v>
      </c>
      <c r="K892" s="95">
        <v>44148</v>
      </c>
      <c r="L892" s="95" t="s">
        <v>31</v>
      </c>
      <c r="M892" s="8">
        <v>44159</v>
      </c>
      <c r="R892" s="97" t="str">
        <f t="shared" si="32"/>
        <v/>
      </c>
      <c r="S892" s="75" t="str">
        <f t="shared" si="31"/>
        <v/>
      </c>
      <c r="T892" s="124" t="s">
        <v>2970</v>
      </c>
      <c r="W892" s="6" t="s">
        <v>84</v>
      </c>
      <c r="X892" s="135">
        <v>48021</v>
      </c>
    </row>
    <row r="893" spans="1:24" x14ac:dyDescent="0.25">
      <c r="A893" s="6" t="s">
        <v>25</v>
      </c>
      <c r="B893" s="94" t="s">
        <v>2971</v>
      </c>
      <c r="C893" s="6" t="s">
        <v>2972</v>
      </c>
      <c r="D893" s="140">
        <v>11861293</v>
      </c>
      <c r="E893" s="6" t="s">
        <v>261</v>
      </c>
      <c r="F893" s="10" t="s">
        <v>44</v>
      </c>
      <c r="G893" s="6" t="s">
        <v>2973</v>
      </c>
      <c r="H893" s="8">
        <v>44808</v>
      </c>
      <c r="I893" s="8">
        <v>43616</v>
      </c>
      <c r="J893" s="8">
        <v>43616</v>
      </c>
      <c r="K893" s="95">
        <v>43641</v>
      </c>
      <c r="L893" s="95" t="s">
        <v>31</v>
      </c>
      <c r="M893" s="8">
        <v>43647</v>
      </c>
      <c r="N893" s="8">
        <v>43676</v>
      </c>
      <c r="O893" s="8">
        <v>43670</v>
      </c>
      <c r="P893" s="6" t="s">
        <v>75</v>
      </c>
      <c r="R893" s="97" t="str">
        <f t="shared" si="32"/>
        <v/>
      </c>
      <c r="S893" s="75" t="str">
        <f t="shared" si="31"/>
        <v/>
      </c>
      <c r="U893" s="8">
        <v>43684</v>
      </c>
      <c r="W893" s="6" t="s">
        <v>33</v>
      </c>
      <c r="X893" s="95">
        <v>50641</v>
      </c>
    </row>
    <row r="894" spans="1:24" ht="30" x14ac:dyDescent="0.25">
      <c r="A894" s="6" t="s">
        <v>168</v>
      </c>
      <c r="B894" s="94" t="s">
        <v>2974</v>
      </c>
      <c r="C894" s="6" t="s">
        <v>2975</v>
      </c>
      <c r="D894" s="140">
        <v>11823485</v>
      </c>
      <c r="E894" s="6" t="s">
        <v>2976</v>
      </c>
      <c r="F894" s="10" t="s">
        <v>57</v>
      </c>
      <c r="G894" s="6" t="s">
        <v>2977</v>
      </c>
      <c r="H894" s="8">
        <v>51681</v>
      </c>
      <c r="I894" s="8">
        <v>43671</v>
      </c>
      <c r="J894" s="8">
        <v>43671</v>
      </c>
      <c r="K894" s="95">
        <v>43683</v>
      </c>
      <c r="L894" s="95" t="s">
        <v>359</v>
      </c>
      <c r="R894" s="97" t="str">
        <f t="shared" si="32"/>
        <v/>
      </c>
      <c r="S894" s="75" t="str">
        <f t="shared" si="31"/>
        <v/>
      </c>
      <c r="W894" s="6" t="s">
        <v>33</v>
      </c>
      <c r="X894" s="95">
        <v>40685</v>
      </c>
    </row>
    <row r="895" spans="1:24" x14ac:dyDescent="0.25">
      <c r="A895" s="6" t="s">
        <v>168</v>
      </c>
      <c r="B895" s="94" t="s">
        <v>2978</v>
      </c>
      <c r="C895" s="6" t="s">
        <v>2979</v>
      </c>
      <c r="D895" s="140">
        <v>11113640</v>
      </c>
      <c r="E895" s="6" t="s">
        <v>2980</v>
      </c>
      <c r="F895" s="10" t="s">
        <v>1384</v>
      </c>
      <c r="G895" s="6" t="s">
        <v>2981</v>
      </c>
      <c r="H895" s="8">
        <v>23874</v>
      </c>
      <c r="I895" s="8">
        <v>43773</v>
      </c>
      <c r="R895" s="97" t="str">
        <f t="shared" si="32"/>
        <v/>
      </c>
      <c r="S895" s="75" t="str">
        <f t="shared" si="31"/>
        <v/>
      </c>
      <c r="T895" s="124" t="s">
        <v>2982</v>
      </c>
      <c r="U895" s="8">
        <v>43775</v>
      </c>
    </row>
    <row r="896" spans="1:24" x14ac:dyDescent="0.25">
      <c r="A896" s="6" t="s">
        <v>37</v>
      </c>
      <c r="B896" s="94" t="s">
        <v>2468</v>
      </c>
      <c r="C896" s="6" t="s">
        <v>2469</v>
      </c>
      <c r="D896" s="140">
        <v>12107915</v>
      </c>
      <c r="E896" s="6" t="s">
        <v>1200</v>
      </c>
      <c r="F896" s="10" t="s">
        <v>299</v>
      </c>
      <c r="G896" s="6" t="s">
        <v>2470</v>
      </c>
      <c r="H896" s="8">
        <v>45143</v>
      </c>
      <c r="I896" s="8">
        <v>43453</v>
      </c>
      <c r="J896" s="8">
        <v>43455</v>
      </c>
      <c r="K896" s="95">
        <v>43458</v>
      </c>
      <c r="L896" s="95" t="s">
        <v>359</v>
      </c>
      <c r="R896" s="97" t="str">
        <f t="shared" si="32"/>
        <v/>
      </c>
      <c r="S896" s="75" t="str">
        <f t="shared" si="31"/>
        <v/>
      </c>
      <c r="W896" s="6" t="s">
        <v>33</v>
      </c>
      <c r="X896" s="95">
        <v>45870</v>
      </c>
    </row>
    <row r="897" spans="1:24" x14ac:dyDescent="0.25">
      <c r="A897" s="6" t="s">
        <v>37</v>
      </c>
      <c r="B897" s="94" t="s">
        <v>2983</v>
      </c>
      <c r="C897" s="6" t="s">
        <v>2984</v>
      </c>
      <c r="D897" s="140">
        <v>11347964</v>
      </c>
      <c r="E897" s="6" t="s">
        <v>2985</v>
      </c>
      <c r="F897" s="10" t="s">
        <v>29</v>
      </c>
      <c r="G897" s="6" t="s">
        <v>2986</v>
      </c>
      <c r="H897" s="8">
        <v>65304</v>
      </c>
      <c r="I897" s="8">
        <v>43474</v>
      </c>
      <c r="J897" s="8">
        <v>43479</v>
      </c>
      <c r="K897" s="95">
        <v>43479</v>
      </c>
      <c r="L897" s="95" t="s">
        <v>31</v>
      </c>
      <c r="M897" s="8">
        <v>43473</v>
      </c>
      <c r="N897" s="8">
        <v>43711</v>
      </c>
      <c r="O897" s="8">
        <v>43704</v>
      </c>
      <c r="P897" s="6" t="s">
        <v>35</v>
      </c>
      <c r="Q897" s="96">
        <v>18262.5</v>
      </c>
      <c r="R897" s="97">
        <f t="shared" si="32"/>
        <v>50.034246575342465</v>
      </c>
      <c r="S897" s="75">
        <f t="shared" si="31"/>
        <v>413232.84246575343</v>
      </c>
      <c r="U897" s="8">
        <v>43711</v>
      </c>
      <c r="W897" s="6" t="s">
        <v>33</v>
      </c>
      <c r="X897" s="95" t="s">
        <v>2987</v>
      </c>
    </row>
    <row r="898" spans="1:24" x14ac:dyDescent="0.25">
      <c r="A898" s="6" t="s">
        <v>37</v>
      </c>
      <c r="B898" s="94" t="s">
        <v>2988</v>
      </c>
      <c r="C898" s="6" t="s">
        <v>2989</v>
      </c>
      <c r="D898" s="140">
        <v>11360905</v>
      </c>
      <c r="E898" s="6" t="s">
        <v>228</v>
      </c>
      <c r="F898" s="10" t="s">
        <v>100</v>
      </c>
      <c r="G898" s="6">
        <v>102734</v>
      </c>
      <c r="H898" s="8">
        <v>43982</v>
      </c>
      <c r="I898" s="8">
        <v>43453</v>
      </c>
      <c r="J898" s="8">
        <v>43463</v>
      </c>
      <c r="K898" s="95">
        <v>43463</v>
      </c>
      <c r="L898" s="95" t="s">
        <v>31</v>
      </c>
      <c r="M898" s="8">
        <v>43465</v>
      </c>
      <c r="N898" s="8">
        <v>44272</v>
      </c>
      <c r="O898" s="8">
        <v>43539</v>
      </c>
      <c r="P898" s="6" t="s">
        <v>90</v>
      </c>
      <c r="Q898" s="96">
        <v>165</v>
      </c>
      <c r="R898" s="97">
        <f t="shared" si="32"/>
        <v>0.45205479452054792</v>
      </c>
      <c r="S898" s="75">
        <f t="shared" si="31"/>
        <v>3733.5205479452056</v>
      </c>
      <c r="T898" s="124" t="s">
        <v>90</v>
      </c>
      <c r="U898" s="8">
        <v>44272</v>
      </c>
      <c r="W898" s="6" t="s">
        <v>33</v>
      </c>
      <c r="X898" s="95">
        <v>50369</v>
      </c>
    </row>
    <row r="899" spans="1:24" x14ac:dyDescent="0.25">
      <c r="A899" s="6" t="s">
        <v>37</v>
      </c>
      <c r="B899" s="94" t="s">
        <v>2990</v>
      </c>
      <c r="C899" s="6" t="s">
        <v>2991</v>
      </c>
      <c r="D899" s="140">
        <v>11280596</v>
      </c>
      <c r="E899" s="6" t="s">
        <v>2160</v>
      </c>
      <c r="F899" s="10" t="s">
        <v>29</v>
      </c>
      <c r="G899" s="6" t="s">
        <v>2992</v>
      </c>
      <c r="H899" s="8">
        <v>46659</v>
      </c>
      <c r="I899" s="8">
        <v>43453</v>
      </c>
      <c r="J899" s="8">
        <v>43455</v>
      </c>
      <c r="K899" s="95">
        <v>43458</v>
      </c>
      <c r="L899" s="95" t="s">
        <v>31</v>
      </c>
      <c r="M899" s="8">
        <v>43461</v>
      </c>
      <c r="N899" s="8">
        <v>43598</v>
      </c>
      <c r="O899" s="8">
        <v>43552</v>
      </c>
      <c r="P899" s="6" t="s">
        <v>35</v>
      </c>
      <c r="Q899" s="96">
        <v>4787</v>
      </c>
      <c r="R899" s="97">
        <f t="shared" si="32"/>
        <v>13.115068493150686</v>
      </c>
      <c r="S899" s="75">
        <f t="shared" si="31"/>
        <v>108317.35068493152</v>
      </c>
      <c r="U899" s="8">
        <v>44631</v>
      </c>
      <c r="W899" s="6" t="s">
        <v>33</v>
      </c>
      <c r="X899" s="95">
        <v>49972</v>
      </c>
    </row>
    <row r="900" spans="1:24" ht="30" x14ac:dyDescent="0.25">
      <c r="A900" s="6" t="s">
        <v>37</v>
      </c>
      <c r="B900" s="94" t="s">
        <v>2993</v>
      </c>
      <c r="C900" s="6" t="s">
        <v>2994</v>
      </c>
      <c r="D900" s="140">
        <v>11279644</v>
      </c>
      <c r="E900" s="6" t="s">
        <v>950</v>
      </c>
      <c r="F900" s="10" t="s">
        <v>44</v>
      </c>
      <c r="G900" s="6" t="s">
        <v>2995</v>
      </c>
      <c r="H900" s="8">
        <v>45317</v>
      </c>
      <c r="I900" s="8">
        <v>43454</v>
      </c>
      <c r="J900" s="8">
        <v>43455</v>
      </c>
      <c r="K900" s="95">
        <v>43455</v>
      </c>
      <c r="L900" s="95" t="s">
        <v>31</v>
      </c>
      <c r="M900" s="8">
        <v>43461</v>
      </c>
      <c r="N900" s="8">
        <v>43885</v>
      </c>
      <c r="O900" s="8">
        <v>43867</v>
      </c>
      <c r="P900" s="6" t="s">
        <v>90</v>
      </c>
      <c r="Q900" s="96">
        <v>1449</v>
      </c>
      <c r="R900" s="97">
        <f t="shared" si="32"/>
        <v>3.9698630136986299</v>
      </c>
      <c r="S900" s="75">
        <f t="shared" si="31"/>
        <v>32787.098630136985</v>
      </c>
      <c r="T900" s="124" t="s">
        <v>2996</v>
      </c>
      <c r="U900" s="8">
        <v>43886</v>
      </c>
      <c r="V900" s="6" t="s">
        <v>581</v>
      </c>
      <c r="W900" s="6" t="s">
        <v>33</v>
      </c>
      <c r="X900" s="95">
        <v>52376</v>
      </c>
    </row>
    <row r="901" spans="1:24" ht="30" x14ac:dyDescent="0.25">
      <c r="A901" s="6" t="s">
        <v>37</v>
      </c>
      <c r="B901" s="94" t="s">
        <v>2997</v>
      </c>
      <c r="C901" s="6" t="s">
        <v>2998</v>
      </c>
      <c r="D901" s="140">
        <v>12131227</v>
      </c>
      <c r="E901" s="6" t="s">
        <v>304</v>
      </c>
      <c r="F901" s="10" t="s">
        <v>205</v>
      </c>
      <c r="G901" s="6" t="s">
        <v>2999</v>
      </c>
      <c r="H901" s="8">
        <v>45390</v>
      </c>
      <c r="I901" s="8">
        <v>43334</v>
      </c>
      <c r="J901" s="8">
        <v>43339</v>
      </c>
      <c r="K901" s="95">
        <v>43339</v>
      </c>
      <c r="L901" s="95" t="s">
        <v>31</v>
      </c>
      <c r="M901" s="8">
        <v>43349</v>
      </c>
      <c r="N901" s="8">
        <v>43609</v>
      </c>
      <c r="O901" s="8">
        <v>43607</v>
      </c>
      <c r="P901" s="6" t="s">
        <v>90</v>
      </c>
      <c r="Q901" s="96">
        <v>3652</v>
      </c>
      <c r="R901" s="97">
        <f t="shared" si="32"/>
        <v>10.005479452054795</v>
      </c>
      <c r="S901" s="75">
        <f t="shared" si="31"/>
        <v>82635.254794520544</v>
      </c>
      <c r="T901" s="124" t="s">
        <v>3000</v>
      </c>
      <c r="U901" s="8">
        <v>43609</v>
      </c>
      <c r="V901" s="6" t="s">
        <v>581</v>
      </c>
      <c r="W901" s="6" t="s">
        <v>33</v>
      </c>
      <c r="X901" s="95">
        <v>46826</v>
      </c>
    </row>
    <row r="902" spans="1:24" x14ac:dyDescent="0.25">
      <c r="A902" s="6" t="s">
        <v>37</v>
      </c>
      <c r="B902" s="94" t="s">
        <v>3001</v>
      </c>
      <c r="C902" s="6" t="s">
        <v>3002</v>
      </c>
      <c r="D902" s="140">
        <v>11194603</v>
      </c>
      <c r="E902" s="6" t="s">
        <v>3003</v>
      </c>
      <c r="F902" s="10" t="s">
        <v>57</v>
      </c>
      <c r="G902" s="6" t="s">
        <v>3004</v>
      </c>
      <c r="H902" s="8">
        <v>44713</v>
      </c>
      <c r="I902" s="8">
        <v>43454</v>
      </c>
      <c r="J902" s="8">
        <v>43455</v>
      </c>
      <c r="K902" s="95">
        <v>43455</v>
      </c>
      <c r="L902" s="95" t="s">
        <v>31</v>
      </c>
      <c r="M902" s="8">
        <v>43461</v>
      </c>
      <c r="R902" s="97" t="str">
        <f t="shared" si="32"/>
        <v/>
      </c>
      <c r="S902" s="75" t="str">
        <f t="shared" si="31"/>
        <v/>
      </c>
      <c r="T902" s="124" t="s">
        <v>3005</v>
      </c>
      <c r="U902" s="8">
        <v>44272</v>
      </c>
      <c r="W902" s="6" t="s">
        <v>33</v>
      </c>
      <c r="X902" s="95">
        <v>48682</v>
      </c>
    </row>
    <row r="903" spans="1:24" x14ac:dyDescent="0.25">
      <c r="A903" s="6" t="s">
        <v>168</v>
      </c>
      <c r="B903" s="94" t="s">
        <v>3006</v>
      </c>
      <c r="C903" s="6" t="s">
        <v>3007</v>
      </c>
      <c r="D903" s="140">
        <v>11681512</v>
      </c>
      <c r="E903" s="6" t="s">
        <v>3008</v>
      </c>
      <c r="F903" s="10" t="s">
        <v>62</v>
      </c>
      <c r="G903" s="6" t="s">
        <v>3009</v>
      </c>
      <c r="H903" s="8">
        <v>57987</v>
      </c>
      <c r="I903" s="8">
        <v>44256</v>
      </c>
      <c r="J903" s="8">
        <v>44242</v>
      </c>
      <c r="K903" s="95">
        <v>44258</v>
      </c>
      <c r="L903" s="95" t="s">
        <v>31</v>
      </c>
      <c r="M903" s="8">
        <v>44295</v>
      </c>
      <c r="N903" s="8">
        <v>44743</v>
      </c>
      <c r="O903" s="8">
        <v>44742</v>
      </c>
      <c r="P903" s="6" t="s">
        <v>90</v>
      </c>
      <c r="Q903" s="96">
        <v>1189</v>
      </c>
      <c r="R903" s="97">
        <f t="shared" si="32"/>
        <v>3.2575342465753425</v>
      </c>
      <c r="S903" s="75">
        <f t="shared" si="31"/>
        <v>26903.975342465754</v>
      </c>
      <c r="T903" s="8"/>
      <c r="U903" s="8">
        <v>44960</v>
      </c>
      <c r="V903" s="6" t="s">
        <v>36</v>
      </c>
      <c r="W903" s="6" t="s">
        <v>84</v>
      </c>
      <c r="X903" s="7">
        <v>47973</v>
      </c>
    </row>
    <row r="904" spans="1:24" x14ac:dyDescent="0.25">
      <c r="A904" s="6" t="s">
        <v>25</v>
      </c>
      <c r="B904" s="94" t="s">
        <v>3010</v>
      </c>
      <c r="C904" s="6" t="s">
        <v>3011</v>
      </c>
      <c r="D904" s="140">
        <v>11882156</v>
      </c>
      <c r="E904" s="6" t="s">
        <v>1151</v>
      </c>
      <c r="F904" s="10" t="s">
        <v>44</v>
      </c>
      <c r="G904" s="6" t="s">
        <v>3012</v>
      </c>
      <c r="H904" s="8">
        <v>44184</v>
      </c>
      <c r="I904" s="8">
        <v>43642</v>
      </c>
      <c r="J904" s="8">
        <v>43642</v>
      </c>
      <c r="K904" s="95">
        <v>43675</v>
      </c>
      <c r="L904" s="95" t="s">
        <v>31</v>
      </c>
      <c r="M904" s="8">
        <v>43679</v>
      </c>
      <c r="N904" s="8">
        <v>43726</v>
      </c>
      <c r="O904" s="8">
        <v>43725</v>
      </c>
      <c r="P904" s="6" t="s">
        <v>35</v>
      </c>
      <c r="Q904" s="96">
        <v>1826</v>
      </c>
      <c r="R904" s="97">
        <f t="shared" si="32"/>
        <v>5.0027397260273974</v>
      </c>
      <c r="S904" s="75">
        <f t="shared" si="31"/>
        <v>41317.627397260272</v>
      </c>
      <c r="T904" s="124" t="s">
        <v>601</v>
      </c>
      <c r="U904" s="8">
        <v>43727</v>
      </c>
      <c r="W904" s="6" t="s">
        <v>33</v>
      </c>
      <c r="X904" s="6"/>
    </row>
    <row r="905" spans="1:24" x14ac:dyDescent="0.25">
      <c r="A905" s="6" t="s">
        <v>25</v>
      </c>
      <c r="B905" s="94" t="s">
        <v>108</v>
      </c>
      <c r="C905" s="6" t="s">
        <v>3013</v>
      </c>
      <c r="D905" s="140">
        <v>11877282</v>
      </c>
      <c r="E905" s="6" t="s">
        <v>3014</v>
      </c>
      <c r="F905" s="10" t="s">
        <v>1588</v>
      </c>
      <c r="G905" s="6" t="s">
        <v>3015</v>
      </c>
      <c r="H905" s="8">
        <v>49150</v>
      </c>
      <c r="I905" s="8">
        <v>43616</v>
      </c>
      <c r="J905" s="8">
        <v>43616</v>
      </c>
      <c r="K905" s="95">
        <v>43641</v>
      </c>
      <c r="L905" s="95" t="s">
        <v>31</v>
      </c>
      <c r="M905" s="8">
        <v>43647</v>
      </c>
      <c r="N905" s="8">
        <v>43677</v>
      </c>
      <c r="O905" s="8">
        <v>43675</v>
      </c>
      <c r="P905" s="6" t="s">
        <v>52</v>
      </c>
      <c r="R905" s="97" t="str">
        <f t="shared" si="32"/>
        <v/>
      </c>
      <c r="S905" s="75" t="str">
        <f t="shared" si="31"/>
        <v/>
      </c>
      <c r="U905" s="8">
        <v>43685</v>
      </c>
      <c r="W905" s="6" t="s">
        <v>84</v>
      </c>
      <c r="X905" s="95">
        <v>46192</v>
      </c>
    </row>
    <row r="906" spans="1:24" x14ac:dyDescent="0.25">
      <c r="A906" s="6" t="s">
        <v>37</v>
      </c>
      <c r="B906" s="94" t="s">
        <v>3016</v>
      </c>
      <c r="C906" s="6" t="s">
        <v>3017</v>
      </c>
      <c r="D906" s="140">
        <v>11314117</v>
      </c>
      <c r="E906" s="6" t="s">
        <v>414</v>
      </c>
      <c r="F906" s="10" t="s">
        <v>44</v>
      </c>
      <c r="G906" s="6" t="s">
        <v>3018</v>
      </c>
      <c r="H906" s="8">
        <v>45978</v>
      </c>
      <c r="I906" s="8">
        <v>43455</v>
      </c>
      <c r="J906" s="8">
        <v>43455</v>
      </c>
      <c r="K906" s="95">
        <v>43458</v>
      </c>
      <c r="L906" s="95" t="s">
        <v>359</v>
      </c>
      <c r="R906" s="97" t="str">
        <f t="shared" si="32"/>
        <v/>
      </c>
      <c r="S906" s="75" t="str">
        <f t="shared" si="31"/>
        <v/>
      </c>
      <c r="W906" s="6" t="s">
        <v>33</v>
      </c>
      <c r="X906" s="95">
        <v>50332</v>
      </c>
    </row>
    <row r="907" spans="1:24" x14ac:dyDescent="0.25">
      <c r="A907" s="6" t="s">
        <v>37</v>
      </c>
      <c r="B907" s="94" t="s">
        <v>3019</v>
      </c>
      <c r="C907" s="6" t="s">
        <v>3020</v>
      </c>
      <c r="D907" s="140">
        <v>11353801</v>
      </c>
      <c r="E907" s="6" t="s">
        <v>706</v>
      </c>
      <c r="F907" s="10" t="s">
        <v>44</v>
      </c>
      <c r="G907" s="6" t="s">
        <v>3021</v>
      </c>
      <c r="H907" s="8">
        <v>47662</v>
      </c>
      <c r="I907" s="8">
        <v>43455</v>
      </c>
      <c r="J907" s="8">
        <v>43455</v>
      </c>
      <c r="K907" s="95">
        <v>43458</v>
      </c>
      <c r="L907" s="95" t="s">
        <v>359</v>
      </c>
      <c r="R907" s="97" t="str">
        <f t="shared" si="32"/>
        <v/>
      </c>
      <c r="S907" s="75" t="str">
        <f t="shared" si="31"/>
        <v/>
      </c>
      <c r="W907" s="6" t="s">
        <v>33</v>
      </c>
      <c r="X907" s="95">
        <v>53179</v>
      </c>
    </row>
    <row r="908" spans="1:24" x14ac:dyDescent="0.25">
      <c r="A908" s="6" t="s">
        <v>37</v>
      </c>
      <c r="B908" s="94" t="s">
        <v>3022</v>
      </c>
      <c r="C908" s="6" t="s">
        <v>3023</v>
      </c>
      <c r="D908" s="140">
        <v>11359129</v>
      </c>
      <c r="E908" s="6" t="s">
        <v>714</v>
      </c>
      <c r="F908" s="10" t="s">
        <v>205</v>
      </c>
      <c r="G908" s="6" t="s">
        <v>3024</v>
      </c>
      <c r="H908" s="8">
        <v>44331</v>
      </c>
      <c r="I908" s="8">
        <v>43461</v>
      </c>
      <c r="J908" s="8">
        <v>43479</v>
      </c>
      <c r="K908" s="8">
        <v>43479</v>
      </c>
      <c r="L908" s="95" t="s">
        <v>359</v>
      </c>
      <c r="M908" s="95"/>
      <c r="R908" s="97" t="str">
        <f t="shared" si="32"/>
        <v/>
      </c>
      <c r="S908" s="75" t="str">
        <f t="shared" si="31"/>
        <v/>
      </c>
      <c r="W908" s="6" t="s">
        <v>33</v>
      </c>
      <c r="X908" s="95">
        <v>53135</v>
      </c>
    </row>
    <row r="909" spans="1:24" x14ac:dyDescent="0.25">
      <c r="A909" s="6" t="s">
        <v>37</v>
      </c>
      <c r="B909" s="94" t="s">
        <v>2983</v>
      </c>
      <c r="C909" s="6" t="s">
        <v>3025</v>
      </c>
      <c r="D909" s="140">
        <v>11965255</v>
      </c>
      <c r="E909" s="6" t="s">
        <v>3026</v>
      </c>
      <c r="F909" s="10" t="s">
        <v>44</v>
      </c>
      <c r="G909" s="6" t="s">
        <v>3027</v>
      </c>
      <c r="H909" s="8">
        <v>47428</v>
      </c>
      <c r="I909" s="8">
        <v>44112</v>
      </c>
      <c r="J909" s="8">
        <v>44139</v>
      </c>
      <c r="K909" s="95">
        <v>44144</v>
      </c>
      <c r="L909" s="95" t="s">
        <v>31</v>
      </c>
      <c r="M909" s="8">
        <v>44147</v>
      </c>
      <c r="N909" s="8">
        <v>44259</v>
      </c>
      <c r="O909" s="8">
        <v>44251</v>
      </c>
      <c r="P909" s="6" t="s">
        <v>35</v>
      </c>
      <c r="Q909" s="96">
        <v>1826</v>
      </c>
      <c r="R909" s="97">
        <f t="shared" si="32"/>
        <v>5.0027397260273974</v>
      </c>
      <c r="S909" s="75">
        <f t="shared" si="31"/>
        <v>41317.627397260272</v>
      </c>
      <c r="T909" s="124" t="s">
        <v>601</v>
      </c>
      <c r="U909" s="8">
        <v>44263</v>
      </c>
      <c r="W909" s="6" t="s">
        <v>33</v>
      </c>
      <c r="X909" s="135">
        <v>51928</v>
      </c>
    </row>
    <row r="910" spans="1:24" x14ac:dyDescent="0.25">
      <c r="A910" s="6" t="s">
        <v>37</v>
      </c>
      <c r="B910" s="94" t="s">
        <v>3028</v>
      </c>
      <c r="C910" s="6" t="s">
        <v>3029</v>
      </c>
      <c r="D910" s="140">
        <v>12144754</v>
      </c>
      <c r="E910" s="6" t="s">
        <v>3030</v>
      </c>
      <c r="F910" s="10" t="s">
        <v>299</v>
      </c>
      <c r="G910" s="6" t="s">
        <v>3031</v>
      </c>
      <c r="H910" s="8">
        <v>46083</v>
      </c>
      <c r="I910" s="8">
        <v>44256</v>
      </c>
      <c r="J910" s="8">
        <v>44279</v>
      </c>
      <c r="K910" s="95">
        <v>44281</v>
      </c>
      <c r="L910" s="95" t="s">
        <v>31</v>
      </c>
      <c r="M910" s="8">
        <v>44291</v>
      </c>
      <c r="N910" s="8">
        <v>44455</v>
      </c>
      <c r="O910" s="8">
        <v>44432</v>
      </c>
      <c r="P910" s="6" t="s">
        <v>75</v>
      </c>
      <c r="R910" s="97" t="str">
        <f t="shared" si="32"/>
        <v/>
      </c>
      <c r="S910" s="75" t="str">
        <f t="shared" si="31"/>
        <v/>
      </c>
      <c r="U910" s="8">
        <v>44455</v>
      </c>
      <c r="W910" s="6" t="s">
        <v>33</v>
      </c>
      <c r="X910" s="7">
        <v>47369</v>
      </c>
    </row>
    <row r="911" spans="1:24" x14ac:dyDescent="0.25">
      <c r="A911" s="6" t="s">
        <v>37</v>
      </c>
      <c r="B911" s="94" t="s">
        <v>3032</v>
      </c>
      <c r="C911" s="6" t="s">
        <v>3033</v>
      </c>
      <c r="D911" s="140" t="s">
        <v>3034</v>
      </c>
      <c r="E911" s="6" t="s">
        <v>3035</v>
      </c>
      <c r="F911" s="10" t="s">
        <v>44</v>
      </c>
      <c r="G911" s="6" t="s">
        <v>3036</v>
      </c>
      <c r="H911" s="8">
        <v>47662</v>
      </c>
      <c r="I911" s="8">
        <v>43593</v>
      </c>
      <c r="J911" s="8">
        <v>43593</v>
      </c>
      <c r="K911" s="95">
        <v>43593</v>
      </c>
      <c r="L911" s="95" t="s">
        <v>31</v>
      </c>
      <c r="M911" s="8">
        <v>43607</v>
      </c>
      <c r="N911" s="8">
        <v>43788</v>
      </c>
      <c r="O911" s="8">
        <v>43768</v>
      </c>
      <c r="P911" s="6" t="s">
        <v>75</v>
      </c>
      <c r="R911" s="97" t="str">
        <f t="shared" si="32"/>
        <v/>
      </c>
      <c r="S911" s="75" t="str">
        <f t="shared" si="31"/>
        <v/>
      </c>
      <c r="U911" s="8">
        <v>43788</v>
      </c>
      <c r="W911" s="6" t="s">
        <v>33</v>
      </c>
      <c r="X911" s="95">
        <v>50445</v>
      </c>
    </row>
    <row r="912" spans="1:24" x14ac:dyDescent="0.25">
      <c r="A912" s="6" t="s">
        <v>25</v>
      </c>
      <c r="B912" s="94" t="s">
        <v>3037</v>
      </c>
      <c r="C912" s="6" t="s">
        <v>3038</v>
      </c>
      <c r="D912" s="140">
        <v>11673106</v>
      </c>
      <c r="E912" s="6" t="s">
        <v>244</v>
      </c>
      <c r="F912" s="10" t="s">
        <v>121</v>
      </c>
      <c r="G912" s="6" t="s">
        <v>3039</v>
      </c>
      <c r="H912" s="8">
        <v>53424</v>
      </c>
      <c r="I912" s="8">
        <v>43469</v>
      </c>
      <c r="J912" s="8">
        <v>43804</v>
      </c>
      <c r="K912" s="95">
        <v>43839</v>
      </c>
      <c r="L912" s="95" t="s">
        <v>31</v>
      </c>
      <c r="M912" s="8">
        <v>43851</v>
      </c>
      <c r="R912" s="97" t="str">
        <f t="shared" si="32"/>
        <v/>
      </c>
      <c r="S912" s="75" t="str">
        <f t="shared" si="31"/>
        <v/>
      </c>
      <c r="W912" s="6" t="s">
        <v>33</v>
      </c>
      <c r="X912" s="95">
        <v>48396</v>
      </c>
    </row>
    <row r="913" spans="1:24" x14ac:dyDescent="0.25">
      <c r="A913" s="6" t="s">
        <v>25</v>
      </c>
      <c r="B913" s="94" t="s">
        <v>3040</v>
      </c>
      <c r="C913" s="6" t="s">
        <v>3041</v>
      </c>
      <c r="D913" s="140">
        <v>11696208</v>
      </c>
      <c r="E913" s="6" t="s">
        <v>232</v>
      </c>
      <c r="F913" s="10" t="s">
        <v>44</v>
      </c>
      <c r="G913" s="6" t="s">
        <v>3042</v>
      </c>
      <c r="H913" s="8">
        <v>44584</v>
      </c>
      <c r="I913" s="8">
        <v>43469</v>
      </c>
      <c r="J913" s="8">
        <v>43811</v>
      </c>
      <c r="K913" s="95">
        <v>43899</v>
      </c>
      <c r="L913" s="95" t="s">
        <v>31</v>
      </c>
      <c r="M913" s="8">
        <v>43909</v>
      </c>
      <c r="N913" s="8">
        <v>44019</v>
      </c>
      <c r="O913" s="8">
        <v>44004</v>
      </c>
      <c r="P913" s="6" t="s">
        <v>75</v>
      </c>
      <c r="R913" s="97" t="str">
        <f t="shared" si="32"/>
        <v/>
      </c>
      <c r="S913" s="75" t="str">
        <f t="shared" si="31"/>
        <v/>
      </c>
      <c r="U913" s="8">
        <v>44019</v>
      </c>
      <c r="W913" s="6" t="s">
        <v>33</v>
      </c>
      <c r="X913" s="95">
        <v>50417</v>
      </c>
    </row>
    <row r="914" spans="1:24" ht="30" x14ac:dyDescent="0.25">
      <c r="A914" s="6" t="s">
        <v>25</v>
      </c>
      <c r="B914" s="94" t="s">
        <v>605</v>
      </c>
      <c r="C914" s="6" t="s">
        <v>3043</v>
      </c>
      <c r="D914" s="140">
        <v>11612004</v>
      </c>
      <c r="E914" s="6" t="s">
        <v>3003</v>
      </c>
      <c r="F914" s="10" t="s">
        <v>134</v>
      </c>
      <c r="G914" s="6" t="s">
        <v>3044</v>
      </c>
      <c r="H914" s="8">
        <v>45024</v>
      </c>
      <c r="I914" s="8">
        <v>43469</v>
      </c>
      <c r="J914" s="8">
        <v>43811</v>
      </c>
      <c r="K914" s="95">
        <v>43899</v>
      </c>
      <c r="L914" s="95" t="s">
        <v>359</v>
      </c>
      <c r="R914" s="97" t="str">
        <f t="shared" si="32"/>
        <v/>
      </c>
      <c r="S914" s="75" t="str">
        <f t="shared" si="31"/>
        <v/>
      </c>
      <c r="W914" s="6" t="s">
        <v>33</v>
      </c>
      <c r="X914" s="95">
        <v>51142</v>
      </c>
    </row>
    <row r="915" spans="1:24" x14ac:dyDescent="0.25">
      <c r="A915" s="6" t="s">
        <v>25</v>
      </c>
      <c r="B915" s="94" t="s">
        <v>108</v>
      </c>
      <c r="C915" s="6" t="s">
        <v>3013</v>
      </c>
      <c r="D915" s="140">
        <v>11877282</v>
      </c>
      <c r="E915" s="6" t="s">
        <v>3014</v>
      </c>
      <c r="F915" s="10" t="s">
        <v>148</v>
      </c>
      <c r="G915" s="6" t="s">
        <v>3045</v>
      </c>
      <c r="H915" s="8">
        <v>49150</v>
      </c>
      <c r="I915" s="8">
        <v>43616</v>
      </c>
      <c r="J915" s="8">
        <v>43616</v>
      </c>
      <c r="K915" s="95">
        <v>43641</v>
      </c>
      <c r="L915" s="95" t="s">
        <v>31</v>
      </c>
      <c r="M915" s="8">
        <v>43648</v>
      </c>
      <c r="N915" s="8">
        <v>43683</v>
      </c>
      <c r="O915" s="8">
        <v>43675</v>
      </c>
      <c r="P915" s="6" t="s">
        <v>52</v>
      </c>
      <c r="R915" s="97" t="str">
        <f t="shared" si="32"/>
        <v/>
      </c>
      <c r="S915" s="75" t="str">
        <f t="shared" si="31"/>
        <v/>
      </c>
      <c r="U915" s="8">
        <v>43684</v>
      </c>
      <c r="W915" s="6" t="s">
        <v>33</v>
      </c>
      <c r="X915" s="95">
        <v>38159</v>
      </c>
    </row>
    <row r="916" spans="1:24" x14ac:dyDescent="0.25">
      <c r="A916" s="6" t="s">
        <v>25</v>
      </c>
      <c r="B916" s="94" t="s">
        <v>3046</v>
      </c>
      <c r="C916" s="6" t="s">
        <v>3047</v>
      </c>
      <c r="D916" s="140">
        <v>11622240</v>
      </c>
      <c r="E916" s="6" t="s">
        <v>1539</v>
      </c>
      <c r="F916" s="10" t="s">
        <v>44</v>
      </c>
      <c r="G916" s="6" t="s">
        <v>3048</v>
      </c>
      <c r="H916" s="8">
        <v>64681</v>
      </c>
      <c r="I916" s="8">
        <v>43469</v>
      </c>
      <c r="J916" s="8">
        <v>43579</v>
      </c>
      <c r="K916" s="95">
        <v>43581</v>
      </c>
      <c r="L916" s="95" t="s">
        <v>359</v>
      </c>
      <c r="R916" s="97" t="str">
        <f t="shared" si="32"/>
        <v/>
      </c>
      <c r="S916" s="75" t="str">
        <f t="shared" si="31"/>
        <v/>
      </c>
      <c r="W916" s="6" t="s">
        <v>33</v>
      </c>
      <c r="X916" s="95">
        <v>54099</v>
      </c>
    </row>
    <row r="917" spans="1:24" x14ac:dyDescent="0.25">
      <c r="A917" s="6" t="s">
        <v>25</v>
      </c>
      <c r="B917" s="94" t="s">
        <v>178</v>
      </c>
      <c r="C917" s="6" t="s">
        <v>3049</v>
      </c>
      <c r="D917" s="140">
        <v>11238623</v>
      </c>
      <c r="E917" s="6" t="s">
        <v>547</v>
      </c>
      <c r="F917" s="10" t="s">
        <v>44</v>
      </c>
      <c r="G917" s="6" t="s">
        <v>3050</v>
      </c>
      <c r="H917" s="8">
        <v>46022</v>
      </c>
      <c r="I917" s="8">
        <v>43594</v>
      </c>
      <c r="J917" s="8">
        <v>43594</v>
      </c>
      <c r="K917" s="95">
        <v>43627</v>
      </c>
      <c r="L917" s="95" t="s">
        <v>31</v>
      </c>
      <c r="M917" s="8">
        <v>43634</v>
      </c>
      <c r="N917" s="8">
        <v>43700</v>
      </c>
      <c r="O917" s="8">
        <v>43677</v>
      </c>
      <c r="P917" s="6" t="s">
        <v>52</v>
      </c>
      <c r="R917" s="97" t="str">
        <f t="shared" si="32"/>
        <v/>
      </c>
      <c r="S917" s="75" t="str">
        <f t="shared" si="31"/>
        <v/>
      </c>
      <c r="U917" s="8">
        <v>43700</v>
      </c>
      <c r="W917" s="6" t="s">
        <v>33</v>
      </c>
      <c r="X917" s="95">
        <v>50487</v>
      </c>
    </row>
    <row r="918" spans="1:24" x14ac:dyDescent="0.25">
      <c r="A918" s="6" t="s">
        <v>25</v>
      </c>
      <c r="B918" s="94" t="s">
        <v>3051</v>
      </c>
      <c r="C918" s="6" t="s">
        <v>3052</v>
      </c>
      <c r="D918" s="140">
        <v>11679565</v>
      </c>
      <c r="E918" s="6" t="s">
        <v>43</v>
      </c>
      <c r="F918" s="10" t="s">
        <v>143</v>
      </c>
      <c r="G918" s="6" t="s">
        <v>3053</v>
      </c>
      <c r="H918" s="8">
        <v>50321</v>
      </c>
      <c r="I918" s="8">
        <v>43469</v>
      </c>
      <c r="J918" s="8">
        <v>43804</v>
      </c>
      <c r="K918" s="95">
        <v>43839</v>
      </c>
      <c r="L918" s="95" t="s">
        <v>31</v>
      </c>
      <c r="M918" s="8">
        <v>43851</v>
      </c>
      <c r="N918" s="8">
        <v>44839</v>
      </c>
      <c r="O918" s="8">
        <v>44683</v>
      </c>
      <c r="P918" s="107" t="s">
        <v>35</v>
      </c>
      <c r="Q918" s="96">
        <v>2435</v>
      </c>
      <c r="R918" s="97">
        <f t="shared" si="32"/>
        <v>6.6712328767123283</v>
      </c>
      <c r="S918" s="75">
        <f t="shared" si="31"/>
        <v>55097.712328767127</v>
      </c>
      <c r="T918" s="129"/>
      <c r="U918" s="8">
        <v>44956</v>
      </c>
      <c r="W918" s="6" t="s">
        <v>33</v>
      </c>
      <c r="X918" s="95">
        <v>46752</v>
      </c>
    </row>
    <row r="919" spans="1:24" x14ac:dyDescent="0.25">
      <c r="A919" s="6" t="s">
        <v>25</v>
      </c>
      <c r="B919" s="94" t="s">
        <v>41</v>
      </c>
      <c r="C919" s="6" t="s">
        <v>3054</v>
      </c>
      <c r="D919" s="140">
        <v>11688084</v>
      </c>
      <c r="E919" s="6" t="s">
        <v>2086</v>
      </c>
      <c r="F919" s="10" t="s">
        <v>44</v>
      </c>
      <c r="G919" s="6" t="s">
        <v>3055</v>
      </c>
      <c r="H919" s="8">
        <v>45333</v>
      </c>
      <c r="I919" s="8">
        <v>43469</v>
      </c>
      <c r="J919" s="8">
        <v>43579</v>
      </c>
      <c r="K919" s="95">
        <v>43581</v>
      </c>
      <c r="L919" s="95" t="s">
        <v>359</v>
      </c>
      <c r="R919" s="97" t="str">
        <f t="shared" si="32"/>
        <v/>
      </c>
      <c r="S919" s="75" t="str">
        <f t="shared" si="31"/>
        <v/>
      </c>
      <c r="W919" s="6" t="s">
        <v>33</v>
      </c>
      <c r="X919" s="95">
        <v>42120</v>
      </c>
    </row>
    <row r="920" spans="1:24" x14ac:dyDescent="0.25">
      <c r="A920" s="6" t="s">
        <v>25</v>
      </c>
      <c r="B920" s="94" t="s">
        <v>3056</v>
      </c>
      <c r="C920" s="6" t="s">
        <v>3057</v>
      </c>
      <c r="D920" s="140">
        <v>11720470</v>
      </c>
      <c r="E920" s="6" t="s">
        <v>1400</v>
      </c>
      <c r="F920" s="10" t="s">
        <v>139</v>
      </c>
      <c r="G920" s="6" t="s">
        <v>3058</v>
      </c>
      <c r="H920" s="8">
        <v>44398</v>
      </c>
      <c r="I920" s="8">
        <v>43469</v>
      </c>
      <c r="J920" s="8">
        <v>43593</v>
      </c>
      <c r="K920" s="95">
        <v>43602</v>
      </c>
      <c r="L920" s="95" t="s">
        <v>31</v>
      </c>
      <c r="M920" s="8">
        <v>43629</v>
      </c>
      <c r="R920" s="97" t="str">
        <f t="shared" si="32"/>
        <v/>
      </c>
      <c r="S920" s="75" t="str">
        <f t="shared" si="31"/>
        <v/>
      </c>
      <c r="T920" s="124" t="s">
        <v>3059</v>
      </c>
      <c r="U920" s="8">
        <v>43934</v>
      </c>
      <c r="W920" s="6" t="s">
        <v>33</v>
      </c>
      <c r="X920" s="95">
        <v>42074</v>
      </c>
    </row>
    <row r="921" spans="1:24" x14ac:dyDescent="0.25">
      <c r="A921" s="6" t="s">
        <v>37</v>
      </c>
      <c r="B921" s="106" t="s">
        <v>3060</v>
      </c>
      <c r="C921" s="107" t="s">
        <v>3061</v>
      </c>
      <c r="D921" s="142">
        <v>11239167</v>
      </c>
      <c r="E921" s="107" t="s">
        <v>3062</v>
      </c>
      <c r="F921" s="56" t="s">
        <v>205</v>
      </c>
      <c r="G921" s="107" t="s">
        <v>3063</v>
      </c>
      <c r="H921" s="108">
        <v>46349</v>
      </c>
      <c r="I921" s="108">
        <v>43417</v>
      </c>
      <c r="J921" s="108">
        <v>43420</v>
      </c>
      <c r="K921" s="109">
        <v>43420</v>
      </c>
      <c r="L921" s="109" t="s">
        <v>31</v>
      </c>
      <c r="M921" s="108">
        <v>43433</v>
      </c>
      <c r="N921" s="108">
        <v>43616</v>
      </c>
      <c r="O921" s="108">
        <v>43595</v>
      </c>
      <c r="P921" s="107" t="s">
        <v>35</v>
      </c>
      <c r="Q921" s="110">
        <v>2434</v>
      </c>
      <c r="R921" s="120">
        <f t="shared" si="32"/>
        <v>6.6684931506849319</v>
      </c>
      <c r="S921" s="75">
        <f t="shared" si="31"/>
        <v>55075.084931506848</v>
      </c>
      <c r="T921" s="129"/>
      <c r="U921" s="8">
        <v>43616</v>
      </c>
      <c r="W921" s="6" t="s">
        <v>33</v>
      </c>
      <c r="X921" s="95">
        <v>43704</v>
      </c>
    </row>
    <row r="922" spans="1:24" x14ac:dyDescent="0.25">
      <c r="A922" s="6" t="s">
        <v>168</v>
      </c>
      <c r="B922" s="94" t="s">
        <v>3064</v>
      </c>
      <c r="C922" s="6" t="s">
        <v>3065</v>
      </c>
      <c r="D922" s="140">
        <v>11009264</v>
      </c>
      <c r="E922" s="6" t="s">
        <v>171</v>
      </c>
      <c r="F922" s="10" t="s">
        <v>44</v>
      </c>
      <c r="G922" s="6" t="s">
        <v>3066</v>
      </c>
      <c r="H922" s="8">
        <v>54288</v>
      </c>
      <c r="I922" s="8">
        <v>44042</v>
      </c>
      <c r="J922" s="8">
        <v>44084</v>
      </c>
      <c r="K922" s="95">
        <v>44088</v>
      </c>
      <c r="L922" s="95" t="s">
        <v>31</v>
      </c>
      <c r="M922" s="8">
        <v>44099</v>
      </c>
      <c r="N922" s="8">
        <v>44516</v>
      </c>
      <c r="O922" s="8">
        <v>44370</v>
      </c>
      <c r="P922" s="6" t="s">
        <v>69</v>
      </c>
      <c r="R922" s="97" t="str">
        <f t="shared" si="32"/>
        <v/>
      </c>
      <c r="S922" s="75" t="str">
        <f t="shared" ref="S922:S963" si="33">IF(Q922&gt;0, SUM(Q922)*(8259/365), "")</f>
        <v/>
      </c>
      <c r="T922" s="124" t="s">
        <v>3067</v>
      </c>
      <c r="U922" s="8">
        <v>44518</v>
      </c>
      <c r="W922" s="6" t="s">
        <v>84</v>
      </c>
      <c r="X922" s="135">
        <v>47847</v>
      </c>
    </row>
    <row r="923" spans="1:24" ht="30" x14ac:dyDescent="0.25">
      <c r="A923" s="6" t="s">
        <v>25</v>
      </c>
      <c r="B923" s="94" t="s">
        <v>554</v>
      </c>
      <c r="C923" s="6" t="s">
        <v>3068</v>
      </c>
      <c r="D923" s="140">
        <v>11886723</v>
      </c>
      <c r="E923" s="6" t="s">
        <v>228</v>
      </c>
      <c r="F923" s="10" t="s">
        <v>1225</v>
      </c>
      <c r="G923" s="6" t="s">
        <v>3069</v>
      </c>
      <c r="H923" s="8">
        <v>45278</v>
      </c>
      <c r="I923" s="8">
        <v>43623</v>
      </c>
      <c r="J923" s="8">
        <v>43623</v>
      </c>
      <c r="K923" s="95">
        <v>43663</v>
      </c>
      <c r="L923" s="95" t="s">
        <v>31</v>
      </c>
      <c r="M923" s="8">
        <v>43669</v>
      </c>
      <c r="N923" s="8">
        <v>43682</v>
      </c>
      <c r="O923" s="8">
        <v>43677</v>
      </c>
      <c r="P923" s="6" t="s">
        <v>52</v>
      </c>
      <c r="R923" s="97" t="str">
        <f t="shared" si="32"/>
        <v/>
      </c>
      <c r="S923" s="75" t="str">
        <f t="shared" si="33"/>
        <v/>
      </c>
      <c r="T923" s="124" t="s">
        <v>3070</v>
      </c>
      <c r="U923" s="8">
        <v>43682</v>
      </c>
      <c r="W923" s="6" t="s">
        <v>33</v>
      </c>
      <c r="X923" s="95">
        <v>50625</v>
      </c>
    </row>
    <row r="924" spans="1:24" x14ac:dyDescent="0.25">
      <c r="A924" s="6" t="s">
        <v>37</v>
      </c>
      <c r="B924" s="94" t="s">
        <v>3071</v>
      </c>
      <c r="C924" s="6" t="s">
        <v>3072</v>
      </c>
      <c r="D924" s="140">
        <v>11338137</v>
      </c>
      <c r="E924" s="6" t="s">
        <v>325</v>
      </c>
      <c r="F924" s="10" t="s">
        <v>139</v>
      </c>
      <c r="G924" s="6" t="s">
        <v>3073</v>
      </c>
      <c r="H924" s="8">
        <v>44922</v>
      </c>
      <c r="I924" s="8">
        <v>43474</v>
      </c>
      <c r="J924" s="8">
        <v>43479</v>
      </c>
      <c r="L924" s="95" t="s">
        <v>359</v>
      </c>
      <c r="R924" s="97" t="str">
        <f t="shared" si="32"/>
        <v/>
      </c>
      <c r="S924" s="75" t="str">
        <f t="shared" si="33"/>
        <v/>
      </c>
      <c r="W924" s="6" t="s">
        <v>33</v>
      </c>
      <c r="X924" s="95">
        <v>44932</v>
      </c>
    </row>
    <row r="925" spans="1:24" x14ac:dyDescent="0.25">
      <c r="A925" s="6" t="s">
        <v>168</v>
      </c>
      <c r="B925" s="94" t="s">
        <v>3074</v>
      </c>
      <c r="C925" s="6" t="s">
        <v>3075</v>
      </c>
      <c r="D925" s="140">
        <v>11753392</v>
      </c>
      <c r="E925" s="6" t="s">
        <v>3076</v>
      </c>
      <c r="F925" s="10" t="s">
        <v>299</v>
      </c>
      <c r="G925" s="6" t="s">
        <v>3077</v>
      </c>
      <c r="H925" s="8">
        <v>52331</v>
      </c>
      <c r="I925" s="8">
        <v>43537</v>
      </c>
      <c r="J925" s="8">
        <v>43574</v>
      </c>
      <c r="K925" s="95">
        <v>43574</v>
      </c>
      <c r="L925" s="95" t="s">
        <v>31</v>
      </c>
      <c r="M925" s="8">
        <v>43577</v>
      </c>
      <c r="N925" s="8">
        <v>43628</v>
      </c>
      <c r="O925" s="8">
        <v>43605</v>
      </c>
      <c r="P925" s="6" t="s">
        <v>52</v>
      </c>
      <c r="R925" s="97" t="str">
        <f t="shared" si="32"/>
        <v/>
      </c>
      <c r="S925" s="75" t="str">
        <f t="shared" si="33"/>
        <v/>
      </c>
      <c r="T925" s="124" t="s">
        <v>3078</v>
      </c>
      <c r="U925" s="8">
        <v>43628</v>
      </c>
      <c r="W925" s="6" t="s">
        <v>84</v>
      </c>
      <c r="X925" s="95">
        <v>49429</v>
      </c>
    </row>
    <row r="926" spans="1:24" x14ac:dyDescent="0.25">
      <c r="A926" s="6" t="s">
        <v>37</v>
      </c>
      <c r="B926" s="94" t="s">
        <v>3079</v>
      </c>
      <c r="C926" s="6" t="s">
        <v>3080</v>
      </c>
      <c r="D926" s="140">
        <v>11361723</v>
      </c>
      <c r="E926" s="6" t="s">
        <v>3081</v>
      </c>
      <c r="F926" s="10" t="s">
        <v>121</v>
      </c>
      <c r="G926" s="6" t="s">
        <v>3082</v>
      </c>
      <c r="H926" s="8">
        <v>48327</v>
      </c>
      <c r="I926" s="8">
        <v>43474</v>
      </c>
      <c r="J926" s="8">
        <v>43479</v>
      </c>
      <c r="K926" s="95">
        <v>43490</v>
      </c>
      <c r="L926" s="95" t="s">
        <v>359</v>
      </c>
      <c r="R926" s="97" t="str">
        <f t="shared" si="32"/>
        <v/>
      </c>
      <c r="S926" s="75" t="str">
        <f t="shared" si="33"/>
        <v/>
      </c>
      <c r="W926" s="6" t="s">
        <v>33</v>
      </c>
      <c r="X926" s="95">
        <v>54606</v>
      </c>
    </row>
    <row r="927" spans="1:24" x14ac:dyDescent="0.25">
      <c r="A927" s="6" t="s">
        <v>37</v>
      </c>
      <c r="B927" s="94" t="s">
        <v>3083</v>
      </c>
      <c r="C927" s="6" t="s">
        <v>3084</v>
      </c>
      <c r="D927" s="140">
        <v>11362588</v>
      </c>
      <c r="E927" s="6" t="s">
        <v>332</v>
      </c>
      <c r="F927" s="10" t="s">
        <v>44</v>
      </c>
      <c r="G927" s="6" t="s">
        <v>3085</v>
      </c>
      <c r="H927" s="8">
        <v>45324</v>
      </c>
      <c r="I927" s="8">
        <v>43474</v>
      </c>
      <c r="J927" s="8">
        <v>43479</v>
      </c>
      <c r="K927" s="95">
        <v>43490</v>
      </c>
      <c r="L927" s="95" t="s">
        <v>359</v>
      </c>
      <c r="R927" s="97" t="str">
        <f t="shared" si="32"/>
        <v/>
      </c>
      <c r="S927" s="75" t="str">
        <f t="shared" si="33"/>
        <v/>
      </c>
      <c r="W927" s="6" t="s">
        <v>33</v>
      </c>
      <c r="X927" s="95">
        <v>51263</v>
      </c>
    </row>
    <row r="928" spans="1:24" x14ac:dyDescent="0.25">
      <c r="A928" s="6" t="s">
        <v>37</v>
      </c>
      <c r="B928" s="94" t="s">
        <v>3086</v>
      </c>
      <c r="C928" s="6" t="s">
        <v>3087</v>
      </c>
      <c r="D928" s="140">
        <v>11088530</v>
      </c>
      <c r="E928" s="6" t="s">
        <v>2879</v>
      </c>
      <c r="F928" s="10" t="s">
        <v>143</v>
      </c>
      <c r="G928" s="6" t="s">
        <v>3088</v>
      </c>
      <c r="H928" s="8">
        <v>44925</v>
      </c>
      <c r="I928" s="8">
        <v>44256</v>
      </c>
      <c r="J928" s="8">
        <v>44267</v>
      </c>
      <c r="K928" s="95">
        <v>44271</v>
      </c>
      <c r="L928" s="95" t="s">
        <v>31</v>
      </c>
      <c r="M928" s="8">
        <v>44281</v>
      </c>
      <c r="N928" s="8">
        <v>44326</v>
      </c>
      <c r="O928" s="8">
        <v>44245</v>
      </c>
      <c r="P928" s="6" t="s">
        <v>35</v>
      </c>
      <c r="Q928" s="96">
        <v>1826</v>
      </c>
      <c r="R928" s="97">
        <f t="shared" si="32"/>
        <v>5.0027397260273974</v>
      </c>
      <c r="S928" s="75">
        <f t="shared" si="33"/>
        <v>41317.627397260272</v>
      </c>
      <c r="T928" s="124" t="s">
        <v>3089</v>
      </c>
      <c r="U928" s="8">
        <v>44326</v>
      </c>
      <c r="W928" s="6" t="s">
        <v>33</v>
      </c>
      <c r="X928" s="7">
        <v>46487</v>
      </c>
    </row>
    <row r="929" spans="1:24" x14ac:dyDescent="0.25">
      <c r="A929" s="6" t="s">
        <v>25</v>
      </c>
      <c r="B929" s="94" t="s">
        <v>242</v>
      </c>
      <c r="C929" s="6" t="s">
        <v>3090</v>
      </c>
      <c r="D929" s="140">
        <v>11589278</v>
      </c>
      <c r="E929" s="6" t="s">
        <v>480</v>
      </c>
      <c r="F929" s="10" t="s">
        <v>44</v>
      </c>
      <c r="G929" s="6" t="s">
        <v>3091</v>
      </c>
      <c r="H929" s="8">
        <v>47361</v>
      </c>
      <c r="I929" s="8">
        <v>43640</v>
      </c>
      <c r="J929" s="95">
        <v>43641</v>
      </c>
      <c r="K929" s="95">
        <v>43675</v>
      </c>
      <c r="L929" s="95" t="s">
        <v>359</v>
      </c>
      <c r="R929" s="97" t="str">
        <f t="shared" si="32"/>
        <v/>
      </c>
      <c r="S929" s="75" t="str">
        <f t="shared" si="33"/>
        <v/>
      </c>
      <c r="W929" s="6" t="s">
        <v>33</v>
      </c>
      <c r="X929" s="95">
        <v>54253</v>
      </c>
    </row>
    <row r="930" spans="1:24" x14ac:dyDescent="0.25">
      <c r="A930" s="6" t="s">
        <v>25</v>
      </c>
      <c r="B930" s="94" t="s">
        <v>890</v>
      </c>
      <c r="C930" s="6" t="s">
        <v>3092</v>
      </c>
      <c r="D930" s="140">
        <v>11747625</v>
      </c>
      <c r="E930" s="6" t="s">
        <v>409</v>
      </c>
      <c r="F930" s="10" t="s">
        <v>121</v>
      </c>
      <c r="G930" s="6" t="s">
        <v>3093</v>
      </c>
      <c r="H930" s="8">
        <v>44880</v>
      </c>
      <c r="I930" s="8">
        <v>43480</v>
      </c>
      <c r="J930" s="8">
        <v>43593</v>
      </c>
      <c r="K930" s="95">
        <v>43602</v>
      </c>
      <c r="L930" s="95" t="s">
        <v>31</v>
      </c>
      <c r="M930" s="8">
        <v>43629</v>
      </c>
      <c r="N930" s="8">
        <v>43686</v>
      </c>
      <c r="O930" s="8">
        <v>43665</v>
      </c>
      <c r="P930" s="6" t="s">
        <v>75</v>
      </c>
      <c r="R930" s="97" t="str">
        <f t="shared" si="32"/>
        <v/>
      </c>
      <c r="S930" s="75" t="str">
        <f t="shared" si="33"/>
        <v/>
      </c>
      <c r="U930" s="8">
        <v>43934</v>
      </c>
      <c r="W930" s="6" t="s">
        <v>33</v>
      </c>
      <c r="X930" s="95">
        <v>50146</v>
      </c>
    </row>
    <row r="931" spans="1:24" x14ac:dyDescent="0.25">
      <c r="A931" s="6" t="s">
        <v>25</v>
      </c>
      <c r="B931" s="94" t="s">
        <v>3094</v>
      </c>
      <c r="C931" s="6" t="s">
        <v>3095</v>
      </c>
      <c r="D931" s="140">
        <v>11312191</v>
      </c>
      <c r="E931" s="6" t="s">
        <v>166</v>
      </c>
      <c r="F931" s="10" t="s">
        <v>134</v>
      </c>
      <c r="G931" s="6" t="s">
        <v>3096</v>
      </c>
      <c r="H931" s="8">
        <v>47155</v>
      </c>
      <c r="I931" s="8">
        <v>43623</v>
      </c>
      <c r="J931" s="8">
        <v>43623</v>
      </c>
      <c r="K931" s="95">
        <v>43663</v>
      </c>
      <c r="L931" s="95" t="s">
        <v>31</v>
      </c>
      <c r="M931" s="8">
        <v>43668</v>
      </c>
      <c r="N931" s="8">
        <v>43699</v>
      </c>
      <c r="O931" s="8">
        <v>43677</v>
      </c>
      <c r="P931" s="6" t="s">
        <v>75</v>
      </c>
      <c r="R931" s="97" t="str">
        <f t="shared" si="32"/>
        <v/>
      </c>
      <c r="S931" s="75" t="str">
        <f t="shared" si="33"/>
        <v/>
      </c>
      <c r="U931" s="8">
        <v>43699</v>
      </c>
      <c r="W931" s="6" t="s">
        <v>33</v>
      </c>
      <c r="X931" s="95">
        <v>52648</v>
      </c>
    </row>
    <row r="932" spans="1:24" x14ac:dyDescent="0.25">
      <c r="A932" s="6" t="s">
        <v>25</v>
      </c>
      <c r="B932" s="94" t="s">
        <v>3097</v>
      </c>
      <c r="C932" s="6" t="s">
        <v>3098</v>
      </c>
      <c r="D932" s="140">
        <v>11750751</v>
      </c>
      <c r="E932" s="6" t="s">
        <v>928</v>
      </c>
      <c r="F932" s="10" t="s">
        <v>29</v>
      </c>
      <c r="G932" s="6" t="s">
        <v>3099</v>
      </c>
      <c r="H932" s="8">
        <v>55589</v>
      </c>
      <c r="I932" s="8">
        <v>43480</v>
      </c>
      <c r="J932" s="8">
        <v>43593</v>
      </c>
      <c r="K932" s="95">
        <v>43602</v>
      </c>
      <c r="L932" s="95" t="s">
        <v>31</v>
      </c>
      <c r="M932" s="8">
        <v>43629</v>
      </c>
      <c r="N932" s="8">
        <v>43906</v>
      </c>
      <c r="O932" s="8">
        <v>43900</v>
      </c>
      <c r="P932" s="6" t="s">
        <v>75</v>
      </c>
      <c r="R932" s="97" t="str">
        <f t="shared" si="32"/>
        <v/>
      </c>
      <c r="S932" s="75" t="str">
        <f t="shared" si="33"/>
        <v/>
      </c>
      <c r="U932" s="8">
        <v>43922</v>
      </c>
      <c r="W932" s="6" t="s">
        <v>33</v>
      </c>
      <c r="X932" s="95">
        <v>50401</v>
      </c>
    </row>
    <row r="933" spans="1:24" x14ac:dyDescent="0.25">
      <c r="A933" s="6" t="s">
        <v>168</v>
      </c>
      <c r="B933" s="94" t="s">
        <v>3100</v>
      </c>
      <c r="C933" s="6" t="s">
        <v>3101</v>
      </c>
      <c r="D933" s="140">
        <v>11330927</v>
      </c>
      <c r="E933" s="6" t="s">
        <v>3102</v>
      </c>
      <c r="F933" s="10" t="s">
        <v>363</v>
      </c>
      <c r="G933" s="6">
        <v>1219225</v>
      </c>
      <c r="H933" s="8">
        <v>76885</v>
      </c>
      <c r="I933" s="8">
        <v>44329</v>
      </c>
      <c r="J933" s="8">
        <v>44342</v>
      </c>
      <c r="K933" s="95">
        <v>44343</v>
      </c>
      <c r="L933" s="95" t="s">
        <v>359</v>
      </c>
      <c r="R933" s="97" t="str">
        <f t="shared" ref="R933:R996" si="34">IF(Q933&gt;0, Q933/365, "")</f>
        <v/>
      </c>
      <c r="S933" s="75" t="str">
        <f t="shared" si="33"/>
        <v/>
      </c>
      <c r="W933" s="6" t="s">
        <v>84</v>
      </c>
      <c r="X933" s="7">
        <v>47645</v>
      </c>
    </row>
    <row r="934" spans="1:24" x14ac:dyDescent="0.25">
      <c r="A934" s="6" t="s">
        <v>25</v>
      </c>
      <c r="B934" s="94" t="s">
        <v>3103</v>
      </c>
      <c r="C934" s="6" t="s">
        <v>3104</v>
      </c>
      <c r="D934" s="140">
        <v>11776472</v>
      </c>
      <c r="E934" s="6" t="s">
        <v>2160</v>
      </c>
      <c r="F934" s="10" t="s">
        <v>57</v>
      </c>
      <c r="G934" s="6" t="s">
        <v>3105</v>
      </c>
      <c r="H934" s="8">
        <v>48324</v>
      </c>
      <c r="I934" s="8">
        <v>43480</v>
      </c>
      <c r="J934" s="8">
        <v>43600</v>
      </c>
      <c r="K934" s="95">
        <v>43620</v>
      </c>
      <c r="L934" s="95" t="s">
        <v>31</v>
      </c>
      <c r="M934" s="8">
        <v>43629</v>
      </c>
      <c r="N934" s="8">
        <v>44109</v>
      </c>
      <c r="O934" s="8">
        <v>43987</v>
      </c>
      <c r="P934" s="6" t="s">
        <v>52</v>
      </c>
      <c r="R934" s="97" t="str">
        <f t="shared" si="34"/>
        <v/>
      </c>
      <c r="S934" s="75" t="str">
        <f t="shared" si="33"/>
        <v/>
      </c>
      <c r="T934" s="124" t="s">
        <v>3106</v>
      </c>
      <c r="U934" s="8">
        <v>44133</v>
      </c>
      <c r="W934" s="6" t="s">
        <v>33</v>
      </c>
      <c r="X934" s="95">
        <v>50534</v>
      </c>
    </row>
    <row r="935" spans="1:24" x14ac:dyDescent="0.25">
      <c r="A935" s="6" t="s">
        <v>25</v>
      </c>
      <c r="B935" s="94" t="s">
        <v>3107</v>
      </c>
      <c r="C935" s="6" t="s">
        <v>3108</v>
      </c>
      <c r="D935" s="140">
        <v>11724103</v>
      </c>
      <c r="E935" s="6" t="s">
        <v>759</v>
      </c>
      <c r="F935" s="10" t="s">
        <v>50</v>
      </c>
      <c r="G935" s="6" t="s">
        <v>3109</v>
      </c>
      <c r="H935" s="8">
        <v>46593</v>
      </c>
      <c r="I935" s="8">
        <v>43480</v>
      </c>
      <c r="J935" s="8">
        <v>43593</v>
      </c>
      <c r="K935" s="95">
        <v>43602</v>
      </c>
      <c r="L935" s="95" t="s">
        <v>359</v>
      </c>
      <c r="R935" s="97" t="str">
        <f t="shared" si="34"/>
        <v/>
      </c>
      <c r="S935" s="75" t="str">
        <f t="shared" si="33"/>
        <v/>
      </c>
      <c r="W935" s="6" t="s">
        <v>33</v>
      </c>
      <c r="X935" s="95">
        <v>50466</v>
      </c>
    </row>
    <row r="936" spans="1:24" x14ac:dyDescent="0.25">
      <c r="A936" s="6" t="s">
        <v>25</v>
      </c>
      <c r="B936" s="94" t="s">
        <v>3110</v>
      </c>
      <c r="C936" s="6" t="s">
        <v>3111</v>
      </c>
      <c r="D936" s="140">
        <v>11752794</v>
      </c>
      <c r="E936" s="6" t="s">
        <v>261</v>
      </c>
      <c r="F936" s="10" t="s">
        <v>148</v>
      </c>
      <c r="G936" s="6" t="s">
        <v>3112</v>
      </c>
      <c r="H936" s="8">
        <v>46010</v>
      </c>
      <c r="I936" s="8">
        <v>43480</v>
      </c>
      <c r="J936" s="8">
        <v>43593</v>
      </c>
      <c r="K936" s="95">
        <v>43602</v>
      </c>
      <c r="L936" s="95" t="s">
        <v>359</v>
      </c>
      <c r="R936" s="97" t="str">
        <f t="shared" si="34"/>
        <v/>
      </c>
      <c r="S936" s="75" t="str">
        <f t="shared" si="33"/>
        <v/>
      </c>
      <c r="W936" s="6" t="s">
        <v>33</v>
      </c>
      <c r="X936" s="95">
        <v>50481</v>
      </c>
    </row>
    <row r="937" spans="1:24" x14ac:dyDescent="0.25">
      <c r="A937" s="6" t="s">
        <v>25</v>
      </c>
      <c r="B937" s="94" t="s">
        <v>3113</v>
      </c>
      <c r="C937" s="6" t="s">
        <v>3114</v>
      </c>
      <c r="D937" s="140">
        <v>11728304</v>
      </c>
      <c r="E937" s="6" t="s">
        <v>2072</v>
      </c>
      <c r="F937" s="10" t="s">
        <v>44</v>
      </c>
      <c r="G937" s="6" t="s">
        <v>3115</v>
      </c>
      <c r="H937" s="8">
        <v>47325</v>
      </c>
      <c r="I937" s="8">
        <v>43480</v>
      </c>
      <c r="J937" s="8">
        <v>43593</v>
      </c>
      <c r="K937" s="95">
        <v>43602</v>
      </c>
      <c r="L937" s="95" t="s">
        <v>31</v>
      </c>
      <c r="M937" s="8">
        <v>43629</v>
      </c>
      <c r="N937" s="8">
        <v>43748</v>
      </c>
      <c r="O937" s="8">
        <v>43735</v>
      </c>
      <c r="P937" s="6" t="s">
        <v>35</v>
      </c>
      <c r="Q937" s="96">
        <v>3652</v>
      </c>
      <c r="R937" s="97">
        <f t="shared" si="34"/>
        <v>10.005479452054795</v>
      </c>
      <c r="S937" s="75">
        <f t="shared" si="33"/>
        <v>82635.254794520544</v>
      </c>
      <c r="T937" s="124" t="s">
        <v>3116</v>
      </c>
      <c r="U937" s="8">
        <v>43748</v>
      </c>
      <c r="W937" s="6" t="s">
        <v>33</v>
      </c>
      <c r="X937" s="95">
        <v>50395</v>
      </c>
    </row>
    <row r="938" spans="1:24" x14ac:dyDescent="0.25">
      <c r="A938" s="6" t="s">
        <v>85</v>
      </c>
      <c r="B938" s="94" t="s">
        <v>944</v>
      </c>
      <c r="C938" s="6" t="s">
        <v>3117</v>
      </c>
      <c r="D938" s="140">
        <v>11296282</v>
      </c>
      <c r="E938" s="6" t="s">
        <v>1525</v>
      </c>
      <c r="F938" s="10" t="s">
        <v>148</v>
      </c>
      <c r="G938" s="6" t="s">
        <v>3118</v>
      </c>
      <c r="H938" s="8">
        <v>55691</v>
      </c>
      <c r="I938" s="8">
        <v>43299</v>
      </c>
      <c r="J938" s="8">
        <v>43301</v>
      </c>
      <c r="K938" s="95">
        <v>43313</v>
      </c>
      <c r="L938" s="95" t="s">
        <v>31</v>
      </c>
      <c r="M938" s="8">
        <v>43320</v>
      </c>
      <c r="P938" s="6" t="s">
        <v>628</v>
      </c>
      <c r="R938" s="97" t="str">
        <f t="shared" si="34"/>
        <v/>
      </c>
      <c r="S938" s="75" t="str">
        <f t="shared" si="33"/>
        <v/>
      </c>
      <c r="T938" s="8">
        <v>44314</v>
      </c>
      <c r="W938" s="6" t="s">
        <v>33</v>
      </c>
      <c r="X938" s="95">
        <v>44651</v>
      </c>
    </row>
    <row r="939" spans="1:24" ht="105" x14ac:dyDescent="0.25">
      <c r="A939" s="6" t="s">
        <v>25</v>
      </c>
      <c r="B939" s="94" t="s">
        <v>3119</v>
      </c>
      <c r="C939" s="6" t="s">
        <v>3120</v>
      </c>
      <c r="D939" s="140">
        <v>11216886</v>
      </c>
      <c r="E939" s="6" t="s">
        <v>314</v>
      </c>
      <c r="F939" s="10" t="s">
        <v>57</v>
      </c>
      <c r="G939" s="6" t="s">
        <v>3121</v>
      </c>
      <c r="H939" s="8">
        <v>47688</v>
      </c>
      <c r="I939" s="8">
        <v>43592</v>
      </c>
      <c r="J939" s="8">
        <v>43592</v>
      </c>
      <c r="K939" s="95">
        <v>43602</v>
      </c>
      <c r="L939" s="95" t="s">
        <v>31</v>
      </c>
      <c r="M939" s="8">
        <v>43627</v>
      </c>
      <c r="N939" s="8">
        <v>44412</v>
      </c>
      <c r="O939" s="8">
        <v>44485</v>
      </c>
      <c r="P939" s="6" t="s">
        <v>75</v>
      </c>
      <c r="R939" s="97" t="str">
        <f t="shared" si="34"/>
        <v/>
      </c>
      <c r="S939" s="75" t="str">
        <f t="shared" si="33"/>
        <v/>
      </c>
      <c r="T939" s="124" t="s">
        <v>3122</v>
      </c>
      <c r="U939" s="8">
        <v>44412</v>
      </c>
      <c r="W939" s="6" t="s">
        <v>33</v>
      </c>
      <c r="X939" s="95">
        <v>48160</v>
      </c>
    </row>
    <row r="940" spans="1:24" x14ac:dyDescent="0.25">
      <c r="A940" s="6" t="s">
        <v>37</v>
      </c>
      <c r="B940" s="94" t="s">
        <v>3123</v>
      </c>
      <c r="C940" s="6" t="s">
        <v>3124</v>
      </c>
      <c r="D940" s="140" t="s">
        <v>3125</v>
      </c>
      <c r="E940" s="6" t="s">
        <v>3126</v>
      </c>
      <c r="F940" s="10" t="s">
        <v>44</v>
      </c>
      <c r="G940" s="6" t="s">
        <v>3127</v>
      </c>
      <c r="H940" s="8">
        <v>44254</v>
      </c>
      <c r="I940" s="8">
        <v>43482</v>
      </c>
      <c r="J940" s="8">
        <v>43496</v>
      </c>
      <c r="K940" s="95">
        <v>43496</v>
      </c>
      <c r="L940" s="95" t="s">
        <v>359</v>
      </c>
      <c r="R940" s="97" t="str">
        <f t="shared" si="34"/>
        <v/>
      </c>
      <c r="S940" s="75" t="str">
        <f t="shared" si="33"/>
        <v/>
      </c>
      <c r="W940" s="6" t="s">
        <v>33</v>
      </c>
      <c r="X940" s="95">
        <v>54356</v>
      </c>
    </row>
    <row r="941" spans="1:24" x14ac:dyDescent="0.25">
      <c r="A941" s="6" t="s">
        <v>25</v>
      </c>
      <c r="B941" s="94" t="s">
        <v>3128</v>
      </c>
      <c r="C941" s="6" t="s">
        <v>3129</v>
      </c>
      <c r="D941" s="140">
        <v>11784171</v>
      </c>
      <c r="E941" s="6" t="s">
        <v>344</v>
      </c>
      <c r="F941" s="10" t="s">
        <v>134</v>
      </c>
      <c r="G941" s="6" t="s">
        <v>3130</v>
      </c>
      <c r="H941" s="8">
        <v>48021</v>
      </c>
      <c r="I941" s="8">
        <v>43483</v>
      </c>
      <c r="J941" s="8">
        <v>43600</v>
      </c>
      <c r="K941" s="95">
        <v>43620</v>
      </c>
      <c r="L941" s="95" t="s">
        <v>31</v>
      </c>
      <c r="M941" s="8">
        <v>43629</v>
      </c>
      <c r="N941" s="108">
        <v>44294</v>
      </c>
      <c r="O941" s="108">
        <v>44252</v>
      </c>
      <c r="P941" s="107" t="s">
        <v>35</v>
      </c>
      <c r="Q941" s="110">
        <v>3668</v>
      </c>
      <c r="R941" s="97">
        <f t="shared" si="34"/>
        <v>10.049315068493151</v>
      </c>
      <c r="S941" s="75">
        <f t="shared" si="33"/>
        <v>82997.293150684927</v>
      </c>
      <c r="U941" s="8">
        <v>44776</v>
      </c>
      <c r="W941" s="6" t="s">
        <v>33</v>
      </c>
      <c r="X941" s="95">
        <v>48000</v>
      </c>
    </row>
    <row r="942" spans="1:24" x14ac:dyDescent="0.25">
      <c r="A942" s="6" t="s">
        <v>25</v>
      </c>
      <c r="B942" s="94" t="s">
        <v>3131</v>
      </c>
      <c r="C942" s="6" t="s">
        <v>3132</v>
      </c>
      <c r="D942" s="140">
        <v>11073409</v>
      </c>
      <c r="E942" s="6" t="s">
        <v>498</v>
      </c>
      <c r="F942" s="10" t="s">
        <v>44</v>
      </c>
      <c r="G942" s="6" t="s">
        <v>3133</v>
      </c>
      <c r="H942" s="8">
        <v>48838</v>
      </c>
      <c r="I942" s="8">
        <v>43640</v>
      </c>
      <c r="J942" s="8">
        <v>43640</v>
      </c>
      <c r="K942" s="95">
        <v>43663</v>
      </c>
      <c r="L942" s="95" t="s">
        <v>31</v>
      </c>
      <c r="M942" s="8">
        <v>43668</v>
      </c>
      <c r="N942" s="8">
        <v>43699</v>
      </c>
      <c r="O942" s="8">
        <v>43682</v>
      </c>
      <c r="P942" s="6" t="s">
        <v>52</v>
      </c>
      <c r="R942" s="97" t="str">
        <f t="shared" si="34"/>
        <v/>
      </c>
      <c r="S942" s="75" t="str">
        <f t="shared" si="33"/>
        <v/>
      </c>
      <c r="U942" s="8">
        <v>43699</v>
      </c>
      <c r="W942" s="6" t="s">
        <v>33</v>
      </c>
      <c r="X942" s="95">
        <v>50568</v>
      </c>
    </row>
    <row r="943" spans="1:24" ht="30" x14ac:dyDescent="0.25">
      <c r="A943" s="6" t="s">
        <v>25</v>
      </c>
      <c r="B943" s="94" t="s">
        <v>3134</v>
      </c>
      <c r="C943" s="6" t="s">
        <v>3135</v>
      </c>
      <c r="D943" s="140">
        <v>11783650</v>
      </c>
      <c r="E943" s="6" t="s">
        <v>244</v>
      </c>
      <c r="F943" s="10" t="s">
        <v>1225</v>
      </c>
      <c r="G943" s="6" t="s">
        <v>3136</v>
      </c>
      <c r="H943" s="8">
        <v>47361</v>
      </c>
      <c r="I943" s="8">
        <v>43483</v>
      </c>
      <c r="J943" s="8">
        <v>43600</v>
      </c>
      <c r="K943" s="95">
        <v>43620</v>
      </c>
      <c r="L943" s="95" t="s">
        <v>359</v>
      </c>
      <c r="R943" s="97" t="str">
        <f t="shared" si="34"/>
        <v/>
      </c>
      <c r="S943" s="75" t="str">
        <f t="shared" si="33"/>
        <v/>
      </c>
      <c r="W943" s="6" t="s">
        <v>33</v>
      </c>
      <c r="X943" s="95">
        <v>50415</v>
      </c>
    </row>
    <row r="944" spans="1:24" x14ac:dyDescent="0.25">
      <c r="A944" s="6" t="s">
        <v>25</v>
      </c>
      <c r="B944" s="94" t="s">
        <v>2509</v>
      </c>
      <c r="C944" s="6" t="s">
        <v>3137</v>
      </c>
      <c r="D944" s="140">
        <v>11793207</v>
      </c>
      <c r="E944" s="6" t="s">
        <v>714</v>
      </c>
      <c r="F944" s="10" t="s">
        <v>205</v>
      </c>
      <c r="G944" s="6" t="s">
        <v>3138</v>
      </c>
      <c r="H944" s="8">
        <v>48586</v>
      </c>
      <c r="I944" s="8">
        <v>43483</v>
      </c>
      <c r="J944" s="8">
        <v>43600</v>
      </c>
      <c r="K944" s="95">
        <v>43620</v>
      </c>
      <c r="L944" s="95" t="s">
        <v>359</v>
      </c>
      <c r="R944" s="97" t="str">
        <f t="shared" si="34"/>
        <v/>
      </c>
      <c r="S944" s="75" t="str">
        <f t="shared" si="33"/>
        <v/>
      </c>
      <c r="W944" s="6" t="s">
        <v>33</v>
      </c>
      <c r="X944" s="95">
        <v>50482</v>
      </c>
    </row>
    <row r="945" spans="1:24" x14ac:dyDescent="0.25">
      <c r="A945" s="6" t="s">
        <v>25</v>
      </c>
      <c r="B945" s="94" t="s">
        <v>3139</v>
      </c>
      <c r="C945" s="6" t="s">
        <v>3140</v>
      </c>
      <c r="D945" s="140">
        <v>11780180</v>
      </c>
      <c r="E945" s="6" t="s">
        <v>962</v>
      </c>
      <c r="F945" s="10" t="s">
        <v>44</v>
      </c>
      <c r="G945" s="6" t="s">
        <v>3141</v>
      </c>
      <c r="H945" s="8">
        <v>56776</v>
      </c>
      <c r="I945" s="8">
        <v>43483</v>
      </c>
      <c r="J945" s="8">
        <v>43600</v>
      </c>
      <c r="K945" s="95">
        <v>43620</v>
      </c>
      <c r="L945" s="95" t="s">
        <v>359</v>
      </c>
      <c r="R945" s="97" t="str">
        <f t="shared" si="34"/>
        <v/>
      </c>
      <c r="S945" s="75" t="str">
        <f t="shared" si="33"/>
        <v/>
      </c>
      <c r="W945" s="6" t="s">
        <v>33</v>
      </c>
      <c r="X945" s="95">
        <v>50010</v>
      </c>
    </row>
    <row r="946" spans="1:24" x14ac:dyDescent="0.25">
      <c r="A946" s="6" t="s">
        <v>25</v>
      </c>
      <c r="B946" s="94" t="s">
        <v>3142</v>
      </c>
      <c r="C946" s="6" t="s">
        <v>3143</v>
      </c>
      <c r="D946" s="140">
        <v>11550146</v>
      </c>
      <c r="E946" s="6" t="s">
        <v>80</v>
      </c>
      <c r="F946" s="10" t="s">
        <v>148</v>
      </c>
      <c r="G946" s="6" t="s">
        <v>3144</v>
      </c>
      <c r="H946" s="8">
        <v>50070</v>
      </c>
      <c r="I946" s="8">
        <v>43483</v>
      </c>
      <c r="J946" s="8">
        <v>43808</v>
      </c>
      <c r="K946" s="95">
        <v>43899</v>
      </c>
      <c r="L946" s="95" t="s">
        <v>31</v>
      </c>
      <c r="M946" s="8">
        <v>43909</v>
      </c>
      <c r="N946" s="8">
        <v>44092</v>
      </c>
      <c r="O946" s="8">
        <v>44055</v>
      </c>
      <c r="P946" s="6" t="s">
        <v>52</v>
      </c>
      <c r="R946" s="97" t="str">
        <f t="shared" si="34"/>
        <v/>
      </c>
      <c r="S946" s="75" t="str">
        <f t="shared" si="33"/>
        <v/>
      </c>
      <c r="U946" s="8">
        <v>44092</v>
      </c>
      <c r="W946" s="6" t="s">
        <v>33</v>
      </c>
      <c r="X946" s="95">
        <v>53628</v>
      </c>
    </row>
    <row r="947" spans="1:24" x14ac:dyDescent="0.25">
      <c r="A947" s="6" t="s">
        <v>25</v>
      </c>
      <c r="B947" s="94" t="s">
        <v>3145</v>
      </c>
      <c r="C947" s="6" t="s">
        <v>3146</v>
      </c>
      <c r="D947" s="140">
        <v>11526915</v>
      </c>
      <c r="E947" s="6" t="s">
        <v>80</v>
      </c>
      <c r="F947" s="10" t="s">
        <v>121</v>
      </c>
      <c r="G947" s="6" t="s">
        <v>3147</v>
      </c>
      <c r="H947" s="8">
        <v>47486</v>
      </c>
      <c r="I947" s="8">
        <v>43642</v>
      </c>
      <c r="J947" s="8">
        <v>43648</v>
      </c>
      <c r="K947" s="95">
        <v>43712</v>
      </c>
      <c r="L947" s="95" t="s">
        <v>31</v>
      </c>
      <c r="M947" s="8">
        <v>43725</v>
      </c>
      <c r="N947" s="8">
        <v>43810</v>
      </c>
      <c r="O947" s="8">
        <v>43749</v>
      </c>
      <c r="P947" s="6" t="s">
        <v>35</v>
      </c>
      <c r="Q947" s="96">
        <v>3652.5</v>
      </c>
      <c r="R947" s="97">
        <f t="shared" si="34"/>
        <v>10.006849315068493</v>
      </c>
      <c r="S947" s="75">
        <f t="shared" si="33"/>
        <v>82646.568493150684</v>
      </c>
      <c r="U947" s="8">
        <v>43810</v>
      </c>
      <c r="W947" s="6" t="s">
        <v>33</v>
      </c>
      <c r="X947" s="95">
        <v>42861</v>
      </c>
    </row>
    <row r="948" spans="1:24" x14ac:dyDescent="0.25">
      <c r="A948" s="6" t="s">
        <v>25</v>
      </c>
      <c r="B948" s="94" t="s">
        <v>554</v>
      </c>
      <c r="C948" s="6" t="s">
        <v>3148</v>
      </c>
      <c r="D948" s="140">
        <v>11549946</v>
      </c>
      <c r="E948" s="6" t="s">
        <v>651</v>
      </c>
      <c r="F948" s="10" t="s">
        <v>205</v>
      </c>
      <c r="G948" s="6" t="s">
        <v>3149</v>
      </c>
      <c r="H948" s="8">
        <v>45307</v>
      </c>
      <c r="I948" s="8">
        <v>43483</v>
      </c>
      <c r="J948" s="8">
        <v>43811</v>
      </c>
      <c r="K948" s="95">
        <v>43899</v>
      </c>
      <c r="L948" s="95" t="s">
        <v>31</v>
      </c>
      <c r="M948" s="8">
        <v>43909</v>
      </c>
      <c r="R948" s="97" t="str">
        <f t="shared" si="34"/>
        <v/>
      </c>
      <c r="S948" s="75" t="str">
        <f t="shared" si="33"/>
        <v/>
      </c>
      <c r="T948" s="124" t="s">
        <v>3150</v>
      </c>
      <c r="W948" s="6" t="s">
        <v>33</v>
      </c>
      <c r="X948" s="95">
        <v>53233</v>
      </c>
    </row>
    <row r="949" spans="1:24" x14ac:dyDescent="0.25">
      <c r="A949" s="6" t="s">
        <v>25</v>
      </c>
      <c r="B949" s="94" t="s">
        <v>3151</v>
      </c>
      <c r="C949" s="6" t="s">
        <v>3152</v>
      </c>
      <c r="D949" s="140">
        <v>11867908</v>
      </c>
      <c r="E949" s="6" t="s">
        <v>2160</v>
      </c>
      <c r="F949" s="10" t="s">
        <v>2600</v>
      </c>
      <c r="G949" s="6">
        <v>1353476</v>
      </c>
      <c r="H949" s="8">
        <v>48397</v>
      </c>
      <c r="I949" s="8">
        <v>43616</v>
      </c>
      <c r="J949" s="8">
        <v>43616</v>
      </c>
      <c r="K949" s="95">
        <v>43641</v>
      </c>
      <c r="L949" s="95" t="s">
        <v>31</v>
      </c>
      <c r="M949" s="8">
        <v>43648</v>
      </c>
      <c r="N949" s="8">
        <v>44819</v>
      </c>
      <c r="O949" s="8">
        <v>44799</v>
      </c>
      <c r="P949" s="6" t="s">
        <v>35</v>
      </c>
      <c r="Q949" s="96">
        <v>4015</v>
      </c>
      <c r="R949" s="97">
        <f t="shared" si="34"/>
        <v>11</v>
      </c>
      <c r="S949" s="75">
        <f t="shared" si="33"/>
        <v>90849</v>
      </c>
      <c r="U949" s="8">
        <v>45008</v>
      </c>
      <c r="W949" s="6" t="s">
        <v>33</v>
      </c>
      <c r="X949" s="95">
        <v>44843</v>
      </c>
    </row>
    <row r="950" spans="1:24" x14ac:dyDescent="0.25">
      <c r="A950" s="6" t="s">
        <v>25</v>
      </c>
      <c r="B950" s="94" t="s">
        <v>598</v>
      </c>
      <c r="C950" s="6" t="s">
        <v>3153</v>
      </c>
      <c r="D950" s="140">
        <v>11994225</v>
      </c>
      <c r="E950" s="6" t="s">
        <v>1082</v>
      </c>
      <c r="F950" s="10" t="s">
        <v>44</v>
      </c>
      <c r="G950" s="6" t="s">
        <v>3154</v>
      </c>
      <c r="H950" s="8">
        <v>47104</v>
      </c>
      <c r="I950" s="8">
        <v>43483</v>
      </c>
      <c r="J950" s="8">
        <v>43811</v>
      </c>
      <c r="K950" s="95">
        <v>43899</v>
      </c>
      <c r="L950" s="95" t="s">
        <v>31</v>
      </c>
      <c r="M950" s="8">
        <v>43909</v>
      </c>
      <c r="N950" s="8">
        <v>44053</v>
      </c>
      <c r="O950" s="8">
        <v>44034</v>
      </c>
      <c r="P950" s="6" t="s">
        <v>35</v>
      </c>
      <c r="Q950" s="96">
        <v>1826.25</v>
      </c>
      <c r="R950" s="97">
        <f t="shared" si="34"/>
        <v>5.0034246575342465</v>
      </c>
      <c r="S950" s="75">
        <f t="shared" si="33"/>
        <v>41323.284246575342</v>
      </c>
      <c r="T950" s="124" t="s">
        <v>601</v>
      </c>
      <c r="U950" s="8">
        <v>44053</v>
      </c>
      <c r="W950" s="6" t="s">
        <v>33</v>
      </c>
      <c r="X950" s="95">
        <v>51517</v>
      </c>
    </row>
    <row r="951" spans="1:24" x14ac:dyDescent="0.25">
      <c r="A951" s="6" t="s">
        <v>25</v>
      </c>
      <c r="B951" s="94" t="s">
        <v>3155</v>
      </c>
      <c r="C951" s="6" t="s">
        <v>3156</v>
      </c>
      <c r="D951" s="140">
        <v>11995907</v>
      </c>
      <c r="E951" s="6" t="s">
        <v>928</v>
      </c>
      <c r="F951" s="10" t="s">
        <v>29</v>
      </c>
      <c r="G951" s="6" t="s">
        <v>3157</v>
      </c>
      <c r="H951" s="8">
        <v>46450</v>
      </c>
      <c r="I951" s="8">
        <v>43483</v>
      </c>
      <c r="J951" s="8">
        <v>43804</v>
      </c>
      <c r="K951" s="95">
        <v>43839</v>
      </c>
      <c r="L951" s="95" t="s">
        <v>31</v>
      </c>
      <c r="M951" s="8">
        <v>43851</v>
      </c>
      <c r="R951" s="97" t="str">
        <f t="shared" si="34"/>
        <v/>
      </c>
      <c r="S951" s="75" t="str">
        <f t="shared" si="33"/>
        <v/>
      </c>
      <c r="T951" s="124" t="s">
        <v>2810</v>
      </c>
      <c r="W951" s="6" t="s">
        <v>33</v>
      </c>
      <c r="X951" s="95">
        <v>44933</v>
      </c>
    </row>
    <row r="952" spans="1:24" x14ac:dyDescent="0.25">
      <c r="A952" s="6" t="s">
        <v>25</v>
      </c>
      <c r="B952" s="94" t="s">
        <v>3158</v>
      </c>
      <c r="C952" s="6" t="s">
        <v>3159</v>
      </c>
      <c r="D952" s="140">
        <v>12194738</v>
      </c>
      <c r="E952" s="6" t="s">
        <v>166</v>
      </c>
      <c r="F952" s="10" t="s">
        <v>3160</v>
      </c>
      <c r="G952" s="6">
        <v>13002329</v>
      </c>
      <c r="H952" s="8">
        <v>46841</v>
      </c>
      <c r="I952" s="8">
        <v>43483</v>
      </c>
      <c r="J952" s="8">
        <v>43808</v>
      </c>
      <c r="K952" s="95">
        <v>43899</v>
      </c>
      <c r="L952" s="95" t="s">
        <v>31</v>
      </c>
      <c r="M952" s="8">
        <v>43909</v>
      </c>
      <c r="N952" s="8">
        <v>44292</v>
      </c>
      <c r="O952" s="8">
        <v>44291</v>
      </c>
      <c r="P952" s="6" t="s">
        <v>35</v>
      </c>
      <c r="Q952" s="96">
        <v>1752</v>
      </c>
      <c r="R952" s="97">
        <f t="shared" si="34"/>
        <v>4.8</v>
      </c>
      <c r="S952" s="75">
        <f t="shared" si="33"/>
        <v>39643.200000000004</v>
      </c>
      <c r="U952" s="8">
        <v>44292</v>
      </c>
      <c r="W952" s="6" t="s">
        <v>33</v>
      </c>
      <c r="X952" s="95">
        <v>50388</v>
      </c>
    </row>
    <row r="953" spans="1:24" x14ac:dyDescent="0.25">
      <c r="A953" s="6" t="s">
        <v>25</v>
      </c>
      <c r="B953" s="94" t="s">
        <v>3161</v>
      </c>
      <c r="C953" s="6" t="s">
        <v>3162</v>
      </c>
      <c r="D953" s="140">
        <v>11250548</v>
      </c>
      <c r="E953" s="6" t="s">
        <v>3163</v>
      </c>
      <c r="F953" s="10" t="s">
        <v>134</v>
      </c>
      <c r="G953" s="6" t="s">
        <v>3164</v>
      </c>
      <c r="H953" s="8">
        <v>46851</v>
      </c>
      <c r="I953" s="8">
        <v>43594</v>
      </c>
      <c r="J953" s="8">
        <v>43594</v>
      </c>
      <c r="K953" s="95">
        <v>43627</v>
      </c>
      <c r="L953" s="95" t="s">
        <v>31</v>
      </c>
      <c r="M953" s="8">
        <v>43634</v>
      </c>
      <c r="N953" s="8">
        <v>43697</v>
      </c>
      <c r="O953" s="8">
        <v>43683</v>
      </c>
      <c r="P953" s="6" t="s">
        <v>75</v>
      </c>
      <c r="R953" s="97" t="str">
        <f t="shared" si="34"/>
        <v/>
      </c>
      <c r="S953" s="75" t="str">
        <f t="shared" si="33"/>
        <v/>
      </c>
      <c r="U953" s="8">
        <v>43697</v>
      </c>
      <c r="W953" s="6" t="s">
        <v>33</v>
      </c>
      <c r="X953" s="95">
        <v>49907</v>
      </c>
    </row>
    <row r="954" spans="1:24" x14ac:dyDescent="0.25">
      <c r="A954" s="6" t="s">
        <v>25</v>
      </c>
      <c r="B954" s="94" t="s">
        <v>2200</v>
      </c>
      <c r="C954" s="6" t="s">
        <v>3165</v>
      </c>
      <c r="D954" s="140">
        <v>11224085</v>
      </c>
      <c r="E954" s="6" t="s">
        <v>997</v>
      </c>
      <c r="F954" s="10" t="s">
        <v>2600</v>
      </c>
      <c r="G954" s="6">
        <v>1423851</v>
      </c>
      <c r="H954" s="8">
        <v>47472</v>
      </c>
      <c r="I954" s="8">
        <v>43592</v>
      </c>
      <c r="J954" s="8">
        <v>43595</v>
      </c>
      <c r="K954" s="95">
        <v>43602</v>
      </c>
      <c r="L954" s="95" t="s">
        <v>31</v>
      </c>
      <c r="M954" s="8">
        <v>43627</v>
      </c>
      <c r="P954" s="6" t="s">
        <v>628</v>
      </c>
      <c r="R954" s="97" t="str">
        <f t="shared" si="34"/>
        <v/>
      </c>
      <c r="S954" s="75" t="str">
        <f t="shared" si="33"/>
        <v/>
      </c>
      <c r="T954" s="124" t="s">
        <v>3166</v>
      </c>
      <c r="W954" s="6" t="s">
        <v>33</v>
      </c>
      <c r="X954" s="95">
        <v>51362</v>
      </c>
    </row>
    <row r="955" spans="1:24" x14ac:dyDescent="0.25">
      <c r="A955" s="6" t="s">
        <v>117</v>
      </c>
      <c r="B955" s="94" t="s">
        <v>617</v>
      </c>
      <c r="C955" s="6" t="s">
        <v>3167</v>
      </c>
      <c r="D955" s="140">
        <v>11891092</v>
      </c>
      <c r="E955" s="6" t="s">
        <v>314</v>
      </c>
      <c r="F955" s="6" t="s">
        <v>205</v>
      </c>
      <c r="G955" s="6" t="s">
        <v>3168</v>
      </c>
      <c r="H955" s="8">
        <v>43774</v>
      </c>
      <c r="J955" s="104"/>
      <c r="R955" s="97" t="str">
        <f t="shared" si="34"/>
        <v/>
      </c>
      <c r="S955" s="75" t="str">
        <f t="shared" si="33"/>
        <v/>
      </c>
      <c r="T955" s="124" t="s">
        <v>3169</v>
      </c>
      <c r="U955" s="8">
        <v>45008</v>
      </c>
      <c r="W955" s="6" t="s">
        <v>33</v>
      </c>
      <c r="X955" s="95">
        <v>43409</v>
      </c>
    </row>
    <row r="956" spans="1:24" x14ac:dyDescent="0.25">
      <c r="A956" s="6" t="s">
        <v>85</v>
      </c>
      <c r="B956" s="94" t="s">
        <v>1891</v>
      </c>
      <c r="C956" s="6" t="s">
        <v>3170</v>
      </c>
      <c r="D956" s="140">
        <v>12129605</v>
      </c>
      <c r="E956" s="6" t="s">
        <v>651</v>
      </c>
      <c r="F956" s="6" t="s">
        <v>44</v>
      </c>
      <c r="R956" s="97" t="str">
        <f t="shared" si="34"/>
        <v/>
      </c>
      <c r="S956" s="75" t="str">
        <f t="shared" si="33"/>
        <v/>
      </c>
      <c r="W956" s="6" t="s">
        <v>33</v>
      </c>
      <c r="X956" s="95">
        <v>46806</v>
      </c>
    </row>
    <row r="957" spans="1:24" x14ac:dyDescent="0.25">
      <c r="A957" s="6" t="s">
        <v>85</v>
      </c>
      <c r="B957" s="94" t="s">
        <v>3171</v>
      </c>
      <c r="C957" s="6" t="s">
        <v>3172</v>
      </c>
      <c r="D957" s="140">
        <v>11608446</v>
      </c>
      <c r="E957" s="6" t="s">
        <v>866</v>
      </c>
      <c r="F957" s="6" t="s">
        <v>44</v>
      </c>
      <c r="G957" s="6" t="s">
        <v>3173</v>
      </c>
      <c r="H957" s="8">
        <v>44710</v>
      </c>
      <c r="R957" s="97" t="str">
        <f t="shared" si="34"/>
        <v/>
      </c>
      <c r="S957" s="75" t="str">
        <f t="shared" si="33"/>
        <v/>
      </c>
      <c r="T957" s="124" t="s">
        <v>3174</v>
      </c>
      <c r="U957" s="8">
        <v>45008</v>
      </c>
      <c r="W957" s="6" t="s">
        <v>33</v>
      </c>
      <c r="X957" s="95">
        <v>44207</v>
      </c>
    </row>
    <row r="958" spans="1:24" x14ac:dyDescent="0.25">
      <c r="A958" s="6" t="s">
        <v>117</v>
      </c>
      <c r="B958" s="94" t="s">
        <v>86</v>
      </c>
      <c r="C958" s="6" t="s">
        <v>3175</v>
      </c>
      <c r="D958" s="140">
        <v>11929835</v>
      </c>
      <c r="E958" s="6" t="s">
        <v>61</v>
      </c>
      <c r="F958" s="6" t="s">
        <v>455</v>
      </c>
      <c r="G958" s="6" t="s">
        <v>3176</v>
      </c>
      <c r="H958" s="8">
        <v>45591</v>
      </c>
      <c r="R958" s="97" t="str">
        <f t="shared" si="34"/>
        <v/>
      </c>
      <c r="S958" s="75" t="str">
        <f t="shared" si="33"/>
        <v/>
      </c>
      <c r="W958" s="6" t="s">
        <v>33</v>
      </c>
      <c r="X958" s="95">
        <v>52625</v>
      </c>
    </row>
    <row r="959" spans="1:24" x14ac:dyDescent="0.25">
      <c r="A959" s="6" t="s">
        <v>85</v>
      </c>
      <c r="B959" s="94" t="s">
        <v>920</v>
      </c>
      <c r="C959" s="6" t="s">
        <v>3177</v>
      </c>
      <c r="D959" s="140">
        <v>11352675</v>
      </c>
      <c r="E959" s="6" t="s">
        <v>43</v>
      </c>
      <c r="F959" s="6" t="s">
        <v>205</v>
      </c>
      <c r="R959" s="97" t="str">
        <f t="shared" si="34"/>
        <v/>
      </c>
      <c r="S959" s="75" t="str">
        <f t="shared" si="33"/>
        <v/>
      </c>
      <c r="T959" s="124" t="s">
        <v>3178</v>
      </c>
      <c r="U959" s="8">
        <v>45008</v>
      </c>
      <c r="W959" s="6" t="s">
        <v>33</v>
      </c>
      <c r="X959" s="95">
        <v>56080</v>
      </c>
    </row>
    <row r="960" spans="1:24" x14ac:dyDescent="0.25">
      <c r="A960" s="6" t="s">
        <v>117</v>
      </c>
      <c r="B960" s="94" t="s">
        <v>3179</v>
      </c>
      <c r="C960" s="6" t="s">
        <v>3180</v>
      </c>
      <c r="D960" s="140">
        <v>11729641</v>
      </c>
      <c r="E960" s="6" t="s">
        <v>73</v>
      </c>
      <c r="F960" s="6" t="s">
        <v>528</v>
      </c>
      <c r="G960" s="6" t="s">
        <v>3181</v>
      </c>
      <c r="H960" s="8">
        <v>44968</v>
      </c>
      <c r="R960" s="97" t="str">
        <f t="shared" si="34"/>
        <v/>
      </c>
      <c r="S960" s="75" t="str">
        <f t="shared" si="33"/>
        <v/>
      </c>
      <c r="T960" s="124" t="s">
        <v>3182</v>
      </c>
      <c r="U960" s="8">
        <v>45008</v>
      </c>
      <c r="W960" s="6" t="s">
        <v>33</v>
      </c>
      <c r="X960" s="95">
        <v>43165</v>
      </c>
    </row>
    <row r="961" spans="1:24" x14ac:dyDescent="0.25">
      <c r="A961" s="6" t="s">
        <v>117</v>
      </c>
      <c r="B961" s="94" t="s">
        <v>112</v>
      </c>
      <c r="C961" s="6" t="s">
        <v>3183</v>
      </c>
      <c r="D961" s="140">
        <v>11653952</v>
      </c>
      <c r="E961" s="6" t="s">
        <v>714</v>
      </c>
      <c r="F961" s="6" t="s">
        <v>29</v>
      </c>
      <c r="G961" s="6">
        <v>6257554</v>
      </c>
      <c r="H961" s="8">
        <v>44276</v>
      </c>
      <c r="J961" s="9"/>
      <c r="K961" s="7"/>
      <c r="L961" s="7"/>
      <c r="M961" s="9"/>
      <c r="N961" s="9"/>
      <c r="O961" s="9"/>
      <c r="P961" s="10"/>
      <c r="Q961" s="76"/>
      <c r="R961" s="97" t="str">
        <f t="shared" si="34"/>
        <v/>
      </c>
      <c r="S961" s="75" t="str">
        <f t="shared" si="33"/>
        <v/>
      </c>
      <c r="T961" s="128" t="s">
        <v>3184</v>
      </c>
      <c r="U961" s="8">
        <v>45008</v>
      </c>
      <c r="W961" s="6" t="s">
        <v>84</v>
      </c>
      <c r="X961" s="95">
        <v>41919</v>
      </c>
    </row>
    <row r="962" spans="1:24" x14ac:dyDescent="0.25">
      <c r="A962" s="6" t="s">
        <v>117</v>
      </c>
      <c r="B962" s="94" t="s">
        <v>3185</v>
      </c>
      <c r="C962" s="6" t="s">
        <v>3186</v>
      </c>
      <c r="D962" s="140">
        <v>11857353</v>
      </c>
      <c r="E962" s="6" t="s">
        <v>289</v>
      </c>
      <c r="F962" s="10" t="s">
        <v>455</v>
      </c>
      <c r="G962" s="6" t="s">
        <v>3187</v>
      </c>
      <c r="H962" s="8">
        <v>44674</v>
      </c>
      <c r="I962" s="8">
        <v>43791</v>
      </c>
      <c r="J962" s="8">
        <v>43794</v>
      </c>
      <c r="K962" s="95">
        <v>43794</v>
      </c>
      <c r="L962" s="95" t="s">
        <v>359</v>
      </c>
      <c r="R962" s="97" t="str">
        <f t="shared" si="34"/>
        <v/>
      </c>
      <c r="S962" s="75" t="str">
        <f t="shared" si="33"/>
        <v/>
      </c>
      <c r="W962" s="6" t="s">
        <v>84</v>
      </c>
      <c r="X962" s="95">
        <v>44444</v>
      </c>
    </row>
    <row r="963" spans="1:24" x14ac:dyDescent="0.25">
      <c r="A963" s="6" t="s">
        <v>117</v>
      </c>
      <c r="B963" s="94" t="s">
        <v>3188</v>
      </c>
      <c r="C963" s="6" t="s">
        <v>3189</v>
      </c>
      <c r="D963" s="140">
        <v>11013808</v>
      </c>
      <c r="E963" s="6" t="s">
        <v>304</v>
      </c>
      <c r="F963" s="10" t="s">
        <v>121</v>
      </c>
      <c r="G963" s="6" t="s">
        <v>3190</v>
      </c>
      <c r="H963" s="8">
        <v>45061</v>
      </c>
      <c r="R963" s="97" t="str">
        <f t="shared" si="34"/>
        <v/>
      </c>
      <c r="S963" s="75" t="str">
        <f t="shared" si="33"/>
        <v/>
      </c>
      <c r="W963" s="6" t="s">
        <v>33</v>
      </c>
      <c r="X963" s="95">
        <v>43518</v>
      </c>
    </row>
    <row r="964" spans="1:24" x14ac:dyDescent="0.25">
      <c r="A964" s="6" t="s">
        <v>25</v>
      </c>
      <c r="B964" s="94" t="s">
        <v>3191</v>
      </c>
      <c r="C964" s="6" t="s">
        <v>3192</v>
      </c>
      <c r="D964" s="140">
        <v>10264057</v>
      </c>
      <c r="E964" s="6" t="s">
        <v>892</v>
      </c>
      <c r="F964" s="10" t="s">
        <v>29</v>
      </c>
      <c r="G964" s="6" t="s">
        <v>3193</v>
      </c>
      <c r="H964" s="8">
        <v>46197</v>
      </c>
      <c r="I964" s="8">
        <v>43595</v>
      </c>
      <c r="J964" s="8">
        <v>43595</v>
      </c>
      <c r="K964" s="95">
        <v>43602</v>
      </c>
      <c r="L964" s="95" t="s">
        <v>31</v>
      </c>
      <c r="M964" s="8">
        <v>43627</v>
      </c>
      <c r="N964" s="8">
        <v>43731</v>
      </c>
      <c r="O964" s="8">
        <v>43685</v>
      </c>
      <c r="P964" s="6" t="s">
        <v>75</v>
      </c>
      <c r="R964" s="97" t="str">
        <f t="shared" si="34"/>
        <v/>
      </c>
      <c r="U964" s="8">
        <v>43731</v>
      </c>
      <c r="W964" s="6" t="s">
        <v>33</v>
      </c>
      <c r="X964" s="95">
        <v>49298</v>
      </c>
    </row>
    <row r="965" spans="1:24" x14ac:dyDescent="0.25">
      <c r="A965" s="6" t="s">
        <v>37</v>
      </c>
      <c r="B965" s="94" t="s">
        <v>3194</v>
      </c>
      <c r="C965" s="6" t="s">
        <v>3195</v>
      </c>
      <c r="D965" s="140">
        <v>11367308</v>
      </c>
      <c r="E965" s="6" t="s">
        <v>3196</v>
      </c>
      <c r="F965" s="10" t="s">
        <v>29</v>
      </c>
      <c r="G965" s="6" t="s">
        <v>3197</v>
      </c>
      <c r="H965" s="8">
        <v>44305</v>
      </c>
      <c r="I965" s="8">
        <v>43699</v>
      </c>
      <c r="J965" s="8">
        <v>43704</v>
      </c>
      <c r="K965" s="95">
        <v>43704</v>
      </c>
      <c r="L965" s="95" t="s">
        <v>31</v>
      </c>
      <c r="M965" s="8">
        <v>43718</v>
      </c>
      <c r="N965" s="8">
        <v>43763</v>
      </c>
      <c r="O965" s="8">
        <v>43769</v>
      </c>
      <c r="P965" s="6" t="s">
        <v>75</v>
      </c>
      <c r="R965" s="97" t="str">
        <f t="shared" si="34"/>
        <v/>
      </c>
      <c r="S965" s="75" t="str">
        <f t="shared" ref="S965:S1028" si="35">IF(Q965&gt;0, SUM(Q965)*(8259/365), "")</f>
        <v/>
      </c>
      <c r="T965" s="124" t="s">
        <v>3198</v>
      </c>
      <c r="U965" s="8">
        <v>43763</v>
      </c>
      <c r="W965" s="6" t="s">
        <v>33</v>
      </c>
      <c r="X965" s="95">
        <v>51650</v>
      </c>
    </row>
    <row r="966" spans="1:24" ht="30" x14ac:dyDescent="0.25">
      <c r="A966" s="6" t="s">
        <v>37</v>
      </c>
      <c r="B966" s="94" t="s">
        <v>3199</v>
      </c>
      <c r="C966" s="6" t="s">
        <v>3200</v>
      </c>
      <c r="D966" s="140">
        <v>11367684</v>
      </c>
      <c r="E966" s="6" t="s">
        <v>3201</v>
      </c>
      <c r="F966" s="10" t="s">
        <v>81</v>
      </c>
      <c r="G966" s="6" t="s">
        <v>3202</v>
      </c>
      <c r="H966" s="8">
        <v>46349</v>
      </c>
      <c r="I966" s="8">
        <v>44067</v>
      </c>
      <c r="J966" s="8">
        <v>44088</v>
      </c>
      <c r="K966" s="95">
        <v>44088</v>
      </c>
      <c r="L966" s="95" t="s">
        <v>31</v>
      </c>
      <c r="M966" s="8">
        <v>44099</v>
      </c>
      <c r="R966" s="97" t="str">
        <f t="shared" si="34"/>
        <v/>
      </c>
      <c r="S966" s="75" t="str">
        <f t="shared" si="35"/>
        <v/>
      </c>
      <c r="T966" s="124" t="s">
        <v>3203</v>
      </c>
      <c r="W966" s="6" t="s">
        <v>33</v>
      </c>
      <c r="X966" s="135">
        <v>49262</v>
      </c>
    </row>
    <row r="967" spans="1:24" x14ac:dyDescent="0.25">
      <c r="A967" s="6" t="s">
        <v>37</v>
      </c>
      <c r="B967" s="94" t="s">
        <v>1571</v>
      </c>
      <c r="C967" s="6" t="s">
        <v>3204</v>
      </c>
      <c r="D967" s="140">
        <v>11358785</v>
      </c>
      <c r="E967" s="6" t="s">
        <v>1185</v>
      </c>
      <c r="F967" s="10" t="s">
        <v>148</v>
      </c>
      <c r="G967" s="6" t="s">
        <v>3205</v>
      </c>
      <c r="H967" s="8">
        <v>45965</v>
      </c>
      <c r="I967" s="8">
        <v>43465</v>
      </c>
      <c r="J967" s="8">
        <v>43469</v>
      </c>
      <c r="K967" s="95">
        <v>43469</v>
      </c>
      <c r="L967" s="95" t="s">
        <v>31</v>
      </c>
      <c r="M967" s="8">
        <v>43469</v>
      </c>
      <c r="N967" s="8">
        <v>44133</v>
      </c>
      <c r="O967" s="8">
        <v>43972</v>
      </c>
      <c r="P967" s="6" t="s">
        <v>75</v>
      </c>
      <c r="R967" s="97" t="str">
        <f t="shared" si="34"/>
        <v/>
      </c>
      <c r="S967" s="75" t="str">
        <f t="shared" si="35"/>
        <v/>
      </c>
      <c r="U967" s="8">
        <v>44134</v>
      </c>
      <c r="W967" s="6" t="s">
        <v>33</v>
      </c>
      <c r="X967" s="95">
        <v>45044</v>
      </c>
    </row>
    <row r="968" spans="1:24" x14ac:dyDescent="0.25">
      <c r="A968" s="6" t="s">
        <v>37</v>
      </c>
      <c r="B968" s="94" t="s">
        <v>197</v>
      </c>
      <c r="C968" s="6" t="s">
        <v>3206</v>
      </c>
      <c r="D968" s="140">
        <v>1135916</v>
      </c>
      <c r="E968" s="6" t="s">
        <v>747</v>
      </c>
      <c r="F968" s="10" t="s">
        <v>44</v>
      </c>
      <c r="G968" s="6" t="s">
        <v>3207</v>
      </c>
      <c r="H968" s="8">
        <v>65304</v>
      </c>
      <c r="I968" s="8">
        <v>43474</v>
      </c>
      <c r="J968" s="8">
        <v>43479</v>
      </c>
      <c r="K968" s="95">
        <v>43481</v>
      </c>
      <c r="L968" s="95" t="s">
        <v>359</v>
      </c>
      <c r="R968" s="97" t="str">
        <f t="shared" si="34"/>
        <v/>
      </c>
      <c r="S968" s="75" t="str">
        <f t="shared" si="35"/>
        <v/>
      </c>
      <c r="W968" s="6" t="s">
        <v>33</v>
      </c>
      <c r="X968" s="95">
        <v>51369</v>
      </c>
    </row>
    <row r="969" spans="1:24" x14ac:dyDescent="0.25">
      <c r="A969" s="6" t="s">
        <v>168</v>
      </c>
      <c r="B969" s="94" t="s">
        <v>3208</v>
      </c>
      <c r="C969" s="6" t="s">
        <v>3209</v>
      </c>
      <c r="D969" s="140">
        <v>11098213</v>
      </c>
      <c r="E969" s="6" t="s">
        <v>3210</v>
      </c>
      <c r="F969" s="10" t="s">
        <v>44</v>
      </c>
      <c r="G969" s="6" t="s">
        <v>3211</v>
      </c>
      <c r="H969" s="8">
        <v>59332</v>
      </c>
      <c r="I969" s="8">
        <v>43313</v>
      </c>
      <c r="J969" s="8">
        <v>43313</v>
      </c>
      <c r="K969" s="8">
        <v>43328</v>
      </c>
      <c r="L969" s="95" t="s">
        <v>31</v>
      </c>
      <c r="M969" s="8">
        <v>43328</v>
      </c>
      <c r="N969" s="8">
        <v>44141</v>
      </c>
      <c r="O969" s="8">
        <v>43545</v>
      </c>
      <c r="P969" s="6" t="s">
        <v>75</v>
      </c>
      <c r="R969" s="97" t="str">
        <f t="shared" si="34"/>
        <v/>
      </c>
      <c r="S969" s="75" t="str">
        <f t="shared" si="35"/>
        <v/>
      </c>
      <c r="T969" s="124" t="s">
        <v>1597</v>
      </c>
      <c r="U969" s="8">
        <v>44141</v>
      </c>
      <c r="W969" s="6" t="s">
        <v>84</v>
      </c>
      <c r="X969" s="95">
        <v>38206</v>
      </c>
    </row>
    <row r="970" spans="1:24" x14ac:dyDescent="0.25">
      <c r="A970" s="6" t="s">
        <v>25</v>
      </c>
      <c r="B970" s="94" t="s">
        <v>617</v>
      </c>
      <c r="C970" s="6" t="s">
        <v>3212</v>
      </c>
      <c r="D970" s="140">
        <v>11222719</v>
      </c>
      <c r="E970" s="6" t="s">
        <v>261</v>
      </c>
      <c r="F970" s="10" t="s">
        <v>44</v>
      </c>
      <c r="G970" s="6" t="s">
        <v>3213</v>
      </c>
      <c r="H970" s="8">
        <v>46010</v>
      </c>
      <c r="I970" s="8">
        <v>43592</v>
      </c>
      <c r="J970" s="8">
        <v>43592</v>
      </c>
      <c r="K970" s="95">
        <v>43602</v>
      </c>
      <c r="L970" s="95" t="s">
        <v>31</v>
      </c>
      <c r="M970" s="8">
        <v>43627</v>
      </c>
      <c r="N970" s="8">
        <v>43697</v>
      </c>
      <c r="O970" s="8">
        <v>43686</v>
      </c>
      <c r="P970" s="6" t="s">
        <v>75</v>
      </c>
      <c r="R970" s="97" t="str">
        <f t="shared" si="34"/>
        <v/>
      </c>
      <c r="S970" s="75" t="str">
        <f t="shared" si="35"/>
        <v/>
      </c>
      <c r="U970" s="8">
        <v>43697</v>
      </c>
      <c r="W970" s="6" t="s">
        <v>33</v>
      </c>
      <c r="X970" s="95">
        <v>52100</v>
      </c>
    </row>
    <row r="971" spans="1:24" x14ac:dyDescent="0.25">
      <c r="A971" s="6" t="s">
        <v>37</v>
      </c>
      <c r="B971" s="94" t="s">
        <v>1585</v>
      </c>
      <c r="C971" s="6" t="s">
        <v>3214</v>
      </c>
      <c r="D971" s="140">
        <v>11747234</v>
      </c>
      <c r="E971" s="6" t="s">
        <v>3215</v>
      </c>
      <c r="F971" s="10" t="s">
        <v>293</v>
      </c>
      <c r="G971" s="6" t="s">
        <v>3216</v>
      </c>
      <c r="H971" s="8">
        <v>45294</v>
      </c>
      <c r="I971" s="8">
        <v>43654</v>
      </c>
      <c r="J971" s="8">
        <v>43656</v>
      </c>
      <c r="K971" s="95">
        <v>43657</v>
      </c>
      <c r="L971" s="95" t="s">
        <v>31</v>
      </c>
      <c r="M971" s="8">
        <v>43661</v>
      </c>
      <c r="N971" s="8">
        <v>43788</v>
      </c>
      <c r="O971" s="8">
        <v>43784</v>
      </c>
      <c r="P971" s="6" t="s">
        <v>35</v>
      </c>
      <c r="Q971" s="96">
        <v>730</v>
      </c>
      <c r="R971" s="97">
        <f t="shared" si="34"/>
        <v>2</v>
      </c>
      <c r="S971" s="75">
        <f t="shared" si="35"/>
        <v>16518</v>
      </c>
      <c r="T971" s="124" t="s">
        <v>320</v>
      </c>
      <c r="U971" s="8">
        <v>43788</v>
      </c>
      <c r="W971" s="6" t="s">
        <v>33</v>
      </c>
      <c r="X971" s="95">
        <v>50266</v>
      </c>
    </row>
    <row r="972" spans="1:24" x14ac:dyDescent="0.25">
      <c r="A972" s="6" t="s">
        <v>25</v>
      </c>
      <c r="B972" s="94" t="s">
        <v>3217</v>
      </c>
      <c r="C972" s="6" t="s">
        <v>3218</v>
      </c>
      <c r="D972" s="140">
        <v>12121928</v>
      </c>
      <c r="E972" s="6" t="s">
        <v>162</v>
      </c>
      <c r="F972" s="10" t="s">
        <v>143</v>
      </c>
      <c r="G972" s="6" t="s">
        <v>3219</v>
      </c>
      <c r="H972" s="8">
        <v>47383</v>
      </c>
      <c r="I972" s="8">
        <v>43640</v>
      </c>
      <c r="J972" s="95">
        <v>43641</v>
      </c>
      <c r="K972" s="95">
        <v>43675</v>
      </c>
      <c r="L972" s="95" t="s">
        <v>31</v>
      </c>
      <c r="M972" s="8">
        <v>43679</v>
      </c>
      <c r="N972" s="8">
        <v>43914</v>
      </c>
      <c r="O972" s="8">
        <v>43885</v>
      </c>
      <c r="P972" s="6" t="s">
        <v>35</v>
      </c>
      <c r="Q972" s="96">
        <v>1826.25</v>
      </c>
      <c r="R972" s="97">
        <f t="shared" si="34"/>
        <v>5.0034246575342465</v>
      </c>
      <c r="S972" s="75">
        <f t="shared" si="35"/>
        <v>41323.284246575342</v>
      </c>
      <c r="U972" s="8">
        <v>43931</v>
      </c>
      <c r="W972" s="6" t="s">
        <v>33</v>
      </c>
      <c r="X972" s="95">
        <v>50339</v>
      </c>
    </row>
    <row r="973" spans="1:24" x14ac:dyDescent="0.25">
      <c r="A973" s="6" t="s">
        <v>37</v>
      </c>
      <c r="B973" s="94" t="s">
        <v>3220</v>
      </c>
      <c r="C973" s="6" t="s">
        <v>3221</v>
      </c>
      <c r="D973" s="140">
        <v>11065742</v>
      </c>
      <c r="E973" s="6" t="s">
        <v>3222</v>
      </c>
      <c r="F973" s="10" t="s">
        <v>3160</v>
      </c>
      <c r="G973" s="6">
        <v>211106</v>
      </c>
      <c r="H973" s="8">
        <v>49835</v>
      </c>
      <c r="I973" s="8">
        <v>44284</v>
      </c>
      <c r="J973" s="8">
        <v>44306</v>
      </c>
      <c r="K973" s="95">
        <v>44307</v>
      </c>
      <c r="L973" s="95" t="s">
        <v>31</v>
      </c>
      <c r="M973" s="8">
        <v>44309</v>
      </c>
      <c r="N973" s="108">
        <v>44470</v>
      </c>
      <c r="O973" s="108">
        <v>44438</v>
      </c>
      <c r="P973" s="107" t="s">
        <v>35</v>
      </c>
      <c r="Q973" s="110">
        <v>3370</v>
      </c>
      <c r="R973" s="97">
        <f t="shared" si="34"/>
        <v>9.2328767123287676</v>
      </c>
      <c r="S973" s="75">
        <f t="shared" si="35"/>
        <v>76254.328767123283</v>
      </c>
      <c r="U973" s="8">
        <v>44776</v>
      </c>
      <c r="W973" s="6" t="s">
        <v>33</v>
      </c>
      <c r="X973" s="7">
        <v>48935</v>
      </c>
    </row>
    <row r="974" spans="1:24" x14ac:dyDescent="0.25">
      <c r="A974" s="6" t="s">
        <v>37</v>
      </c>
      <c r="B974" s="94" t="s">
        <v>3223</v>
      </c>
      <c r="C974" s="6" t="s">
        <v>3224</v>
      </c>
      <c r="D974" s="140">
        <v>12130226</v>
      </c>
      <c r="E974" s="6" t="s">
        <v>3225</v>
      </c>
      <c r="F974" s="10" t="s">
        <v>57</v>
      </c>
      <c r="G974" s="6" t="s">
        <v>3226</v>
      </c>
      <c r="H974" s="8">
        <v>47037</v>
      </c>
      <c r="I974" s="8">
        <v>44098</v>
      </c>
      <c r="J974" s="8">
        <v>44111</v>
      </c>
      <c r="K974" s="95">
        <v>44112</v>
      </c>
      <c r="L974" s="95" t="s">
        <v>31</v>
      </c>
      <c r="M974" s="8">
        <v>44127</v>
      </c>
      <c r="N974" s="108">
        <v>44474</v>
      </c>
      <c r="O974" s="108">
        <v>44460</v>
      </c>
      <c r="P974" s="107" t="s">
        <v>35</v>
      </c>
      <c r="Q974" s="110">
        <v>2486</v>
      </c>
      <c r="R974" s="97">
        <f t="shared" si="34"/>
        <v>6.8109589041095893</v>
      </c>
      <c r="S974" s="75">
        <f t="shared" si="35"/>
        <v>56251.7095890411</v>
      </c>
      <c r="U974" s="8">
        <v>44776</v>
      </c>
      <c r="W974" s="6" t="s">
        <v>33</v>
      </c>
      <c r="X974" s="135">
        <v>46500</v>
      </c>
    </row>
    <row r="975" spans="1:24" x14ac:dyDescent="0.25">
      <c r="A975" s="6" t="s">
        <v>168</v>
      </c>
      <c r="B975" s="94" t="s">
        <v>3227</v>
      </c>
      <c r="C975" s="6" t="s">
        <v>3228</v>
      </c>
      <c r="D975" s="140">
        <v>11697560</v>
      </c>
      <c r="E975" s="6" t="s">
        <v>1539</v>
      </c>
      <c r="F975" s="10" t="s">
        <v>134</v>
      </c>
      <c r="G975" s="6" t="s">
        <v>3229</v>
      </c>
      <c r="H975" s="8">
        <v>47497</v>
      </c>
      <c r="I975" s="8">
        <v>44418</v>
      </c>
      <c r="J975" s="8">
        <v>44426</v>
      </c>
      <c r="K975" s="95">
        <v>44431</v>
      </c>
      <c r="L975" s="95" t="s">
        <v>31</v>
      </c>
      <c r="M975" s="8">
        <v>44442</v>
      </c>
      <c r="N975" s="8">
        <v>44637</v>
      </c>
      <c r="O975" s="8">
        <v>44631</v>
      </c>
      <c r="P975" s="6" t="s">
        <v>35</v>
      </c>
      <c r="Q975" s="96">
        <v>2208</v>
      </c>
      <c r="R975" s="97">
        <f t="shared" si="34"/>
        <v>6.0493150684931507</v>
      </c>
      <c r="S975" s="75">
        <f t="shared" si="35"/>
        <v>49961.293150684935</v>
      </c>
      <c r="U975" s="8">
        <v>44652</v>
      </c>
      <c r="W975" s="6" t="s">
        <v>84</v>
      </c>
      <c r="X975" s="7">
        <v>47845</v>
      </c>
    </row>
    <row r="976" spans="1:24" x14ac:dyDescent="0.25">
      <c r="A976" s="6" t="s">
        <v>37</v>
      </c>
      <c r="B976" s="94" t="s">
        <v>3230</v>
      </c>
      <c r="C976" s="6" t="s">
        <v>3231</v>
      </c>
      <c r="D976" s="140">
        <v>11313871</v>
      </c>
      <c r="E976" s="6" t="s">
        <v>3232</v>
      </c>
      <c r="F976" s="10" t="s">
        <v>143</v>
      </c>
      <c r="G976" s="6" t="s">
        <v>3233</v>
      </c>
      <c r="H976" s="8">
        <v>48243</v>
      </c>
      <c r="I976" s="8">
        <v>44028</v>
      </c>
      <c r="J976" s="8">
        <v>44068</v>
      </c>
      <c r="K976" s="95">
        <v>44069</v>
      </c>
      <c r="L976" s="95" t="s">
        <v>31</v>
      </c>
      <c r="M976" s="8">
        <v>44099</v>
      </c>
      <c r="P976" s="6" t="s">
        <v>628</v>
      </c>
      <c r="R976" s="97" t="str">
        <f t="shared" si="34"/>
        <v/>
      </c>
      <c r="S976" s="75" t="str">
        <f t="shared" si="35"/>
        <v/>
      </c>
      <c r="T976" s="124" t="s">
        <v>3234</v>
      </c>
      <c r="W976" s="6" t="s">
        <v>33</v>
      </c>
      <c r="X976" s="135">
        <v>45951</v>
      </c>
    </row>
    <row r="977" spans="1:24" x14ac:dyDescent="0.25">
      <c r="A977" s="6" t="s">
        <v>168</v>
      </c>
      <c r="B977" s="94" t="s">
        <v>956</v>
      </c>
      <c r="C977" s="6" t="s">
        <v>3235</v>
      </c>
      <c r="D977" s="140">
        <v>11897785</v>
      </c>
      <c r="E977" s="6" t="s">
        <v>175</v>
      </c>
      <c r="F977" s="10" t="s">
        <v>299</v>
      </c>
      <c r="G977" s="6" t="s">
        <v>3236</v>
      </c>
      <c r="H977" s="8">
        <v>52327</v>
      </c>
      <c r="I977" s="8">
        <v>43264</v>
      </c>
      <c r="J977" s="8">
        <v>43264</v>
      </c>
      <c r="K977" s="95">
        <v>43265</v>
      </c>
      <c r="L977" s="95" t="s">
        <v>31</v>
      </c>
      <c r="M977" s="8">
        <v>43268</v>
      </c>
      <c r="N977" s="8">
        <v>43558</v>
      </c>
      <c r="O977" s="8">
        <v>43326</v>
      </c>
      <c r="P977" s="101" t="s">
        <v>52</v>
      </c>
      <c r="R977" s="97" t="str">
        <f t="shared" si="34"/>
        <v/>
      </c>
      <c r="S977" s="75" t="str">
        <f t="shared" si="35"/>
        <v/>
      </c>
      <c r="T977" s="124" t="s">
        <v>1597</v>
      </c>
      <c r="U977" s="8">
        <v>43558</v>
      </c>
      <c r="W977" s="6" t="s">
        <v>84</v>
      </c>
      <c r="X977" s="95">
        <v>45032</v>
      </c>
    </row>
    <row r="978" spans="1:24" x14ac:dyDescent="0.25">
      <c r="A978" s="6" t="s">
        <v>168</v>
      </c>
      <c r="B978" s="94" t="s">
        <v>1853</v>
      </c>
      <c r="C978" s="6" t="s">
        <v>3237</v>
      </c>
      <c r="D978" s="140">
        <v>11011542</v>
      </c>
      <c r="E978" s="6" t="s">
        <v>171</v>
      </c>
      <c r="F978" s="10" t="s">
        <v>309</v>
      </c>
      <c r="G978" s="6" t="s">
        <v>3238</v>
      </c>
      <c r="H978" s="8">
        <v>51164</v>
      </c>
      <c r="I978" s="8">
        <v>44173</v>
      </c>
      <c r="J978" s="8">
        <v>44180</v>
      </c>
      <c r="K978" s="95">
        <v>44186</v>
      </c>
      <c r="L978" s="95" t="s">
        <v>359</v>
      </c>
      <c r="R978" s="97" t="str">
        <f t="shared" si="34"/>
        <v/>
      </c>
      <c r="S978" s="75" t="str">
        <f t="shared" si="35"/>
        <v/>
      </c>
      <c r="W978" s="6" t="s">
        <v>84</v>
      </c>
      <c r="X978" s="95">
        <v>51164</v>
      </c>
    </row>
    <row r="979" spans="1:24" x14ac:dyDescent="0.25">
      <c r="A979" s="6" t="s">
        <v>25</v>
      </c>
      <c r="B979" s="94" t="s">
        <v>3239</v>
      </c>
      <c r="C979" s="6" t="s">
        <v>3240</v>
      </c>
      <c r="D979" s="140">
        <v>11084728</v>
      </c>
      <c r="E979" s="6" t="s">
        <v>2850</v>
      </c>
      <c r="F979" s="10" t="s">
        <v>44</v>
      </c>
      <c r="G979" s="6" t="s">
        <v>3241</v>
      </c>
      <c r="H979" s="8">
        <v>46795</v>
      </c>
      <c r="I979" s="8">
        <v>43640</v>
      </c>
      <c r="J979" s="8">
        <v>43640</v>
      </c>
      <c r="K979" s="95">
        <v>43663</v>
      </c>
      <c r="L979" s="95" t="s">
        <v>31</v>
      </c>
      <c r="M979" s="8">
        <v>43668</v>
      </c>
      <c r="N979" s="8">
        <v>43717</v>
      </c>
      <c r="O979" s="8">
        <v>43699</v>
      </c>
      <c r="P979" s="6" t="s">
        <v>75</v>
      </c>
      <c r="R979" s="97" t="str">
        <f t="shared" si="34"/>
        <v/>
      </c>
      <c r="S979" s="75" t="str">
        <f t="shared" si="35"/>
        <v/>
      </c>
      <c r="U979" s="8">
        <v>43717</v>
      </c>
      <c r="W979" s="6" t="s">
        <v>33</v>
      </c>
      <c r="X979" s="95">
        <v>50058</v>
      </c>
    </row>
    <row r="980" spans="1:24" x14ac:dyDescent="0.25">
      <c r="A980" s="6" t="s">
        <v>168</v>
      </c>
      <c r="B980" s="94" t="s">
        <v>1598</v>
      </c>
      <c r="C980" s="6" t="s">
        <v>3242</v>
      </c>
      <c r="D980" s="140">
        <v>11898453</v>
      </c>
      <c r="E980" s="6" t="s">
        <v>3243</v>
      </c>
      <c r="F980" s="10" t="s">
        <v>62</v>
      </c>
      <c r="G980" s="6">
        <v>6524136</v>
      </c>
      <c r="H980" s="8">
        <v>48035</v>
      </c>
      <c r="I980" s="8">
        <v>44390</v>
      </c>
      <c r="J980" s="8">
        <v>44413</v>
      </c>
      <c r="K980" s="95">
        <v>44414</v>
      </c>
      <c r="L980" s="95" t="s">
        <v>359</v>
      </c>
      <c r="R980" s="97" t="str">
        <f t="shared" si="34"/>
        <v/>
      </c>
      <c r="S980" s="75" t="str">
        <f t="shared" si="35"/>
        <v/>
      </c>
      <c r="W980" s="6" t="s">
        <v>84</v>
      </c>
      <c r="X980" s="7">
        <v>45291</v>
      </c>
    </row>
    <row r="981" spans="1:24" ht="30" x14ac:dyDescent="0.25">
      <c r="A981" s="6" t="s">
        <v>37</v>
      </c>
      <c r="B981" s="94" t="s">
        <v>1137</v>
      </c>
      <c r="C981" s="6" t="s">
        <v>3244</v>
      </c>
      <c r="D981" s="140">
        <v>11523817</v>
      </c>
      <c r="E981" s="6" t="s">
        <v>414</v>
      </c>
      <c r="F981" s="10" t="s">
        <v>29</v>
      </c>
      <c r="G981" s="6" t="s">
        <v>3245</v>
      </c>
      <c r="H981" s="8">
        <v>44689</v>
      </c>
      <c r="I981" s="8">
        <v>43356</v>
      </c>
      <c r="J981" s="8">
        <v>43360</v>
      </c>
      <c r="K981" s="95">
        <v>43363</v>
      </c>
      <c r="L981" s="95" t="s">
        <v>31</v>
      </c>
      <c r="M981" s="8">
        <v>43368</v>
      </c>
      <c r="N981" s="8">
        <v>43643</v>
      </c>
      <c r="O981" s="8">
        <v>43623</v>
      </c>
      <c r="P981" s="6" t="s">
        <v>90</v>
      </c>
      <c r="Q981" s="96">
        <v>674</v>
      </c>
      <c r="R981" s="97">
        <f t="shared" si="34"/>
        <v>1.8465753424657534</v>
      </c>
      <c r="S981" s="75">
        <f t="shared" si="35"/>
        <v>15250.865753424658</v>
      </c>
      <c r="T981" s="124" t="s">
        <v>3246</v>
      </c>
      <c r="U981" s="8">
        <v>43643</v>
      </c>
      <c r="V981" s="6" t="s">
        <v>581</v>
      </c>
      <c r="W981" s="6" t="s">
        <v>84</v>
      </c>
      <c r="X981" s="95">
        <v>35634</v>
      </c>
    </row>
    <row r="982" spans="1:24" ht="30" x14ac:dyDescent="0.25">
      <c r="A982" s="6" t="s">
        <v>168</v>
      </c>
      <c r="B982" s="94" t="s">
        <v>3247</v>
      </c>
      <c r="C982" s="6" t="s">
        <v>3248</v>
      </c>
      <c r="D982" s="140">
        <v>11035187</v>
      </c>
      <c r="E982" s="6" t="s">
        <v>171</v>
      </c>
      <c r="F982" s="10" t="s">
        <v>44</v>
      </c>
      <c r="G982" s="6" t="s">
        <v>3249</v>
      </c>
      <c r="H982" s="8">
        <v>46484</v>
      </c>
      <c r="I982" s="8">
        <v>43802</v>
      </c>
      <c r="J982" s="8">
        <v>43833</v>
      </c>
      <c r="K982" s="95">
        <v>43836</v>
      </c>
      <c r="L982" s="95" t="s">
        <v>31</v>
      </c>
      <c r="M982" s="8">
        <v>43836</v>
      </c>
      <c r="N982" s="8">
        <v>44516</v>
      </c>
      <c r="O982" s="8">
        <v>44490</v>
      </c>
      <c r="P982" s="6" t="s">
        <v>90</v>
      </c>
      <c r="Q982" s="96">
        <v>1979</v>
      </c>
      <c r="R982" s="97">
        <f t="shared" si="34"/>
        <v>5.4219178082191783</v>
      </c>
      <c r="S982" s="75">
        <f t="shared" si="35"/>
        <v>44779.61917808219</v>
      </c>
      <c r="T982" s="124" t="s">
        <v>3250</v>
      </c>
      <c r="U982" s="8">
        <v>44518</v>
      </c>
      <c r="V982" s="6" t="s">
        <v>36</v>
      </c>
      <c r="W982" s="6" t="s">
        <v>33</v>
      </c>
      <c r="X982" s="95">
        <v>47914</v>
      </c>
    </row>
    <row r="983" spans="1:24" x14ac:dyDescent="0.25">
      <c r="A983" s="6" t="s">
        <v>25</v>
      </c>
      <c r="B983" s="94" t="s">
        <v>3251</v>
      </c>
      <c r="C983" s="6" t="s">
        <v>3252</v>
      </c>
      <c r="D983" s="140">
        <v>11870528</v>
      </c>
      <c r="E983" s="6" t="s">
        <v>514</v>
      </c>
      <c r="F983" s="10" t="s">
        <v>44</v>
      </c>
      <c r="G983" s="6" t="s">
        <v>3253</v>
      </c>
      <c r="H983" s="8">
        <v>44621</v>
      </c>
      <c r="I983" s="8">
        <v>43616</v>
      </c>
      <c r="J983" s="8">
        <v>43616</v>
      </c>
      <c r="K983" s="95">
        <v>43641</v>
      </c>
      <c r="L983" s="95" t="s">
        <v>31</v>
      </c>
      <c r="M983" s="8">
        <v>43647</v>
      </c>
      <c r="N983" s="8">
        <v>43712</v>
      </c>
      <c r="O983" s="8">
        <v>43700</v>
      </c>
      <c r="P983" s="6" t="s">
        <v>75</v>
      </c>
      <c r="R983" s="97" t="str">
        <f t="shared" si="34"/>
        <v/>
      </c>
      <c r="S983" s="75" t="str">
        <f t="shared" si="35"/>
        <v/>
      </c>
      <c r="U983" s="8">
        <v>43712</v>
      </c>
      <c r="W983" s="6" t="s">
        <v>33</v>
      </c>
      <c r="X983" s="6"/>
    </row>
    <row r="984" spans="1:24" x14ac:dyDescent="0.25">
      <c r="A984" s="6" t="s">
        <v>168</v>
      </c>
      <c r="B984" s="94" t="s">
        <v>3254</v>
      </c>
      <c r="C984" s="6" t="s">
        <v>3255</v>
      </c>
      <c r="D984" s="140">
        <v>11007186</v>
      </c>
      <c r="E984" s="6" t="s">
        <v>3256</v>
      </c>
      <c r="F984" s="10" t="s">
        <v>44</v>
      </c>
      <c r="G984" s="6" t="s">
        <v>3257</v>
      </c>
      <c r="H984" s="8">
        <v>50155</v>
      </c>
      <c r="I984" s="8">
        <v>43550</v>
      </c>
      <c r="J984" s="8">
        <v>43560</v>
      </c>
      <c r="K984" s="95">
        <v>43563</v>
      </c>
      <c r="L984" s="95" t="s">
        <v>31</v>
      </c>
      <c r="M984" s="8">
        <v>43570</v>
      </c>
      <c r="N984" s="8">
        <v>44357</v>
      </c>
      <c r="O984" s="8">
        <v>44344</v>
      </c>
      <c r="P984" s="6" t="s">
        <v>35</v>
      </c>
      <c r="Q984" s="96">
        <v>1749</v>
      </c>
      <c r="R984" s="97">
        <f t="shared" si="34"/>
        <v>4.7917808219178086</v>
      </c>
      <c r="S984" s="75">
        <f t="shared" si="35"/>
        <v>39575.317808219181</v>
      </c>
      <c r="U984" s="8">
        <v>44669</v>
      </c>
      <c r="V984" s="6" t="s">
        <v>36</v>
      </c>
      <c r="W984" s="6" t="s">
        <v>84</v>
      </c>
      <c r="X984" s="7">
        <v>46153</v>
      </c>
    </row>
    <row r="985" spans="1:24" x14ac:dyDescent="0.25">
      <c r="A985" s="6" t="s">
        <v>25</v>
      </c>
      <c r="B985" s="94" t="s">
        <v>307</v>
      </c>
      <c r="C985" s="6" t="s">
        <v>3258</v>
      </c>
      <c r="D985" s="140">
        <v>10990921</v>
      </c>
      <c r="E985" s="6" t="s">
        <v>386</v>
      </c>
      <c r="F985" s="10" t="s">
        <v>44</v>
      </c>
      <c r="G985" s="6" t="s">
        <v>3259</v>
      </c>
      <c r="H985" s="8">
        <v>47594</v>
      </c>
      <c r="I985" s="8">
        <v>43595</v>
      </c>
      <c r="J985" s="8">
        <v>43595</v>
      </c>
      <c r="K985" s="95">
        <v>43602</v>
      </c>
      <c r="L985" s="95" t="s">
        <v>31</v>
      </c>
      <c r="M985" s="8">
        <v>43627</v>
      </c>
      <c r="N985" s="8">
        <v>43712</v>
      </c>
      <c r="O985" s="8">
        <v>43704</v>
      </c>
      <c r="P985" s="6" t="s">
        <v>75</v>
      </c>
      <c r="R985" s="97" t="str">
        <f t="shared" si="34"/>
        <v/>
      </c>
      <c r="S985" s="75" t="str">
        <f t="shared" si="35"/>
        <v/>
      </c>
      <c r="U985" s="8">
        <v>43712</v>
      </c>
      <c r="W985" s="6" t="s">
        <v>33</v>
      </c>
      <c r="X985" s="95">
        <v>50624</v>
      </c>
    </row>
    <row r="986" spans="1:24" ht="30" x14ac:dyDescent="0.25">
      <c r="A986" s="6" t="s">
        <v>37</v>
      </c>
      <c r="B986" s="94" t="s">
        <v>3260</v>
      </c>
      <c r="C986" s="6" t="s">
        <v>3261</v>
      </c>
      <c r="D986" s="140">
        <v>11604414</v>
      </c>
      <c r="E986" s="6" t="s">
        <v>3262</v>
      </c>
      <c r="F986" s="10" t="s">
        <v>134</v>
      </c>
      <c r="G986" s="6" t="s">
        <v>3263</v>
      </c>
      <c r="H986" s="8">
        <v>47403</v>
      </c>
      <c r="I986" s="8">
        <v>43683</v>
      </c>
      <c r="J986" s="8">
        <v>43706</v>
      </c>
      <c r="K986" s="95">
        <v>43706</v>
      </c>
      <c r="L986" s="95" t="s">
        <v>31</v>
      </c>
      <c r="M986" s="8">
        <v>43712</v>
      </c>
      <c r="N986" s="8">
        <v>44272</v>
      </c>
      <c r="O986" s="8">
        <v>44249</v>
      </c>
      <c r="P986" s="6" t="s">
        <v>75</v>
      </c>
      <c r="R986" s="97" t="str">
        <f t="shared" si="34"/>
        <v/>
      </c>
      <c r="S986" s="75" t="str">
        <f t="shared" si="35"/>
        <v/>
      </c>
      <c r="U986" s="8">
        <v>44272</v>
      </c>
      <c r="W986" s="6" t="s">
        <v>33</v>
      </c>
      <c r="X986" s="95">
        <v>44340</v>
      </c>
    </row>
    <row r="987" spans="1:24" x14ac:dyDescent="0.25">
      <c r="A987" s="6" t="s">
        <v>37</v>
      </c>
      <c r="B987" s="94" t="s">
        <v>3264</v>
      </c>
      <c r="C987" s="6" t="s">
        <v>3265</v>
      </c>
      <c r="D987" s="140">
        <v>11550229</v>
      </c>
      <c r="E987" s="6" t="s">
        <v>3266</v>
      </c>
      <c r="F987" s="10" t="s">
        <v>139</v>
      </c>
      <c r="G987" s="6" t="s">
        <v>3267</v>
      </c>
      <c r="H987" s="8">
        <v>47592</v>
      </c>
      <c r="I987" s="8">
        <v>44069</v>
      </c>
      <c r="J987" s="8">
        <v>44088</v>
      </c>
      <c r="K987" s="95">
        <v>44088</v>
      </c>
      <c r="L987" s="95" t="s">
        <v>31</v>
      </c>
      <c r="M987" s="8">
        <v>44099</v>
      </c>
      <c r="N987" s="8">
        <v>44239</v>
      </c>
      <c r="O987" s="8">
        <v>44111</v>
      </c>
      <c r="P987" s="6" t="s">
        <v>35</v>
      </c>
      <c r="Q987" s="96">
        <v>365.25</v>
      </c>
      <c r="R987" s="97">
        <f t="shared" si="34"/>
        <v>1.0006849315068493</v>
      </c>
      <c r="S987" s="75">
        <f t="shared" si="35"/>
        <v>8264.656849315068</v>
      </c>
      <c r="T987" s="124" t="s">
        <v>1437</v>
      </c>
      <c r="U987" s="8">
        <v>44239</v>
      </c>
      <c r="W987" s="6" t="s">
        <v>33</v>
      </c>
      <c r="X987" s="135">
        <v>52763</v>
      </c>
    </row>
    <row r="988" spans="1:24" x14ac:dyDescent="0.25">
      <c r="A988" s="6" t="s">
        <v>37</v>
      </c>
      <c r="B988" s="94" t="s">
        <v>3268</v>
      </c>
      <c r="C988" s="6" t="s">
        <v>3269</v>
      </c>
      <c r="D988" s="140">
        <v>11188875</v>
      </c>
      <c r="E988" s="6" t="s">
        <v>3008</v>
      </c>
      <c r="F988" s="10" t="s">
        <v>44</v>
      </c>
      <c r="G988" s="6" t="s">
        <v>3270</v>
      </c>
      <c r="H988" s="8">
        <v>46736</v>
      </c>
      <c r="I988" s="8">
        <v>43796</v>
      </c>
      <c r="J988" s="8">
        <v>43823</v>
      </c>
      <c r="K988" s="95">
        <v>43825</v>
      </c>
      <c r="L988" s="95" t="s">
        <v>31</v>
      </c>
      <c r="M988" s="8">
        <v>43833</v>
      </c>
      <c r="N988" s="8">
        <v>43924</v>
      </c>
      <c r="O988" s="8">
        <v>43909</v>
      </c>
      <c r="P988" s="6" t="s">
        <v>52</v>
      </c>
      <c r="R988" s="97" t="str">
        <f t="shared" si="34"/>
        <v/>
      </c>
      <c r="S988" s="75" t="str">
        <f t="shared" si="35"/>
        <v/>
      </c>
      <c r="U988" s="8">
        <v>43936</v>
      </c>
      <c r="W988" s="6" t="s">
        <v>33</v>
      </c>
      <c r="X988" s="95">
        <v>49691</v>
      </c>
    </row>
    <row r="989" spans="1:24" ht="25.5" customHeight="1" x14ac:dyDescent="0.25">
      <c r="A989" s="6" t="s">
        <v>168</v>
      </c>
      <c r="B989" s="94" t="s">
        <v>3254</v>
      </c>
      <c r="C989" s="6" t="s">
        <v>3271</v>
      </c>
      <c r="D989" s="140">
        <v>11886286</v>
      </c>
      <c r="E989" s="6" t="s">
        <v>2502</v>
      </c>
      <c r="F989" s="10" t="s">
        <v>205</v>
      </c>
      <c r="G989" s="6" t="s">
        <v>3272</v>
      </c>
      <c r="H989" s="8">
        <v>46837</v>
      </c>
      <c r="I989" s="8">
        <v>43787</v>
      </c>
      <c r="J989" s="8">
        <v>43802</v>
      </c>
      <c r="K989" s="95">
        <v>43803</v>
      </c>
      <c r="L989" s="95" t="s">
        <v>31</v>
      </c>
      <c r="M989" s="8">
        <v>43811</v>
      </c>
      <c r="N989" s="8">
        <v>44141</v>
      </c>
      <c r="O989" s="8">
        <v>44071</v>
      </c>
      <c r="P989" s="6" t="s">
        <v>90</v>
      </c>
      <c r="Q989" s="96">
        <v>1451</v>
      </c>
      <c r="R989" s="97">
        <f t="shared" si="34"/>
        <v>3.9753424657534246</v>
      </c>
      <c r="S989" s="75">
        <f t="shared" si="35"/>
        <v>32832.353424657536</v>
      </c>
      <c r="T989" s="124" t="s">
        <v>3273</v>
      </c>
      <c r="U989" s="8">
        <v>44141</v>
      </c>
      <c r="V989" s="6" t="s">
        <v>36</v>
      </c>
      <c r="W989" s="6" t="s">
        <v>84</v>
      </c>
      <c r="X989" s="95">
        <v>45527</v>
      </c>
    </row>
    <row r="990" spans="1:24" ht="23.45" customHeight="1" x14ac:dyDescent="0.25">
      <c r="A990" s="6" t="s">
        <v>37</v>
      </c>
      <c r="B990" s="94" t="s">
        <v>3274</v>
      </c>
      <c r="C990" s="6" t="s">
        <v>3275</v>
      </c>
      <c r="D990" s="140">
        <v>11054465</v>
      </c>
      <c r="E990" s="6" t="s">
        <v>3276</v>
      </c>
      <c r="F990" s="10" t="s">
        <v>299</v>
      </c>
      <c r="G990" s="6" t="s">
        <v>3277</v>
      </c>
      <c r="H990" s="8">
        <v>47547</v>
      </c>
      <c r="I990" s="8">
        <v>44279</v>
      </c>
      <c r="J990" s="8">
        <v>44294</v>
      </c>
      <c r="K990" s="95">
        <v>44307</v>
      </c>
      <c r="L990" s="95" t="s">
        <v>31</v>
      </c>
      <c r="M990" s="8">
        <v>44309</v>
      </c>
      <c r="N990" s="8">
        <v>44350</v>
      </c>
      <c r="O990" s="8">
        <v>44340</v>
      </c>
      <c r="P990" s="6" t="s">
        <v>75</v>
      </c>
      <c r="R990" s="97" t="str">
        <f t="shared" si="34"/>
        <v/>
      </c>
      <c r="S990" s="75" t="str">
        <f t="shared" si="35"/>
        <v/>
      </c>
      <c r="W990" s="6" t="s">
        <v>33</v>
      </c>
      <c r="X990" s="7">
        <v>50773</v>
      </c>
    </row>
    <row r="991" spans="1:24" x14ac:dyDescent="0.25">
      <c r="A991" s="6" t="s">
        <v>37</v>
      </c>
      <c r="B991" s="106" t="s">
        <v>3278</v>
      </c>
      <c r="C991" s="107" t="s">
        <v>3279</v>
      </c>
      <c r="D991" s="142">
        <v>11161760</v>
      </c>
      <c r="E991" s="107" t="s">
        <v>3062</v>
      </c>
      <c r="F991" s="56" t="s">
        <v>143</v>
      </c>
      <c r="G991" s="107" t="s">
        <v>3280</v>
      </c>
      <c r="H991" s="108">
        <v>45264</v>
      </c>
      <c r="I991" s="108">
        <v>43417</v>
      </c>
      <c r="J991" s="108">
        <v>43420</v>
      </c>
      <c r="K991" s="109">
        <v>43420</v>
      </c>
      <c r="L991" s="109" t="s">
        <v>31</v>
      </c>
      <c r="M991" s="108">
        <v>43433</v>
      </c>
      <c r="N991" s="108">
        <v>43655</v>
      </c>
      <c r="O991" s="108">
        <v>43654</v>
      </c>
      <c r="P991" s="107" t="s">
        <v>90</v>
      </c>
      <c r="Q991" s="110">
        <v>1753</v>
      </c>
      <c r="R991" s="120">
        <f t="shared" si="34"/>
        <v>4.8027397260273972</v>
      </c>
      <c r="S991" s="75">
        <f t="shared" si="35"/>
        <v>39665.827397260276</v>
      </c>
      <c r="T991" s="129" t="s">
        <v>3281</v>
      </c>
      <c r="U991" s="8">
        <v>43656</v>
      </c>
      <c r="V991" s="6" t="s">
        <v>36</v>
      </c>
      <c r="W991" s="6" t="s">
        <v>84</v>
      </c>
      <c r="X991" s="95">
        <v>46172</v>
      </c>
    </row>
    <row r="992" spans="1:24" x14ac:dyDescent="0.25">
      <c r="A992" s="6" t="s">
        <v>25</v>
      </c>
      <c r="B992" s="94" t="s">
        <v>3282</v>
      </c>
      <c r="C992" s="6" t="s">
        <v>3283</v>
      </c>
      <c r="D992" s="140">
        <v>11587433</v>
      </c>
      <c r="E992" s="6" t="s">
        <v>1927</v>
      </c>
      <c r="F992" s="10" t="s">
        <v>62</v>
      </c>
      <c r="G992" s="6" t="s">
        <v>3284</v>
      </c>
      <c r="H992" s="8">
        <v>47305</v>
      </c>
      <c r="I992" s="8">
        <v>43640</v>
      </c>
      <c r="J992" s="95">
        <v>43641</v>
      </c>
      <c r="K992" s="95">
        <v>43675</v>
      </c>
      <c r="L992" s="95" t="s">
        <v>31</v>
      </c>
      <c r="M992" s="8">
        <v>43679</v>
      </c>
      <c r="N992" s="8">
        <v>43728</v>
      </c>
      <c r="O992" s="8">
        <v>43718</v>
      </c>
      <c r="P992" s="6" t="s">
        <v>75</v>
      </c>
      <c r="R992" s="97" t="str">
        <f t="shared" si="34"/>
        <v/>
      </c>
      <c r="S992" s="75" t="str">
        <f t="shared" si="35"/>
        <v/>
      </c>
      <c r="U992" s="8">
        <v>43731</v>
      </c>
      <c r="W992" s="6" t="s">
        <v>33</v>
      </c>
      <c r="X992" s="6"/>
    </row>
    <row r="993" spans="1:24" ht="30" x14ac:dyDescent="0.25">
      <c r="A993" s="6" t="s">
        <v>25</v>
      </c>
      <c r="B993" s="94" t="s">
        <v>482</v>
      </c>
      <c r="C993" s="6" t="s">
        <v>3285</v>
      </c>
      <c r="D993" s="140">
        <v>11125445</v>
      </c>
      <c r="E993" s="6" t="s">
        <v>2678</v>
      </c>
      <c r="F993" s="10" t="s">
        <v>134</v>
      </c>
      <c r="G993" s="6" t="s">
        <v>3286</v>
      </c>
      <c r="H993" s="8">
        <v>44440</v>
      </c>
      <c r="I993" s="8">
        <v>43682</v>
      </c>
      <c r="J993" s="8">
        <v>43682</v>
      </c>
      <c r="K993" s="95">
        <v>43759</v>
      </c>
      <c r="L993" s="95" t="s">
        <v>31</v>
      </c>
      <c r="M993" s="8">
        <v>43787</v>
      </c>
      <c r="N993" s="8">
        <v>43885</v>
      </c>
      <c r="O993" s="8">
        <v>43844</v>
      </c>
      <c r="P993" s="6" t="s">
        <v>90</v>
      </c>
      <c r="Q993" s="96">
        <v>851</v>
      </c>
      <c r="R993" s="97">
        <f t="shared" si="34"/>
        <v>2.3315068493150686</v>
      </c>
      <c r="S993" s="75">
        <f t="shared" si="35"/>
        <v>19255.915068493152</v>
      </c>
      <c r="T993" s="124" t="s">
        <v>3287</v>
      </c>
      <c r="U993" s="8">
        <v>43885</v>
      </c>
      <c r="V993" s="6" t="s">
        <v>36</v>
      </c>
      <c r="W993" s="6" t="s">
        <v>33</v>
      </c>
      <c r="X993" s="6"/>
    </row>
    <row r="994" spans="1:24" x14ac:dyDescent="0.25">
      <c r="A994" s="6" t="s">
        <v>168</v>
      </c>
      <c r="B994" s="94" t="s">
        <v>3288</v>
      </c>
      <c r="C994" s="6" t="s">
        <v>3289</v>
      </c>
      <c r="D994" s="140">
        <v>11984456</v>
      </c>
      <c r="E994" s="6" t="s">
        <v>3290</v>
      </c>
      <c r="F994" s="10" t="s">
        <v>57</v>
      </c>
      <c r="G994" s="6" t="s">
        <v>3291</v>
      </c>
      <c r="H994" s="8">
        <v>47016</v>
      </c>
      <c r="I994" s="8">
        <v>44322</v>
      </c>
      <c r="J994" s="8">
        <v>44341</v>
      </c>
      <c r="K994" s="95">
        <v>44343</v>
      </c>
      <c r="L994" s="95" t="s">
        <v>359</v>
      </c>
      <c r="R994" s="97" t="str">
        <f t="shared" si="34"/>
        <v/>
      </c>
      <c r="S994" s="75" t="str">
        <f t="shared" si="35"/>
        <v/>
      </c>
      <c r="W994" s="6" t="s">
        <v>84</v>
      </c>
      <c r="X994" s="7">
        <v>46073</v>
      </c>
    </row>
    <row r="995" spans="1:24" x14ac:dyDescent="0.25">
      <c r="A995" s="6" t="s">
        <v>168</v>
      </c>
      <c r="B995" s="94" t="s">
        <v>3292</v>
      </c>
      <c r="C995" s="6" t="s">
        <v>3293</v>
      </c>
      <c r="D995" s="140">
        <v>11925569</v>
      </c>
      <c r="E995" s="6" t="s">
        <v>1927</v>
      </c>
      <c r="F995" s="10" t="s">
        <v>148</v>
      </c>
      <c r="G995" s="6" t="s">
        <v>3294</v>
      </c>
      <c r="H995" s="8">
        <v>45584</v>
      </c>
      <c r="I995" s="95">
        <v>43255</v>
      </c>
      <c r="J995" s="95">
        <v>43255</v>
      </c>
      <c r="K995" s="95">
        <v>43255</v>
      </c>
      <c r="L995" s="95" t="s">
        <v>31</v>
      </c>
      <c r="M995" s="8">
        <v>43255</v>
      </c>
      <c r="N995" s="8">
        <v>43360</v>
      </c>
      <c r="O995" s="8">
        <v>43537</v>
      </c>
      <c r="P995" s="6" t="s">
        <v>75</v>
      </c>
      <c r="R995" s="97" t="str">
        <f t="shared" si="34"/>
        <v/>
      </c>
      <c r="S995" s="75" t="str">
        <f t="shared" si="35"/>
        <v/>
      </c>
      <c r="U995" s="8">
        <v>43551</v>
      </c>
      <c r="W995" s="6" t="s">
        <v>84</v>
      </c>
      <c r="X995" s="95">
        <v>45841</v>
      </c>
    </row>
    <row r="996" spans="1:24" x14ac:dyDescent="0.25">
      <c r="A996" s="6" t="s">
        <v>25</v>
      </c>
      <c r="B996" s="94" t="s">
        <v>3295</v>
      </c>
      <c r="C996" s="6" t="s">
        <v>3296</v>
      </c>
      <c r="D996" s="140">
        <v>11687908</v>
      </c>
      <c r="E996" s="6" t="s">
        <v>1773</v>
      </c>
      <c r="F996" s="10" t="s">
        <v>44</v>
      </c>
      <c r="G996" s="6" t="s">
        <v>3297</v>
      </c>
      <c r="H996" s="8">
        <v>45540</v>
      </c>
      <c r="I996" s="8">
        <v>43637</v>
      </c>
      <c r="J996" s="8">
        <v>43640</v>
      </c>
      <c r="K996" s="95">
        <v>43696</v>
      </c>
      <c r="L996" s="95" t="s">
        <v>31</v>
      </c>
      <c r="M996" s="8">
        <v>43704</v>
      </c>
      <c r="N996" s="8">
        <v>43735</v>
      </c>
      <c r="O996" s="8">
        <v>43720</v>
      </c>
      <c r="P996" s="6" t="s">
        <v>75</v>
      </c>
      <c r="R996" s="97" t="str">
        <f t="shared" si="34"/>
        <v/>
      </c>
      <c r="S996" s="75" t="str">
        <f t="shared" si="35"/>
        <v/>
      </c>
      <c r="U996" s="8">
        <v>43735</v>
      </c>
      <c r="W996" s="6" t="s">
        <v>33</v>
      </c>
      <c r="X996" s="6"/>
    </row>
    <row r="997" spans="1:24" x14ac:dyDescent="0.25">
      <c r="A997" s="6" t="s">
        <v>25</v>
      </c>
      <c r="B997" s="94" t="s">
        <v>3298</v>
      </c>
      <c r="C997" s="6" t="s">
        <v>3299</v>
      </c>
      <c r="D997" s="140">
        <v>11279939</v>
      </c>
      <c r="E997" s="6" t="s">
        <v>714</v>
      </c>
      <c r="F997" s="10" t="s">
        <v>205</v>
      </c>
      <c r="G997" s="6" t="s">
        <v>3300</v>
      </c>
      <c r="H997" s="8">
        <v>46781</v>
      </c>
      <c r="I997" s="8">
        <v>43615</v>
      </c>
      <c r="J997" s="8">
        <v>43616</v>
      </c>
      <c r="K997" s="95">
        <v>43648</v>
      </c>
      <c r="L997" s="95" t="s">
        <v>31</v>
      </c>
      <c r="M997" s="8">
        <v>43655</v>
      </c>
      <c r="N997" s="8">
        <v>43854</v>
      </c>
      <c r="O997" s="8">
        <v>43784</v>
      </c>
      <c r="P997" s="6" t="s">
        <v>75</v>
      </c>
      <c r="R997" s="97" t="str">
        <f t="shared" ref="R997:R1019" si="36">IF(Q997&gt;0, Q997/365, "")</f>
        <v/>
      </c>
      <c r="S997" s="75" t="str">
        <f t="shared" si="35"/>
        <v/>
      </c>
      <c r="U997" s="8">
        <v>43854</v>
      </c>
      <c r="W997" s="6" t="s">
        <v>33</v>
      </c>
      <c r="X997" s="6"/>
    </row>
    <row r="998" spans="1:24" x14ac:dyDescent="0.25">
      <c r="A998" s="6" t="s">
        <v>168</v>
      </c>
      <c r="B998" s="94" t="s">
        <v>3301</v>
      </c>
      <c r="C998" s="6" t="s">
        <v>3302</v>
      </c>
      <c r="D998" s="140">
        <v>11754513</v>
      </c>
      <c r="E998" s="6" t="s">
        <v>3303</v>
      </c>
      <c r="F998" s="10" t="s">
        <v>44</v>
      </c>
      <c r="G998" s="6" t="s">
        <v>3304</v>
      </c>
      <c r="H998" s="8">
        <v>56939</v>
      </c>
      <c r="I998" s="8">
        <v>44391</v>
      </c>
      <c r="J998" s="8">
        <v>44413</v>
      </c>
      <c r="K998" s="95">
        <v>44414</v>
      </c>
      <c r="L998" s="95" t="s">
        <v>359</v>
      </c>
      <c r="R998" s="97" t="str">
        <f t="shared" si="36"/>
        <v/>
      </c>
      <c r="S998" s="75" t="str">
        <f t="shared" si="35"/>
        <v/>
      </c>
      <c r="W998" s="6" t="s">
        <v>84</v>
      </c>
      <c r="X998" s="7">
        <v>49543</v>
      </c>
    </row>
    <row r="999" spans="1:24" x14ac:dyDescent="0.25">
      <c r="A999" s="6" t="s">
        <v>168</v>
      </c>
      <c r="B999" s="94" t="s">
        <v>3305</v>
      </c>
      <c r="C999" s="6" t="s">
        <v>3306</v>
      </c>
      <c r="D999" s="140">
        <v>11911228</v>
      </c>
      <c r="E999" s="6" t="s">
        <v>3307</v>
      </c>
      <c r="F999" s="10" t="s">
        <v>1466</v>
      </c>
      <c r="G999" s="6" t="s">
        <v>3308</v>
      </c>
      <c r="H999" s="8">
        <v>45053</v>
      </c>
      <c r="I999" s="8">
        <v>43543</v>
      </c>
      <c r="J999" s="8">
        <v>43544</v>
      </c>
      <c r="K999" s="95">
        <v>43546</v>
      </c>
      <c r="L999" s="95" t="s">
        <v>31</v>
      </c>
      <c r="M999" s="8">
        <v>43570</v>
      </c>
      <c r="R999" s="97" t="str">
        <f t="shared" si="36"/>
        <v/>
      </c>
      <c r="S999" s="75" t="str">
        <f t="shared" si="35"/>
        <v/>
      </c>
      <c r="T999" s="124" t="s">
        <v>3309</v>
      </c>
      <c r="U999" s="8">
        <v>44669</v>
      </c>
      <c r="W999" s="6" t="s">
        <v>84</v>
      </c>
      <c r="X999" s="95">
        <v>46713</v>
      </c>
    </row>
    <row r="1000" spans="1:24" x14ac:dyDescent="0.25">
      <c r="A1000" s="6" t="s">
        <v>25</v>
      </c>
      <c r="B1000" s="94" t="s">
        <v>3310</v>
      </c>
      <c r="C1000" s="6" t="s">
        <v>3311</v>
      </c>
      <c r="D1000" s="140">
        <v>11604432</v>
      </c>
      <c r="E1000" s="6" t="s">
        <v>130</v>
      </c>
      <c r="F1000" s="10" t="s">
        <v>139</v>
      </c>
      <c r="G1000" s="6" t="s">
        <v>3312</v>
      </c>
      <c r="H1000" s="8">
        <v>44377</v>
      </c>
      <c r="I1000" s="8">
        <v>43469</v>
      </c>
      <c r="J1000" s="8">
        <v>43579</v>
      </c>
      <c r="K1000" s="95">
        <v>43581</v>
      </c>
      <c r="L1000" s="95" t="s">
        <v>31</v>
      </c>
      <c r="M1000" s="8">
        <v>43587</v>
      </c>
      <c r="N1000" s="8">
        <v>43754</v>
      </c>
      <c r="O1000" s="8">
        <v>43721</v>
      </c>
      <c r="P1000" s="6" t="s">
        <v>75</v>
      </c>
      <c r="R1000" s="97" t="str">
        <f t="shared" si="36"/>
        <v/>
      </c>
      <c r="S1000" s="75" t="str">
        <f t="shared" si="35"/>
        <v/>
      </c>
      <c r="U1000" s="8">
        <v>43754</v>
      </c>
      <c r="W1000" s="6" t="s">
        <v>33</v>
      </c>
      <c r="X1000" s="95">
        <v>53707</v>
      </c>
    </row>
    <row r="1001" spans="1:24" x14ac:dyDescent="0.25">
      <c r="A1001" s="6" t="s">
        <v>168</v>
      </c>
      <c r="B1001" s="94" t="s">
        <v>610</v>
      </c>
      <c r="C1001" s="6" t="s">
        <v>3313</v>
      </c>
      <c r="D1001" s="140">
        <v>11981007</v>
      </c>
      <c r="E1001" s="6" t="s">
        <v>3314</v>
      </c>
      <c r="F1001" s="10" t="s">
        <v>437</v>
      </c>
      <c r="G1001" s="6" t="s">
        <v>3315</v>
      </c>
      <c r="H1001" s="8">
        <v>46092</v>
      </c>
      <c r="I1001" s="8">
        <v>43740</v>
      </c>
      <c r="J1001" s="8">
        <v>43752</v>
      </c>
      <c r="K1001" s="95">
        <v>43753</v>
      </c>
      <c r="L1001" s="95" t="s">
        <v>31</v>
      </c>
      <c r="M1001" s="8">
        <v>43755</v>
      </c>
      <c r="N1001" s="8">
        <v>44141</v>
      </c>
      <c r="O1001" s="8">
        <v>44074</v>
      </c>
      <c r="P1001" s="6" t="s">
        <v>90</v>
      </c>
      <c r="Q1001" s="96">
        <v>2008</v>
      </c>
      <c r="R1001" s="97">
        <f t="shared" si="36"/>
        <v>5.5013698630136982</v>
      </c>
      <c r="S1001" s="75">
        <f t="shared" si="35"/>
        <v>45435.81369863014</v>
      </c>
      <c r="T1001" s="124" t="s">
        <v>3316</v>
      </c>
      <c r="U1001" s="8">
        <v>44141</v>
      </c>
      <c r="V1001" s="6" t="s">
        <v>36</v>
      </c>
      <c r="W1001" s="6" t="s">
        <v>33</v>
      </c>
      <c r="X1001" s="95">
        <v>44984</v>
      </c>
    </row>
    <row r="1002" spans="1:24" ht="30" x14ac:dyDescent="0.25">
      <c r="A1002" s="6" t="s">
        <v>168</v>
      </c>
      <c r="B1002" s="94" t="s">
        <v>3317</v>
      </c>
      <c r="C1002" s="6" t="s">
        <v>3318</v>
      </c>
      <c r="D1002" s="140">
        <v>11996627</v>
      </c>
      <c r="E1002" s="6" t="s">
        <v>3319</v>
      </c>
      <c r="F1002" s="10" t="s">
        <v>44</v>
      </c>
      <c r="G1002" s="6" t="s">
        <v>3320</v>
      </c>
      <c r="H1002" s="8">
        <v>53299</v>
      </c>
      <c r="I1002" s="8">
        <v>44089</v>
      </c>
      <c r="J1002" s="8">
        <v>44144</v>
      </c>
      <c r="K1002" s="95">
        <v>44148</v>
      </c>
      <c r="L1002" s="95" t="s">
        <v>31</v>
      </c>
      <c r="M1002" s="8">
        <v>44154</v>
      </c>
      <c r="N1002" s="8">
        <v>44522</v>
      </c>
      <c r="O1002" s="8">
        <v>44505</v>
      </c>
      <c r="P1002" s="6" t="s">
        <v>90</v>
      </c>
      <c r="Q1002" s="96">
        <v>8775</v>
      </c>
      <c r="R1002" s="97">
        <f t="shared" si="36"/>
        <v>24.041095890410958</v>
      </c>
      <c r="S1002" s="75">
        <f t="shared" si="35"/>
        <v>198555.4109589041</v>
      </c>
      <c r="T1002" s="124" t="s">
        <v>3321</v>
      </c>
      <c r="U1002" s="8">
        <v>44523</v>
      </c>
      <c r="V1002" s="6" t="s">
        <v>36</v>
      </c>
      <c r="W1002" s="6" t="s">
        <v>84</v>
      </c>
      <c r="X1002" s="135">
        <v>44571</v>
      </c>
    </row>
    <row r="1003" spans="1:24" x14ac:dyDescent="0.25">
      <c r="A1003" s="6" t="s">
        <v>168</v>
      </c>
      <c r="B1003" s="94" t="s">
        <v>2598</v>
      </c>
      <c r="C1003" s="6" t="s">
        <v>3322</v>
      </c>
      <c r="D1003" s="140">
        <v>11040501</v>
      </c>
      <c r="E1003" s="6" t="s">
        <v>171</v>
      </c>
      <c r="F1003" s="10" t="s">
        <v>44</v>
      </c>
      <c r="G1003" s="6" t="s">
        <v>3323</v>
      </c>
      <c r="H1003" s="8">
        <v>50388</v>
      </c>
      <c r="I1003" s="8">
        <v>44504</v>
      </c>
      <c r="J1003" s="8">
        <v>44536</v>
      </c>
      <c r="K1003" s="95">
        <v>44546</v>
      </c>
      <c r="L1003" s="95" t="s">
        <v>31</v>
      </c>
      <c r="M1003" s="8">
        <v>44560</v>
      </c>
      <c r="N1003" s="8">
        <v>44489</v>
      </c>
      <c r="O1003" s="8">
        <v>44466</v>
      </c>
      <c r="P1003" s="6" t="s">
        <v>35</v>
      </c>
      <c r="Q1003" s="96">
        <v>1901</v>
      </c>
      <c r="R1003" s="97">
        <f t="shared" si="36"/>
        <v>5.2082191780821914</v>
      </c>
      <c r="S1003" s="75">
        <f t="shared" si="35"/>
        <v>43014.682191780827</v>
      </c>
      <c r="U1003" s="8">
        <v>44669</v>
      </c>
      <c r="V1003" s="6" t="s">
        <v>36</v>
      </c>
      <c r="W1003" s="6" t="s">
        <v>84</v>
      </c>
    </row>
    <row r="1004" spans="1:24" x14ac:dyDescent="0.25">
      <c r="A1004" s="6" t="s">
        <v>168</v>
      </c>
      <c r="B1004" s="94" t="s">
        <v>3324</v>
      </c>
      <c r="C1004" s="6" t="s">
        <v>3325</v>
      </c>
      <c r="D1004" s="140">
        <v>10252919</v>
      </c>
      <c r="E1004" s="6" t="s">
        <v>386</v>
      </c>
      <c r="F1004" s="10" t="s">
        <v>62</v>
      </c>
      <c r="G1004" s="6" t="s">
        <v>3326</v>
      </c>
      <c r="H1004" s="8">
        <v>46035</v>
      </c>
      <c r="I1004" s="8">
        <v>43538</v>
      </c>
      <c r="J1004" s="8">
        <v>43545</v>
      </c>
      <c r="K1004" s="95">
        <v>43545</v>
      </c>
      <c r="L1004" s="95" t="s">
        <v>31</v>
      </c>
      <c r="M1004" s="8">
        <v>43560</v>
      </c>
      <c r="N1004" s="8">
        <v>43619</v>
      </c>
      <c r="O1004" s="8">
        <v>43571</v>
      </c>
      <c r="P1004" s="6" t="s">
        <v>75</v>
      </c>
      <c r="R1004" s="97" t="str">
        <f t="shared" si="36"/>
        <v/>
      </c>
      <c r="S1004" s="75" t="str">
        <f t="shared" si="35"/>
        <v/>
      </c>
      <c r="U1004" s="8">
        <v>43621</v>
      </c>
      <c r="W1004" s="6" t="s">
        <v>33</v>
      </c>
      <c r="X1004" s="95">
        <v>45132</v>
      </c>
    </row>
    <row r="1005" spans="1:24" x14ac:dyDescent="0.25">
      <c r="A1005" s="6" t="s">
        <v>25</v>
      </c>
      <c r="B1005" s="94" t="s">
        <v>3327</v>
      </c>
      <c r="C1005" s="6" t="s">
        <v>3328</v>
      </c>
      <c r="D1005" s="140">
        <v>11021724</v>
      </c>
      <c r="E1005" s="6" t="s">
        <v>2779</v>
      </c>
      <c r="F1005" s="10" t="s">
        <v>44</v>
      </c>
      <c r="G1005" s="6" t="s">
        <v>3329</v>
      </c>
      <c r="H1005" s="8">
        <v>44647</v>
      </c>
      <c r="I1005" s="8">
        <v>43595</v>
      </c>
      <c r="J1005" s="8">
        <v>43595</v>
      </c>
      <c r="K1005" s="95">
        <v>43602</v>
      </c>
      <c r="L1005" s="95" t="s">
        <v>31</v>
      </c>
      <c r="M1005" s="8">
        <v>43627</v>
      </c>
      <c r="N1005" s="8">
        <v>43739</v>
      </c>
      <c r="O1005" s="8">
        <v>43724</v>
      </c>
      <c r="P1005" s="6" t="s">
        <v>182</v>
      </c>
      <c r="R1005" s="97" t="str">
        <f t="shared" si="36"/>
        <v/>
      </c>
      <c r="S1005" s="75" t="str">
        <f t="shared" si="35"/>
        <v/>
      </c>
      <c r="U1005" s="8">
        <v>43739</v>
      </c>
      <c r="W1005" s="6" t="s">
        <v>33</v>
      </c>
      <c r="X1005" s="95">
        <v>50499</v>
      </c>
    </row>
    <row r="1006" spans="1:24" x14ac:dyDescent="0.25">
      <c r="A1006" s="6" t="s">
        <v>25</v>
      </c>
      <c r="B1006" s="94" t="s">
        <v>3330</v>
      </c>
      <c r="C1006" s="6" t="s">
        <v>3331</v>
      </c>
      <c r="D1006" s="140">
        <v>11622602</v>
      </c>
      <c r="E1006" s="6" t="s">
        <v>2052</v>
      </c>
      <c r="F1006" s="10" t="s">
        <v>44</v>
      </c>
      <c r="G1006" s="6" t="s">
        <v>3332</v>
      </c>
      <c r="H1006" s="8">
        <v>45328</v>
      </c>
      <c r="I1006" s="8">
        <v>43643</v>
      </c>
      <c r="J1006" s="8">
        <v>43643</v>
      </c>
      <c r="K1006" s="95">
        <v>43696</v>
      </c>
      <c r="L1006" s="95" t="s">
        <v>31</v>
      </c>
      <c r="M1006" s="8">
        <v>43704</v>
      </c>
      <c r="N1006" s="8">
        <v>43735</v>
      </c>
      <c r="O1006" s="8">
        <v>43724</v>
      </c>
      <c r="P1006" s="6" t="s">
        <v>52</v>
      </c>
      <c r="R1006" s="97" t="str">
        <f t="shared" si="36"/>
        <v/>
      </c>
      <c r="S1006" s="75" t="str">
        <f t="shared" si="35"/>
        <v/>
      </c>
      <c r="U1006" s="8">
        <v>43738</v>
      </c>
      <c r="W1006" s="6" t="s">
        <v>33</v>
      </c>
      <c r="X1006" s="6"/>
    </row>
    <row r="1007" spans="1:24" x14ac:dyDescent="0.25">
      <c r="A1007" s="6" t="s">
        <v>25</v>
      </c>
      <c r="B1007" s="94" t="s">
        <v>635</v>
      </c>
      <c r="C1007" s="6" t="s">
        <v>1953</v>
      </c>
      <c r="D1007" s="140">
        <v>11067588</v>
      </c>
      <c r="E1007" s="6" t="s">
        <v>204</v>
      </c>
      <c r="F1007" s="10" t="s">
        <v>44</v>
      </c>
      <c r="G1007" s="6" t="s">
        <v>1955</v>
      </c>
      <c r="H1007" s="8">
        <v>47082</v>
      </c>
      <c r="I1007" s="8">
        <v>43601</v>
      </c>
      <c r="J1007" s="8">
        <v>43601</v>
      </c>
      <c r="K1007" s="95">
        <v>43634</v>
      </c>
      <c r="L1007" s="95" t="s">
        <v>31</v>
      </c>
      <c r="M1007" s="8">
        <v>43636</v>
      </c>
      <c r="N1007" s="8">
        <v>43725</v>
      </c>
      <c r="O1007" s="8">
        <v>43725</v>
      </c>
      <c r="P1007" s="6" t="s">
        <v>75</v>
      </c>
      <c r="R1007" s="97" t="str">
        <f t="shared" si="36"/>
        <v/>
      </c>
      <c r="S1007" s="75" t="str">
        <f t="shared" si="35"/>
        <v/>
      </c>
      <c r="U1007" s="8">
        <v>43725</v>
      </c>
      <c r="W1007" s="6" t="s">
        <v>33</v>
      </c>
      <c r="X1007" s="95">
        <v>54695</v>
      </c>
    </row>
    <row r="1008" spans="1:24" x14ac:dyDescent="0.25">
      <c r="A1008" s="6" t="s">
        <v>37</v>
      </c>
      <c r="B1008" s="94" t="s">
        <v>3333</v>
      </c>
      <c r="C1008" s="6" t="s">
        <v>3334</v>
      </c>
      <c r="D1008" s="140">
        <v>11180159</v>
      </c>
      <c r="E1008" s="6" t="s">
        <v>3335</v>
      </c>
      <c r="F1008" s="10" t="s">
        <v>44</v>
      </c>
      <c r="G1008" s="6" t="s">
        <v>3336</v>
      </c>
      <c r="H1008" s="8">
        <v>47265</v>
      </c>
      <c r="I1008" s="8">
        <v>44168</v>
      </c>
      <c r="J1008" s="8">
        <v>44236</v>
      </c>
      <c r="K1008" s="95">
        <v>44238</v>
      </c>
      <c r="L1008" s="95" t="s">
        <v>31</v>
      </c>
      <c r="M1008" s="8">
        <v>44244</v>
      </c>
      <c r="R1008" s="97" t="str">
        <f t="shared" si="36"/>
        <v/>
      </c>
      <c r="S1008" s="75" t="str">
        <f t="shared" si="35"/>
        <v/>
      </c>
      <c r="W1008" s="6" t="s">
        <v>33</v>
      </c>
      <c r="X1008" s="95">
        <v>47674</v>
      </c>
    </row>
    <row r="1009" spans="1:24" x14ac:dyDescent="0.25">
      <c r="A1009" s="6" t="s">
        <v>168</v>
      </c>
      <c r="B1009" s="94" t="s">
        <v>3337</v>
      </c>
      <c r="C1009" s="6" t="s">
        <v>3338</v>
      </c>
      <c r="D1009" s="140">
        <v>11000892</v>
      </c>
      <c r="E1009" s="6" t="s">
        <v>171</v>
      </c>
      <c r="F1009" s="10" t="s">
        <v>121</v>
      </c>
      <c r="G1009" s="6" t="s">
        <v>3339</v>
      </c>
      <c r="H1009" s="8">
        <v>45399</v>
      </c>
      <c r="I1009" s="8">
        <v>44173</v>
      </c>
      <c r="J1009" s="8">
        <v>44539</v>
      </c>
      <c r="K1009" s="95">
        <v>44180</v>
      </c>
      <c r="L1009" s="95" t="s">
        <v>359</v>
      </c>
      <c r="R1009" s="97" t="str">
        <f t="shared" si="36"/>
        <v/>
      </c>
      <c r="S1009" s="75" t="str">
        <f t="shared" si="35"/>
        <v/>
      </c>
      <c r="W1009" s="6" t="s">
        <v>33</v>
      </c>
      <c r="X1009" s="95">
        <v>45776</v>
      </c>
    </row>
    <row r="1010" spans="1:24" x14ac:dyDescent="0.25">
      <c r="A1010" s="6" t="s">
        <v>25</v>
      </c>
      <c r="B1010" s="94" t="s">
        <v>3340</v>
      </c>
      <c r="C1010" s="6" t="s">
        <v>3341</v>
      </c>
      <c r="D1010" s="140">
        <v>11154387</v>
      </c>
      <c r="E1010" s="6" t="s">
        <v>783</v>
      </c>
      <c r="F1010" s="10" t="s">
        <v>44</v>
      </c>
      <c r="G1010" s="6" t="s">
        <v>3342</v>
      </c>
      <c r="H1010" s="8">
        <v>47381</v>
      </c>
      <c r="I1010" s="8">
        <v>43600</v>
      </c>
      <c r="J1010" s="8">
        <v>43600</v>
      </c>
      <c r="K1010" s="95">
        <v>43675</v>
      </c>
      <c r="L1010" s="95" t="s">
        <v>31</v>
      </c>
      <c r="M1010" s="8">
        <v>43679</v>
      </c>
      <c r="N1010" s="8">
        <v>43854</v>
      </c>
      <c r="O1010" s="8">
        <v>43790</v>
      </c>
      <c r="P1010" s="6" t="s">
        <v>35</v>
      </c>
      <c r="Q1010" s="96">
        <v>1826</v>
      </c>
      <c r="R1010" s="97">
        <f t="shared" si="36"/>
        <v>5.0027397260273974</v>
      </c>
      <c r="S1010" s="75">
        <f t="shared" si="35"/>
        <v>41317.627397260272</v>
      </c>
      <c r="T1010" s="124" t="s">
        <v>601</v>
      </c>
      <c r="U1010" s="8">
        <v>43854</v>
      </c>
      <c r="W1010" s="6" t="s">
        <v>33</v>
      </c>
      <c r="X1010" s="95">
        <v>49647</v>
      </c>
    </row>
    <row r="1011" spans="1:24" x14ac:dyDescent="0.25">
      <c r="A1011" s="6" t="s">
        <v>168</v>
      </c>
      <c r="B1011" s="94" t="s">
        <v>3343</v>
      </c>
      <c r="C1011" s="6" t="s">
        <v>3344</v>
      </c>
      <c r="D1011" s="140">
        <v>12004145</v>
      </c>
      <c r="E1011" s="6" t="s">
        <v>3345</v>
      </c>
      <c r="F1011" s="10" t="s">
        <v>44</v>
      </c>
      <c r="G1011" s="6" t="s">
        <v>3346</v>
      </c>
      <c r="H1011" s="8">
        <v>46074</v>
      </c>
      <c r="I1011" s="8">
        <v>43516</v>
      </c>
      <c r="J1011" s="8">
        <v>43524</v>
      </c>
      <c r="K1011" s="8">
        <v>43524</v>
      </c>
      <c r="L1011" s="95" t="s">
        <v>31</v>
      </c>
      <c r="M1011" s="8">
        <v>43531</v>
      </c>
      <c r="N1011" s="8">
        <v>43654</v>
      </c>
      <c r="O1011" s="8">
        <v>43647</v>
      </c>
      <c r="P1011" s="6" t="s">
        <v>75</v>
      </c>
      <c r="R1011" s="97" t="str">
        <f t="shared" si="36"/>
        <v/>
      </c>
      <c r="S1011" s="75" t="str">
        <f t="shared" si="35"/>
        <v/>
      </c>
      <c r="U1011" s="8">
        <v>43655</v>
      </c>
      <c r="W1011" s="6" t="s">
        <v>84</v>
      </c>
      <c r="X1011" s="95">
        <v>44755</v>
      </c>
    </row>
    <row r="1012" spans="1:24" x14ac:dyDescent="0.25">
      <c r="A1012" s="6" t="s">
        <v>25</v>
      </c>
      <c r="B1012" s="94" t="s">
        <v>1265</v>
      </c>
      <c r="C1012" s="6" t="s">
        <v>3347</v>
      </c>
      <c r="D1012" s="140">
        <v>11084635</v>
      </c>
      <c r="E1012" s="6" t="s">
        <v>1650</v>
      </c>
      <c r="F1012" s="10" t="s">
        <v>44</v>
      </c>
      <c r="G1012" s="6" t="s">
        <v>3348</v>
      </c>
      <c r="H1012" s="8">
        <v>46047</v>
      </c>
      <c r="I1012" s="8">
        <v>43640</v>
      </c>
      <c r="J1012" s="8">
        <v>43640</v>
      </c>
      <c r="K1012" s="95">
        <v>43663</v>
      </c>
      <c r="L1012" s="95" t="s">
        <v>31</v>
      </c>
      <c r="M1012" s="8">
        <v>43668</v>
      </c>
      <c r="N1012" s="8">
        <v>43739</v>
      </c>
      <c r="O1012" s="8">
        <v>43727</v>
      </c>
      <c r="P1012" s="6" t="s">
        <v>182</v>
      </c>
      <c r="R1012" s="97" t="str">
        <f t="shared" si="36"/>
        <v/>
      </c>
      <c r="S1012" s="75" t="str">
        <f t="shared" si="35"/>
        <v/>
      </c>
      <c r="U1012" s="8">
        <v>43739</v>
      </c>
      <c r="W1012" s="6" t="s">
        <v>33</v>
      </c>
      <c r="X1012" s="95">
        <v>50599</v>
      </c>
    </row>
    <row r="1013" spans="1:24" x14ac:dyDescent="0.25">
      <c r="A1013" s="6" t="s">
        <v>168</v>
      </c>
      <c r="B1013" s="94" t="s">
        <v>3349</v>
      </c>
      <c r="C1013" s="6" t="s">
        <v>3350</v>
      </c>
      <c r="D1013" s="140">
        <v>11638334</v>
      </c>
      <c r="E1013" s="6" t="s">
        <v>1539</v>
      </c>
      <c r="F1013" s="10" t="s">
        <v>121</v>
      </c>
      <c r="G1013" s="6" t="s">
        <v>3351</v>
      </c>
      <c r="H1013" s="8">
        <v>54524</v>
      </c>
      <c r="I1013" s="8">
        <v>43508</v>
      </c>
      <c r="J1013" s="8">
        <v>43516</v>
      </c>
      <c r="K1013" s="95">
        <v>43516</v>
      </c>
      <c r="L1013" s="95" t="s">
        <v>359</v>
      </c>
      <c r="R1013" s="97" t="str">
        <f t="shared" si="36"/>
        <v/>
      </c>
      <c r="S1013" s="75" t="str">
        <f t="shared" si="35"/>
        <v/>
      </c>
      <c r="W1013" s="6" t="s">
        <v>84</v>
      </c>
      <c r="X1013" s="138">
        <v>48546</v>
      </c>
    </row>
    <row r="1014" spans="1:24" x14ac:dyDescent="0.25">
      <c r="A1014" s="6" t="s">
        <v>168</v>
      </c>
      <c r="B1014" s="94" t="s">
        <v>3352</v>
      </c>
      <c r="C1014" s="6" t="s">
        <v>3353</v>
      </c>
      <c r="D1014" s="140">
        <v>11628616</v>
      </c>
      <c r="E1014" s="6" t="s">
        <v>3354</v>
      </c>
      <c r="F1014" s="10" t="s">
        <v>205</v>
      </c>
      <c r="G1014" s="6" t="s">
        <v>3355</v>
      </c>
      <c r="H1014" s="8">
        <v>47131</v>
      </c>
      <c r="I1014" s="8">
        <v>43802</v>
      </c>
      <c r="J1014" s="8">
        <v>43846</v>
      </c>
      <c r="K1014" s="95">
        <v>43846</v>
      </c>
      <c r="L1014" s="95" t="s">
        <v>31</v>
      </c>
      <c r="M1014" s="8">
        <v>43853</v>
      </c>
      <c r="N1014" s="8">
        <v>43902</v>
      </c>
      <c r="O1014" s="8">
        <v>43886</v>
      </c>
      <c r="P1014" s="6" t="s">
        <v>52</v>
      </c>
      <c r="R1014" s="97" t="str">
        <f t="shared" si="36"/>
        <v/>
      </c>
      <c r="S1014" s="75" t="str">
        <f t="shared" si="35"/>
        <v/>
      </c>
      <c r="U1014" s="8">
        <v>43902</v>
      </c>
      <c r="W1014" s="6" t="s">
        <v>84</v>
      </c>
      <c r="X1014" s="95">
        <v>48090</v>
      </c>
    </row>
    <row r="1015" spans="1:24" x14ac:dyDescent="0.25">
      <c r="A1015" s="6" t="s">
        <v>168</v>
      </c>
      <c r="B1015" s="94" t="s">
        <v>3356</v>
      </c>
      <c r="C1015" s="6" t="s">
        <v>3357</v>
      </c>
      <c r="D1015" s="140">
        <v>11787069</v>
      </c>
      <c r="E1015" s="6" t="s">
        <v>362</v>
      </c>
      <c r="F1015" s="10" t="s">
        <v>1225</v>
      </c>
      <c r="G1015" s="6" t="s">
        <v>3358</v>
      </c>
      <c r="H1015" s="8">
        <v>47974</v>
      </c>
      <c r="I1015" s="8">
        <v>44208</v>
      </c>
      <c r="J1015" s="8">
        <v>44251</v>
      </c>
      <c r="K1015" s="95">
        <v>44258</v>
      </c>
      <c r="L1015" s="95" t="s">
        <v>31</v>
      </c>
      <c r="M1015" s="8">
        <v>44295</v>
      </c>
      <c r="N1015" s="8">
        <v>45132</v>
      </c>
      <c r="O1015" s="8">
        <v>45127</v>
      </c>
      <c r="P1015" s="6" t="s">
        <v>90</v>
      </c>
      <c r="Q1015" s="96">
        <v>4745</v>
      </c>
      <c r="R1015" s="97">
        <f t="shared" si="36"/>
        <v>13</v>
      </c>
      <c r="S1015" s="75">
        <f t="shared" si="35"/>
        <v>107367</v>
      </c>
      <c r="T1015" s="124" t="s">
        <v>3359</v>
      </c>
      <c r="U1015" s="8">
        <v>45205</v>
      </c>
      <c r="V1015" s="6" t="s">
        <v>36</v>
      </c>
      <c r="W1015" s="6" t="s">
        <v>84</v>
      </c>
      <c r="X1015" s="95">
        <v>47881</v>
      </c>
    </row>
    <row r="1016" spans="1:24" x14ac:dyDescent="0.25">
      <c r="A1016" s="6" t="s">
        <v>168</v>
      </c>
      <c r="B1016" s="94" t="s">
        <v>3360</v>
      </c>
      <c r="C1016" s="6" t="s">
        <v>3361</v>
      </c>
      <c r="D1016" s="140">
        <v>11653884</v>
      </c>
      <c r="E1016" s="6" t="s">
        <v>3362</v>
      </c>
      <c r="F1016" s="10" t="s">
        <v>176</v>
      </c>
      <c r="G1016" s="6">
        <v>2008033525</v>
      </c>
      <c r="H1016" s="8">
        <v>73590</v>
      </c>
      <c r="I1016" s="8">
        <v>44242</v>
      </c>
      <c r="J1016" s="8">
        <v>44267</v>
      </c>
      <c r="K1016" s="95">
        <v>44271</v>
      </c>
      <c r="L1016" s="95" t="s">
        <v>31</v>
      </c>
      <c r="M1016" s="8">
        <v>44272</v>
      </c>
      <c r="N1016" s="8">
        <v>44925</v>
      </c>
      <c r="O1016" s="8">
        <v>44910</v>
      </c>
      <c r="P1016" s="6" t="s">
        <v>35</v>
      </c>
      <c r="Q1016" s="96">
        <v>30660</v>
      </c>
      <c r="R1016" s="97">
        <f t="shared" si="36"/>
        <v>84</v>
      </c>
      <c r="S1016" s="75">
        <f t="shared" si="35"/>
        <v>693756</v>
      </c>
      <c r="T1016" s="124" t="s">
        <v>3363</v>
      </c>
      <c r="U1016" s="8">
        <v>44987</v>
      </c>
      <c r="W1016" s="6" t="s">
        <v>84</v>
      </c>
      <c r="X1016" s="136">
        <v>48805</v>
      </c>
    </row>
    <row r="1017" spans="1:24" x14ac:dyDescent="0.25">
      <c r="A1017" s="6" t="s">
        <v>168</v>
      </c>
      <c r="B1017" s="94" t="s">
        <v>617</v>
      </c>
      <c r="C1017" s="6" t="s">
        <v>3364</v>
      </c>
      <c r="D1017" s="140">
        <v>11539025</v>
      </c>
      <c r="E1017" s="6" t="s">
        <v>3365</v>
      </c>
      <c r="F1017" s="10" t="s">
        <v>44</v>
      </c>
      <c r="G1017" s="6" t="s">
        <v>3366</v>
      </c>
      <c r="H1017" s="8">
        <v>56831</v>
      </c>
      <c r="I1017" s="8">
        <v>43783</v>
      </c>
      <c r="J1017" s="8">
        <v>43815</v>
      </c>
      <c r="K1017" s="8">
        <v>43815</v>
      </c>
      <c r="L1017" s="95" t="s">
        <v>31</v>
      </c>
      <c r="M1017" s="8">
        <v>43819</v>
      </c>
      <c r="N1017" s="8">
        <v>44341</v>
      </c>
      <c r="O1017" s="8">
        <v>44327</v>
      </c>
      <c r="P1017" s="6" t="s">
        <v>35</v>
      </c>
      <c r="Q1017" s="96">
        <v>9490</v>
      </c>
      <c r="R1017" s="97">
        <f t="shared" si="36"/>
        <v>26</v>
      </c>
      <c r="S1017" s="75">
        <f t="shared" si="35"/>
        <v>214734</v>
      </c>
      <c r="T1017" s="124" t="s">
        <v>3367</v>
      </c>
      <c r="U1017" s="8">
        <v>44336</v>
      </c>
      <c r="W1017" s="6" t="s">
        <v>84</v>
      </c>
      <c r="X1017" s="95">
        <v>36685</v>
      </c>
    </row>
    <row r="1018" spans="1:24" x14ac:dyDescent="0.25">
      <c r="A1018" s="6" t="s">
        <v>37</v>
      </c>
      <c r="B1018" s="94" t="s">
        <v>3368</v>
      </c>
      <c r="C1018" s="6" t="s">
        <v>3369</v>
      </c>
      <c r="D1018" s="140">
        <v>12134861</v>
      </c>
      <c r="E1018" s="6" t="s">
        <v>2187</v>
      </c>
      <c r="F1018" s="10" t="s">
        <v>205</v>
      </c>
      <c r="G1018" s="6" t="s">
        <v>3370</v>
      </c>
      <c r="H1018" s="8">
        <v>44727</v>
      </c>
      <c r="I1018" s="8">
        <v>44228</v>
      </c>
      <c r="J1018" s="8">
        <v>44145</v>
      </c>
      <c r="K1018" s="95">
        <v>44152</v>
      </c>
      <c r="L1018" s="95" t="s">
        <v>31</v>
      </c>
      <c r="M1018" s="8">
        <v>44159</v>
      </c>
      <c r="N1018" s="8">
        <v>44280</v>
      </c>
      <c r="O1018" s="8">
        <v>44281</v>
      </c>
      <c r="P1018" s="6" t="s">
        <v>90</v>
      </c>
      <c r="Q1018" s="96">
        <v>447</v>
      </c>
      <c r="R1018" s="97">
        <f t="shared" si="36"/>
        <v>1.2246575342465753</v>
      </c>
      <c r="S1018" s="75">
        <f t="shared" si="35"/>
        <v>10114.446575342467</v>
      </c>
      <c r="T1018" s="124" t="s">
        <v>3371</v>
      </c>
      <c r="U1018" s="8">
        <v>44280</v>
      </c>
      <c r="W1018" s="6" t="s">
        <v>33</v>
      </c>
      <c r="X1018" s="7">
        <v>52738</v>
      </c>
    </row>
    <row r="1019" spans="1:24" ht="30" x14ac:dyDescent="0.25">
      <c r="A1019" s="6" t="s">
        <v>37</v>
      </c>
      <c r="B1019" s="94" t="s">
        <v>3372</v>
      </c>
      <c r="C1019" s="6" t="s">
        <v>3373</v>
      </c>
      <c r="D1019" s="140">
        <v>11796514</v>
      </c>
      <c r="E1019" s="6" t="s">
        <v>3374</v>
      </c>
      <c r="F1019" s="10" t="s">
        <v>29</v>
      </c>
      <c r="G1019" s="6" t="s">
        <v>3375</v>
      </c>
      <c r="H1019" s="8">
        <v>49111</v>
      </c>
      <c r="I1019" s="8">
        <v>43699</v>
      </c>
      <c r="J1019" s="8">
        <v>43725</v>
      </c>
      <c r="K1019" s="95">
        <v>43728</v>
      </c>
      <c r="L1019" s="95" t="s">
        <v>31</v>
      </c>
      <c r="M1019" s="8">
        <v>43741</v>
      </c>
      <c r="R1019" s="97" t="str">
        <f t="shared" si="36"/>
        <v/>
      </c>
      <c r="S1019" s="75" t="str">
        <f t="shared" si="35"/>
        <v/>
      </c>
      <c r="T1019" s="124" t="s">
        <v>3376</v>
      </c>
      <c r="W1019" s="6" t="s">
        <v>33</v>
      </c>
      <c r="X1019" s="95">
        <v>49101</v>
      </c>
    </row>
    <row r="1020" spans="1:24" ht="30" x14ac:dyDescent="0.25">
      <c r="A1020" s="6" t="s">
        <v>37</v>
      </c>
      <c r="B1020" s="94" t="s">
        <v>3377</v>
      </c>
      <c r="C1020" s="6" t="s">
        <v>3378</v>
      </c>
      <c r="D1020" s="140">
        <v>11207810</v>
      </c>
      <c r="E1020" s="6" t="s">
        <v>464</v>
      </c>
      <c r="F1020" s="10" t="s">
        <v>121</v>
      </c>
      <c r="G1020" s="6" t="s">
        <v>3379</v>
      </c>
      <c r="H1020" s="8">
        <v>44485</v>
      </c>
      <c r="I1020" s="8">
        <v>43448</v>
      </c>
      <c r="J1020" s="8">
        <v>43452</v>
      </c>
      <c r="K1020" s="95">
        <v>43452</v>
      </c>
      <c r="L1020" s="95" t="s">
        <v>31</v>
      </c>
      <c r="M1020" s="8">
        <v>43461</v>
      </c>
      <c r="N1020" s="8">
        <v>43690</v>
      </c>
      <c r="O1020" s="8">
        <v>43690</v>
      </c>
      <c r="P1020" s="6" t="s">
        <v>90</v>
      </c>
      <c r="Q1020" s="96">
        <v>1583</v>
      </c>
      <c r="R1020" s="97">
        <v>4.33</v>
      </c>
      <c r="S1020" s="75">
        <f t="shared" si="35"/>
        <v>35819.169863013696</v>
      </c>
      <c r="T1020" s="124" t="s">
        <v>3380</v>
      </c>
      <c r="U1020" s="8">
        <v>43693</v>
      </c>
      <c r="V1020" s="6" t="s">
        <v>36</v>
      </c>
      <c r="W1020" s="6" t="s">
        <v>33</v>
      </c>
      <c r="X1020" s="95">
        <v>50875</v>
      </c>
    </row>
    <row r="1021" spans="1:24" x14ac:dyDescent="0.25">
      <c r="A1021" s="6" t="s">
        <v>37</v>
      </c>
      <c r="B1021" s="94" t="s">
        <v>1717</v>
      </c>
      <c r="C1021" s="6" t="s">
        <v>3381</v>
      </c>
      <c r="D1021" s="140" t="s">
        <v>3382</v>
      </c>
      <c r="E1021" s="6" t="s">
        <v>1752</v>
      </c>
      <c r="F1021" s="10" t="s">
        <v>44</v>
      </c>
      <c r="G1021" s="6" t="s">
        <v>3383</v>
      </c>
      <c r="H1021" s="8">
        <v>47082</v>
      </c>
      <c r="I1021" s="8">
        <v>43502</v>
      </c>
      <c r="J1021" s="8">
        <v>43507</v>
      </c>
      <c r="K1021" s="95">
        <v>43507</v>
      </c>
      <c r="L1021" s="95" t="s">
        <v>31</v>
      </c>
      <c r="M1021" s="8">
        <v>43515</v>
      </c>
      <c r="N1021" s="8">
        <v>43537</v>
      </c>
      <c r="O1021" s="8">
        <v>43523</v>
      </c>
      <c r="P1021" s="101" t="s">
        <v>182</v>
      </c>
      <c r="R1021" s="97" t="str">
        <f t="shared" ref="R1021:R1052" si="37">IF(Q1021&gt;0, Q1021/365, "")</f>
        <v/>
      </c>
      <c r="S1021" s="75" t="str">
        <f t="shared" si="35"/>
        <v/>
      </c>
      <c r="U1021" s="8">
        <v>43537</v>
      </c>
      <c r="W1021" s="6" t="s">
        <v>33</v>
      </c>
      <c r="X1021" s="95">
        <v>50255</v>
      </c>
    </row>
    <row r="1022" spans="1:24" x14ac:dyDescent="0.25">
      <c r="A1022" s="6" t="s">
        <v>37</v>
      </c>
      <c r="B1022" s="94" t="s">
        <v>3384</v>
      </c>
      <c r="C1022" s="6" t="s">
        <v>3385</v>
      </c>
      <c r="D1022" s="140">
        <v>11041711</v>
      </c>
      <c r="E1022" s="6" t="s">
        <v>3386</v>
      </c>
      <c r="F1022" s="10" t="s">
        <v>143</v>
      </c>
      <c r="G1022" s="6" t="s">
        <v>3387</v>
      </c>
      <c r="H1022" s="8">
        <v>46534</v>
      </c>
      <c r="I1022" s="8">
        <v>43775</v>
      </c>
      <c r="J1022" s="8">
        <v>43906</v>
      </c>
      <c r="K1022" s="95">
        <v>43908</v>
      </c>
      <c r="L1022" s="95" t="s">
        <v>31</v>
      </c>
      <c r="M1022" s="8">
        <v>44056</v>
      </c>
      <c r="N1022" s="8">
        <v>44910</v>
      </c>
      <c r="O1022" s="8">
        <v>44904</v>
      </c>
      <c r="P1022" s="6" t="s">
        <v>35</v>
      </c>
      <c r="Q1022" s="96">
        <v>691</v>
      </c>
      <c r="R1022" s="97">
        <f t="shared" si="37"/>
        <v>1.893150684931507</v>
      </c>
      <c r="S1022" s="75">
        <f t="shared" si="35"/>
        <v>15635.531506849315</v>
      </c>
      <c r="U1022" s="8">
        <v>44915</v>
      </c>
      <c r="W1022" s="6" t="s">
        <v>33</v>
      </c>
      <c r="X1022" s="95">
        <v>51393</v>
      </c>
    </row>
    <row r="1023" spans="1:24" ht="30.75" customHeight="1" x14ac:dyDescent="0.25">
      <c r="A1023" s="6" t="s">
        <v>37</v>
      </c>
      <c r="B1023" s="94" t="s">
        <v>630</v>
      </c>
      <c r="C1023" s="6" t="s">
        <v>3388</v>
      </c>
      <c r="D1023" s="140">
        <v>11617380</v>
      </c>
      <c r="E1023" s="6" t="s">
        <v>3389</v>
      </c>
      <c r="F1023" s="10" t="s">
        <v>143</v>
      </c>
      <c r="G1023" s="6" t="s">
        <v>3390</v>
      </c>
      <c r="H1023" s="8">
        <v>45982</v>
      </c>
      <c r="I1023" s="8">
        <v>43564</v>
      </c>
      <c r="J1023" s="8">
        <v>43574</v>
      </c>
      <c r="K1023" s="95">
        <v>43574</v>
      </c>
      <c r="L1023" s="95" t="s">
        <v>359</v>
      </c>
      <c r="R1023" s="97" t="str">
        <f t="shared" si="37"/>
        <v/>
      </c>
      <c r="S1023" s="75" t="str">
        <f t="shared" si="35"/>
        <v/>
      </c>
      <c r="W1023" s="6" t="s">
        <v>33</v>
      </c>
      <c r="X1023" s="95">
        <v>42863</v>
      </c>
    </row>
    <row r="1024" spans="1:24" ht="45" x14ac:dyDescent="0.25">
      <c r="A1024" s="6" t="s">
        <v>37</v>
      </c>
      <c r="B1024" s="94" t="s">
        <v>3391</v>
      </c>
      <c r="C1024" s="6" t="s">
        <v>3392</v>
      </c>
      <c r="D1024" s="140">
        <v>11979023</v>
      </c>
      <c r="E1024" s="6" t="s">
        <v>656</v>
      </c>
      <c r="F1024" s="10" t="s">
        <v>44</v>
      </c>
      <c r="G1024" s="6" t="s">
        <v>3393</v>
      </c>
      <c r="H1024" s="8">
        <v>46345</v>
      </c>
      <c r="I1024" s="8">
        <v>43425</v>
      </c>
      <c r="J1024" s="8">
        <v>43463</v>
      </c>
      <c r="K1024" s="95">
        <v>43463</v>
      </c>
      <c r="L1024" s="95" t="s">
        <v>31</v>
      </c>
      <c r="M1024" s="8">
        <v>43465</v>
      </c>
      <c r="N1024" s="8">
        <v>43697</v>
      </c>
      <c r="O1024" s="8">
        <v>43685</v>
      </c>
      <c r="P1024" s="6" t="s">
        <v>90</v>
      </c>
      <c r="Q1024" s="96">
        <v>3652</v>
      </c>
      <c r="R1024" s="97">
        <f t="shared" si="37"/>
        <v>10.005479452054795</v>
      </c>
      <c r="S1024" s="75">
        <f t="shared" si="35"/>
        <v>82635.254794520544</v>
      </c>
      <c r="T1024" s="124" t="s">
        <v>3394</v>
      </c>
      <c r="U1024" s="8">
        <v>43698</v>
      </c>
      <c r="V1024" s="6" t="s">
        <v>350</v>
      </c>
      <c r="W1024" s="6" t="s">
        <v>84</v>
      </c>
      <c r="X1024" s="95">
        <v>37675</v>
      </c>
    </row>
    <row r="1025" spans="1:24" x14ac:dyDescent="0.25">
      <c r="A1025" s="6" t="s">
        <v>25</v>
      </c>
      <c r="B1025" s="94" t="s">
        <v>3395</v>
      </c>
      <c r="C1025" s="6" t="s">
        <v>3396</v>
      </c>
      <c r="D1025" s="140">
        <v>11071429</v>
      </c>
      <c r="E1025" s="6" t="s">
        <v>2115</v>
      </c>
      <c r="F1025" s="10" t="s">
        <v>148</v>
      </c>
      <c r="G1025" s="6" t="s">
        <v>3397</v>
      </c>
      <c r="H1025" s="8">
        <v>44597</v>
      </c>
      <c r="I1025" s="8">
        <v>43619</v>
      </c>
      <c r="J1025" s="8">
        <v>43619</v>
      </c>
      <c r="K1025" s="95">
        <v>43648</v>
      </c>
      <c r="L1025" s="95" t="s">
        <v>31</v>
      </c>
      <c r="M1025" s="8">
        <v>43651</v>
      </c>
      <c r="N1025" s="8">
        <v>43854</v>
      </c>
      <c r="O1025" s="8">
        <v>43803</v>
      </c>
      <c r="P1025" s="6" t="s">
        <v>75</v>
      </c>
      <c r="R1025" s="97" t="str">
        <f t="shared" si="37"/>
        <v/>
      </c>
      <c r="S1025" s="75" t="str">
        <f t="shared" si="35"/>
        <v/>
      </c>
      <c r="U1025" s="8">
        <v>43854</v>
      </c>
      <c r="W1025" s="6" t="s">
        <v>33</v>
      </c>
      <c r="X1025" s="6"/>
    </row>
    <row r="1026" spans="1:24" x14ac:dyDescent="0.25">
      <c r="A1026" s="6" t="s">
        <v>25</v>
      </c>
      <c r="B1026" s="94" t="s">
        <v>1190</v>
      </c>
      <c r="C1026" s="6" t="s">
        <v>3398</v>
      </c>
      <c r="D1026" s="140">
        <v>11892482</v>
      </c>
      <c r="E1026" s="6" t="s">
        <v>3399</v>
      </c>
      <c r="F1026" s="10" t="s">
        <v>121</v>
      </c>
      <c r="G1026" s="6" t="s">
        <v>3400</v>
      </c>
      <c r="H1026" s="8">
        <v>47337</v>
      </c>
      <c r="I1026" s="8">
        <v>43640</v>
      </c>
      <c r="J1026" s="95">
        <v>43641</v>
      </c>
      <c r="K1026" s="95">
        <v>43675</v>
      </c>
      <c r="L1026" s="95" t="s">
        <v>359</v>
      </c>
      <c r="R1026" s="97" t="str">
        <f t="shared" si="37"/>
        <v/>
      </c>
      <c r="S1026" s="75" t="str">
        <f t="shared" si="35"/>
        <v/>
      </c>
      <c r="W1026" s="6" t="s">
        <v>33</v>
      </c>
      <c r="X1026" s="95">
        <v>42635</v>
      </c>
    </row>
    <row r="1027" spans="1:24" x14ac:dyDescent="0.25">
      <c r="A1027" s="6" t="s">
        <v>37</v>
      </c>
      <c r="B1027" s="94" t="s">
        <v>3401</v>
      </c>
      <c r="C1027" s="6" t="s">
        <v>3402</v>
      </c>
      <c r="D1027" s="140">
        <v>11888966</v>
      </c>
      <c r="E1027" s="6" t="s">
        <v>362</v>
      </c>
      <c r="F1027" s="10" t="s">
        <v>693</v>
      </c>
      <c r="G1027" s="6" t="s">
        <v>3403</v>
      </c>
      <c r="H1027" s="8">
        <v>49059</v>
      </c>
      <c r="I1027" s="8">
        <v>44105</v>
      </c>
      <c r="J1027" s="8">
        <v>44119</v>
      </c>
      <c r="K1027" s="95">
        <v>44120</v>
      </c>
      <c r="L1027" s="95" t="s">
        <v>31</v>
      </c>
      <c r="M1027" s="8">
        <v>44141</v>
      </c>
      <c r="N1027" s="8">
        <v>44490</v>
      </c>
      <c r="O1027" s="8">
        <v>44077</v>
      </c>
      <c r="P1027" s="6" t="s">
        <v>52</v>
      </c>
      <c r="R1027" s="97" t="str">
        <f t="shared" si="37"/>
        <v/>
      </c>
      <c r="S1027" s="75" t="str">
        <f t="shared" si="35"/>
        <v/>
      </c>
      <c r="T1027" s="124" t="s">
        <v>3404</v>
      </c>
      <c r="U1027" s="8">
        <v>44490</v>
      </c>
      <c r="W1027" s="6" t="s">
        <v>33</v>
      </c>
      <c r="X1027" s="135">
        <v>51306</v>
      </c>
    </row>
    <row r="1028" spans="1:24" x14ac:dyDescent="0.25">
      <c r="A1028" s="6" t="s">
        <v>37</v>
      </c>
      <c r="B1028" s="94" t="s">
        <v>3405</v>
      </c>
      <c r="C1028" s="6" t="s">
        <v>3406</v>
      </c>
      <c r="D1028" s="140">
        <v>11625549</v>
      </c>
      <c r="E1028" s="6" t="s">
        <v>3407</v>
      </c>
      <c r="F1028" s="10" t="s">
        <v>121</v>
      </c>
      <c r="G1028" s="6" t="s">
        <v>3408</v>
      </c>
      <c r="H1028" s="8">
        <v>44568</v>
      </c>
      <c r="I1028" s="8">
        <v>43573</v>
      </c>
      <c r="J1028" s="8">
        <v>43578</v>
      </c>
      <c r="K1028" s="95">
        <v>43578</v>
      </c>
      <c r="L1028" s="95" t="s">
        <v>359</v>
      </c>
      <c r="R1028" s="97" t="str">
        <f t="shared" si="37"/>
        <v/>
      </c>
      <c r="S1028" s="75" t="str">
        <f t="shared" si="35"/>
        <v/>
      </c>
      <c r="W1028" s="6" t="s">
        <v>33</v>
      </c>
      <c r="X1028" s="95">
        <v>43347</v>
      </c>
    </row>
    <row r="1029" spans="1:24" x14ac:dyDescent="0.25">
      <c r="A1029" s="6" t="s">
        <v>168</v>
      </c>
      <c r="B1029" s="94" t="s">
        <v>388</v>
      </c>
      <c r="C1029" s="6" t="s">
        <v>3409</v>
      </c>
      <c r="D1029" s="140">
        <v>11953478</v>
      </c>
      <c r="E1029" s="6" t="s">
        <v>3410</v>
      </c>
      <c r="F1029" s="10" t="s">
        <v>44</v>
      </c>
      <c r="G1029" s="6" t="s">
        <v>3411</v>
      </c>
      <c r="H1029" s="8">
        <v>47345</v>
      </c>
      <c r="I1029" s="8">
        <v>44042</v>
      </c>
      <c r="J1029" s="8">
        <v>44104</v>
      </c>
      <c r="K1029" s="95">
        <v>44105</v>
      </c>
      <c r="L1029" s="95" t="s">
        <v>31</v>
      </c>
      <c r="M1029" s="8">
        <v>44127</v>
      </c>
      <c r="N1029" s="8">
        <v>44561</v>
      </c>
      <c r="O1029" s="8">
        <v>44547</v>
      </c>
      <c r="P1029" s="6" t="s">
        <v>35</v>
      </c>
      <c r="Q1029" s="96">
        <v>2778</v>
      </c>
      <c r="R1029" s="97">
        <f t="shared" si="37"/>
        <v>7.6109589041095891</v>
      </c>
      <c r="S1029" s="75">
        <f t="shared" ref="S1029:S1092" si="38">IF(Q1029&gt;0, SUM(Q1029)*(8259/365), "")</f>
        <v>62858.909589041097</v>
      </c>
      <c r="U1029" s="8">
        <v>44567</v>
      </c>
      <c r="W1029" s="6" t="s">
        <v>33</v>
      </c>
      <c r="X1029" s="135">
        <v>48091</v>
      </c>
    </row>
    <row r="1030" spans="1:24" x14ac:dyDescent="0.25">
      <c r="A1030" s="6" t="s">
        <v>168</v>
      </c>
      <c r="B1030" s="94" t="s">
        <v>3412</v>
      </c>
      <c r="C1030" s="6" t="s">
        <v>3413</v>
      </c>
      <c r="D1030" s="140">
        <v>11546149</v>
      </c>
      <c r="E1030" s="6" t="s">
        <v>2502</v>
      </c>
      <c r="F1030" s="10" t="s">
        <v>134</v>
      </c>
      <c r="G1030" s="6" t="s">
        <v>3414</v>
      </c>
      <c r="H1030" s="8">
        <v>117033</v>
      </c>
      <c r="I1030" s="8">
        <v>44520</v>
      </c>
      <c r="J1030" s="8">
        <v>44530</v>
      </c>
      <c r="K1030" s="95">
        <v>44530</v>
      </c>
      <c r="L1030" s="95" t="s">
        <v>359</v>
      </c>
      <c r="R1030" s="97" t="str">
        <f t="shared" si="37"/>
        <v/>
      </c>
      <c r="S1030" s="75" t="str">
        <f t="shared" si="38"/>
        <v/>
      </c>
    </row>
    <row r="1031" spans="1:24" x14ac:dyDescent="0.25">
      <c r="A1031" s="6" t="s">
        <v>37</v>
      </c>
      <c r="B1031" s="94" t="s">
        <v>3415</v>
      </c>
      <c r="C1031" s="6" t="s">
        <v>3416</v>
      </c>
      <c r="D1031" s="140" t="s">
        <v>3417</v>
      </c>
      <c r="E1031" s="6" t="s">
        <v>3418</v>
      </c>
      <c r="F1031" s="10" t="s">
        <v>252</v>
      </c>
      <c r="G1031" s="6" t="s">
        <v>3419</v>
      </c>
      <c r="H1031" s="8">
        <v>49072</v>
      </c>
      <c r="I1031" s="8">
        <v>43574</v>
      </c>
      <c r="J1031" s="8">
        <v>43577</v>
      </c>
      <c r="K1031" s="95">
        <v>43577</v>
      </c>
      <c r="L1031" s="95" t="s">
        <v>359</v>
      </c>
      <c r="R1031" s="97" t="str">
        <f t="shared" si="37"/>
        <v/>
      </c>
      <c r="S1031" s="75" t="str">
        <f t="shared" si="38"/>
        <v/>
      </c>
      <c r="W1031" s="6" t="s">
        <v>33</v>
      </c>
      <c r="X1031" s="95">
        <v>47789</v>
      </c>
    </row>
    <row r="1032" spans="1:24" ht="30" x14ac:dyDescent="0.25">
      <c r="A1032" s="6" t="s">
        <v>37</v>
      </c>
      <c r="B1032" s="94" t="s">
        <v>41</v>
      </c>
      <c r="C1032" s="6" t="s">
        <v>3420</v>
      </c>
      <c r="D1032" s="140">
        <v>11622232</v>
      </c>
      <c r="E1032" s="6" t="s">
        <v>3421</v>
      </c>
      <c r="F1032" s="10" t="s">
        <v>44</v>
      </c>
      <c r="G1032" s="6" t="s">
        <v>3422</v>
      </c>
      <c r="H1032" s="8">
        <v>44994</v>
      </c>
      <c r="I1032" s="8">
        <v>43574</v>
      </c>
      <c r="J1032" s="8">
        <v>43579</v>
      </c>
      <c r="K1032" s="95">
        <v>43579</v>
      </c>
      <c r="L1032" s="95" t="s">
        <v>359</v>
      </c>
      <c r="R1032" s="97" t="str">
        <f t="shared" si="37"/>
        <v/>
      </c>
      <c r="S1032" s="75" t="str">
        <f t="shared" si="38"/>
        <v/>
      </c>
      <c r="W1032" s="6" t="s">
        <v>33</v>
      </c>
      <c r="X1032" s="95">
        <v>51294</v>
      </c>
    </row>
    <row r="1033" spans="1:24" x14ac:dyDescent="0.25">
      <c r="A1033" s="6" t="s">
        <v>37</v>
      </c>
      <c r="B1033" s="94" t="s">
        <v>1123</v>
      </c>
      <c r="C1033" s="6" t="s">
        <v>3423</v>
      </c>
      <c r="D1033" s="140" t="s">
        <v>3424</v>
      </c>
      <c r="E1033" s="6" t="s">
        <v>3425</v>
      </c>
      <c r="F1033" s="10" t="s">
        <v>252</v>
      </c>
      <c r="G1033" s="6" t="s">
        <v>3419</v>
      </c>
      <c r="H1033" s="8">
        <v>45419</v>
      </c>
      <c r="I1033" s="8">
        <v>43574</v>
      </c>
      <c r="J1033" s="8">
        <v>43577</v>
      </c>
      <c r="K1033" s="95">
        <v>43577</v>
      </c>
      <c r="L1033" s="95" t="s">
        <v>359</v>
      </c>
      <c r="R1033" s="97" t="str">
        <f t="shared" si="37"/>
        <v/>
      </c>
      <c r="S1033" s="75" t="str">
        <f t="shared" si="38"/>
        <v/>
      </c>
      <c r="W1033" s="6" t="s">
        <v>33</v>
      </c>
      <c r="X1033" s="95">
        <v>45811</v>
      </c>
    </row>
    <row r="1034" spans="1:24" x14ac:dyDescent="0.25">
      <c r="A1034" s="6" t="s">
        <v>25</v>
      </c>
      <c r="B1034" s="94" t="s">
        <v>3426</v>
      </c>
      <c r="C1034" s="6" t="s">
        <v>3427</v>
      </c>
      <c r="D1034" s="140">
        <v>11068345</v>
      </c>
      <c r="E1034" s="6" t="s">
        <v>2454</v>
      </c>
      <c r="F1034" s="10" t="s">
        <v>62</v>
      </c>
      <c r="G1034" s="6" t="s">
        <v>3428</v>
      </c>
      <c r="H1034" s="8">
        <v>45027</v>
      </c>
      <c r="I1034" s="8">
        <v>43619</v>
      </c>
      <c r="J1034" s="8">
        <v>43619</v>
      </c>
      <c r="K1034" s="95">
        <v>43648</v>
      </c>
      <c r="L1034" s="95" t="s">
        <v>359</v>
      </c>
      <c r="R1034" s="97" t="str">
        <f t="shared" si="37"/>
        <v/>
      </c>
      <c r="S1034" s="75" t="str">
        <f t="shared" si="38"/>
        <v/>
      </c>
      <c r="W1034" s="6" t="s">
        <v>33</v>
      </c>
      <c r="X1034" s="95">
        <v>50834</v>
      </c>
    </row>
    <row r="1035" spans="1:24" x14ac:dyDescent="0.25">
      <c r="A1035" s="6" t="s">
        <v>168</v>
      </c>
      <c r="B1035" s="94" t="s">
        <v>3429</v>
      </c>
      <c r="C1035" s="6" t="s">
        <v>3430</v>
      </c>
      <c r="D1035" s="140">
        <v>11168613</v>
      </c>
      <c r="E1035" s="6" t="s">
        <v>3431</v>
      </c>
      <c r="F1035" s="10" t="s">
        <v>29</v>
      </c>
      <c r="G1035" s="6" t="s">
        <v>3432</v>
      </c>
      <c r="H1035" s="8">
        <v>53391</v>
      </c>
      <c r="I1035" s="8">
        <v>43847</v>
      </c>
      <c r="J1035" s="8">
        <v>43879</v>
      </c>
      <c r="K1035" s="95">
        <v>43879</v>
      </c>
      <c r="L1035" s="95" t="s">
        <v>31</v>
      </c>
      <c r="M1035" s="8">
        <v>43895</v>
      </c>
      <c r="N1035" s="8">
        <v>44232</v>
      </c>
      <c r="O1035" s="8">
        <v>44224</v>
      </c>
      <c r="P1035" s="6" t="s">
        <v>35</v>
      </c>
      <c r="Q1035" s="96">
        <v>1562</v>
      </c>
      <c r="R1035" s="97">
        <f t="shared" si="37"/>
        <v>4.279452054794521</v>
      </c>
      <c r="S1035" s="75">
        <f t="shared" si="38"/>
        <v>35343.994520547945</v>
      </c>
      <c r="U1035" s="8">
        <v>44669</v>
      </c>
      <c r="W1035" s="6" t="s">
        <v>84</v>
      </c>
      <c r="X1035" s="95">
        <v>45782</v>
      </c>
    </row>
    <row r="1036" spans="1:24" x14ac:dyDescent="0.25">
      <c r="A1036" s="6" t="s">
        <v>37</v>
      </c>
      <c r="B1036" s="94" t="s">
        <v>3433</v>
      </c>
      <c r="C1036" s="6" t="s">
        <v>3434</v>
      </c>
      <c r="D1036" s="140">
        <v>12102536</v>
      </c>
      <c r="E1036" s="6" t="s">
        <v>3435</v>
      </c>
      <c r="F1036" s="10" t="s">
        <v>299</v>
      </c>
      <c r="G1036" s="6" t="s">
        <v>3436</v>
      </c>
      <c r="H1036" s="8">
        <v>47645</v>
      </c>
      <c r="I1036" s="8">
        <v>43880</v>
      </c>
      <c r="J1036" s="8">
        <v>43895</v>
      </c>
      <c r="K1036" s="95">
        <v>43899</v>
      </c>
      <c r="L1036" s="95" t="s">
        <v>31</v>
      </c>
      <c r="M1036" s="8">
        <v>44041</v>
      </c>
      <c r="N1036" s="108">
        <v>44434</v>
      </c>
      <c r="O1036" s="108">
        <v>44315</v>
      </c>
      <c r="P1036" s="107" t="s">
        <v>52</v>
      </c>
      <c r="Q1036" s="110"/>
      <c r="R1036" s="97" t="str">
        <f t="shared" si="37"/>
        <v/>
      </c>
      <c r="S1036" s="75" t="str">
        <f t="shared" si="38"/>
        <v/>
      </c>
      <c r="T1036" s="124" t="s">
        <v>3437</v>
      </c>
      <c r="U1036" s="8">
        <v>44776</v>
      </c>
      <c r="W1036" s="6" t="s">
        <v>33</v>
      </c>
      <c r="X1036" s="95">
        <v>46333</v>
      </c>
    </row>
    <row r="1037" spans="1:24" x14ac:dyDescent="0.25">
      <c r="A1037" s="6" t="s">
        <v>37</v>
      </c>
      <c r="B1037" s="94" t="s">
        <v>3438</v>
      </c>
      <c r="C1037" s="6" t="s">
        <v>3439</v>
      </c>
      <c r="D1037" s="140">
        <v>11350532</v>
      </c>
      <c r="E1037" s="6" t="s">
        <v>3303</v>
      </c>
      <c r="F1037" s="10" t="s">
        <v>44</v>
      </c>
      <c r="G1037" s="6" t="s">
        <v>3440</v>
      </c>
      <c r="H1037" s="8">
        <v>45272</v>
      </c>
      <c r="I1037" s="8">
        <v>44251</v>
      </c>
      <c r="J1037" s="8">
        <v>44267</v>
      </c>
      <c r="K1037" s="95">
        <v>44271</v>
      </c>
      <c r="L1037" s="95" t="s">
        <v>31</v>
      </c>
      <c r="M1037" s="8">
        <v>44281</v>
      </c>
      <c r="N1037" s="108">
        <v>44777</v>
      </c>
      <c r="O1037" s="108">
        <v>44776</v>
      </c>
      <c r="P1037" s="6" t="s">
        <v>35</v>
      </c>
      <c r="Q1037" s="110">
        <v>182</v>
      </c>
      <c r="R1037" s="97">
        <f t="shared" si="37"/>
        <v>0.49863013698630138</v>
      </c>
      <c r="S1037" s="75">
        <f t="shared" si="38"/>
        <v>4118.186301369863</v>
      </c>
      <c r="U1037" s="8">
        <v>44778</v>
      </c>
      <c r="W1037" s="6" t="s">
        <v>33</v>
      </c>
      <c r="X1037" s="7">
        <v>45173</v>
      </c>
    </row>
    <row r="1038" spans="1:24" x14ac:dyDescent="0.25">
      <c r="A1038" s="6" t="s">
        <v>168</v>
      </c>
      <c r="B1038" s="94" t="s">
        <v>3441</v>
      </c>
      <c r="C1038" s="6" t="s">
        <v>3442</v>
      </c>
      <c r="D1038" s="140">
        <v>11270510</v>
      </c>
      <c r="E1038" s="6" t="s">
        <v>228</v>
      </c>
      <c r="F1038" s="10" t="s">
        <v>29</v>
      </c>
      <c r="G1038" s="6" t="s">
        <v>3443</v>
      </c>
      <c r="H1038" s="8">
        <v>44037</v>
      </c>
      <c r="I1038" s="8">
        <v>43396</v>
      </c>
      <c r="J1038" s="8">
        <v>43399</v>
      </c>
      <c r="K1038" s="95">
        <v>43399</v>
      </c>
      <c r="L1038" s="95" t="s">
        <v>31</v>
      </c>
      <c r="M1038" s="8">
        <v>43404</v>
      </c>
      <c r="N1038" s="8">
        <v>43494</v>
      </c>
      <c r="O1038" s="8">
        <v>43476</v>
      </c>
      <c r="P1038" s="6" t="s">
        <v>90</v>
      </c>
      <c r="Q1038" s="96">
        <v>1095</v>
      </c>
      <c r="R1038" s="97">
        <f t="shared" si="37"/>
        <v>3</v>
      </c>
      <c r="S1038" s="75">
        <f t="shared" si="38"/>
        <v>24777</v>
      </c>
      <c r="T1038" s="124" t="s">
        <v>301</v>
      </c>
      <c r="U1038" s="8">
        <v>43494</v>
      </c>
      <c r="V1038" s="6" t="s">
        <v>36</v>
      </c>
      <c r="W1038" s="6" t="s">
        <v>84</v>
      </c>
      <c r="X1038" s="95">
        <v>37794</v>
      </c>
    </row>
    <row r="1039" spans="1:24" x14ac:dyDescent="0.25">
      <c r="A1039" s="6" t="s">
        <v>168</v>
      </c>
      <c r="B1039" s="94" t="s">
        <v>3444</v>
      </c>
      <c r="C1039" s="6" t="s">
        <v>3445</v>
      </c>
      <c r="D1039" s="140">
        <v>11927264</v>
      </c>
      <c r="E1039" s="6" t="s">
        <v>3446</v>
      </c>
      <c r="F1039" s="10" t="s">
        <v>1225</v>
      </c>
      <c r="G1039" s="6" t="s">
        <v>3447</v>
      </c>
      <c r="H1039" s="8">
        <v>51758</v>
      </c>
      <c r="I1039" s="8">
        <v>43719</v>
      </c>
      <c r="J1039" s="8">
        <v>43739</v>
      </c>
      <c r="K1039" s="95">
        <v>43741</v>
      </c>
      <c r="L1039" s="95" t="s">
        <v>359</v>
      </c>
      <c r="R1039" s="97" t="str">
        <f t="shared" si="37"/>
        <v/>
      </c>
      <c r="S1039" s="75" t="str">
        <f t="shared" si="38"/>
        <v/>
      </c>
      <c r="W1039" s="6" t="s">
        <v>84</v>
      </c>
      <c r="X1039" s="95">
        <v>46749</v>
      </c>
    </row>
    <row r="1040" spans="1:24" x14ac:dyDescent="0.25">
      <c r="A1040" s="6" t="s">
        <v>25</v>
      </c>
      <c r="B1040" s="94" t="s">
        <v>3448</v>
      </c>
      <c r="C1040" s="6" t="s">
        <v>3449</v>
      </c>
      <c r="D1040" s="140">
        <v>12114800</v>
      </c>
      <c r="E1040" s="6" t="s">
        <v>1650</v>
      </c>
      <c r="F1040" s="10" t="s">
        <v>134</v>
      </c>
      <c r="G1040" s="6" t="s">
        <v>3450</v>
      </c>
      <c r="H1040" s="8">
        <v>45553</v>
      </c>
      <c r="I1040" s="8">
        <v>43643</v>
      </c>
      <c r="J1040" s="8">
        <v>43643</v>
      </c>
      <c r="K1040" s="95">
        <v>43712</v>
      </c>
      <c r="L1040" s="95" t="s">
        <v>31</v>
      </c>
      <c r="M1040" s="8">
        <v>43720</v>
      </c>
      <c r="N1040" s="8">
        <v>43742</v>
      </c>
      <c r="O1040" s="8">
        <v>43731</v>
      </c>
      <c r="P1040" s="6" t="s">
        <v>75</v>
      </c>
      <c r="R1040" s="97" t="str">
        <f t="shared" si="37"/>
        <v/>
      </c>
      <c r="S1040" s="75" t="str">
        <f t="shared" si="38"/>
        <v/>
      </c>
      <c r="U1040" s="8">
        <v>43745</v>
      </c>
      <c r="W1040" s="6" t="s">
        <v>33</v>
      </c>
      <c r="X1040" s="6"/>
    </row>
    <row r="1041" spans="1:24" x14ac:dyDescent="0.25">
      <c r="A1041" s="6" t="s">
        <v>168</v>
      </c>
      <c r="B1041" s="94" t="s">
        <v>3444</v>
      </c>
      <c r="C1041" s="6" t="s">
        <v>3451</v>
      </c>
      <c r="D1041" s="140">
        <v>1114120</v>
      </c>
      <c r="E1041" s="6" t="s">
        <v>318</v>
      </c>
      <c r="F1041" s="10" t="s">
        <v>44</v>
      </c>
      <c r="G1041" s="6" t="s">
        <v>3452</v>
      </c>
      <c r="H1041" s="8">
        <v>51980</v>
      </c>
      <c r="I1041" s="8">
        <v>44054</v>
      </c>
      <c r="J1041" s="8">
        <v>44085</v>
      </c>
      <c r="K1041" s="95">
        <v>44091</v>
      </c>
      <c r="L1041" s="95" t="s">
        <v>31</v>
      </c>
      <c r="M1041" s="8">
        <v>44100</v>
      </c>
      <c r="N1041" s="8">
        <v>44516</v>
      </c>
      <c r="O1041" s="8">
        <v>44351</v>
      </c>
      <c r="P1041" s="6" t="s">
        <v>90</v>
      </c>
      <c r="Q1041" s="96">
        <v>7526</v>
      </c>
      <c r="R1041" s="97">
        <f t="shared" si="37"/>
        <v>20.61917808219178</v>
      </c>
      <c r="S1041" s="75">
        <f t="shared" si="38"/>
        <v>170293.79178082192</v>
      </c>
      <c r="T1041" s="124" t="s">
        <v>3453</v>
      </c>
      <c r="U1041" s="8">
        <v>44518</v>
      </c>
      <c r="V1041" s="6" t="s">
        <v>36</v>
      </c>
      <c r="W1041" s="6" t="s">
        <v>84</v>
      </c>
      <c r="X1041" s="135">
        <v>47965</v>
      </c>
    </row>
    <row r="1042" spans="1:24" x14ac:dyDescent="0.25">
      <c r="A1042" s="6" t="s">
        <v>25</v>
      </c>
      <c r="B1042" s="94" t="s">
        <v>944</v>
      </c>
      <c r="C1042" s="6" t="s">
        <v>3454</v>
      </c>
      <c r="D1042" s="140">
        <v>11315784</v>
      </c>
      <c r="E1042" s="6" t="s">
        <v>3455</v>
      </c>
      <c r="F1042" s="10" t="s">
        <v>44</v>
      </c>
      <c r="G1042" s="6" t="s">
        <v>3456</v>
      </c>
      <c r="H1042" s="8">
        <v>45527</v>
      </c>
      <c r="I1042" s="8">
        <v>43643</v>
      </c>
      <c r="J1042" s="8">
        <v>43643</v>
      </c>
      <c r="K1042" s="95">
        <v>43712</v>
      </c>
      <c r="L1042" s="95" t="s">
        <v>31</v>
      </c>
      <c r="M1042" s="8">
        <v>43720</v>
      </c>
      <c r="N1042" s="8">
        <v>43745</v>
      </c>
      <c r="O1042" s="8">
        <v>43735</v>
      </c>
      <c r="P1042" s="6" t="s">
        <v>75</v>
      </c>
      <c r="R1042" s="97" t="str">
        <f t="shared" si="37"/>
        <v/>
      </c>
      <c r="S1042" s="75" t="str">
        <f t="shared" si="38"/>
        <v/>
      </c>
      <c r="U1042" s="8">
        <v>43745</v>
      </c>
      <c r="W1042" s="6" t="s">
        <v>33</v>
      </c>
      <c r="X1042" s="6"/>
    </row>
    <row r="1043" spans="1:24" x14ac:dyDescent="0.25">
      <c r="A1043" s="6" t="s">
        <v>37</v>
      </c>
      <c r="B1043" s="94" t="s">
        <v>3457</v>
      </c>
      <c r="C1043" s="6" t="s">
        <v>3458</v>
      </c>
      <c r="D1043" s="140">
        <v>11042563</v>
      </c>
      <c r="E1043" s="6" t="s">
        <v>1064</v>
      </c>
      <c r="F1043" s="10" t="s">
        <v>57</v>
      </c>
      <c r="G1043" s="6" t="s">
        <v>3459</v>
      </c>
      <c r="H1043" s="8">
        <v>44841</v>
      </c>
      <c r="I1043" s="8">
        <v>43396</v>
      </c>
      <c r="J1043" s="8">
        <v>43398</v>
      </c>
      <c r="K1043" s="95">
        <v>43399</v>
      </c>
      <c r="L1043" s="95" t="s">
        <v>31</v>
      </c>
      <c r="M1043" s="8">
        <v>43404</v>
      </c>
      <c r="N1043" s="8">
        <v>43717</v>
      </c>
      <c r="O1043" s="8">
        <v>43711</v>
      </c>
      <c r="P1043" s="6" t="s">
        <v>90</v>
      </c>
      <c r="Q1043" s="96">
        <v>3652</v>
      </c>
      <c r="R1043" s="97">
        <f t="shared" si="37"/>
        <v>10.005479452054795</v>
      </c>
      <c r="S1043" s="75">
        <f t="shared" si="38"/>
        <v>82635.254794520544</v>
      </c>
      <c r="T1043" s="124" t="s">
        <v>3460</v>
      </c>
      <c r="U1043" s="8">
        <v>43718</v>
      </c>
      <c r="V1043" s="6" t="s">
        <v>36</v>
      </c>
      <c r="W1043" s="6" t="s">
        <v>33</v>
      </c>
      <c r="X1043" s="95">
        <v>53336</v>
      </c>
    </row>
    <row r="1044" spans="1:24" x14ac:dyDescent="0.25">
      <c r="A1044" s="6" t="s">
        <v>168</v>
      </c>
      <c r="B1044" s="94" t="s">
        <v>3444</v>
      </c>
      <c r="C1044" s="6" t="s">
        <v>3461</v>
      </c>
      <c r="D1044" s="140">
        <v>11056445</v>
      </c>
      <c r="E1044" s="6" t="s">
        <v>839</v>
      </c>
      <c r="F1044" s="10" t="s">
        <v>44</v>
      </c>
      <c r="G1044" s="6" t="s">
        <v>3462</v>
      </c>
      <c r="H1044" s="8">
        <v>45919</v>
      </c>
      <c r="I1044" s="8">
        <v>44007</v>
      </c>
      <c r="J1044" s="8">
        <v>44056</v>
      </c>
      <c r="K1044" s="95">
        <v>44062</v>
      </c>
      <c r="L1044" s="95" t="s">
        <v>31</v>
      </c>
      <c r="M1044" s="8">
        <v>44077</v>
      </c>
      <c r="N1044" s="8">
        <v>44260</v>
      </c>
      <c r="O1044" s="8">
        <v>44229</v>
      </c>
      <c r="P1044" s="6" t="s">
        <v>52</v>
      </c>
      <c r="R1044" s="97" t="str">
        <f t="shared" si="37"/>
        <v/>
      </c>
      <c r="S1044" s="75" t="str">
        <f t="shared" si="38"/>
        <v/>
      </c>
      <c r="U1044" s="8">
        <v>44669</v>
      </c>
      <c r="W1044" s="6" t="s">
        <v>33</v>
      </c>
      <c r="X1044" s="135">
        <v>50539</v>
      </c>
    </row>
    <row r="1045" spans="1:24" x14ac:dyDescent="0.25">
      <c r="A1045" s="6" t="s">
        <v>168</v>
      </c>
      <c r="B1045" s="94" t="s">
        <v>3463</v>
      </c>
      <c r="C1045" s="6" t="s">
        <v>3464</v>
      </c>
      <c r="D1045" s="140">
        <v>11619131</v>
      </c>
      <c r="E1045" s="6" t="s">
        <v>3465</v>
      </c>
      <c r="F1045" s="10" t="s">
        <v>44</v>
      </c>
      <c r="G1045" s="6" t="s">
        <v>3466</v>
      </c>
      <c r="H1045" s="8">
        <v>47323</v>
      </c>
      <c r="I1045" s="8">
        <v>43885</v>
      </c>
      <c r="J1045" s="8">
        <v>43895</v>
      </c>
      <c r="K1045" s="95">
        <v>43899</v>
      </c>
      <c r="L1045" s="95" t="s">
        <v>31</v>
      </c>
      <c r="M1045" s="8">
        <v>44041</v>
      </c>
      <c r="N1045" s="8">
        <v>44165</v>
      </c>
      <c r="O1045" s="8">
        <v>44148</v>
      </c>
      <c r="P1045" s="6" t="s">
        <v>182</v>
      </c>
      <c r="R1045" s="97" t="str">
        <f t="shared" si="37"/>
        <v/>
      </c>
      <c r="S1045" s="75" t="str">
        <f t="shared" si="38"/>
        <v/>
      </c>
      <c r="U1045" s="8">
        <v>44165</v>
      </c>
      <c r="W1045" s="6" t="s">
        <v>33</v>
      </c>
      <c r="X1045" s="95">
        <v>44217</v>
      </c>
    </row>
    <row r="1046" spans="1:24" x14ac:dyDescent="0.25">
      <c r="A1046" s="6" t="s">
        <v>168</v>
      </c>
      <c r="B1046" s="94" t="s">
        <v>723</v>
      </c>
      <c r="C1046" s="6" t="s">
        <v>3467</v>
      </c>
      <c r="D1046" s="140">
        <v>11085173</v>
      </c>
      <c r="E1046" s="6" t="s">
        <v>3468</v>
      </c>
      <c r="F1046" s="10" t="s">
        <v>44</v>
      </c>
      <c r="G1046" s="6" t="s">
        <v>3469</v>
      </c>
      <c r="H1046" s="8">
        <v>44623</v>
      </c>
      <c r="I1046" s="8">
        <v>43484</v>
      </c>
      <c r="J1046" s="8">
        <v>43487</v>
      </c>
      <c r="K1046" s="95">
        <v>43488</v>
      </c>
      <c r="L1046" s="95" t="s">
        <v>31</v>
      </c>
      <c r="M1046" s="8">
        <v>43493</v>
      </c>
      <c r="N1046" s="8">
        <v>44141</v>
      </c>
      <c r="O1046" s="8">
        <v>43585</v>
      </c>
      <c r="P1046" s="6" t="s">
        <v>90</v>
      </c>
      <c r="Q1046" s="96">
        <v>655</v>
      </c>
      <c r="R1046" s="97">
        <f t="shared" si="37"/>
        <v>1.7945205479452055</v>
      </c>
      <c r="S1046" s="75">
        <f t="shared" si="38"/>
        <v>14820.945205479453</v>
      </c>
      <c r="T1046" s="124" t="s">
        <v>3470</v>
      </c>
      <c r="U1046" s="8">
        <v>44141</v>
      </c>
      <c r="V1046" s="6" t="s">
        <v>36</v>
      </c>
      <c r="W1046" s="6" t="s">
        <v>84</v>
      </c>
      <c r="X1046" s="95">
        <v>37434</v>
      </c>
    </row>
    <row r="1047" spans="1:24" x14ac:dyDescent="0.25">
      <c r="A1047" s="6" t="s">
        <v>168</v>
      </c>
      <c r="B1047" s="94" t="s">
        <v>723</v>
      </c>
      <c r="C1047" s="6" t="s">
        <v>3471</v>
      </c>
      <c r="D1047" s="140">
        <v>11234470</v>
      </c>
      <c r="E1047" s="6" t="s">
        <v>2206</v>
      </c>
      <c r="F1047" s="10" t="s">
        <v>44</v>
      </c>
      <c r="G1047" s="6" t="s">
        <v>3472</v>
      </c>
      <c r="H1047" s="8">
        <v>45248</v>
      </c>
      <c r="I1047" s="8">
        <v>43893</v>
      </c>
      <c r="J1047" s="8">
        <v>44055</v>
      </c>
      <c r="K1047" s="95">
        <v>44421</v>
      </c>
      <c r="L1047" s="95" t="s">
        <v>359</v>
      </c>
      <c r="R1047" s="97" t="str">
        <f t="shared" si="37"/>
        <v/>
      </c>
      <c r="S1047" s="75" t="str">
        <f t="shared" si="38"/>
        <v/>
      </c>
      <c r="W1047" s="6" t="s">
        <v>33</v>
      </c>
      <c r="X1047" s="95">
        <v>48773</v>
      </c>
    </row>
    <row r="1048" spans="1:24" x14ac:dyDescent="0.25">
      <c r="A1048" s="6" t="s">
        <v>25</v>
      </c>
      <c r="B1048" s="94" t="s">
        <v>3473</v>
      </c>
      <c r="C1048" s="6" t="s">
        <v>3474</v>
      </c>
      <c r="D1048" s="140">
        <v>11163019</v>
      </c>
      <c r="E1048" s="6" t="s">
        <v>826</v>
      </c>
      <c r="F1048" s="10" t="s">
        <v>134</v>
      </c>
      <c r="G1048" s="6" t="s">
        <v>3475</v>
      </c>
      <c r="H1048" s="8">
        <v>45895</v>
      </c>
      <c r="I1048" s="8">
        <v>43679</v>
      </c>
      <c r="J1048" s="8">
        <v>43682</v>
      </c>
      <c r="K1048" s="95">
        <v>43756</v>
      </c>
      <c r="L1048" s="95" t="s">
        <v>31</v>
      </c>
      <c r="M1048" s="8">
        <v>43763</v>
      </c>
      <c r="N1048" s="8">
        <v>44488</v>
      </c>
      <c r="O1048" s="8">
        <v>44301</v>
      </c>
      <c r="P1048" s="6" t="s">
        <v>35</v>
      </c>
      <c r="Q1048" s="96">
        <v>1102</v>
      </c>
      <c r="R1048" s="97">
        <f t="shared" si="37"/>
        <v>3.0191780821917806</v>
      </c>
      <c r="S1048" s="75">
        <f t="shared" si="38"/>
        <v>24935.391780821919</v>
      </c>
      <c r="U1048" s="8">
        <v>44488</v>
      </c>
      <c r="W1048" s="6" t="s">
        <v>33</v>
      </c>
      <c r="X1048" s="95">
        <v>50554</v>
      </c>
    </row>
    <row r="1049" spans="1:24" x14ac:dyDescent="0.25">
      <c r="A1049" s="6" t="s">
        <v>37</v>
      </c>
      <c r="B1049" s="94" t="s">
        <v>3476</v>
      </c>
      <c r="C1049" s="6" t="s">
        <v>3477</v>
      </c>
      <c r="D1049" s="140">
        <v>11376337</v>
      </c>
      <c r="E1049" s="6" t="s">
        <v>3222</v>
      </c>
      <c r="F1049" s="10" t="s">
        <v>44</v>
      </c>
      <c r="G1049" s="6" t="s">
        <v>3478</v>
      </c>
      <c r="H1049" s="8">
        <v>46257</v>
      </c>
      <c r="I1049" s="8">
        <v>44053</v>
      </c>
      <c r="J1049" s="8">
        <v>44090</v>
      </c>
      <c r="K1049" s="95">
        <v>44091</v>
      </c>
      <c r="L1049" s="95" t="s">
        <v>31</v>
      </c>
      <c r="M1049" s="8">
        <v>44106</v>
      </c>
      <c r="N1049" s="8">
        <v>44130</v>
      </c>
      <c r="O1049" s="8">
        <v>44119</v>
      </c>
      <c r="P1049" s="6" t="s">
        <v>182</v>
      </c>
      <c r="R1049" s="97" t="str">
        <f t="shared" si="37"/>
        <v/>
      </c>
      <c r="S1049" s="75" t="str">
        <f t="shared" si="38"/>
        <v/>
      </c>
      <c r="U1049" s="8">
        <v>44130</v>
      </c>
      <c r="W1049" s="6" t="s">
        <v>33</v>
      </c>
      <c r="X1049" s="135">
        <v>51349</v>
      </c>
    </row>
    <row r="1050" spans="1:24" x14ac:dyDescent="0.25">
      <c r="A1050" s="6" t="s">
        <v>37</v>
      </c>
      <c r="B1050" s="94" t="s">
        <v>3479</v>
      </c>
      <c r="C1050" s="6" t="s">
        <v>3480</v>
      </c>
      <c r="D1050" s="140">
        <v>11989259</v>
      </c>
      <c r="E1050" s="6" t="s">
        <v>2206</v>
      </c>
      <c r="F1050" s="10" t="s">
        <v>44</v>
      </c>
      <c r="G1050" s="6" t="s">
        <v>3481</v>
      </c>
      <c r="H1050" s="8">
        <v>45848</v>
      </c>
      <c r="I1050" s="8">
        <v>43775</v>
      </c>
      <c r="J1050" s="8">
        <v>43795</v>
      </c>
      <c r="K1050" s="95">
        <v>43796</v>
      </c>
      <c r="L1050" s="95" t="s">
        <v>31</v>
      </c>
      <c r="M1050" s="8">
        <v>43811</v>
      </c>
      <c r="N1050" s="8">
        <v>43837</v>
      </c>
      <c r="O1050" s="8">
        <v>43822</v>
      </c>
      <c r="P1050" s="6" t="s">
        <v>52</v>
      </c>
      <c r="R1050" s="97" t="str">
        <f t="shared" si="37"/>
        <v/>
      </c>
      <c r="S1050" s="75" t="str">
        <f t="shared" si="38"/>
        <v/>
      </c>
      <c r="U1050" s="8">
        <v>43837</v>
      </c>
      <c r="W1050" s="6" t="s">
        <v>33</v>
      </c>
      <c r="X1050" s="95">
        <v>45848</v>
      </c>
    </row>
    <row r="1051" spans="1:24" x14ac:dyDescent="0.25">
      <c r="A1051" s="6" t="s">
        <v>25</v>
      </c>
      <c r="B1051" s="94" t="s">
        <v>3482</v>
      </c>
      <c r="C1051" s="6" t="s">
        <v>3483</v>
      </c>
      <c r="D1051" s="140">
        <v>11211757</v>
      </c>
      <c r="E1051" s="6" t="s">
        <v>3484</v>
      </c>
      <c r="F1051" s="10" t="s">
        <v>121</v>
      </c>
      <c r="G1051" s="6" t="s">
        <v>3485</v>
      </c>
      <c r="H1051" s="8">
        <v>45349</v>
      </c>
      <c r="I1051" s="8">
        <v>43592</v>
      </c>
      <c r="J1051" s="8">
        <v>43592</v>
      </c>
      <c r="K1051" s="95">
        <v>43602</v>
      </c>
      <c r="L1051" s="95" t="s">
        <v>359</v>
      </c>
      <c r="R1051" s="97" t="str">
        <f t="shared" si="37"/>
        <v/>
      </c>
      <c r="S1051" s="75" t="str">
        <f t="shared" si="38"/>
        <v/>
      </c>
      <c r="W1051" s="6" t="s">
        <v>33</v>
      </c>
      <c r="X1051" s="95">
        <v>50041</v>
      </c>
    </row>
    <row r="1052" spans="1:24" x14ac:dyDescent="0.25">
      <c r="A1052" s="6" t="s">
        <v>25</v>
      </c>
      <c r="B1052" s="94" t="s">
        <v>3486</v>
      </c>
      <c r="C1052" s="6" t="s">
        <v>3487</v>
      </c>
      <c r="D1052" s="140">
        <v>12189739</v>
      </c>
      <c r="E1052" s="6" t="s">
        <v>1960</v>
      </c>
      <c r="F1052" s="10" t="s">
        <v>44</v>
      </c>
      <c r="G1052" s="6" t="s">
        <v>3488</v>
      </c>
      <c r="H1052" s="8">
        <v>45696</v>
      </c>
      <c r="I1052" s="8">
        <v>43651</v>
      </c>
      <c r="J1052" s="8">
        <v>43654</v>
      </c>
      <c r="K1052" s="95">
        <v>43734</v>
      </c>
      <c r="L1052" s="95" t="s">
        <v>31</v>
      </c>
      <c r="M1052" s="8">
        <v>43738</v>
      </c>
      <c r="N1052" s="8">
        <v>44302</v>
      </c>
      <c r="O1052" s="8">
        <v>43934</v>
      </c>
      <c r="P1052" s="6" t="s">
        <v>75</v>
      </c>
      <c r="R1052" s="97" t="str">
        <f t="shared" si="37"/>
        <v/>
      </c>
      <c r="S1052" s="75" t="str">
        <f t="shared" si="38"/>
        <v/>
      </c>
      <c r="T1052" s="124" t="s">
        <v>3489</v>
      </c>
      <c r="U1052" s="8">
        <v>44302</v>
      </c>
      <c r="W1052" s="6" t="s">
        <v>33</v>
      </c>
      <c r="X1052" s="95">
        <v>50027</v>
      </c>
    </row>
    <row r="1053" spans="1:24" x14ac:dyDescent="0.25">
      <c r="A1053" s="6" t="s">
        <v>25</v>
      </c>
      <c r="B1053" s="94" t="s">
        <v>719</v>
      </c>
      <c r="C1053" s="6" t="s">
        <v>3490</v>
      </c>
      <c r="D1053" s="140">
        <v>11218209</v>
      </c>
      <c r="E1053" s="6" t="s">
        <v>2454</v>
      </c>
      <c r="F1053" s="10" t="s">
        <v>44</v>
      </c>
      <c r="G1053" s="6" t="s">
        <v>3491</v>
      </c>
      <c r="H1053" s="8">
        <v>47106</v>
      </c>
      <c r="I1053" s="8">
        <v>43592</v>
      </c>
      <c r="J1053" s="8">
        <v>43592</v>
      </c>
      <c r="K1053" s="95">
        <v>43602</v>
      </c>
      <c r="L1053" s="95" t="s">
        <v>31</v>
      </c>
      <c r="M1053" s="8">
        <v>43627</v>
      </c>
      <c r="N1053" s="8">
        <v>43794</v>
      </c>
      <c r="O1053" s="8">
        <v>43773</v>
      </c>
      <c r="P1053" s="6" t="s">
        <v>1294</v>
      </c>
      <c r="Q1053" s="96">
        <v>2191.5</v>
      </c>
      <c r="R1053" s="97">
        <f t="shared" ref="R1053:R1084" si="39">IF(Q1053&gt;0, Q1053/365, "")</f>
        <v>6.0041095890410956</v>
      </c>
      <c r="S1053" s="75">
        <f t="shared" si="38"/>
        <v>49587.941095890412</v>
      </c>
      <c r="U1053" s="8">
        <v>43794</v>
      </c>
      <c r="W1053" s="6" t="s">
        <v>33</v>
      </c>
      <c r="X1053" s="95">
        <v>50611</v>
      </c>
    </row>
    <row r="1054" spans="1:24" x14ac:dyDescent="0.25">
      <c r="A1054" s="6" t="s">
        <v>37</v>
      </c>
      <c r="B1054" s="94" t="s">
        <v>3492</v>
      </c>
      <c r="C1054" s="6" t="s">
        <v>3427</v>
      </c>
      <c r="D1054" s="140">
        <v>11068345</v>
      </c>
      <c r="E1054" s="6" t="s">
        <v>2454</v>
      </c>
      <c r="F1054" s="10" t="s">
        <v>62</v>
      </c>
      <c r="G1054" s="6" t="s">
        <v>3428</v>
      </c>
      <c r="H1054" s="8">
        <v>48680</v>
      </c>
      <c r="I1054" s="8">
        <v>43368</v>
      </c>
      <c r="J1054" s="8">
        <v>43371</v>
      </c>
      <c r="K1054" s="95">
        <v>43374</v>
      </c>
      <c r="L1054" s="95" t="s">
        <v>359</v>
      </c>
      <c r="R1054" s="97" t="str">
        <f t="shared" si="39"/>
        <v/>
      </c>
      <c r="S1054" s="75" t="str">
        <f t="shared" si="38"/>
        <v/>
      </c>
      <c r="W1054" s="6" t="s">
        <v>33</v>
      </c>
      <c r="X1054" s="95">
        <v>48494</v>
      </c>
    </row>
    <row r="1055" spans="1:24" x14ac:dyDescent="0.25">
      <c r="A1055" s="6" t="s">
        <v>25</v>
      </c>
      <c r="B1055" s="94" t="s">
        <v>1265</v>
      </c>
      <c r="C1055" s="6" t="s">
        <v>3493</v>
      </c>
      <c r="D1055" s="140">
        <v>11213649</v>
      </c>
      <c r="E1055" s="6" t="s">
        <v>418</v>
      </c>
      <c r="F1055" s="10" t="s">
        <v>29</v>
      </c>
      <c r="G1055" s="6" t="s">
        <v>3494</v>
      </c>
      <c r="H1055" s="8">
        <v>44811</v>
      </c>
      <c r="I1055" s="8">
        <v>43592</v>
      </c>
      <c r="J1055" s="8">
        <v>43592</v>
      </c>
      <c r="K1055" s="95">
        <v>43602</v>
      </c>
      <c r="L1055" s="95" t="s">
        <v>359</v>
      </c>
      <c r="R1055" s="97" t="str">
        <f t="shared" si="39"/>
        <v/>
      </c>
      <c r="S1055" s="75" t="str">
        <f t="shared" si="38"/>
        <v/>
      </c>
      <c r="W1055" s="6" t="s">
        <v>33</v>
      </c>
      <c r="X1055" s="95">
        <v>49448</v>
      </c>
    </row>
    <row r="1056" spans="1:24" x14ac:dyDescent="0.25">
      <c r="A1056" s="6" t="s">
        <v>25</v>
      </c>
      <c r="B1056" s="94" t="s">
        <v>3495</v>
      </c>
      <c r="C1056" s="6" t="s">
        <v>3496</v>
      </c>
      <c r="D1056" s="140">
        <v>11213500</v>
      </c>
      <c r="E1056" s="6" t="s">
        <v>1064</v>
      </c>
      <c r="F1056" s="10" t="s">
        <v>44</v>
      </c>
      <c r="G1056" s="6" t="s">
        <v>3497</v>
      </c>
      <c r="H1056" s="8">
        <v>44594</v>
      </c>
      <c r="I1056" s="8">
        <v>43592</v>
      </c>
      <c r="J1056" s="8">
        <v>43592</v>
      </c>
      <c r="K1056" s="95">
        <v>43602</v>
      </c>
      <c r="L1056" s="95" t="s">
        <v>359</v>
      </c>
      <c r="R1056" s="97" t="str">
        <f t="shared" si="39"/>
        <v/>
      </c>
      <c r="S1056" s="75" t="str">
        <f t="shared" si="38"/>
        <v/>
      </c>
      <c r="W1056" s="6" t="s">
        <v>33</v>
      </c>
      <c r="X1056" s="95">
        <v>42954</v>
      </c>
    </row>
    <row r="1057" spans="1:24" x14ac:dyDescent="0.25">
      <c r="A1057" s="6" t="s">
        <v>25</v>
      </c>
      <c r="B1057" s="94" t="s">
        <v>3498</v>
      </c>
      <c r="C1057" s="6" t="s">
        <v>3499</v>
      </c>
      <c r="D1057" s="140">
        <v>12121660</v>
      </c>
      <c r="E1057" s="6" t="s">
        <v>946</v>
      </c>
      <c r="F1057" s="10" t="s">
        <v>81</v>
      </c>
      <c r="G1057" s="6" t="s">
        <v>3500</v>
      </c>
      <c r="H1057" s="8">
        <v>45514</v>
      </c>
      <c r="I1057" s="8">
        <v>43637</v>
      </c>
      <c r="J1057" s="8">
        <v>43640</v>
      </c>
      <c r="K1057" s="95">
        <v>43696</v>
      </c>
      <c r="L1057" s="95" t="s">
        <v>31</v>
      </c>
      <c r="M1057" s="8">
        <v>43704</v>
      </c>
      <c r="N1057" s="8">
        <v>43753</v>
      </c>
      <c r="O1057" s="8">
        <v>43738</v>
      </c>
      <c r="P1057" s="6" t="s">
        <v>52</v>
      </c>
      <c r="R1057" s="97" t="str">
        <f t="shared" si="39"/>
        <v/>
      </c>
      <c r="S1057" s="75" t="str">
        <f t="shared" si="38"/>
        <v/>
      </c>
      <c r="T1057" s="124" t="s">
        <v>3501</v>
      </c>
      <c r="U1057" s="8">
        <v>43754</v>
      </c>
      <c r="W1057" s="6" t="s">
        <v>33</v>
      </c>
      <c r="X1057" s="6"/>
    </row>
    <row r="1058" spans="1:24" x14ac:dyDescent="0.25">
      <c r="A1058" s="6" t="s">
        <v>25</v>
      </c>
      <c r="B1058" s="94" t="s">
        <v>108</v>
      </c>
      <c r="C1058" s="6" t="s">
        <v>3502</v>
      </c>
      <c r="D1058" s="140">
        <v>12113257</v>
      </c>
      <c r="E1058" s="6" t="s">
        <v>1156</v>
      </c>
      <c r="F1058" s="10" t="s">
        <v>44</v>
      </c>
      <c r="G1058" s="6" t="s">
        <v>3503</v>
      </c>
      <c r="H1058" s="8">
        <v>47392</v>
      </c>
      <c r="I1058" s="8">
        <v>43642</v>
      </c>
      <c r="J1058" s="8">
        <v>43648</v>
      </c>
      <c r="K1058" s="95">
        <v>43712</v>
      </c>
      <c r="L1058" s="95" t="s">
        <v>31</v>
      </c>
      <c r="M1058" s="8">
        <v>43725</v>
      </c>
      <c r="N1058" s="8">
        <v>43753</v>
      </c>
      <c r="O1058" s="8">
        <v>43739</v>
      </c>
      <c r="P1058" s="6" t="s">
        <v>52</v>
      </c>
      <c r="R1058" s="97" t="str">
        <f t="shared" si="39"/>
        <v/>
      </c>
      <c r="S1058" s="75" t="str">
        <f t="shared" si="38"/>
        <v/>
      </c>
      <c r="T1058" s="124" t="s">
        <v>3504</v>
      </c>
      <c r="U1058" s="8">
        <v>43754</v>
      </c>
      <c r="W1058" s="6" t="s">
        <v>33</v>
      </c>
      <c r="X1058" s="6"/>
    </row>
    <row r="1059" spans="1:24" x14ac:dyDescent="0.25">
      <c r="A1059" s="6" t="s">
        <v>37</v>
      </c>
      <c r="B1059" s="94" t="s">
        <v>3505</v>
      </c>
      <c r="C1059" s="6" t="s">
        <v>3506</v>
      </c>
      <c r="D1059" s="140">
        <v>11367254</v>
      </c>
      <c r="E1059" s="6" t="s">
        <v>3008</v>
      </c>
      <c r="F1059" s="10" t="s">
        <v>44</v>
      </c>
      <c r="G1059" s="6" t="s">
        <v>3507</v>
      </c>
      <c r="H1059" s="8">
        <v>44937</v>
      </c>
      <c r="I1059" s="8">
        <v>44145</v>
      </c>
      <c r="J1059" s="8">
        <v>44174</v>
      </c>
      <c r="K1059" s="95">
        <v>44175</v>
      </c>
      <c r="L1059" s="95" t="s">
        <v>31</v>
      </c>
      <c r="M1059" s="8">
        <v>44183</v>
      </c>
      <c r="N1059" s="8">
        <v>44229</v>
      </c>
      <c r="O1059" s="8">
        <v>44211</v>
      </c>
      <c r="P1059" s="6" t="s">
        <v>75</v>
      </c>
      <c r="R1059" s="97" t="str">
        <f t="shared" si="39"/>
        <v/>
      </c>
      <c r="S1059" s="75" t="str">
        <f t="shared" si="38"/>
        <v/>
      </c>
      <c r="W1059" s="6" t="s">
        <v>33</v>
      </c>
      <c r="X1059" s="95">
        <v>49320</v>
      </c>
    </row>
    <row r="1060" spans="1:24" x14ac:dyDescent="0.25">
      <c r="A1060" s="6" t="s">
        <v>25</v>
      </c>
      <c r="B1060" s="94" t="s">
        <v>3508</v>
      </c>
      <c r="C1060" s="6" t="s">
        <v>3509</v>
      </c>
      <c r="D1060" s="140">
        <v>10227417</v>
      </c>
      <c r="E1060" s="6" t="s">
        <v>120</v>
      </c>
      <c r="F1060" s="10" t="s">
        <v>100</v>
      </c>
      <c r="G1060" s="6" t="s">
        <v>3510</v>
      </c>
      <c r="H1060" s="8">
        <v>46151</v>
      </c>
      <c r="I1060" s="8">
        <v>43595</v>
      </c>
      <c r="J1060" s="8">
        <v>43595</v>
      </c>
      <c r="K1060" s="95">
        <v>43602</v>
      </c>
      <c r="L1060" s="95" t="s">
        <v>31</v>
      </c>
      <c r="M1060" s="8">
        <v>43627</v>
      </c>
      <c r="N1060" s="8">
        <v>43888</v>
      </c>
      <c r="O1060" s="8">
        <v>43860</v>
      </c>
      <c r="P1060" s="6" t="s">
        <v>35</v>
      </c>
      <c r="Q1060" s="96">
        <v>1826</v>
      </c>
      <c r="R1060" s="97">
        <f t="shared" si="39"/>
        <v>5.0027397260273974</v>
      </c>
      <c r="S1060" s="75">
        <f t="shared" si="38"/>
        <v>41317.627397260272</v>
      </c>
      <c r="U1060" s="8">
        <v>43888</v>
      </c>
      <c r="W1060" s="6" t="s">
        <v>33</v>
      </c>
      <c r="X1060" s="95">
        <v>49412</v>
      </c>
    </row>
    <row r="1061" spans="1:24" ht="30" x14ac:dyDescent="0.25">
      <c r="A1061" s="6" t="s">
        <v>25</v>
      </c>
      <c r="B1061" s="94" t="s">
        <v>610</v>
      </c>
      <c r="C1061" s="6" t="s">
        <v>3511</v>
      </c>
      <c r="D1061" s="140">
        <v>10246676</v>
      </c>
      <c r="E1061" s="6" t="s">
        <v>3512</v>
      </c>
      <c r="F1061" s="10" t="s">
        <v>44</v>
      </c>
      <c r="G1061" s="6" t="s">
        <v>3513</v>
      </c>
      <c r="H1061" s="8">
        <v>44382</v>
      </c>
      <c r="I1061" s="8">
        <v>43595</v>
      </c>
      <c r="J1061" s="8">
        <v>43595</v>
      </c>
      <c r="K1061" s="95">
        <v>43602</v>
      </c>
      <c r="L1061" s="95" t="s">
        <v>31</v>
      </c>
      <c r="M1061" s="8">
        <v>43627</v>
      </c>
      <c r="N1061" s="8">
        <v>44274</v>
      </c>
      <c r="O1061" s="8">
        <v>43665</v>
      </c>
      <c r="P1061" s="6" t="s">
        <v>75</v>
      </c>
      <c r="R1061" s="97" t="str">
        <f t="shared" si="39"/>
        <v/>
      </c>
      <c r="S1061" s="75" t="str">
        <f t="shared" si="38"/>
        <v/>
      </c>
      <c r="T1061" s="124" t="s">
        <v>3514</v>
      </c>
      <c r="U1061" s="8">
        <v>44274</v>
      </c>
      <c r="W1061" s="6" t="s">
        <v>33</v>
      </c>
      <c r="X1061" s="95">
        <v>50479</v>
      </c>
    </row>
    <row r="1062" spans="1:24" x14ac:dyDescent="0.25">
      <c r="A1062" s="6" t="s">
        <v>25</v>
      </c>
      <c r="B1062" s="94" t="s">
        <v>3515</v>
      </c>
      <c r="C1062" s="6" t="s">
        <v>3516</v>
      </c>
      <c r="D1062" s="140">
        <v>11061784</v>
      </c>
      <c r="E1062" s="6" t="s">
        <v>3163</v>
      </c>
      <c r="F1062" s="10" t="s">
        <v>44</v>
      </c>
      <c r="G1062" s="6" t="s">
        <v>3517</v>
      </c>
      <c r="H1062" s="8">
        <v>46414</v>
      </c>
      <c r="I1062" s="8">
        <v>43601</v>
      </c>
      <c r="J1062" s="8">
        <v>43601</v>
      </c>
      <c r="K1062" s="95">
        <v>43629</v>
      </c>
      <c r="L1062" s="95" t="s">
        <v>31</v>
      </c>
      <c r="M1062" s="8">
        <v>43634</v>
      </c>
      <c r="N1062" s="8">
        <v>43749</v>
      </c>
      <c r="O1062" s="8">
        <v>43741</v>
      </c>
      <c r="P1062" s="6" t="s">
        <v>75</v>
      </c>
      <c r="R1062" s="97" t="str">
        <f t="shared" si="39"/>
        <v/>
      </c>
      <c r="S1062" s="75" t="str">
        <f t="shared" si="38"/>
        <v/>
      </c>
      <c r="U1062" s="8">
        <v>43749</v>
      </c>
      <c r="W1062" s="6" t="s">
        <v>33</v>
      </c>
      <c r="X1062" s="95">
        <v>49316</v>
      </c>
    </row>
    <row r="1063" spans="1:24" x14ac:dyDescent="0.25">
      <c r="A1063" s="6" t="s">
        <v>25</v>
      </c>
      <c r="B1063" s="94" t="s">
        <v>3518</v>
      </c>
      <c r="C1063" s="6" t="s">
        <v>3519</v>
      </c>
      <c r="D1063" s="140">
        <v>11334822</v>
      </c>
      <c r="E1063" s="6" t="s">
        <v>3520</v>
      </c>
      <c r="F1063" s="10" t="s">
        <v>3160</v>
      </c>
      <c r="G1063" s="6">
        <v>220151</v>
      </c>
      <c r="H1063" s="8">
        <v>44384</v>
      </c>
      <c r="I1063" s="8">
        <v>43784</v>
      </c>
      <c r="J1063" s="8">
        <v>43788</v>
      </c>
      <c r="K1063" s="95">
        <v>43836</v>
      </c>
      <c r="L1063" s="95" t="s">
        <v>31</v>
      </c>
      <c r="M1063" s="8">
        <v>43844</v>
      </c>
      <c r="N1063" s="8">
        <v>43895</v>
      </c>
      <c r="O1063" s="8">
        <v>43887</v>
      </c>
      <c r="P1063" s="6" t="s">
        <v>35</v>
      </c>
      <c r="Q1063" s="96">
        <v>1826</v>
      </c>
      <c r="R1063" s="97">
        <f t="shared" si="39"/>
        <v>5.0027397260273974</v>
      </c>
      <c r="S1063" s="75">
        <f t="shared" si="38"/>
        <v>41317.627397260272</v>
      </c>
      <c r="U1063" s="8">
        <v>43931</v>
      </c>
      <c r="W1063" s="6" t="s">
        <v>33</v>
      </c>
      <c r="X1063" s="95">
        <v>44384</v>
      </c>
    </row>
    <row r="1064" spans="1:24" x14ac:dyDescent="0.25">
      <c r="A1064" s="6" t="s">
        <v>25</v>
      </c>
      <c r="B1064" s="94" t="s">
        <v>3521</v>
      </c>
      <c r="C1064" s="6" t="s">
        <v>3522</v>
      </c>
      <c r="D1064" s="140">
        <v>10977883</v>
      </c>
      <c r="E1064" s="6" t="s">
        <v>386</v>
      </c>
      <c r="F1064" s="10" t="s">
        <v>44</v>
      </c>
      <c r="G1064" s="6" t="s">
        <v>3523</v>
      </c>
      <c r="H1064" s="8">
        <v>45101</v>
      </c>
      <c r="I1064" s="8">
        <v>43595</v>
      </c>
      <c r="J1064" s="8">
        <v>43595</v>
      </c>
      <c r="K1064" s="95">
        <v>43602</v>
      </c>
      <c r="L1064" s="95" t="s">
        <v>31</v>
      </c>
      <c r="M1064" s="8">
        <v>43627</v>
      </c>
      <c r="R1064" s="97" t="str">
        <f t="shared" si="39"/>
        <v/>
      </c>
      <c r="S1064" s="75" t="str">
        <f t="shared" si="38"/>
        <v/>
      </c>
      <c r="T1064" s="129" t="s">
        <v>3524</v>
      </c>
      <c r="U1064" s="8">
        <v>44783</v>
      </c>
      <c r="W1064" s="6" t="s">
        <v>33</v>
      </c>
      <c r="X1064" s="95">
        <v>50333</v>
      </c>
    </row>
    <row r="1065" spans="1:24" x14ac:dyDescent="0.25">
      <c r="A1065" s="6" t="s">
        <v>25</v>
      </c>
      <c r="B1065" s="94" t="s">
        <v>102</v>
      </c>
      <c r="C1065" s="6" t="s">
        <v>3525</v>
      </c>
      <c r="D1065" s="140">
        <v>11311604</v>
      </c>
      <c r="E1065" s="6" t="s">
        <v>1151</v>
      </c>
      <c r="F1065" s="10" t="s">
        <v>2600</v>
      </c>
      <c r="G1065" s="6">
        <v>1347088</v>
      </c>
      <c r="H1065" s="8">
        <v>50714</v>
      </c>
      <c r="I1065" s="8">
        <v>43623</v>
      </c>
      <c r="J1065" s="8">
        <v>43623</v>
      </c>
      <c r="K1065" s="95">
        <v>43663</v>
      </c>
      <c r="L1065" s="95" t="s">
        <v>31</v>
      </c>
      <c r="M1065" s="8">
        <v>43668</v>
      </c>
      <c r="N1065" s="8">
        <v>43766</v>
      </c>
      <c r="O1065" s="8">
        <v>43742</v>
      </c>
      <c r="P1065" s="6" t="s">
        <v>52</v>
      </c>
      <c r="R1065" s="97" t="str">
        <f t="shared" si="39"/>
        <v/>
      </c>
      <c r="S1065" s="75" t="str">
        <f t="shared" si="38"/>
        <v/>
      </c>
      <c r="U1065" s="8">
        <v>43767</v>
      </c>
      <c r="W1065" s="6" t="s">
        <v>33</v>
      </c>
      <c r="X1065" s="6"/>
    </row>
    <row r="1066" spans="1:24" x14ac:dyDescent="0.25">
      <c r="A1066" s="6" t="s">
        <v>25</v>
      </c>
      <c r="B1066" s="94" t="s">
        <v>3526</v>
      </c>
      <c r="C1066" s="6" t="s">
        <v>3527</v>
      </c>
      <c r="D1066" s="140">
        <v>11221006</v>
      </c>
      <c r="E1066" s="6" t="s">
        <v>747</v>
      </c>
      <c r="F1066" s="10" t="s">
        <v>57</v>
      </c>
      <c r="G1066" s="6" t="s">
        <v>3528</v>
      </c>
      <c r="H1066" s="8">
        <v>47634</v>
      </c>
      <c r="I1066" s="8">
        <v>43649</v>
      </c>
      <c r="J1066" s="8">
        <v>43654</v>
      </c>
      <c r="K1066" s="95">
        <v>43712</v>
      </c>
      <c r="L1066" s="95" t="s">
        <v>31</v>
      </c>
      <c r="M1066" s="8">
        <v>43725</v>
      </c>
      <c r="N1066" s="8">
        <v>43763</v>
      </c>
      <c r="O1066" s="8">
        <v>43745</v>
      </c>
      <c r="P1066" s="6" t="s">
        <v>52</v>
      </c>
      <c r="R1066" s="97" t="str">
        <f t="shared" si="39"/>
        <v/>
      </c>
      <c r="S1066" s="75" t="str">
        <f t="shared" si="38"/>
        <v/>
      </c>
      <c r="T1066" s="124" t="s">
        <v>3529</v>
      </c>
      <c r="U1066" s="8">
        <v>43763</v>
      </c>
      <c r="W1066" s="6" t="s">
        <v>33</v>
      </c>
      <c r="X1066" s="6"/>
    </row>
    <row r="1067" spans="1:24" x14ac:dyDescent="0.25">
      <c r="A1067" s="6" t="s">
        <v>25</v>
      </c>
      <c r="B1067" s="94" t="s">
        <v>3530</v>
      </c>
      <c r="C1067" s="6" t="s">
        <v>3531</v>
      </c>
      <c r="D1067" s="140">
        <v>11018810</v>
      </c>
      <c r="E1067" s="6" t="s">
        <v>386</v>
      </c>
      <c r="F1067" s="10" t="s">
        <v>205</v>
      </c>
      <c r="G1067" s="6" t="s">
        <v>3532</v>
      </c>
      <c r="H1067" s="8">
        <v>45510</v>
      </c>
      <c r="I1067" s="8">
        <v>43595</v>
      </c>
      <c r="J1067" s="8">
        <v>43595</v>
      </c>
      <c r="K1067" s="95">
        <v>43602</v>
      </c>
      <c r="L1067" s="95" t="s">
        <v>31</v>
      </c>
      <c r="M1067" s="8">
        <v>43627</v>
      </c>
      <c r="N1067" s="8">
        <v>43861</v>
      </c>
      <c r="O1067" s="8">
        <v>43854</v>
      </c>
      <c r="P1067" s="6" t="s">
        <v>35</v>
      </c>
      <c r="Q1067" s="96">
        <v>1826</v>
      </c>
      <c r="R1067" s="97">
        <f t="shared" si="39"/>
        <v>5.0027397260273974</v>
      </c>
      <c r="S1067" s="75">
        <f t="shared" si="38"/>
        <v>41317.627397260272</v>
      </c>
      <c r="U1067" s="8">
        <v>43864</v>
      </c>
      <c r="W1067" s="6" t="s">
        <v>33</v>
      </c>
      <c r="X1067" s="95">
        <v>49938</v>
      </c>
    </row>
    <row r="1068" spans="1:24" x14ac:dyDescent="0.25">
      <c r="A1068" s="6" t="s">
        <v>168</v>
      </c>
      <c r="B1068" s="94" t="s">
        <v>723</v>
      </c>
      <c r="C1068" s="6" t="s">
        <v>3533</v>
      </c>
      <c r="D1068" s="140">
        <v>11282715</v>
      </c>
      <c r="E1068" s="6" t="s">
        <v>3534</v>
      </c>
      <c r="F1068" s="10" t="s">
        <v>44</v>
      </c>
      <c r="G1068" s="6" t="s">
        <v>3535</v>
      </c>
      <c r="H1068" s="8">
        <v>45990</v>
      </c>
      <c r="I1068" s="8">
        <v>44454</v>
      </c>
      <c r="J1068" s="8">
        <v>44477</v>
      </c>
      <c r="K1068" s="95">
        <v>44480</v>
      </c>
      <c r="L1068" s="95" t="s">
        <v>31</v>
      </c>
      <c r="M1068" s="8">
        <v>44497</v>
      </c>
      <c r="N1068" s="8">
        <v>44642</v>
      </c>
      <c r="O1068" s="8">
        <v>44624</v>
      </c>
      <c r="P1068" s="6" t="s">
        <v>35</v>
      </c>
      <c r="Q1068" s="96">
        <v>1102</v>
      </c>
      <c r="R1068" s="97">
        <f t="shared" si="39"/>
        <v>3.0191780821917806</v>
      </c>
      <c r="S1068" s="75">
        <f t="shared" si="38"/>
        <v>24935.391780821919</v>
      </c>
      <c r="U1068" s="8">
        <v>44635</v>
      </c>
    </row>
    <row r="1069" spans="1:24" x14ac:dyDescent="0.25">
      <c r="A1069" s="6" t="s">
        <v>25</v>
      </c>
      <c r="B1069" s="94" t="s">
        <v>3536</v>
      </c>
      <c r="C1069" s="6" t="s">
        <v>3537</v>
      </c>
      <c r="D1069" s="140">
        <v>11032877</v>
      </c>
      <c r="E1069" s="6" t="s">
        <v>120</v>
      </c>
      <c r="F1069" s="10" t="s">
        <v>105</v>
      </c>
      <c r="G1069" s="6" t="s">
        <v>3538</v>
      </c>
      <c r="H1069" s="8">
        <v>48721</v>
      </c>
      <c r="I1069" s="8">
        <v>43595</v>
      </c>
      <c r="J1069" s="8">
        <v>43595</v>
      </c>
      <c r="K1069" s="95">
        <v>43602</v>
      </c>
      <c r="L1069" s="95" t="s">
        <v>31</v>
      </c>
      <c r="M1069" s="8">
        <v>43627</v>
      </c>
      <c r="N1069" s="8">
        <v>43801</v>
      </c>
      <c r="O1069" s="8">
        <v>43774</v>
      </c>
      <c r="P1069" s="6" t="s">
        <v>35</v>
      </c>
      <c r="Q1069" s="96">
        <v>1826</v>
      </c>
      <c r="R1069" s="97">
        <f t="shared" si="39"/>
        <v>5.0027397260273974</v>
      </c>
      <c r="S1069" s="75">
        <f t="shared" si="38"/>
        <v>41317.627397260272</v>
      </c>
      <c r="U1069" s="8">
        <v>43934</v>
      </c>
      <c r="W1069" s="6" t="s">
        <v>33</v>
      </c>
      <c r="X1069" s="95">
        <v>52886</v>
      </c>
    </row>
    <row r="1070" spans="1:24" x14ac:dyDescent="0.25">
      <c r="A1070" s="6" t="s">
        <v>37</v>
      </c>
      <c r="B1070" s="94" t="s">
        <v>3539</v>
      </c>
      <c r="C1070" s="6" t="s">
        <v>3540</v>
      </c>
      <c r="D1070" s="140">
        <v>11957463</v>
      </c>
      <c r="E1070" s="6" t="s">
        <v>3541</v>
      </c>
      <c r="F1070" s="10" t="s">
        <v>205</v>
      </c>
      <c r="G1070" s="6" t="s">
        <v>3542</v>
      </c>
      <c r="H1070" s="8">
        <v>49668</v>
      </c>
      <c r="I1070" s="8">
        <v>44152</v>
      </c>
      <c r="J1070" s="8">
        <v>44179</v>
      </c>
      <c r="K1070" s="95">
        <v>44173</v>
      </c>
      <c r="L1070" s="95" t="s">
        <v>31</v>
      </c>
      <c r="M1070" s="8">
        <v>44218</v>
      </c>
      <c r="P1070" s="107" t="s">
        <v>628</v>
      </c>
      <c r="R1070" s="97" t="str">
        <f t="shared" si="39"/>
        <v/>
      </c>
      <c r="S1070" s="75" t="str">
        <f t="shared" si="38"/>
        <v/>
      </c>
      <c r="T1070" s="129" t="s">
        <v>3543</v>
      </c>
      <c r="W1070" s="6" t="s">
        <v>84</v>
      </c>
      <c r="X1070" s="95">
        <v>45723</v>
      </c>
    </row>
    <row r="1071" spans="1:24" x14ac:dyDescent="0.25">
      <c r="A1071" s="6" t="s">
        <v>25</v>
      </c>
      <c r="B1071" s="94" t="s">
        <v>3544</v>
      </c>
      <c r="C1071" s="6" t="s">
        <v>3545</v>
      </c>
      <c r="D1071" s="140">
        <v>11820096</v>
      </c>
      <c r="E1071" s="6" t="s">
        <v>180</v>
      </c>
      <c r="F1071" s="10" t="s">
        <v>44</v>
      </c>
      <c r="G1071" s="6" t="s">
        <v>3546</v>
      </c>
      <c r="H1071" s="8">
        <v>45765</v>
      </c>
      <c r="I1071" s="8">
        <v>43668</v>
      </c>
      <c r="J1071" s="8">
        <v>43670</v>
      </c>
      <c r="K1071" s="95">
        <v>43732</v>
      </c>
      <c r="L1071" s="95" t="s">
        <v>31</v>
      </c>
      <c r="M1071" s="8">
        <v>43738</v>
      </c>
      <c r="N1071" s="8">
        <v>43745</v>
      </c>
      <c r="O1071" s="8">
        <v>43742</v>
      </c>
      <c r="P1071" s="6" t="s">
        <v>182</v>
      </c>
      <c r="R1071" s="97" t="str">
        <f t="shared" si="39"/>
        <v/>
      </c>
      <c r="S1071" s="75" t="str">
        <f t="shared" si="38"/>
        <v/>
      </c>
      <c r="U1071" s="8">
        <v>43745</v>
      </c>
      <c r="W1071" s="6" t="s">
        <v>33</v>
      </c>
      <c r="X1071" s="95">
        <v>50485</v>
      </c>
    </row>
    <row r="1072" spans="1:24" ht="30" x14ac:dyDescent="0.25">
      <c r="A1072" s="6" t="s">
        <v>25</v>
      </c>
      <c r="B1072" s="94" t="s">
        <v>3547</v>
      </c>
      <c r="C1072" s="6" t="s">
        <v>3548</v>
      </c>
      <c r="D1072" s="140">
        <v>11224197</v>
      </c>
      <c r="E1072" s="6" t="s">
        <v>3014</v>
      </c>
      <c r="F1072" s="10" t="s">
        <v>134</v>
      </c>
      <c r="G1072" s="6" t="s">
        <v>3549</v>
      </c>
      <c r="H1072" s="8">
        <v>45708</v>
      </c>
      <c r="I1072" s="8">
        <v>43594</v>
      </c>
      <c r="J1072" s="8">
        <v>43594</v>
      </c>
      <c r="K1072" s="95">
        <v>43627</v>
      </c>
      <c r="L1072" s="95" t="s">
        <v>31</v>
      </c>
      <c r="M1072" s="8">
        <v>43634</v>
      </c>
      <c r="N1072" s="8">
        <v>43686</v>
      </c>
      <c r="O1072" s="8">
        <v>43682</v>
      </c>
      <c r="P1072" s="6" t="s">
        <v>52</v>
      </c>
      <c r="R1072" s="97" t="str">
        <f t="shared" si="39"/>
        <v/>
      </c>
      <c r="S1072" s="75" t="str">
        <f t="shared" si="38"/>
        <v/>
      </c>
      <c r="T1072" s="124" t="s">
        <v>3550</v>
      </c>
      <c r="U1072" s="8">
        <v>43686</v>
      </c>
      <c r="W1072" s="6" t="s">
        <v>33</v>
      </c>
      <c r="X1072" s="95">
        <v>42827</v>
      </c>
    </row>
    <row r="1073" spans="1:24" ht="30" x14ac:dyDescent="0.25">
      <c r="A1073" s="6" t="s">
        <v>37</v>
      </c>
      <c r="B1073" s="94" t="s">
        <v>3526</v>
      </c>
      <c r="C1073" s="6" t="s">
        <v>3527</v>
      </c>
      <c r="D1073" s="140">
        <v>11221006</v>
      </c>
      <c r="E1073" s="6" t="s">
        <v>1096</v>
      </c>
      <c r="F1073" s="10" t="s">
        <v>57</v>
      </c>
      <c r="G1073" s="6" t="s">
        <v>3528</v>
      </c>
      <c r="H1073" s="8">
        <v>47634</v>
      </c>
      <c r="I1073" s="8">
        <v>43395</v>
      </c>
      <c r="J1073" s="8">
        <v>43397</v>
      </c>
      <c r="K1073" s="95">
        <v>43397</v>
      </c>
      <c r="L1073" s="95" t="s">
        <v>31</v>
      </c>
      <c r="M1073" s="8">
        <v>43399</v>
      </c>
      <c r="N1073" s="8">
        <v>43763</v>
      </c>
      <c r="O1073" s="8">
        <v>43745</v>
      </c>
      <c r="P1073" s="6" t="s">
        <v>52</v>
      </c>
      <c r="R1073" s="97" t="str">
        <f t="shared" si="39"/>
        <v/>
      </c>
      <c r="S1073" s="75" t="str">
        <f t="shared" si="38"/>
        <v/>
      </c>
      <c r="T1073" s="124" t="s">
        <v>3551</v>
      </c>
      <c r="U1073" s="8">
        <v>43763</v>
      </c>
      <c r="W1073" s="6" t="s">
        <v>33</v>
      </c>
      <c r="X1073" s="95">
        <v>49611</v>
      </c>
    </row>
    <row r="1074" spans="1:24" x14ac:dyDescent="0.25">
      <c r="A1074" s="6" t="s">
        <v>25</v>
      </c>
      <c r="B1074" s="94" t="s">
        <v>3552</v>
      </c>
      <c r="C1074" s="6" t="s">
        <v>3553</v>
      </c>
      <c r="D1074" s="140">
        <v>11228477</v>
      </c>
      <c r="E1074" s="6" t="s">
        <v>289</v>
      </c>
      <c r="F1074" s="10" t="s">
        <v>57</v>
      </c>
      <c r="G1074" s="6" t="s">
        <v>3554</v>
      </c>
      <c r="H1074" s="8">
        <v>51772</v>
      </c>
      <c r="I1074" s="8">
        <v>43594</v>
      </c>
      <c r="J1074" s="8">
        <v>43594</v>
      </c>
      <c r="K1074" s="95">
        <v>43627</v>
      </c>
      <c r="L1074" s="95" t="s">
        <v>359</v>
      </c>
      <c r="R1074" s="97" t="str">
        <f t="shared" si="39"/>
        <v/>
      </c>
      <c r="S1074" s="75" t="str">
        <f t="shared" si="38"/>
        <v/>
      </c>
      <c r="W1074" s="6" t="s">
        <v>33</v>
      </c>
      <c r="X1074" s="95">
        <v>52382</v>
      </c>
    </row>
    <row r="1075" spans="1:24" x14ac:dyDescent="0.25">
      <c r="A1075" s="6" t="s">
        <v>25</v>
      </c>
      <c r="B1075" s="94" t="s">
        <v>86</v>
      </c>
      <c r="C1075" s="6" t="s">
        <v>3555</v>
      </c>
      <c r="D1075" s="140">
        <v>11146453</v>
      </c>
      <c r="E1075" s="6" t="s">
        <v>2090</v>
      </c>
      <c r="F1075" s="10" t="s">
        <v>3160</v>
      </c>
      <c r="G1075" s="6">
        <v>214086</v>
      </c>
      <c r="H1075" s="8">
        <v>45603</v>
      </c>
      <c r="I1075" s="8">
        <v>43643</v>
      </c>
      <c r="J1075" s="8">
        <v>43643</v>
      </c>
      <c r="K1075" s="95">
        <v>43712</v>
      </c>
      <c r="L1075" s="95" t="s">
        <v>31</v>
      </c>
      <c r="M1075" s="8">
        <v>43720</v>
      </c>
      <c r="N1075" s="8">
        <v>44253</v>
      </c>
      <c r="O1075" s="8">
        <v>43909</v>
      </c>
      <c r="P1075" s="6" t="s">
        <v>90</v>
      </c>
      <c r="Q1075" s="96">
        <v>1589</v>
      </c>
      <c r="R1075" s="97">
        <f t="shared" si="39"/>
        <v>4.353424657534247</v>
      </c>
      <c r="S1075" s="75">
        <f t="shared" si="38"/>
        <v>35954.934246575343</v>
      </c>
      <c r="T1075" s="124" t="s">
        <v>3556</v>
      </c>
      <c r="U1075" s="8">
        <v>44253</v>
      </c>
      <c r="V1075" s="6" t="s">
        <v>36</v>
      </c>
      <c r="W1075" s="6" t="s">
        <v>33</v>
      </c>
      <c r="X1075" s="95">
        <v>49271</v>
      </c>
    </row>
    <row r="1076" spans="1:24" x14ac:dyDescent="0.25">
      <c r="A1076" s="6" t="s">
        <v>25</v>
      </c>
      <c r="B1076" s="94" t="s">
        <v>3557</v>
      </c>
      <c r="C1076" s="6" t="s">
        <v>3558</v>
      </c>
      <c r="D1076" s="140">
        <v>11235592</v>
      </c>
      <c r="E1076" s="6" t="s">
        <v>1082</v>
      </c>
      <c r="F1076" s="10" t="s">
        <v>134</v>
      </c>
      <c r="G1076" s="6" t="s">
        <v>3559</v>
      </c>
      <c r="H1076" s="8">
        <v>44334</v>
      </c>
      <c r="I1076" s="8">
        <v>43594</v>
      </c>
      <c r="J1076" s="8">
        <v>43594</v>
      </c>
      <c r="K1076" s="95">
        <v>43627</v>
      </c>
      <c r="L1076" s="95" t="s">
        <v>31</v>
      </c>
      <c r="M1076" s="8">
        <v>43634</v>
      </c>
      <c r="N1076" s="8">
        <v>43900</v>
      </c>
      <c r="O1076" s="8">
        <v>43700</v>
      </c>
      <c r="P1076" s="6" t="s">
        <v>35</v>
      </c>
      <c r="Q1076" s="96">
        <v>730.5</v>
      </c>
      <c r="R1076" s="97">
        <f t="shared" si="39"/>
        <v>2.0013698630136987</v>
      </c>
      <c r="S1076" s="75">
        <f t="shared" si="38"/>
        <v>16529.313698630136</v>
      </c>
      <c r="T1076" s="124" t="s">
        <v>3560</v>
      </c>
      <c r="U1076" s="8">
        <v>43935</v>
      </c>
      <c r="V1076" s="6" t="s">
        <v>36</v>
      </c>
      <c r="W1076" s="6" t="s">
        <v>33</v>
      </c>
      <c r="X1076" s="95">
        <v>41359</v>
      </c>
    </row>
    <row r="1077" spans="1:24" x14ac:dyDescent="0.25">
      <c r="A1077" s="6" t="s">
        <v>25</v>
      </c>
      <c r="B1077" s="94" t="s">
        <v>197</v>
      </c>
      <c r="C1077" s="6" t="s">
        <v>3561</v>
      </c>
      <c r="D1077" s="140">
        <v>11263297</v>
      </c>
      <c r="E1077" s="6" t="s">
        <v>1185</v>
      </c>
      <c r="F1077" s="10" t="s">
        <v>57</v>
      </c>
      <c r="G1077" s="6" t="s">
        <v>3562</v>
      </c>
      <c r="H1077" s="8">
        <v>45595</v>
      </c>
      <c r="I1077" s="8">
        <v>43643</v>
      </c>
      <c r="J1077" s="8">
        <v>43643</v>
      </c>
      <c r="K1077" s="95">
        <v>43696</v>
      </c>
      <c r="L1077" s="95" t="s">
        <v>31</v>
      </c>
      <c r="M1077" s="8">
        <v>43704</v>
      </c>
      <c r="N1077" s="8">
        <v>43754</v>
      </c>
      <c r="O1077" s="8">
        <v>43747</v>
      </c>
      <c r="P1077" s="6" t="s">
        <v>75</v>
      </c>
      <c r="R1077" s="97" t="str">
        <f t="shared" si="39"/>
        <v/>
      </c>
      <c r="S1077" s="75" t="str">
        <f t="shared" si="38"/>
        <v/>
      </c>
      <c r="U1077" s="8">
        <v>43754</v>
      </c>
      <c r="W1077" s="6" t="s">
        <v>33</v>
      </c>
      <c r="X1077" s="6"/>
    </row>
    <row r="1078" spans="1:24" x14ac:dyDescent="0.25">
      <c r="A1078" s="6" t="s">
        <v>25</v>
      </c>
      <c r="B1078" s="94" t="s">
        <v>573</v>
      </c>
      <c r="C1078" s="6" t="s">
        <v>3563</v>
      </c>
      <c r="D1078" s="140">
        <v>11242230</v>
      </c>
      <c r="E1078" s="6" t="s">
        <v>3564</v>
      </c>
      <c r="F1078" s="10" t="s">
        <v>293</v>
      </c>
      <c r="G1078" s="6">
        <v>172526</v>
      </c>
      <c r="H1078" s="8">
        <v>45617</v>
      </c>
      <c r="I1078" s="8">
        <v>43594</v>
      </c>
      <c r="J1078" s="8">
        <v>43594</v>
      </c>
      <c r="K1078" s="95">
        <v>43620</v>
      </c>
      <c r="L1078" s="95" t="s">
        <v>359</v>
      </c>
      <c r="R1078" s="97" t="str">
        <f t="shared" si="39"/>
        <v/>
      </c>
      <c r="S1078" s="75" t="str">
        <f t="shared" si="38"/>
        <v/>
      </c>
      <c r="W1078" s="6" t="s">
        <v>33</v>
      </c>
      <c r="X1078" s="95">
        <v>50568</v>
      </c>
    </row>
    <row r="1079" spans="1:24" x14ac:dyDescent="0.25">
      <c r="A1079" s="6" t="s">
        <v>25</v>
      </c>
      <c r="B1079" s="94" t="s">
        <v>792</v>
      </c>
      <c r="C1079" s="6" t="s">
        <v>3565</v>
      </c>
      <c r="D1079" s="140">
        <v>11249659</v>
      </c>
      <c r="E1079" s="6" t="s">
        <v>261</v>
      </c>
      <c r="F1079" s="10" t="s">
        <v>121</v>
      </c>
      <c r="G1079" s="6" t="s">
        <v>3566</v>
      </c>
      <c r="H1079" s="8">
        <v>46759</v>
      </c>
      <c r="I1079" s="8">
        <v>43594</v>
      </c>
      <c r="J1079" s="8">
        <v>43594</v>
      </c>
      <c r="K1079" s="95">
        <v>43627</v>
      </c>
      <c r="L1079" s="95" t="s">
        <v>31</v>
      </c>
      <c r="M1079" s="8">
        <v>43634</v>
      </c>
      <c r="N1079" s="108">
        <v>44314</v>
      </c>
      <c r="O1079" s="108">
        <v>44257</v>
      </c>
      <c r="P1079" s="107" t="s">
        <v>52</v>
      </c>
      <c r="Q1079" s="110"/>
      <c r="R1079" s="97" t="str">
        <f t="shared" si="39"/>
        <v/>
      </c>
      <c r="S1079" s="75" t="str">
        <f t="shared" si="38"/>
        <v/>
      </c>
      <c r="W1079" s="6" t="s">
        <v>33</v>
      </c>
      <c r="X1079" s="95">
        <v>48091</v>
      </c>
    </row>
    <row r="1080" spans="1:24" x14ac:dyDescent="0.25">
      <c r="A1080" s="6" t="s">
        <v>25</v>
      </c>
      <c r="B1080" s="94" t="s">
        <v>3567</v>
      </c>
      <c r="C1080" s="6" t="s">
        <v>3568</v>
      </c>
      <c r="D1080" s="140">
        <v>11877063</v>
      </c>
      <c r="E1080" s="6" t="s">
        <v>1773</v>
      </c>
      <c r="F1080" s="10" t="s">
        <v>134</v>
      </c>
      <c r="G1080" s="6" t="s">
        <v>3569</v>
      </c>
      <c r="H1080" s="8">
        <v>47689</v>
      </c>
      <c r="I1080" s="8">
        <v>43616</v>
      </c>
      <c r="J1080" s="8">
        <v>43616</v>
      </c>
      <c r="K1080" s="95">
        <v>43641</v>
      </c>
      <c r="L1080" s="95" t="s">
        <v>31</v>
      </c>
      <c r="M1080" s="8">
        <v>43648</v>
      </c>
      <c r="N1080" s="8">
        <v>43766</v>
      </c>
      <c r="O1080" s="8">
        <v>43748</v>
      </c>
      <c r="P1080" s="6" t="s">
        <v>75</v>
      </c>
      <c r="R1080" s="97" t="str">
        <f t="shared" si="39"/>
        <v/>
      </c>
      <c r="S1080" s="75" t="str">
        <f t="shared" si="38"/>
        <v/>
      </c>
      <c r="U1080" s="8">
        <v>43767</v>
      </c>
      <c r="W1080" s="6" t="s">
        <v>33</v>
      </c>
      <c r="X1080" s="6"/>
    </row>
    <row r="1081" spans="1:24" ht="30" x14ac:dyDescent="0.25">
      <c r="A1081" s="6" t="s">
        <v>85</v>
      </c>
      <c r="B1081" s="94" t="s">
        <v>3570</v>
      </c>
      <c r="C1081" s="6" t="s">
        <v>3571</v>
      </c>
      <c r="D1081" s="140">
        <v>12101425</v>
      </c>
      <c r="E1081" s="6" t="s">
        <v>714</v>
      </c>
      <c r="F1081" s="6" t="s">
        <v>57</v>
      </c>
      <c r="G1081" s="6" t="s">
        <v>3572</v>
      </c>
      <c r="I1081" s="8">
        <v>43192</v>
      </c>
      <c r="J1081" s="8">
        <v>43192</v>
      </c>
      <c r="K1081" s="95">
        <v>43193</v>
      </c>
      <c r="L1081" s="95" t="s">
        <v>31</v>
      </c>
      <c r="M1081" s="8">
        <v>43195</v>
      </c>
      <c r="N1081" s="8">
        <v>44253</v>
      </c>
      <c r="O1081" s="8">
        <v>43915</v>
      </c>
      <c r="P1081" s="6" t="s">
        <v>90</v>
      </c>
      <c r="Q1081" s="96">
        <v>735</v>
      </c>
      <c r="R1081" s="97">
        <f t="shared" si="39"/>
        <v>2.0136986301369864</v>
      </c>
      <c r="S1081" s="75">
        <f t="shared" si="38"/>
        <v>16631.136986301372</v>
      </c>
      <c r="T1081" s="124" t="s">
        <v>3573</v>
      </c>
      <c r="U1081" s="8">
        <v>44253</v>
      </c>
      <c r="W1081" s="6" t="s">
        <v>84</v>
      </c>
      <c r="X1081" s="95">
        <v>45539</v>
      </c>
    </row>
    <row r="1082" spans="1:24" x14ac:dyDescent="0.25">
      <c r="A1082" s="6" t="s">
        <v>25</v>
      </c>
      <c r="B1082" s="94" t="s">
        <v>2789</v>
      </c>
      <c r="C1082" s="6" t="s">
        <v>3574</v>
      </c>
      <c r="D1082" s="140">
        <v>11600455</v>
      </c>
      <c r="E1082" s="6" t="s">
        <v>236</v>
      </c>
      <c r="F1082" s="10" t="s">
        <v>44</v>
      </c>
      <c r="G1082" s="6" t="s">
        <v>3575</v>
      </c>
      <c r="H1082" s="8">
        <v>45608</v>
      </c>
      <c r="I1082" s="8">
        <v>43643</v>
      </c>
      <c r="J1082" s="8">
        <v>43643</v>
      </c>
      <c r="K1082" s="95">
        <v>43696</v>
      </c>
      <c r="L1082" s="95" t="s">
        <v>31</v>
      </c>
      <c r="M1082" s="8">
        <v>43704</v>
      </c>
      <c r="N1082" s="8">
        <v>43753</v>
      </c>
      <c r="O1082" s="8">
        <v>43749</v>
      </c>
      <c r="P1082" s="6" t="s">
        <v>182</v>
      </c>
      <c r="R1082" s="97" t="str">
        <f t="shared" si="39"/>
        <v/>
      </c>
      <c r="S1082" s="75" t="str">
        <f t="shared" si="38"/>
        <v/>
      </c>
      <c r="U1082" s="8">
        <v>43754</v>
      </c>
      <c r="W1082" s="6" t="s">
        <v>33</v>
      </c>
      <c r="X1082" s="6"/>
    </row>
    <row r="1083" spans="1:24" ht="30" x14ac:dyDescent="0.25">
      <c r="A1083" s="6" t="s">
        <v>25</v>
      </c>
      <c r="B1083" s="94" t="s">
        <v>416</v>
      </c>
      <c r="C1083" s="6" t="s">
        <v>3576</v>
      </c>
      <c r="D1083" s="140">
        <v>11801404</v>
      </c>
      <c r="E1083" s="6" t="s">
        <v>615</v>
      </c>
      <c r="F1083" s="10" t="s">
        <v>139</v>
      </c>
      <c r="G1083" s="6" t="s">
        <v>3577</v>
      </c>
      <c r="H1083" s="8">
        <v>48339</v>
      </c>
      <c r="I1083" s="8">
        <v>43600</v>
      </c>
      <c r="J1083" s="8">
        <v>43600</v>
      </c>
      <c r="K1083" s="95">
        <v>43629</v>
      </c>
      <c r="L1083" s="95" t="s">
        <v>31</v>
      </c>
      <c r="M1083" s="8">
        <v>43634</v>
      </c>
      <c r="R1083" s="97" t="str">
        <f t="shared" si="39"/>
        <v/>
      </c>
      <c r="S1083" s="75" t="str">
        <f t="shared" si="38"/>
        <v/>
      </c>
      <c r="T1083" s="124" t="s">
        <v>3578</v>
      </c>
      <c r="W1083" s="6" t="s">
        <v>33</v>
      </c>
      <c r="X1083" s="95">
        <v>50173</v>
      </c>
    </row>
    <row r="1084" spans="1:24" x14ac:dyDescent="0.25">
      <c r="A1084" s="6" t="s">
        <v>25</v>
      </c>
      <c r="B1084" s="94" t="s">
        <v>512</v>
      </c>
      <c r="C1084" s="6" t="s">
        <v>3579</v>
      </c>
      <c r="D1084" s="140">
        <v>11805537</v>
      </c>
      <c r="E1084" s="6" t="s">
        <v>409</v>
      </c>
      <c r="F1084" s="10" t="s">
        <v>57</v>
      </c>
      <c r="G1084" s="6" t="s">
        <v>3580</v>
      </c>
      <c r="H1084" s="8">
        <v>45199</v>
      </c>
      <c r="I1084" s="8">
        <v>43600</v>
      </c>
      <c r="J1084" s="8">
        <v>43600</v>
      </c>
      <c r="K1084" s="95">
        <v>43620</v>
      </c>
      <c r="L1084" s="95" t="s">
        <v>359</v>
      </c>
      <c r="R1084" s="97" t="str">
        <f t="shared" si="39"/>
        <v/>
      </c>
      <c r="S1084" s="75" t="str">
        <f t="shared" si="38"/>
        <v/>
      </c>
      <c r="W1084" s="6" t="s">
        <v>33</v>
      </c>
      <c r="X1084" s="95">
        <v>50429</v>
      </c>
    </row>
    <row r="1085" spans="1:24" x14ac:dyDescent="0.25">
      <c r="A1085" s="6" t="s">
        <v>25</v>
      </c>
      <c r="B1085" s="94" t="s">
        <v>1799</v>
      </c>
      <c r="C1085" s="6" t="s">
        <v>3581</v>
      </c>
      <c r="D1085" s="140">
        <v>11042010</v>
      </c>
      <c r="E1085" s="6" t="s">
        <v>1143</v>
      </c>
      <c r="F1085" s="10" t="s">
        <v>50</v>
      </c>
      <c r="G1085" s="6" t="s">
        <v>3582</v>
      </c>
      <c r="H1085" s="8">
        <v>50189</v>
      </c>
      <c r="I1085" s="8">
        <v>43600</v>
      </c>
      <c r="J1085" s="8">
        <v>43600</v>
      </c>
      <c r="K1085" s="95">
        <v>43627</v>
      </c>
      <c r="L1085" s="95" t="s">
        <v>31</v>
      </c>
      <c r="M1085" s="8">
        <v>43634</v>
      </c>
      <c r="N1085" s="8">
        <v>44274</v>
      </c>
      <c r="O1085" s="8">
        <v>44102</v>
      </c>
      <c r="P1085" s="6" t="s">
        <v>75</v>
      </c>
      <c r="R1085" s="97" t="str">
        <f t="shared" ref="R1085:R1116" si="40">IF(Q1085&gt;0, Q1085/365, "")</f>
        <v/>
      </c>
      <c r="S1085" s="75" t="str">
        <f t="shared" si="38"/>
        <v/>
      </c>
      <c r="U1085" s="8">
        <v>44274</v>
      </c>
      <c r="W1085" s="6" t="s">
        <v>33</v>
      </c>
      <c r="X1085" s="95">
        <v>44939</v>
      </c>
    </row>
    <row r="1086" spans="1:24" x14ac:dyDescent="0.25">
      <c r="A1086" s="6" t="s">
        <v>25</v>
      </c>
      <c r="B1086" s="94" t="s">
        <v>197</v>
      </c>
      <c r="C1086" s="6" t="s">
        <v>3583</v>
      </c>
      <c r="D1086" s="140">
        <v>11292698</v>
      </c>
      <c r="E1086" s="6" t="s">
        <v>783</v>
      </c>
      <c r="F1086" s="10" t="s">
        <v>57</v>
      </c>
      <c r="G1086" s="6" t="s">
        <v>3584</v>
      </c>
      <c r="H1086" s="8">
        <v>46025</v>
      </c>
      <c r="I1086" s="8">
        <v>43615</v>
      </c>
      <c r="J1086" s="8">
        <v>43616</v>
      </c>
      <c r="K1086" s="95">
        <v>43648</v>
      </c>
      <c r="L1086" s="95" t="s">
        <v>31</v>
      </c>
      <c r="M1086" s="8">
        <v>43655</v>
      </c>
      <c r="N1086" s="8">
        <v>44253</v>
      </c>
      <c r="O1086" s="8">
        <v>43917</v>
      </c>
      <c r="P1086" s="6" t="s">
        <v>90</v>
      </c>
      <c r="Q1086" s="96">
        <v>1978</v>
      </c>
      <c r="R1086" s="97">
        <f t="shared" si="40"/>
        <v>5.419178082191781</v>
      </c>
      <c r="S1086" s="75">
        <f t="shared" si="38"/>
        <v>44756.991780821918</v>
      </c>
      <c r="T1086" s="124" t="s">
        <v>3585</v>
      </c>
      <c r="U1086" s="8">
        <v>44253</v>
      </c>
      <c r="V1086" s="6" t="s">
        <v>36</v>
      </c>
      <c r="W1086" s="6" t="s">
        <v>33</v>
      </c>
      <c r="X1086" s="6"/>
    </row>
    <row r="1087" spans="1:24" x14ac:dyDescent="0.25">
      <c r="A1087" s="6" t="s">
        <v>25</v>
      </c>
      <c r="B1087" s="94" t="s">
        <v>3586</v>
      </c>
      <c r="C1087" s="6" t="s">
        <v>3587</v>
      </c>
      <c r="D1087" s="140">
        <v>11047025</v>
      </c>
      <c r="E1087" s="6" t="s">
        <v>409</v>
      </c>
      <c r="F1087" s="10" t="s">
        <v>3160</v>
      </c>
      <c r="G1087" s="6">
        <v>218094</v>
      </c>
      <c r="H1087" s="8">
        <v>47951</v>
      </c>
      <c r="I1087" s="8">
        <v>43600</v>
      </c>
      <c r="J1087" s="8">
        <v>43600</v>
      </c>
      <c r="K1087" s="95">
        <v>43620</v>
      </c>
      <c r="L1087" s="95" t="s">
        <v>31</v>
      </c>
      <c r="M1087" s="8">
        <v>43627</v>
      </c>
      <c r="N1087" s="8">
        <v>43728</v>
      </c>
      <c r="O1087" s="8">
        <v>43689</v>
      </c>
      <c r="P1087" s="6" t="s">
        <v>35</v>
      </c>
      <c r="Q1087" s="96">
        <v>3173</v>
      </c>
      <c r="R1087" s="97">
        <f t="shared" si="40"/>
        <v>8.6931506849315063</v>
      </c>
      <c r="S1087" s="75">
        <f t="shared" si="38"/>
        <v>71796.731506849319</v>
      </c>
      <c r="U1087" s="8">
        <v>43731</v>
      </c>
      <c r="W1087" s="6" t="s">
        <v>33</v>
      </c>
      <c r="X1087" s="95">
        <v>49965</v>
      </c>
    </row>
    <row r="1088" spans="1:24" x14ac:dyDescent="0.25">
      <c r="A1088" s="6" t="s">
        <v>25</v>
      </c>
      <c r="B1088" s="94" t="s">
        <v>3588</v>
      </c>
      <c r="C1088" s="6" t="s">
        <v>3589</v>
      </c>
      <c r="D1088" s="140">
        <v>11047425</v>
      </c>
      <c r="E1088" s="6" t="s">
        <v>3590</v>
      </c>
      <c r="F1088" s="10" t="s">
        <v>134</v>
      </c>
      <c r="G1088" s="6" t="s">
        <v>3591</v>
      </c>
      <c r="H1088" s="8">
        <v>47989</v>
      </c>
      <c r="I1088" s="8">
        <v>43600</v>
      </c>
      <c r="J1088" s="8">
        <v>43600</v>
      </c>
      <c r="K1088" s="95">
        <v>43620</v>
      </c>
      <c r="L1088" s="95" t="s">
        <v>359</v>
      </c>
      <c r="R1088" s="97" t="str">
        <f t="shared" si="40"/>
        <v/>
      </c>
      <c r="S1088" s="75" t="str">
        <f t="shared" si="38"/>
        <v/>
      </c>
      <c r="W1088" s="6" t="s">
        <v>33</v>
      </c>
      <c r="X1088" s="95">
        <v>49481</v>
      </c>
    </row>
    <row r="1089" spans="1:24" x14ac:dyDescent="0.25">
      <c r="A1089" s="6" t="s">
        <v>25</v>
      </c>
      <c r="B1089" s="94" t="s">
        <v>3592</v>
      </c>
      <c r="C1089" s="6" t="s">
        <v>3593</v>
      </c>
      <c r="D1089" s="140">
        <v>11047768</v>
      </c>
      <c r="E1089" s="6" t="s">
        <v>344</v>
      </c>
      <c r="F1089" s="10" t="s">
        <v>44</v>
      </c>
      <c r="G1089" s="6" t="s">
        <v>3594</v>
      </c>
      <c r="H1089" s="8">
        <v>45505</v>
      </c>
      <c r="I1089" s="8">
        <v>43600</v>
      </c>
      <c r="J1089" s="8">
        <v>43600</v>
      </c>
      <c r="K1089" s="95">
        <v>43620</v>
      </c>
      <c r="L1089" s="95" t="s">
        <v>359</v>
      </c>
      <c r="R1089" s="97" t="str">
        <f t="shared" si="40"/>
        <v/>
      </c>
      <c r="S1089" s="75" t="str">
        <f t="shared" si="38"/>
        <v/>
      </c>
      <c r="W1089" s="6" t="s">
        <v>33</v>
      </c>
      <c r="X1089" s="95">
        <v>50433</v>
      </c>
    </row>
    <row r="1090" spans="1:24" x14ac:dyDescent="0.25">
      <c r="A1090" s="6" t="s">
        <v>25</v>
      </c>
      <c r="B1090" s="94" t="s">
        <v>1754</v>
      </c>
      <c r="C1090" s="6" t="s">
        <v>3595</v>
      </c>
      <c r="D1090" s="140">
        <v>11048750</v>
      </c>
      <c r="E1090" s="6" t="s">
        <v>584</v>
      </c>
      <c r="F1090" s="10" t="s">
        <v>134</v>
      </c>
      <c r="G1090" s="6" t="s">
        <v>3596</v>
      </c>
      <c r="H1090" s="8">
        <v>49797</v>
      </c>
      <c r="I1090" s="8">
        <v>43600</v>
      </c>
      <c r="J1090" s="8">
        <v>43600</v>
      </c>
      <c r="K1090" s="95">
        <v>43620</v>
      </c>
      <c r="L1090" s="95" t="s">
        <v>359</v>
      </c>
      <c r="R1090" s="97" t="str">
        <f t="shared" si="40"/>
        <v/>
      </c>
      <c r="S1090" s="75" t="str">
        <f t="shared" si="38"/>
        <v/>
      </c>
      <c r="W1090" s="6" t="s">
        <v>33</v>
      </c>
      <c r="X1090" s="95">
        <v>48660</v>
      </c>
    </row>
    <row r="1091" spans="1:24" x14ac:dyDescent="0.25">
      <c r="A1091" s="6" t="s">
        <v>25</v>
      </c>
      <c r="B1091" s="94" t="s">
        <v>3282</v>
      </c>
      <c r="C1091" s="6" t="s">
        <v>3597</v>
      </c>
      <c r="D1091" s="140">
        <v>11048758</v>
      </c>
      <c r="E1091" s="6" t="s">
        <v>409</v>
      </c>
      <c r="F1091" s="10" t="s">
        <v>44</v>
      </c>
      <c r="G1091" s="6" t="s">
        <v>3598</v>
      </c>
      <c r="H1091" s="8">
        <v>46920</v>
      </c>
      <c r="I1091" s="8">
        <v>43600</v>
      </c>
      <c r="J1091" s="8">
        <v>43600</v>
      </c>
      <c r="K1091" s="95">
        <v>43620</v>
      </c>
      <c r="L1091" s="95" t="s">
        <v>359</v>
      </c>
      <c r="R1091" s="97" t="str">
        <f t="shared" si="40"/>
        <v/>
      </c>
      <c r="S1091" s="75" t="str">
        <f t="shared" si="38"/>
        <v/>
      </c>
      <c r="W1091" s="6" t="s">
        <v>33</v>
      </c>
      <c r="X1091" s="95">
        <v>50441</v>
      </c>
    </row>
    <row r="1092" spans="1:24" x14ac:dyDescent="0.25">
      <c r="A1092" s="6" t="s">
        <v>117</v>
      </c>
      <c r="B1092" s="94" t="s">
        <v>1532</v>
      </c>
      <c r="C1092" s="6" t="s">
        <v>3599</v>
      </c>
      <c r="D1092" s="140">
        <v>11505305</v>
      </c>
      <c r="E1092" s="6" t="s">
        <v>204</v>
      </c>
      <c r="F1092" s="6" t="s">
        <v>455</v>
      </c>
      <c r="G1092" s="6" t="s">
        <v>3600</v>
      </c>
      <c r="H1092" s="8">
        <v>45513</v>
      </c>
      <c r="I1092" s="8">
        <v>43343</v>
      </c>
      <c r="J1092" s="8">
        <v>43343</v>
      </c>
      <c r="K1092" s="95">
        <v>43348</v>
      </c>
      <c r="L1092" s="95" t="s">
        <v>31</v>
      </c>
      <c r="M1092" s="8">
        <v>43353</v>
      </c>
      <c r="N1092" s="8">
        <v>43528</v>
      </c>
      <c r="O1092" s="8">
        <v>43489</v>
      </c>
      <c r="P1092" s="6" t="s">
        <v>35</v>
      </c>
      <c r="Q1092" s="96">
        <v>973</v>
      </c>
      <c r="R1092" s="97">
        <f t="shared" si="40"/>
        <v>2.6657534246575341</v>
      </c>
      <c r="S1092" s="75">
        <f t="shared" si="38"/>
        <v>22016.457534246576</v>
      </c>
      <c r="T1092" s="124" t="s">
        <v>311</v>
      </c>
      <c r="U1092" s="8">
        <v>43528</v>
      </c>
      <c r="W1092" s="6" t="s">
        <v>33</v>
      </c>
      <c r="X1092" s="95">
        <v>48961</v>
      </c>
    </row>
    <row r="1093" spans="1:24" x14ac:dyDescent="0.25">
      <c r="A1093" s="6" t="s">
        <v>25</v>
      </c>
      <c r="B1093" s="94" t="s">
        <v>3601</v>
      </c>
      <c r="C1093" s="6" t="s">
        <v>3602</v>
      </c>
      <c r="D1093" s="140">
        <v>11052667</v>
      </c>
      <c r="E1093" s="6" t="s">
        <v>166</v>
      </c>
      <c r="F1093" s="10" t="s">
        <v>29</v>
      </c>
      <c r="G1093" s="6" t="s">
        <v>3603</v>
      </c>
      <c r="H1093" s="8">
        <v>47214</v>
      </c>
      <c r="I1093" s="8">
        <v>43600</v>
      </c>
      <c r="J1093" s="8">
        <v>43600</v>
      </c>
      <c r="K1093" s="95">
        <v>43620</v>
      </c>
      <c r="L1093" s="95" t="s">
        <v>359</v>
      </c>
      <c r="R1093" s="97" t="str">
        <f t="shared" si="40"/>
        <v/>
      </c>
      <c r="S1093" s="75" t="str">
        <f t="shared" ref="S1093:S1156" si="41">IF(Q1093&gt;0, SUM(Q1093)*(8259/365), "")</f>
        <v/>
      </c>
      <c r="W1093" s="6" t="s">
        <v>33</v>
      </c>
      <c r="X1093" s="95">
        <v>50876</v>
      </c>
    </row>
    <row r="1094" spans="1:24" x14ac:dyDescent="0.25">
      <c r="A1094" s="6" t="s">
        <v>25</v>
      </c>
      <c r="B1094" s="94" t="s">
        <v>145</v>
      </c>
      <c r="C1094" s="6" t="s">
        <v>3604</v>
      </c>
      <c r="D1094" s="140">
        <v>11052680</v>
      </c>
      <c r="E1094" s="6" t="s">
        <v>714</v>
      </c>
      <c r="F1094" s="10" t="s">
        <v>44</v>
      </c>
      <c r="G1094" s="6" t="s">
        <v>3605</v>
      </c>
      <c r="H1094" s="8">
        <v>45038</v>
      </c>
      <c r="I1094" s="8">
        <v>43600</v>
      </c>
      <c r="J1094" s="8">
        <v>43600</v>
      </c>
      <c r="K1094" s="95">
        <v>43620</v>
      </c>
      <c r="L1094" s="95" t="s">
        <v>31</v>
      </c>
      <c r="M1094" s="8">
        <v>43627</v>
      </c>
      <c r="N1094" s="8">
        <v>43676</v>
      </c>
      <c r="O1094" s="8">
        <v>43669</v>
      </c>
      <c r="P1094" s="6" t="s">
        <v>75</v>
      </c>
      <c r="R1094" s="97" t="str">
        <f t="shared" si="40"/>
        <v/>
      </c>
      <c r="S1094" s="75" t="str">
        <f t="shared" si="41"/>
        <v/>
      </c>
      <c r="U1094" s="8">
        <v>43935</v>
      </c>
      <c r="W1094" s="6" t="s">
        <v>33</v>
      </c>
      <c r="X1094" s="95">
        <v>50511</v>
      </c>
    </row>
    <row r="1095" spans="1:24" x14ac:dyDescent="0.25">
      <c r="A1095" s="6" t="s">
        <v>37</v>
      </c>
      <c r="B1095" s="94" t="s">
        <v>337</v>
      </c>
      <c r="C1095" s="6" t="s">
        <v>3606</v>
      </c>
      <c r="D1095" s="140">
        <v>11344321</v>
      </c>
      <c r="E1095" s="6" t="s">
        <v>3607</v>
      </c>
      <c r="F1095" s="10" t="s">
        <v>44</v>
      </c>
      <c r="G1095" s="6" t="s">
        <v>2207</v>
      </c>
      <c r="H1095" s="8">
        <v>47679</v>
      </c>
      <c r="I1095" s="8">
        <v>44056</v>
      </c>
      <c r="J1095" s="8">
        <v>44078</v>
      </c>
      <c r="K1095" s="95">
        <v>44082</v>
      </c>
      <c r="L1095" s="95" t="s">
        <v>31</v>
      </c>
      <c r="M1095" s="8">
        <v>44099</v>
      </c>
      <c r="P1095" s="6" t="s">
        <v>628</v>
      </c>
      <c r="R1095" s="97" t="str">
        <f t="shared" si="40"/>
        <v/>
      </c>
      <c r="S1095" s="75" t="str">
        <f t="shared" si="41"/>
        <v/>
      </c>
      <c r="T1095" s="124" t="s">
        <v>2208</v>
      </c>
      <c r="W1095" s="6" t="s">
        <v>33</v>
      </c>
      <c r="X1095" s="135">
        <v>50305</v>
      </c>
    </row>
    <row r="1096" spans="1:24" x14ac:dyDescent="0.25">
      <c r="A1096" s="6" t="s">
        <v>25</v>
      </c>
      <c r="B1096" s="94" t="s">
        <v>3608</v>
      </c>
      <c r="C1096" s="6" t="s">
        <v>3609</v>
      </c>
      <c r="D1096" s="140">
        <v>11052858</v>
      </c>
      <c r="E1096" s="6" t="s">
        <v>747</v>
      </c>
      <c r="F1096" s="10" t="s">
        <v>29</v>
      </c>
      <c r="G1096" s="6" t="s">
        <v>3610</v>
      </c>
      <c r="H1096" s="8">
        <v>45665</v>
      </c>
      <c r="I1096" s="8">
        <v>43601</v>
      </c>
      <c r="J1096" s="8">
        <v>43601</v>
      </c>
      <c r="K1096" s="95">
        <v>43634</v>
      </c>
      <c r="L1096" s="95" t="s">
        <v>359</v>
      </c>
      <c r="R1096" s="97" t="str">
        <f t="shared" si="40"/>
        <v/>
      </c>
      <c r="S1096" s="75" t="str">
        <f t="shared" si="41"/>
        <v/>
      </c>
      <c r="W1096" s="6" t="s">
        <v>33</v>
      </c>
      <c r="X1096" s="95">
        <v>49983</v>
      </c>
    </row>
    <row r="1097" spans="1:24" x14ac:dyDescent="0.25">
      <c r="A1097" s="6" t="s">
        <v>25</v>
      </c>
      <c r="B1097" s="94" t="s">
        <v>920</v>
      </c>
      <c r="C1097" s="6" t="s">
        <v>3611</v>
      </c>
      <c r="D1097" s="140">
        <v>11904326</v>
      </c>
      <c r="E1097" s="6" t="s">
        <v>3468</v>
      </c>
      <c r="F1097" s="10" t="s">
        <v>121</v>
      </c>
      <c r="G1097" s="6" t="s">
        <v>3612</v>
      </c>
      <c r="H1097" s="8">
        <v>46703</v>
      </c>
      <c r="I1097" s="8">
        <v>43623</v>
      </c>
      <c r="J1097" s="8">
        <v>43623</v>
      </c>
      <c r="K1097" s="95">
        <v>43663</v>
      </c>
      <c r="L1097" s="95" t="s">
        <v>31</v>
      </c>
      <c r="M1097" s="8">
        <v>43669</v>
      </c>
      <c r="N1097" s="8">
        <v>43854</v>
      </c>
      <c r="O1097" s="8">
        <v>43805</v>
      </c>
      <c r="P1097" s="6" t="s">
        <v>35</v>
      </c>
      <c r="Q1097" s="96">
        <v>1826</v>
      </c>
      <c r="R1097" s="97">
        <f t="shared" si="40"/>
        <v>5.0027397260273974</v>
      </c>
      <c r="S1097" s="75">
        <f t="shared" si="41"/>
        <v>41317.627397260272</v>
      </c>
      <c r="T1097" s="124" t="s">
        <v>601</v>
      </c>
      <c r="U1097" s="8">
        <v>43854</v>
      </c>
      <c r="W1097" s="6" t="s">
        <v>33</v>
      </c>
      <c r="X1097" s="6"/>
    </row>
    <row r="1098" spans="1:24" x14ac:dyDescent="0.25">
      <c r="A1098" s="6" t="s">
        <v>25</v>
      </c>
      <c r="B1098" s="94" t="s">
        <v>291</v>
      </c>
      <c r="C1098" s="6" t="s">
        <v>3613</v>
      </c>
      <c r="D1098" s="140">
        <v>11828201</v>
      </c>
      <c r="E1098" s="6" t="s">
        <v>162</v>
      </c>
      <c r="F1098" s="10" t="s">
        <v>44</v>
      </c>
      <c r="G1098" s="6" t="s">
        <v>3614</v>
      </c>
      <c r="H1098" s="8">
        <v>46942</v>
      </c>
      <c r="I1098" s="8">
        <v>43602</v>
      </c>
      <c r="J1098" s="8">
        <v>43602</v>
      </c>
      <c r="K1098" s="95">
        <v>43634</v>
      </c>
      <c r="L1098" s="95" t="s">
        <v>31</v>
      </c>
      <c r="M1098" s="8">
        <v>43636</v>
      </c>
      <c r="N1098" s="8">
        <v>43763</v>
      </c>
      <c r="O1098" s="8">
        <v>43754</v>
      </c>
      <c r="P1098" s="6" t="s">
        <v>75</v>
      </c>
      <c r="R1098" s="97" t="str">
        <f t="shared" si="40"/>
        <v/>
      </c>
      <c r="S1098" s="75" t="str">
        <f t="shared" si="41"/>
        <v/>
      </c>
      <c r="U1098" s="8">
        <v>43763</v>
      </c>
      <c r="W1098" s="6" t="s">
        <v>33</v>
      </c>
      <c r="X1098" s="6"/>
    </row>
    <row r="1099" spans="1:24" x14ac:dyDescent="0.25">
      <c r="A1099" s="6" t="s">
        <v>25</v>
      </c>
      <c r="B1099" s="94" t="s">
        <v>3615</v>
      </c>
      <c r="C1099" s="6" t="s">
        <v>3616</v>
      </c>
      <c r="D1099" s="140">
        <v>11054806</v>
      </c>
      <c r="E1099" s="6" t="s">
        <v>950</v>
      </c>
      <c r="F1099" s="10" t="s">
        <v>57</v>
      </c>
      <c r="G1099" s="6" t="s">
        <v>3617</v>
      </c>
      <c r="H1099" s="8">
        <v>47743</v>
      </c>
      <c r="I1099" s="8">
        <v>43601</v>
      </c>
      <c r="J1099" s="8">
        <v>43601</v>
      </c>
      <c r="K1099" s="95">
        <v>43634</v>
      </c>
      <c r="L1099" s="95" t="s">
        <v>359</v>
      </c>
      <c r="R1099" s="97" t="str">
        <f t="shared" si="40"/>
        <v/>
      </c>
      <c r="S1099" s="75" t="str">
        <f t="shared" si="41"/>
        <v/>
      </c>
      <c r="W1099" s="6" t="s">
        <v>33</v>
      </c>
      <c r="X1099" s="95">
        <v>49102</v>
      </c>
    </row>
    <row r="1100" spans="1:24" x14ac:dyDescent="0.25">
      <c r="A1100" s="6" t="s">
        <v>25</v>
      </c>
      <c r="B1100" s="94" t="s">
        <v>1532</v>
      </c>
      <c r="C1100" s="6" t="s">
        <v>3599</v>
      </c>
      <c r="D1100" s="140">
        <v>11505305</v>
      </c>
      <c r="E1100" s="6" t="s">
        <v>204</v>
      </c>
      <c r="F1100" s="10" t="s">
        <v>293</v>
      </c>
      <c r="G1100" s="6" t="s">
        <v>3618</v>
      </c>
      <c r="H1100" s="8">
        <v>45760</v>
      </c>
      <c r="I1100" s="8">
        <v>43483</v>
      </c>
      <c r="J1100" s="8">
        <v>43579</v>
      </c>
      <c r="K1100" s="95">
        <v>43581</v>
      </c>
      <c r="L1100" s="95" t="s">
        <v>359</v>
      </c>
      <c r="R1100" s="97" t="str">
        <f t="shared" si="40"/>
        <v/>
      </c>
      <c r="S1100" s="75" t="str">
        <f t="shared" si="41"/>
        <v/>
      </c>
      <c r="W1100" s="6" t="s">
        <v>33</v>
      </c>
      <c r="X1100" s="95">
        <v>43512</v>
      </c>
    </row>
    <row r="1101" spans="1:24" x14ac:dyDescent="0.25">
      <c r="A1101" s="6" t="s">
        <v>25</v>
      </c>
      <c r="B1101" s="94" t="s">
        <v>1094</v>
      </c>
      <c r="C1101" s="6" t="s">
        <v>3619</v>
      </c>
      <c r="D1101" s="140">
        <v>11066732</v>
      </c>
      <c r="E1101" s="6" t="s">
        <v>1156</v>
      </c>
      <c r="F1101" s="10" t="s">
        <v>121</v>
      </c>
      <c r="G1101" s="6" t="s">
        <v>3620</v>
      </c>
      <c r="H1101" s="8">
        <v>46258</v>
      </c>
      <c r="I1101" s="8">
        <v>43601</v>
      </c>
      <c r="J1101" s="8">
        <v>43601</v>
      </c>
      <c r="K1101" s="95">
        <v>43634</v>
      </c>
      <c r="L1101" s="95" t="s">
        <v>359</v>
      </c>
      <c r="R1101" s="97" t="str">
        <f t="shared" si="40"/>
        <v/>
      </c>
      <c r="S1101" s="75" t="str">
        <f t="shared" si="41"/>
        <v/>
      </c>
      <c r="W1101" s="6" t="s">
        <v>33</v>
      </c>
      <c r="X1101" s="95">
        <v>49416</v>
      </c>
    </row>
    <row r="1102" spans="1:24" x14ac:dyDescent="0.25">
      <c r="A1102" s="6" t="s">
        <v>25</v>
      </c>
      <c r="B1102" s="94" t="s">
        <v>3621</v>
      </c>
      <c r="C1102" s="6" t="s">
        <v>3622</v>
      </c>
      <c r="D1102" s="140">
        <v>11057997</v>
      </c>
      <c r="E1102" s="6" t="s">
        <v>162</v>
      </c>
      <c r="F1102" s="10" t="s">
        <v>2600</v>
      </c>
      <c r="G1102" s="6">
        <v>1347816</v>
      </c>
      <c r="H1102" s="8">
        <v>45308</v>
      </c>
      <c r="I1102" s="8">
        <v>43601</v>
      </c>
      <c r="J1102" s="8">
        <v>43601</v>
      </c>
      <c r="K1102" s="95">
        <v>43634</v>
      </c>
      <c r="L1102" s="95" t="s">
        <v>359</v>
      </c>
      <c r="R1102" s="97" t="str">
        <f t="shared" si="40"/>
        <v/>
      </c>
      <c r="S1102" s="75" t="str">
        <f t="shared" si="41"/>
        <v/>
      </c>
      <c r="W1102" s="6" t="s">
        <v>33</v>
      </c>
      <c r="X1102" s="95">
        <v>49544</v>
      </c>
    </row>
    <row r="1103" spans="1:24" x14ac:dyDescent="0.25">
      <c r="A1103" s="6" t="s">
        <v>37</v>
      </c>
      <c r="B1103" s="94" t="s">
        <v>337</v>
      </c>
      <c r="C1103" s="6" t="s">
        <v>3623</v>
      </c>
      <c r="D1103" s="140">
        <v>11646916</v>
      </c>
      <c r="E1103" s="6" t="s">
        <v>839</v>
      </c>
      <c r="F1103" s="10" t="s">
        <v>100</v>
      </c>
      <c r="G1103" s="6">
        <v>86163</v>
      </c>
      <c r="H1103" s="8">
        <v>45081</v>
      </c>
      <c r="I1103" s="8">
        <v>44095</v>
      </c>
      <c r="J1103" s="8">
        <v>44090</v>
      </c>
      <c r="K1103" s="95">
        <v>44091</v>
      </c>
      <c r="L1103" s="95" t="s">
        <v>31</v>
      </c>
      <c r="M1103" s="8">
        <v>44111</v>
      </c>
      <c r="N1103" s="108">
        <v>44316</v>
      </c>
      <c r="O1103" s="108">
        <v>44312</v>
      </c>
      <c r="P1103" s="107" t="s">
        <v>35</v>
      </c>
      <c r="Q1103" s="110">
        <v>732</v>
      </c>
      <c r="R1103" s="97">
        <f t="shared" si="40"/>
        <v>2.0054794520547947</v>
      </c>
      <c r="S1103" s="75">
        <f t="shared" si="41"/>
        <v>16563.254794520548</v>
      </c>
      <c r="U1103" s="8">
        <v>44776</v>
      </c>
      <c r="W1103" s="6" t="s">
        <v>33</v>
      </c>
      <c r="X1103" s="135">
        <v>50298</v>
      </c>
    </row>
    <row r="1104" spans="1:24" x14ac:dyDescent="0.25">
      <c r="A1104" s="6" t="s">
        <v>25</v>
      </c>
      <c r="B1104" s="94" t="s">
        <v>965</v>
      </c>
      <c r="C1104" s="6" t="s">
        <v>3624</v>
      </c>
      <c r="D1104" s="140">
        <v>11811222</v>
      </c>
      <c r="E1104" s="6" t="s">
        <v>1018</v>
      </c>
      <c r="F1104" s="10" t="s">
        <v>134</v>
      </c>
      <c r="G1104" s="6" t="s">
        <v>3625</v>
      </c>
      <c r="H1104" s="8">
        <v>48307</v>
      </c>
      <c r="I1104" s="8">
        <v>43601</v>
      </c>
      <c r="J1104" s="8">
        <v>43601</v>
      </c>
      <c r="K1104" s="95">
        <v>43634</v>
      </c>
      <c r="L1104" s="95" t="s">
        <v>31</v>
      </c>
      <c r="M1104" s="8">
        <v>43636</v>
      </c>
      <c r="N1104" s="8">
        <v>43845</v>
      </c>
      <c r="O1104" s="8">
        <v>43781</v>
      </c>
      <c r="P1104" s="6" t="s">
        <v>75</v>
      </c>
      <c r="R1104" s="97" t="str">
        <f t="shared" si="40"/>
        <v/>
      </c>
      <c r="S1104" s="75" t="str">
        <f t="shared" si="41"/>
        <v/>
      </c>
      <c r="U1104" s="8">
        <v>43845</v>
      </c>
      <c r="W1104" s="6" t="s">
        <v>33</v>
      </c>
      <c r="X1104" s="95">
        <v>50145</v>
      </c>
    </row>
    <row r="1105" spans="1:24" x14ac:dyDescent="0.25">
      <c r="A1105" s="6" t="s">
        <v>168</v>
      </c>
      <c r="B1105" s="94" t="s">
        <v>3626</v>
      </c>
      <c r="C1105" s="6" t="s">
        <v>3627</v>
      </c>
      <c r="D1105" s="147">
        <v>11651744</v>
      </c>
      <c r="E1105" s="6" t="s">
        <v>2502</v>
      </c>
      <c r="F1105" s="10" t="s">
        <v>205</v>
      </c>
      <c r="G1105" s="6" t="s">
        <v>3628</v>
      </c>
      <c r="H1105" s="8">
        <v>51116</v>
      </c>
      <c r="I1105" s="8">
        <v>44077</v>
      </c>
      <c r="J1105" s="8">
        <v>44085</v>
      </c>
      <c r="K1105" s="95">
        <v>44088</v>
      </c>
      <c r="L1105" s="95" t="s">
        <v>359</v>
      </c>
      <c r="R1105" s="97" t="str">
        <f t="shared" si="40"/>
        <v/>
      </c>
      <c r="S1105" s="75" t="str">
        <f t="shared" si="41"/>
        <v/>
      </c>
      <c r="W1105" s="6" t="s">
        <v>84</v>
      </c>
      <c r="X1105" s="135">
        <v>48224</v>
      </c>
    </row>
    <row r="1106" spans="1:24" x14ac:dyDescent="0.25">
      <c r="A1106" s="6" t="s">
        <v>37</v>
      </c>
      <c r="B1106" s="94" t="s">
        <v>3629</v>
      </c>
      <c r="C1106" s="6" t="s">
        <v>3630</v>
      </c>
      <c r="D1106" s="140">
        <v>11990782</v>
      </c>
      <c r="E1106" s="6" t="s">
        <v>3266</v>
      </c>
      <c r="F1106" s="10" t="s">
        <v>205</v>
      </c>
      <c r="G1106" s="6" t="s">
        <v>3631</v>
      </c>
      <c r="H1106" s="8">
        <v>45946</v>
      </c>
      <c r="I1106" s="8">
        <v>43788</v>
      </c>
      <c r="J1106" s="8">
        <v>43802</v>
      </c>
      <c r="K1106" s="95">
        <v>43803</v>
      </c>
      <c r="L1106" s="95" t="s">
        <v>31</v>
      </c>
      <c r="M1106" s="8">
        <v>43811</v>
      </c>
      <c r="N1106" s="8">
        <v>43861</v>
      </c>
      <c r="O1106" s="8">
        <v>43851</v>
      </c>
      <c r="P1106" s="6" t="s">
        <v>75</v>
      </c>
      <c r="R1106" s="97" t="str">
        <f t="shared" si="40"/>
        <v/>
      </c>
      <c r="S1106" s="75" t="str">
        <f t="shared" si="41"/>
        <v/>
      </c>
      <c r="U1106" s="8">
        <v>43864</v>
      </c>
      <c r="W1106" s="6" t="s">
        <v>33</v>
      </c>
      <c r="X1106" s="95">
        <v>52169</v>
      </c>
    </row>
    <row r="1107" spans="1:24" x14ac:dyDescent="0.25">
      <c r="A1107" s="6" t="s">
        <v>25</v>
      </c>
      <c r="B1107" s="94" t="s">
        <v>3632</v>
      </c>
      <c r="C1107" s="6" t="s">
        <v>3633</v>
      </c>
      <c r="D1107" s="140">
        <v>11756344</v>
      </c>
      <c r="E1107" s="6" t="s">
        <v>409</v>
      </c>
      <c r="F1107" s="10" t="s">
        <v>44</v>
      </c>
      <c r="G1107" s="6" t="s">
        <v>3634</v>
      </c>
      <c r="H1107" s="8">
        <v>44186</v>
      </c>
      <c r="I1107" s="8">
        <v>43642</v>
      </c>
      <c r="J1107" s="8">
        <v>43642</v>
      </c>
      <c r="K1107" s="95">
        <v>43675</v>
      </c>
      <c r="L1107" s="95" t="s">
        <v>31</v>
      </c>
      <c r="M1107" s="8">
        <v>43679</v>
      </c>
      <c r="N1107" s="8">
        <v>43775</v>
      </c>
      <c r="O1107" s="8">
        <v>43756</v>
      </c>
      <c r="P1107" s="6" t="s">
        <v>75</v>
      </c>
      <c r="R1107" s="97" t="str">
        <f t="shared" si="40"/>
        <v/>
      </c>
      <c r="S1107" s="75" t="str">
        <f t="shared" si="41"/>
        <v/>
      </c>
      <c r="U1107" s="8">
        <v>43775</v>
      </c>
      <c r="W1107" s="6" t="s">
        <v>33</v>
      </c>
      <c r="X1107" s="6"/>
    </row>
    <row r="1108" spans="1:24" x14ac:dyDescent="0.25">
      <c r="A1108" s="6" t="s">
        <v>25</v>
      </c>
      <c r="B1108" s="94" t="s">
        <v>3635</v>
      </c>
      <c r="C1108" s="6" t="s">
        <v>3636</v>
      </c>
      <c r="D1108" s="140">
        <v>11818824</v>
      </c>
      <c r="E1108" s="6" t="s">
        <v>244</v>
      </c>
      <c r="F1108" s="10" t="s">
        <v>44</v>
      </c>
      <c r="G1108" s="6" t="s">
        <v>3637</v>
      </c>
      <c r="H1108" s="8">
        <v>45491</v>
      </c>
      <c r="I1108" s="8">
        <v>43602</v>
      </c>
      <c r="J1108" s="8">
        <v>43602</v>
      </c>
      <c r="K1108" s="95">
        <v>43634</v>
      </c>
      <c r="L1108" s="95" t="s">
        <v>359</v>
      </c>
      <c r="R1108" s="97" t="str">
        <f t="shared" si="40"/>
        <v/>
      </c>
      <c r="S1108" s="75" t="str">
        <f t="shared" si="41"/>
        <v/>
      </c>
      <c r="W1108" s="6" t="s">
        <v>33</v>
      </c>
      <c r="X1108" s="95">
        <v>43214</v>
      </c>
    </row>
    <row r="1109" spans="1:24" x14ac:dyDescent="0.25">
      <c r="A1109" s="6" t="s">
        <v>25</v>
      </c>
      <c r="B1109" s="94" t="s">
        <v>3638</v>
      </c>
      <c r="C1109" s="6" t="s">
        <v>3639</v>
      </c>
      <c r="D1109" s="140">
        <v>11822483</v>
      </c>
      <c r="E1109" s="6" t="s">
        <v>261</v>
      </c>
      <c r="F1109" s="10" t="s">
        <v>44</v>
      </c>
      <c r="G1109" s="6" t="s">
        <v>3640</v>
      </c>
      <c r="H1109" s="8">
        <v>45039</v>
      </c>
      <c r="I1109" s="8">
        <v>43602</v>
      </c>
      <c r="J1109" s="8">
        <v>43602</v>
      </c>
      <c r="K1109" s="95">
        <v>43634</v>
      </c>
      <c r="L1109" s="95" t="s">
        <v>31</v>
      </c>
      <c r="M1109" s="8">
        <v>43636</v>
      </c>
      <c r="R1109" s="97" t="str">
        <f t="shared" si="40"/>
        <v/>
      </c>
      <c r="S1109" s="75" t="str">
        <f t="shared" si="41"/>
        <v/>
      </c>
      <c r="T1109" s="124" t="s">
        <v>3641</v>
      </c>
      <c r="U1109" s="8">
        <v>45065</v>
      </c>
      <c r="W1109" s="6" t="s">
        <v>33</v>
      </c>
      <c r="X1109" s="95">
        <v>47742</v>
      </c>
    </row>
    <row r="1110" spans="1:24" x14ac:dyDescent="0.25">
      <c r="A1110" s="6" t="s">
        <v>25</v>
      </c>
      <c r="B1110" s="94" t="s">
        <v>3642</v>
      </c>
      <c r="C1110" s="6" t="s">
        <v>3643</v>
      </c>
      <c r="D1110" s="140">
        <v>11848232</v>
      </c>
      <c r="E1110" s="6" t="s">
        <v>3644</v>
      </c>
      <c r="F1110" s="10" t="s">
        <v>44</v>
      </c>
      <c r="G1110" s="6" t="s">
        <v>3645</v>
      </c>
      <c r="H1110" s="8">
        <v>45570</v>
      </c>
      <c r="I1110" s="8">
        <v>43602</v>
      </c>
      <c r="J1110" s="8">
        <v>43602</v>
      </c>
      <c r="K1110" s="95">
        <v>43634</v>
      </c>
      <c r="L1110" s="95" t="s">
        <v>359</v>
      </c>
      <c r="R1110" s="97" t="str">
        <f t="shared" si="40"/>
        <v/>
      </c>
      <c r="S1110" s="75" t="str">
        <f t="shared" si="41"/>
        <v/>
      </c>
      <c r="W1110" s="6" t="s">
        <v>33</v>
      </c>
      <c r="X1110" s="95">
        <v>41898</v>
      </c>
    </row>
    <row r="1111" spans="1:24" x14ac:dyDescent="0.25">
      <c r="A1111" s="6" t="s">
        <v>25</v>
      </c>
      <c r="B1111" s="94" t="s">
        <v>3646</v>
      </c>
      <c r="C1111" s="6" t="s">
        <v>3647</v>
      </c>
      <c r="D1111" s="140">
        <v>12104430</v>
      </c>
      <c r="E1111" s="6" t="s">
        <v>130</v>
      </c>
      <c r="F1111" s="10" t="s">
        <v>44</v>
      </c>
      <c r="G1111" s="6" t="s">
        <v>3648</v>
      </c>
      <c r="H1111" s="8">
        <v>47965</v>
      </c>
      <c r="I1111" s="8">
        <v>43668</v>
      </c>
      <c r="J1111" s="8">
        <v>43675</v>
      </c>
      <c r="K1111" s="95">
        <v>43745</v>
      </c>
      <c r="L1111" s="95" t="s">
        <v>31</v>
      </c>
      <c r="M1111" s="8">
        <v>43747</v>
      </c>
      <c r="N1111" s="8">
        <v>43775</v>
      </c>
      <c r="O1111" s="8">
        <v>43756</v>
      </c>
      <c r="P1111" s="6" t="s">
        <v>75</v>
      </c>
      <c r="R1111" s="97" t="str">
        <f t="shared" si="40"/>
        <v/>
      </c>
      <c r="S1111" s="75" t="str">
        <f t="shared" si="41"/>
        <v/>
      </c>
      <c r="U1111" s="8">
        <v>43775</v>
      </c>
      <c r="W1111" s="6" t="s">
        <v>33</v>
      </c>
      <c r="X1111" s="95">
        <v>52427</v>
      </c>
    </row>
    <row r="1112" spans="1:24" x14ac:dyDescent="0.25">
      <c r="A1112" s="6" t="s">
        <v>25</v>
      </c>
      <c r="B1112" s="94" t="s">
        <v>197</v>
      </c>
      <c r="C1112" s="6" t="s">
        <v>3649</v>
      </c>
      <c r="D1112" s="140">
        <v>12101962</v>
      </c>
      <c r="E1112" s="6" t="s">
        <v>125</v>
      </c>
      <c r="F1112" s="10" t="s">
        <v>134</v>
      </c>
      <c r="G1112" s="6" t="s">
        <v>3650</v>
      </c>
      <c r="H1112" s="8">
        <v>45565</v>
      </c>
      <c r="I1112" s="8">
        <v>43658</v>
      </c>
      <c r="J1112" s="8">
        <v>43661</v>
      </c>
      <c r="K1112" s="95">
        <v>43734</v>
      </c>
      <c r="L1112" s="95" t="s">
        <v>31</v>
      </c>
      <c r="M1112" s="8">
        <v>43739</v>
      </c>
      <c r="N1112" s="8">
        <v>43775</v>
      </c>
      <c r="O1112" s="8">
        <v>43759</v>
      </c>
      <c r="P1112" s="6" t="s">
        <v>75</v>
      </c>
      <c r="R1112" s="97" t="str">
        <f t="shared" si="40"/>
        <v/>
      </c>
      <c r="S1112" s="75" t="str">
        <f t="shared" si="41"/>
        <v/>
      </c>
      <c r="U1112" s="8">
        <v>43775</v>
      </c>
      <c r="W1112" s="6" t="s">
        <v>33</v>
      </c>
      <c r="X1112" s="95">
        <v>54343</v>
      </c>
    </row>
    <row r="1113" spans="1:24" x14ac:dyDescent="0.25">
      <c r="A1113" s="6" t="s">
        <v>168</v>
      </c>
      <c r="B1113" s="94" t="s">
        <v>3651</v>
      </c>
      <c r="C1113" s="6" t="s">
        <v>3652</v>
      </c>
      <c r="D1113" s="140">
        <v>11593185</v>
      </c>
      <c r="E1113" s="6" t="s">
        <v>3653</v>
      </c>
      <c r="F1113" s="10" t="s">
        <v>139</v>
      </c>
      <c r="G1113" s="6" t="s">
        <v>3654</v>
      </c>
      <c r="H1113" s="8">
        <v>49690</v>
      </c>
      <c r="I1113" s="8">
        <v>43880</v>
      </c>
      <c r="J1113" s="8">
        <v>44056</v>
      </c>
      <c r="K1113" s="95">
        <v>44056</v>
      </c>
      <c r="L1113" s="95" t="s">
        <v>359</v>
      </c>
      <c r="R1113" s="97" t="str">
        <f t="shared" si="40"/>
        <v/>
      </c>
      <c r="S1113" s="75" t="str">
        <f t="shared" si="41"/>
        <v/>
      </c>
      <c r="W1113" s="6" t="s">
        <v>84</v>
      </c>
      <c r="X1113" s="95">
        <v>47503</v>
      </c>
    </row>
    <row r="1114" spans="1:24" x14ac:dyDescent="0.25">
      <c r="A1114" s="6" t="s">
        <v>168</v>
      </c>
      <c r="B1114" s="94" t="s">
        <v>3655</v>
      </c>
      <c r="C1114" s="6" t="s">
        <v>3656</v>
      </c>
      <c r="D1114" s="140">
        <v>11965360</v>
      </c>
      <c r="E1114" s="6" t="s">
        <v>3564</v>
      </c>
      <c r="F1114" s="10" t="s">
        <v>95</v>
      </c>
      <c r="G1114" s="6" t="s">
        <v>3657</v>
      </c>
      <c r="H1114" s="8">
        <v>44972</v>
      </c>
      <c r="I1114" s="8">
        <v>43494</v>
      </c>
      <c r="J1114" s="8">
        <v>43502</v>
      </c>
      <c r="K1114" s="95">
        <v>43507</v>
      </c>
      <c r="L1114" s="95" t="s">
        <v>31</v>
      </c>
      <c r="M1114" s="8">
        <v>43515</v>
      </c>
      <c r="N1114" s="8">
        <v>43545</v>
      </c>
      <c r="O1114" s="8">
        <v>43536</v>
      </c>
      <c r="P1114" s="101" t="s">
        <v>52</v>
      </c>
      <c r="R1114" s="97" t="str">
        <f t="shared" si="40"/>
        <v/>
      </c>
      <c r="S1114" s="75" t="str">
        <f t="shared" si="41"/>
        <v/>
      </c>
      <c r="T1114" s="124" t="s">
        <v>3658</v>
      </c>
      <c r="U1114" s="8">
        <v>43545</v>
      </c>
      <c r="W1114" s="6" t="s">
        <v>84</v>
      </c>
      <c r="X1114" s="95">
        <v>46633</v>
      </c>
    </row>
    <row r="1115" spans="1:24" x14ac:dyDescent="0.25">
      <c r="A1115" s="6" t="s">
        <v>168</v>
      </c>
      <c r="B1115" s="94" t="s">
        <v>590</v>
      </c>
      <c r="C1115" s="6" t="s">
        <v>3659</v>
      </c>
      <c r="D1115" s="140">
        <v>11180012</v>
      </c>
      <c r="E1115" s="6" t="s">
        <v>3660</v>
      </c>
      <c r="F1115" s="10" t="s">
        <v>44</v>
      </c>
      <c r="G1115" s="6" t="s">
        <v>3661</v>
      </c>
      <c r="H1115" s="8">
        <v>57190</v>
      </c>
      <c r="I1115" s="8">
        <v>43515</v>
      </c>
      <c r="J1115" s="8">
        <v>43545</v>
      </c>
      <c r="K1115" s="95">
        <v>43545</v>
      </c>
      <c r="L1115" s="95" t="s">
        <v>31</v>
      </c>
      <c r="M1115" s="8">
        <v>43560</v>
      </c>
      <c r="N1115" s="8">
        <v>43712</v>
      </c>
      <c r="O1115" s="8">
        <v>43735</v>
      </c>
      <c r="P1115" s="6" t="s">
        <v>90</v>
      </c>
      <c r="Q1115" s="96">
        <v>13471</v>
      </c>
      <c r="R1115" s="97">
        <f t="shared" si="40"/>
        <v>36.906849315068492</v>
      </c>
      <c r="S1115" s="75">
        <f t="shared" si="41"/>
        <v>304813.66849315068</v>
      </c>
      <c r="T1115" s="124" t="s">
        <v>3662</v>
      </c>
      <c r="U1115" s="8">
        <v>43713</v>
      </c>
      <c r="V1115" s="6" t="s">
        <v>36</v>
      </c>
      <c r="W1115" s="6" t="s">
        <v>84</v>
      </c>
      <c r="X1115" s="95">
        <v>37209</v>
      </c>
    </row>
    <row r="1116" spans="1:24" x14ac:dyDescent="0.25">
      <c r="A1116" s="6" t="s">
        <v>168</v>
      </c>
      <c r="B1116" s="94" t="s">
        <v>3663</v>
      </c>
      <c r="C1116" s="6" t="s">
        <v>3664</v>
      </c>
      <c r="D1116" s="140">
        <v>11230783</v>
      </c>
      <c r="E1116" s="6" t="s">
        <v>3665</v>
      </c>
      <c r="F1116" s="10" t="s">
        <v>205</v>
      </c>
      <c r="G1116" s="6" t="s">
        <v>3666</v>
      </c>
      <c r="H1116" s="8">
        <v>47214</v>
      </c>
      <c r="I1116" s="8">
        <v>44149</v>
      </c>
      <c r="J1116" s="8">
        <v>44151</v>
      </c>
      <c r="K1116" s="95">
        <v>44152</v>
      </c>
      <c r="L1116" s="95" t="s">
        <v>31</v>
      </c>
      <c r="M1116" s="8">
        <v>44175</v>
      </c>
      <c r="N1116" s="8">
        <v>44390</v>
      </c>
      <c r="O1116" s="8">
        <v>44365</v>
      </c>
      <c r="P1116" s="6" t="s">
        <v>35</v>
      </c>
      <c r="Q1116" s="96">
        <v>1885</v>
      </c>
      <c r="R1116" s="97">
        <f t="shared" si="40"/>
        <v>5.1643835616438354</v>
      </c>
      <c r="S1116" s="75">
        <f t="shared" si="41"/>
        <v>42652.643835616436</v>
      </c>
      <c r="U1116" s="8">
        <v>44669</v>
      </c>
      <c r="W1116" s="6" t="s">
        <v>84</v>
      </c>
      <c r="X1116" s="95">
        <v>47488</v>
      </c>
    </row>
    <row r="1117" spans="1:24" ht="30" x14ac:dyDescent="0.25">
      <c r="A1117" s="6" t="s">
        <v>168</v>
      </c>
      <c r="B1117" s="94" t="s">
        <v>3667</v>
      </c>
      <c r="C1117" s="6" t="s">
        <v>3668</v>
      </c>
      <c r="D1117" s="140">
        <v>11203814</v>
      </c>
      <c r="E1117" s="6" t="s">
        <v>3354</v>
      </c>
      <c r="F1117" s="10" t="s">
        <v>2296</v>
      </c>
      <c r="G1117" s="6">
        <v>62061874</v>
      </c>
      <c r="H1117" s="8">
        <v>44957</v>
      </c>
      <c r="I1117" s="8">
        <v>44049</v>
      </c>
      <c r="J1117" s="8">
        <v>44085</v>
      </c>
      <c r="K1117" s="95">
        <v>44088</v>
      </c>
      <c r="L1117" s="95" t="s">
        <v>31</v>
      </c>
      <c r="M1117" s="8">
        <v>44099</v>
      </c>
      <c r="N1117" s="8">
        <v>44320</v>
      </c>
      <c r="O1117" s="8">
        <v>44237</v>
      </c>
      <c r="P1117" s="6" t="s">
        <v>90</v>
      </c>
      <c r="Q1117" s="96">
        <v>716</v>
      </c>
      <c r="R1117" s="97">
        <f t="shared" ref="R1117:R1138" si="42">IF(Q1117&gt;0, Q1117/365, "")</f>
        <v>1.9616438356164383</v>
      </c>
      <c r="S1117" s="75">
        <f t="shared" si="41"/>
        <v>16201.216438356165</v>
      </c>
      <c r="T1117" s="126" t="s">
        <v>3669</v>
      </c>
      <c r="U1117" s="8">
        <v>44320</v>
      </c>
      <c r="V1117" s="6" t="s">
        <v>581</v>
      </c>
      <c r="W1117" s="6" t="s">
        <v>33</v>
      </c>
      <c r="X1117" s="135">
        <v>54998</v>
      </c>
    </row>
    <row r="1118" spans="1:24" x14ac:dyDescent="0.25">
      <c r="A1118" s="6" t="s">
        <v>168</v>
      </c>
      <c r="B1118" s="94" t="s">
        <v>2602</v>
      </c>
      <c r="C1118" s="6" t="s">
        <v>3670</v>
      </c>
      <c r="D1118" s="140">
        <v>11196641</v>
      </c>
      <c r="E1118" s="6" t="s">
        <v>3671</v>
      </c>
      <c r="F1118" s="10" t="s">
        <v>62</v>
      </c>
      <c r="G1118" s="6" t="s">
        <v>3672</v>
      </c>
      <c r="H1118" s="8">
        <v>45412</v>
      </c>
      <c r="I1118" s="8">
        <v>43599</v>
      </c>
      <c r="J1118" s="8">
        <v>43602</v>
      </c>
      <c r="K1118" s="95">
        <v>43602</v>
      </c>
      <c r="L1118" s="95" t="s">
        <v>31</v>
      </c>
      <c r="M1118" s="8">
        <v>43614</v>
      </c>
      <c r="N1118" s="8">
        <v>43626</v>
      </c>
      <c r="O1118" s="8">
        <v>43621</v>
      </c>
      <c r="P1118" s="6" t="s">
        <v>75</v>
      </c>
      <c r="R1118" s="97" t="str">
        <f t="shared" si="42"/>
        <v/>
      </c>
      <c r="S1118" s="75" t="str">
        <f t="shared" si="41"/>
        <v/>
      </c>
      <c r="T1118" s="126"/>
      <c r="U1118" s="8">
        <v>43663</v>
      </c>
      <c r="W1118" s="6" t="s">
        <v>33</v>
      </c>
      <c r="X1118" s="95">
        <v>45301</v>
      </c>
    </row>
    <row r="1119" spans="1:24" x14ac:dyDescent="0.25">
      <c r="A1119" s="6" t="s">
        <v>168</v>
      </c>
      <c r="B1119" s="94" t="s">
        <v>3673</v>
      </c>
      <c r="C1119" s="6" t="s">
        <v>3674</v>
      </c>
      <c r="D1119" s="140">
        <v>10264708</v>
      </c>
      <c r="E1119" s="6" t="s">
        <v>3675</v>
      </c>
      <c r="F1119" s="10" t="s">
        <v>44</v>
      </c>
      <c r="G1119" s="6" t="s">
        <v>3676</v>
      </c>
      <c r="H1119" s="8">
        <v>45361</v>
      </c>
      <c r="I1119" s="8">
        <v>43619</v>
      </c>
      <c r="J1119" s="8">
        <v>43739</v>
      </c>
      <c r="K1119" s="95">
        <v>43741</v>
      </c>
      <c r="L1119" s="95" t="s">
        <v>31</v>
      </c>
      <c r="M1119" s="8">
        <v>43753</v>
      </c>
      <c r="N1119" s="8">
        <v>43893</v>
      </c>
      <c r="O1119" s="8">
        <v>43882</v>
      </c>
      <c r="P1119" s="6" t="s">
        <v>52</v>
      </c>
      <c r="R1119" s="97" t="str">
        <f t="shared" si="42"/>
        <v/>
      </c>
      <c r="S1119" s="75" t="str">
        <f t="shared" si="41"/>
        <v/>
      </c>
      <c r="U1119" s="8">
        <v>43901</v>
      </c>
      <c r="W1119" s="6" t="s">
        <v>33</v>
      </c>
      <c r="X1119" s="95">
        <v>49550</v>
      </c>
    </row>
    <row r="1120" spans="1:24" x14ac:dyDescent="0.25">
      <c r="A1120" s="6" t="s">
        <v>168</v>
      </c>
      <c r="B1120" s="94" t="s">
        <v>3673</v>
      </c>
      <c r="C1120" s="6" t="s">
        <v>3677</v>
      </c>
      <c r="D1120" s="140">
        <v>11200183</v>
      </c>
      <c r="E1120" s="6" t="s">
        <v>261</v>
      </c>
      <c r="F1120" s="10" t="s">
        <v>44</v>
      </c>
      <c r="G1120" s="6" t="s">
        <v>3678</v>
      </c>
      <c r="H1120" s="8">
        <v>46734</v>
      </c>
      <c r="I1120" s="8">
        <v>44418</v>
      </c>
      <c r="J1120" s="8">
        <v>44426</v>
      </c>
      <c r="K1120" s="95">
        <v>44431</v>
      </c>
      <c r="L1120" s="95" t="s">
        <v>359</v>
      </c>
      <c r="R1120" s="97" t="str">
        <f t="shared" si="42"/>
        <v/>
      </c>
      <c r="S1120" s="75" t="str">
        <f t="shared" si="41"/>
        <v/>
      </c>
      <c r="W1120" s="6" t="s">
        <v>33</v>
      </c>
      <c r="X1120" s="7">
        <v>49329</v>
      </c>
    </row>
    <row r="1121" spans="1:24" x14ac:dyDescent="0.25">
      <c r="A1121" s="6" t="s">
        <v>37</v>
      </c>
      <c r="B1121" s="94" t="s">
        <v>3679</v>
      </c>
      <c r="C1121" s="6" t="s">
        <v>3680</v>
      </c>
      <c r="D1121" s="140">
        <v>12119297</v>
      </c>
      <c r="E1121" s="6" t="s">
        <v>2764</v>
      </c>
      <c r="F1121" s="10" t="s">
        <v>44</v>
      </c>
      <c r="G1121" s="6" t="s">
        <v>3681</v>
      </c>
      <c r="H1121" s="8">
        <v>45605</v>
      </c>
      <c r="I1121" s="8">
        <v>44116</v>
      </c>
      <c r="J1121" s="8">
        <v>44127</v>
      </c>
      <c r="K1121" s="95">
        <v>44144</v>
      </c>
      <c r="L1121" s="95" t="s">
        <v>31</v>
      </c>
      <c r="M1121" s="8">
        <v>44147</v>
      </c>
      <c r="N1121" s="8">
        <v>44355</v>
      </c>
      <c r="O1121" s="8">
        <v>44350</v>
      </c>
      <c r="P1121" s="6" t="s">
        <v>35</v>
      </c>
      <c r="Q1121" s="96">
        <v>1194</v>
      </c>
      <c r="R1121" s="97">
        <f t="shared" si="42"/>
        <v>3.2712328767123289</v>
      </c>
      <c r="S1121" s="75">
        <f t="shared" si="41"/>
        <v>27017.112328767125</v>
      </c>
      <c r="T1121" s="124" t="s">
        <v>3682</v>
      </c>
      <c r="U1121" s="8">
        <v>44355</v>
      </c>
      <c r="W1121" s="6" t="s">
        <v>33</v>
      </c>
      <c r="X1121" s="135">
        <v>51235</v>
      </c>
    </row>
    <row r="1122" spans="1:24" x14ac:dyDescent="0.25">
      <c r="A1122" s="6" t="s">
        <v>168</v>
      </c>
      <c r="B1122" s="94" t="s">
        <v>3683</v>
      </c>
      <c r="C1122" s="6" t="s">
        <v>3684</v>
      </c>
      <c r="D1122" s="140">
        <v>11213755</v>
      </c>
      <c r="E1122" s="6" t="s">
        <v>3362</v>
      </c>
      <c r="F1122" s="10" t="s">
        <v>437</v>
      </c>
      <c r="G1122" s="6" t="s">
        <v>3685</v>
      </c>
      <c r="H1122" s="8">
        <v>51360</v>
      </c>
      <c r="I1122" s="8">
        <v>44336</v>
      </c>
      <c r="J1122" s="8">
        <v>44355</v>
      </c>
      <c r="K1122" s="95">
        <v>44357</v>
      </c>
      <c r="L1122" s="95" t="s">
        <v>359</v>
      </c>
      <c r="R1122" s="97" t="str">
        <f t="shared" si="42"/>
        <v/>
      </c>
      <c r="S1122" s="75" t="str">
        <f t="shared" si="41"/>
        <v/>
      </c>
      <c r="W1122" s="6" t="s">
        <v>84</v>
      </c>
      <c r="X1122" s="7">
        <v>48141</v>
      </c>
    </row>
    <row r="1123" spans="1:24" ht="30" x14ac:dyDescent="0.25">
      <c r="A1123" s="6" t="s">
        <v>65</v>
      </c>
      <c r="B1123" s="94" t="s">
        <v>3686</v>
      </c>
      <c r="C1123" s="6" t="s">
        <v>3687</v>
      </c>
      <c r="D1123" s="140">
        <v>12119207</v>
      </c>
      <c r="E1123" s="6" t="s">
        <v>209</v>
      </c>
      <c r="F1123" s="10" t="s">
        <v>44</v>
      </c>
      <c r="G1123" s="6" t="s">
        <v>3688</v>
      </c>
      <c r="H1123" s="8">
        <v>93028</v>
      </c>
      <c r="I1123" s="8">
        <v>43333</v>
      </c>
      <c r="J1123" s="8">
        <v>43333</v>
      </c>
      <c r="K1123" s="95">
        <v>43334</v>
      </c>
      <c r="L1123" s="95" t="s">
        <v>31</v>
      </c>
      <c r="M1123" s="8">
        <v>43341</v>
      </c>
      <c r="N1123" s="8">
        <v>44488</v>
      </c>
      <c r="O1123" s="8">
        <v>43959</v>
      </c>
      <c r="P1123" s="6" t="s">
        <v>35</v>
      </c>
      <c r="Q1123" s="96">
        <v>19357.852999999999</v>
      </c>
      <c r="R1123" s="97">
        <f t="shared" si="42"/>
        <v>53.035213698630137</v>
      </c>
      <c r="S1123" s="75">
        <f t="shared" si="41"/>
        <v>438017.82993698632</v>
      </c>
      <c r="T1123" s="124" t="s">
        <v>3689</v>
      </c>
      <c r="U1123" s="8">
        <v>44488</v>
      </c>
      <c r="W1123" s="6" t="s">
        <v>33</v>
      </c>
      <c r="X1123" s="95">
        <v>46158</v>
      </c>
    </row>
    <row r="1124" spans="1:24" x14ac:dyDescent="0.25">
      <c r="A1124" s="6" t="s">
        <v>25</v>
      </c>
      <c r="B1124" s="94" t="s">
        <v>3690</v>
      </c>
      <c r="C1124" s="6" t="s">
        <v>3691</v>
      </c>
      <c r="D1124" s="140">
        <v>11959606</v>
      </c>
      <c r="E1124" s="6" t="s">
        <v>49</v>
      </c>
      <c r="F1124" s="10" t="s">
        <v>1588</v>
      </c>
      <c r="G1124" s="6" t="s">
        <v>3692</v>
      </c>
      <c r="H1124" s="8">
        <v>44486</v>
      </c>
      <c r="I1124" s="8">
        <v>43671</v>
      </c>
      <c r="J1124" s="8">
        <v>43671</v>
      </c>
      <c r="K1124" s="95">
        <v>43745</v>
      </c>
      <c r="L1124" s="95" t="s">
        <v>31</v>
      </c>
      <c r="M1124" s="8">
        <v>43749</v>
      </c>
      <c r="N1124" s="8">
        <v>44302</v>
      </c>
      <c r="O1124" s="8">
        <v>44001</v>
      </c>
      <c r="P1124" s="6" t="s">
        <v>75</v>
      </c>
      <c r="R1124" s="97" t="str">
        <f t="shared" si="42"/>
        <v/>
      </c>
      <c r="S1124" s="75" t="str">
        <f t="shared" si="41"/>
        <v/>
      </c>
      <c r="T1124" s="124" t="s">
        <v>3693</v>
      </c>
      <c r="U1124" s="8">
        <v>44302</v>
      </c>
      <c r="W1124" s="6" t="s">
        <v>33</v>
      </c>
      <c r="X1124" s="95">
        <v>52488</v>
      </c>
    </row>
    <row r="1125" spans="1:24" x14ac:dyDescent="0.25">
      <c r="A1125" s="6" t="s">
        <v>25</v>
      </c>
      <c r="B1125" s="94" t="s">
        <v>3694</v>
      </c>
      <c r="C1125" s="6" t="s">
        <v>3695</v>
      </c>
      <c r="D1125" s="140">
        <v>11592627</v>
      </c>
      <c r="E1125" s="6" t="s">
        <v>3696</v>
      </c>
      <c r="F1125" s="10" t="s">
        <v>44</v>
      </c>
      <c r="G1125" s="6" t="s">
        <v>3697</v>
      </c>
      <c r="H1125" s="8">
        <v>44371</v>
      </c>
      <c r="I1125" s="8">
        <v>43662</v>
      </c>
      <c r="J1125" s="8">
        <v>43664</v>
      </c>
      <c r="K1125" s="95">
        <v>43745</v>
      </c>
      <c r="L1125" s="95" t="s">
        <v>31</v>
      </c>
      <c r="M1125" s="8">
        <v>43745</v>
      </c>
      <c r="N1125" s="8">
        <v>43775</v>
      </c>
      <c r="O1125" s="8">
        <v>43759</v>
      </c>
      <c r="P1125" s="6" t="s">
        <v>75</v>
      </c>
      <c r="R1125" s="97" t="str">
        <f t="shared" si="42"/>
        <v/>
      </c>
      <c r="S1125" s="75" t="str">
        <f t="shared" si="41"/>
        <v/>
      </c>
      <c r="U1125" s="8">
        <v>43775</v>
      </c>
      <c r="W1125" s="6" t="s">
        <v>33</v>
      </c>
      <c r="X1125" s="95">
        <v>53667</v>
      </c>
    </row>
    <row r="1126" spans="1:24" x14ac:dyDescent="0.25">
      <c r="A1126" s="6" t="s">
        <v>25</v>
      </c>
      <c r="B1126" s="94" t="s">
        <v>3698</v>
      </c>
      <c r="C1126" s="6" t="s">
        <v>3699</v>
      </c>
      <c r="D1126" s="140">
        <v>11788915</v>
      </c>
      <c r="E1126" s="6" t="s">
        <v>1525</v>
      </c>
      <c r="F1126" s="10" t="s">
        <v>134</v>
      </c>
      <c r="G1126" s="6" t="s">
        <v>3700</v>
      </c>
      <c r="H1126" s="8">
        <v>45840</v>
      </c>
      <c r="I1126" s="8">
        <v>43672</v>
      </c>
      <c r="J1126" s="8">
        <v>43677</v>
      </c>
      <c r="K1126" s="95">
        <v>43745</v>
      </c>
      <c r="L1126" s="95" t="s">
        <v>31</v>
      </c>
      <c r="M1126" s="8">
        <v>43748</v>
      </c>
      <c r="N1126" s="8">
        <v>43775</v>
      </c>
      <c r="O1126" s="8">
        <v>43759</v>
      </c>
      <c r="P1126" s="6" t="s">
        <v>75</v>
      </c>
      <c r="R1126" s="97" t="str">
        <f t="shared" si="42"/>
        <v/>
      </c>
      <c r="S1126" s="75" t="str">
        <f t="shared" si="41"/>
        <v/>
      </c>
      <c r="U1126" s="8">
        <v>43775</v>
      </c>
      <c r="W1126" s="6" t="s">
        <v>33</v>
      </c>
      <c r="X1126" s="95">
        <v>50328</v>
      </c>
    </row>
    <row r="1127" spans="1:24" ht="30" x14ac:dyDescent="0.25">
      <c r="A1127" s="6" t="s">
        <v>25</v>
      </c>
      <c r="B1127" s="94" t="s">
        <v>3701</v>
      </c>
      <c r="C1127" s="6" t="s">
        <v>3702</v>
      </c>
      <c r="D1127" s="140">
        <v>11287828</v>
      </c>
      <c r="E1127" s="6" t="s">
        <v>783</v>
      </c>
      <c r="F1127" s="10" t="s">
        <v>44</v>
      </c>
      <c r="G1127" s="6" t="s">
        <v>3703</v>
      </c>
      <c r="H1127" s="8">
        <v>46737</v>
      </c>
      <c r="I1127" s="8">
        <v>43615</v>
      </c>
      <c r="J1127" s="8">
        <v>43616</v>
      </c>
      <c r="K1127" s="95">
        <v>43648</v>
      </c>
      <c r="L1127" s="95" t="s">
        <v>31</v>
      </c>
      <c r="M1127" s="8">
        <v>43655</v>
      </c>
      <c r="N1127" s="8">
        <v>44771</v>
      </c>
      <c r="O1127" s="8">
        <v>44769</v>
      </c>
      <c r="P1127" s="6" t="s">
        <v>35</v>
      </c>
      <c r="Q1127" s="96">
        <v>2190</v>
      </c>
      <c r="R1127" s="97">
        <f t="shared" si="42"/>
        <v>6</v>
      </c>
      <c r="S1127" s="75">
        <f t="shared" si="41"/>
        <v>49554</v>
      </c>
      <c r="T1127" s="124" t="s">
        <v>3704</v>
      </c>
      <c r="U1127" s="8">
        <v>45040</v>
      </c>
      <c r="V1127" s="6" t="s">
        <v>36</v>
      </c>
      <c r="W1127" s="6" t="s">
        <v>33</v>
      </c>
      <c r="X1127" s="95">
        <v>50626</v>
      </c>
    </row>
    <row r="1128" spans="1:24" x14ac:dyDescent="0.25">
      <c r="A1128" s="6" t="s">
        <v>25</v>
      </c>
      <c r="B1128" s="94" t="s">
        <v>3705</v>
      </c>
      <c r="C1128" s="6" t="s">
        <v>3706</v>
      </c>
      <c r="D1128" s="140">
        <v>11290767</v>
      </c>
      <c r="E1128" s="6" t="s">
        <v>325</v>
      </c>
      <c r="F1128" s="10" t="s">
        <v>44</v>
      </c>
      <c r="G1128" s="6" t="s">
        <v>3707</v>
      </c>
      <c r="H1128" s="8">
        <v>44260</v>
      </c>
      <c r="I1128" s="8">
        <v>43615</v>
      </c>
      <c r="J1128" s="8">
        <v>43616</v>
      </c>
      <c r="K1128" s="95">
        <v>43648</v>
      </c>
      <c r="L1128" s="95" t="s">
        <v>31</v>
      </c>
      <c r="M1128" s="8">
        <v>43655</v>
      </c>
      <c r="N1128" s="8">
        <v>43682</v>
      </c>
      <c r="O1128" s="8">
        <v>43675</v>
      </c>
      <c r="P1128" s="6" t="s">
        <v>182</v>
      </c>
      <c r="R1128" s="97" t="str">
        <f t="shared" si="42"/>
        <v/>
      </c>
      <c r="S1128" s="75" t="str">
        <f t="shared" si="41"/>
        <v/>
      </c>
      <c r="U1128" s="8">
        <v>43935</v>
      </c>
      <c r="W1128" s="6" t="s">
        <v>33</v>
      </c>
      <c r="X1128" s="95">
        <v>50198</v>
      </c>
    </row>
    <row r="1129" spans="1:24" x14ac:dyDescent="0.25">
      <c r="A1129" s="6" t="s">
        <v>25</v>
      </c>
      <c r="B1129" s="94" t="s">
        <v>3708</v>
      </c>
      <c r="C1129" s="6" t="s">
        <v>3709</v>
      </c>
      <c r="D1129" s="140">
        <v>11976162</v>
      </c>
      <c r="E1129" s="6" t="s">
        <v>2037</v>
      </c>
      <c r="F1129" s="10" t="s">
        <v>134</v>
      </c>
      <c r="G1129" s="6" t="s">
        <v>3710</v>
      </c>
      <c r="H1129" s="8">
        <v>45875</v>
      </c>
      <c r="I1129" s="8">
        <v>43672</v>
      </c>
      <c r="J1129" s="8">
        <v>43677</v>
      </c>
      <c r="K1129" s="95">
        <v>43745</v>
      </c>
      <c r="L1129" s="95" t="s">
        <v>31</v>
      </c>
      <c r="M1129" s="8">
        <v>43748</v>
      </c>
      <c r="N1129" s="8">
        <v>43775</v>
      </c>
      <c r="O1129" s="8">
        <v>43759</v>
      </c>
      <c r="P1129" s="6" t="s">
        <v>75</v>
      </c>
      <c r="R1129" s="97" t="str">
        <f t="shared" si="42"/>
        <v/>
      </c>
      <c r="S1129" s="75" t="str">
        <f t="shared" si="41"/>
        <v/>
      </c>
      <c r="U1129" s="8">
        <v>43775</v>
      </c>
      <c r="W1129" s="6" t="s">
        <v>33</v>
      </c>
      <c r="X1129" s="95">
        <v>49795</v>
      </c>
    </row>
    <row r="1130" spans="1:24" x14ac:dyDescent="0.25">
      <c r="A1130" s="6" t="s">
        <v>25</v>
      </c>
      <c r="B1130" s="94" t="s">
        <v>3711</v>
      </c>
      <c r="C1130" s="6" t="s">
        <v>3712</v>
      </c>
      <c r="D1130" s="140">
        <v>11286302</v>
      </c>
      <c r="E1130" s="6" t="s">
        <v>514</v>
      </c>
      <c r="F1130" s="10" t="s">
        <v>134</v>
      </c>
      <c r="G1130" s="6" t="s">
        <v>3713</v>
      </c>
      <c r="H1130" s="8">
        <v>47162</v>
      </c>
      <c r="I1130" s="8">
        <v>43615</v>
      </c>
      <c r="J1130" s="8">
        <v>43615</v>
      </c>
      <c r="K1130" s="95">
        <v>43648</v>
      </c>
      <c r="L1130" s="95" t="s">
        <v>31</v>
      </c>
      <c r="M1130" s="8">
        <v>43655</v>
      </c>
      <c r="R1130" s="97" t="str">
        <f t="shared" si="42"/>
        <v/>
      </c>
      <c r="S1130" s="75" t="str">
        <f t="shared" si="41"/>
        <v/>
      </c>
      <c r="W1130" s="6" t="s">
        <v>33</v>
      </c>
      <c r="X1130" s="95">
        <v>50638</v>
      </c>
    </row>
    <row r="1131" spans="1:24" x14ac:dyDescent="0.25">
      <c r="A1131" s="6" t="s">
        <v>25</v>
      </c>
      <c r="B1131" s="94" t="s">
        <v>3714</v>
      </c>
      <c r="C1131" s="6" t="s">
        <v>3715</v>
      </c>
      <c r="D1131" s="140">
        <v>11359662</v>
      </c>
      <c r="E1131" s="6" t="s">
        <v>878</v>
      </c>
      <c r="F1131" s="10" t="s">
        <v>176</v>
      </c>
      <c r="G1131" s="6">
        <v>2012008720</v>
      </c>
      <c r="H1131" s="8">
        <v>45546</v>
      </c>
      <c r="I1131" s="8">
        <v>43794</v>
      </c>
      <c r="J1131" s="8">
        <v>43795</v>
      </c>
      <c r="K1131" s="95">
        <v>43837</v>
      </c>
      <c r="L1131" s="95" t="s">
        <v>31</v>
      </c>
      <c r="M1131" s="8">
        <v>43844</v>
      </c>
      <c r="N1131" s="8">
        <v>45001</v>
      </c>
      <c r="O1131" s="8">
        <v>44980</v>
      </c>
      <c r="P1131" s="6" t="s">
        <v>52</v>
      </c>
      <c r="R1131" s="97" t="str">
        <f t="shared" si="42"/>
        <v/>
      </c>
      <c r="S1131" s="75" t="str">
        <f t="shared" si="41"/>
        <v/>
      </c>
      <c r="T1131" s="124" t="s">
        <v>3716</v>
      </c>
      <c r="U1131" s="8">
        <v>45106</v>
      </c>
      <c r="W1131" s="6" t="s">
        <v>33</v>
      </c>
      <c r="X1131" s="95">
        <v>55584</v>
      </c>
    </row>
    <row r="1132" spans="1:24" x14ac:dyDescent="0.25">
      <c r="A1132" s="6" t="s">
        <v>168</v>
      </c>
      <c r="B1132" s="94" t="s">
        <v>3717</v>
      </c>
      <c r="C1132" s="6" t="s">
        <v>3718</v>
      </c>
      <c r="D1132" s="140">
        <v>11088232</v>
      </c>
      <c r="E1132" s="6" t="s">
        <v>3290</v>
      </c>
      <c r="F1132" s="10" t="s">
        <v>44</v>
      </c>
      <c r="G1132" s="6" t="s">
        <v>3719</v>
      </c>
      <c r="H1132" s="8">
        <v>46379</v>
      </c>
      <c r="I1132" s="8">
        <v>44042</v>
      </c>
      <c r="J1132" s="8">
        <v>44085</v>
      </c>
      <c r="K1132" s="95">
        <v>44088</v>
      </c>
      <c r="L1132" s="95" t="s">
        <v>31</v>
      </c>
      <c r="M1132" s="8">
        <v>44099</v>
      </c>
      <c r="N1132" s="8">
        <v>44124</v>
      </c>
      <c r="O1132" s="8">
        <v>44109</v>
      </c>
      <c r="P1132" s="6" t="s">
        <v>75</v>
      </c>
      <c r="R1132" s="97" t="str">
        <f t="shared" si="42"/>
        <v/>
      </c>
      <c r="S1132" s="75" t="str">
        <f t="shared" si="41"/>
        <v/>
      </c>
      <c r="U1132" s="8">
        <v>44124</v>
      </c>
      <c r="X1132" s="135">
        <v>46557</v>
      </c>
    </row>
    <row r="1133" spans="1:24" x14ac:dyDescent="0.25">
      <c r="A1133" s="6" t="s">
        <v>70</v>
      </c>
      <c r="B1133" s="94" t="s">
        <v>1879</v>
      </c>
      <c r="C1133" s="6" t="s">
        <v>3720</v>
      </c>
      <c r="D1133" s="140">
        <v>11910476</v>
      </c>
      <c r="E1133" s="6" t="s">
        <v>881</v>
      </c>
      <c r="F1133" s="10" t="s">
        <v>528</v>
      </c>
      <c r="G1133" s="6" t="s">
        <v>3721</v>
      </c>
      <c r="H1133" s="8">
        <v>59004</v>
      </c>
      <c r="I1133" s="8">
        <v>43299</v>
      </c>
      <c r="J1133" s="8">
        <v>43301</v>
      </c>
      <c r="K1133" s="95">
        <v>43306</v>
      </c>
      <c r="L1133" s="95" t="s">
        <v>31</v>
      </c>
      <c r="M1133" s="8">
        <v>43312</v>
      </c>
      <c r="N1133" s="8">
        <v>44253</v>
      </c>
      <c r="O1133" s="8">
        <v>43924</v>
      </c>
      <c r="P1133" s="6" t="s">
        <v>75</v>
      </c>
      <c r="R1133" s="97" t="str">
        <f t="shared" si="42"/>
        <v/>
      </c>
      <c r="S1133" s="75" t="str">
        <f t="shared" si="41"/>
        <v/>
      </c>
      <c r="U1133" s="8">
        <v>44253</v>
      </c>
      <c r="V1133" s="100"/>
      <c r="W1133" s="6" t="s">
        <v>33</v>
      </c>
      <c r="X1133" s="95">
        <v>44429</v>
      </c>
    </row>
    <row r="1134" spans="1:24" x14ac:dyDescent="0.25">
      <c r="A1134" s="6" t="s">
        <v>25</v>
      </c>
      <c r="B1134" s="94" t="s">
        <v>3722</v>
      </c>
      <c r="C1134" s="6" t="s">
        <v>3723</v>
      </c>
      <c r="D1134" s="140">
        <v>11281050</v>
      </c>
      <c r="E1134" s="6" t="s">
        <v>584</v>
      </c>
      <c r="F1134" s="10" t="s">
        <v>309</v>
      </c>
      <c r="G1134" s="6" t="s">
        <v>3724</v>
      </c>
      <c r="H1134" s="8">
        <v>45607</v>
      </c>
      <c r="I1134" s="8">
        <v>43615</v>
      </c>
      <c r="J1134" s="8">
        <v>43615</v>
      </c>
      <c r="K1134" s="95">
        <v>43648</v>
      </c>
      <c r="L1134" s="95" t="s">
        <v>31</v>
      </c>
      <c r="M1134" s="8">
        <v>43655</v>
      </c>
      <c r="N1134" s="8">
        <v>43845</v>
      </c>
      <c r="O1134" s="8">
        <v>43775</v>
      </c>
      <c r="P1134" s="6" t="s">
        <v>35</v>
      </c>
      <c r="Q1134" s="96">
        <v>2556.75</v>
      </c>
      <c r="R1134" s="97">
        <f t="shared" si="42"/>
        <v>7.0047945205479456</v>
      </c>
      <c r="S1134" s="75">
        <f t="shared" si="41"/>
        <v>57852.597945205482</v>
      </c>
      <c r="U1134" s="8">
        <v>43935</v>
      </c>
      <c r="V1134" s="6" t="s">
        <v>36</v>
      </c>
      <c r="W1134" s="6" t="s">
        <v>33</v>
      </c>
      <c r="X1134" s="6"/>
    </row>
    <row r="1135" spans="1:24" ht="30" x14ac:dyDescent="0.25">
      <c r="A1135" s="6" t="s">
        <v>37</v>
      </c>
      <c r="B1135" s="94" t="s">
        <v>173</v>
      </c>
      <c r="C1135" s="6" t="s">
        <v>3725</v>
      </c>
      <c r="D1135" s="140" t="s">
        <v>3726</v>
      </c>
      <c r="E1135" s="6" t="s">
        <v>3727</v>
      </c>
      <c r="F1135" s="10" t="s">
        <v>299</v>
      </c>
      <c r="G1135" s="6" t="s">
        <v>3728</v>
      </c>
      <c r="H1135" s="8">
        <v>45339</v>
      </c>
      <c r="I1135" s="8">
        <v>43572</v>
      </c>
      <c r="J1135" s="8">
        <v>43577</v>
      </c>
      <c r="K1135" s="95">
        <v>43577</v>
      </c>
      <c r="L1135" s="95" t="s">
        <v>31</v>
      </c>
      <c r="M1135" s="8">
        <v>43585</v>
      </c>
      <c r="N1135" s="8">
        <v>43615</v>
      </c>
      <c r="O1135" s="8">
        <v>43602</v>
      </c>
      <c r="P1135" s="6" t="s">
        <v>182</v>
      </c>
      <c r="R1135" s="97" t="str">
        <f t="shared" si="42"/>
        <v/>
      </c>
      <c r="S1135" s="75" t="str">
        <f t="shared" si="41"/>
        <v/>
      </c>
      <c r="U1135" s="8">
        <v>43620</v>
      </c>
      <c r="W1135" s="6" t="s">
        <v>33</v>
      </c>
      <c r="X1135" s="95">
        <v>49755</v>
      </c>
    </row>
    <row r="1136" spans="1:24" x14ac:dyDescent="0.25">
      <c r="A1136" s="6" t="s">
        <v>25</v>
      </c>
      <c r="B1136" s="94" t="s">
        <v>3729</v>
      </c>
      <c r="C1136" s="6" t="s">
        <v>3730</v>
      </c>
      <c r="D1136" s="140">
        <v>11884020</v>
      </c>
      <c r="E1136" s="6" t="s">
        <v>3163</v>
      </c>
      <c r="F1136" s="10" t="s">
        <v>44</v>
      </c>
      <c r="G1136" s="6" t="s">
        <v>3731</v>
      </c>
      <c r="H1136" s="8">
        <v>45427</v>
      </c>
      <c r="I1136" s="8">
        <v>43616</v>
      </c>
      <c r="J1136" s="8">
        <v>43616</v>
      </c>
      <c r="K1136" s="95">
        <v>43641</v>
      </c>
      <c r="L1136" s="95" t="s">
        <v>31</v>
      </c>
      <c r="M1136" s="8">
        <v>43648</v>
      </c>
      <c r="N1136" s="8">
        <v>43837</v>
      </c>
      <c r="O1136" s="8">
        <v>43819</v>
      </c>
      <c r="P1136" s="6" t="s">
        <v>52</v>
      </c>
      <c r="R1136" s="97" t="str">
        <f t="shared" si="42"/>
        <v/>
      </c>
      <c r="S1136" s="75" t="str">
        <f t="shared" si="41"/>
        <v/>
      </c>
      <c r="U1136" s="8">
        <v>43837</v>
      </c>
      <c r="W1136" s="6" t="s">
        <v>33</v>
      </c>
      <c r="X1136" s="95">
        <v>45399</v>
      </c>
    </row>
    <row r="1137" spans="1:24" ht="30" x14ac:dyDescent="0.25">
      <c r="A1137" s="6" t="s">
        <v>25</v>
      </c>
      <c r="B1137" s="94" t="s">
        <v>1434</v>
      </c>
      <c r="C1137" s="6" t="s">
        <v>3732</v>
      </c>
      <c r="D1137" s="140">
        <v>11049199</v>
      </c>
      <c r="E1137" s="6" t="s">
        <v>247</v>
      </c>
      <c r="F1137" s="10" t="s">
        <v>44</v>
      </c>
      <c r="G1137" s="6" t="s">
        <v>3733</v>
      </c>
      <c r="H1137" s="8">
        <v>45700</v>
      </c>
      <c r="I1137" s="8">
        <v>43668</v>
      </c>
      <c r="J1137" s="8">
        <v>43670</v>
      </c>
      <c r="K1137" s="95">
        <v>43732</v>
      </c>
      <c r="L1137" s="95" t="s">
        <v>31</v>
      </c>
      <c r="M1137" s="8">
        <v>43738</v>
      </c>
      <c r="N1137" s="8">
        <v>43777</v>
      </c>
      <c r="O1137" s="8">
        <v>43766</v>
      </c>
      <c r="P1137" s="6" t="s">
        <v>52</v>
      </c>
      <c r="R1137" s="97" t="str">
        <f t="shared" si="42"/>
        <v/>
      </c>
      <c r="S1137" s="75" t="str">
        <f t="shared" si="41"/>
        <v/>
      </c>
      <c r="T1137" s="124" t="s">
        <v>3734</v>
      </c>
      <c r="U1137" s="8">
        <v>43777</v>
      </c>
      <c r="W1137" s="6" t="s">
        <v>33</v>
      </c>
      <c r="X1137" s="95">
        <v>49848</v>
      </c>
    </row>
    <row r="1138" spans="1:24" ht="30" x14ac:dyDescent="0.25">
      <c r="A1138" s="6" t="s">
        <v>25</v>
      </c>
      <c r="B1138" s="94" t="s">
        <v>145</v>
      </c>
      <c r="C1138" s="6" t="s">
        <v>3735</v>
      </c>
      <c r="D1138" s="140">
        <v>12015935</v>
      </c>
      <c r="E1138" s="6" t="s">
        <v>3736</v>
      </c>
      <c r="F1138" s="10" t="s">
        <v>62</v>
      </c>
      <c r="G1138" s="6" t="s">
        <v>3737</v>
      </c>
      <c r="H1138" s="8">
        <v>45853</v>
      </c>
      <c r="I1138" s="8">
        <v>43672</v>
      </c>
      <c r="J1138" s="8">
        <v>43677</v>
      </c>
      <c r="K1138" s="95">
        <v>43745</v>
      </c>
      <c r="L1138" s="95" t="s">
        <v>31</v>
      </c>
      <c r="M1138" s="8">
        <v>43748</v>
      </c>
      <c r="N1138" s="8">
        <v>43777</v>
      </c>
      <c r="O1138" s="8">
        <v>43766</v>
      </c>
      <c r="P1138" s="6" t="s">
        <v>52</v>
      </c>
      <c r="R1138" s="97" t="str">
        <f t="shared" si="42"/>
        <v/>
      </c>
      <c r="S1138" s="75" t="str">
        <f t="shared" si="41"/>
        <v/>
      </c>
      <c r="T1138" s="124" t="s">
        <v>3501</v>
      </c>
      <c r="U1138" s="8">
        <v>43777</v>
      </c>
      <c r="W1138" s="6" t="s">
        <v>33</v>
      </c>
      <c r="X1138" s="95">
        <v>51215</v>
      </c>
    </row>
    <row r="1139" spans="1:24" x14ac:dyDescent="0.25">
      <c r="A1139" s="6" t="s">
        <v>25</v>
      </c>
      <c r="B1139" s="94" t="s">
        <v>613</v>
      </c>
      <c r="C1139" s="6" t="s">
        <v>3738</v>
      </c>
      <c r="D1139" s="140">
        <v>11875974</v>
      </c>
      <c r="E1139" s="6" t="s">
        <v>826</v>
      </c>
      <c r="F1139" s="10" t="s">
        <v>44</v>
      </c>
      <c r="G1139" s="6" t="s">
        <v>3739</v>
      </c>
      <c r="H1139" s="8">
        <v>46656</v>
      </c>
      <c r="I1139" s="8">
        <v>43616</v>
      </c>
      <c r="J1139" s="8">
        <v>43616</v>
      </c>
      <c r="K1139" s="95">
        <v>43641</v>
      </c>
      <c r="L1139" s="95" t="s">
        <v>31</v>
      </c>
      <c r="M1139" s="8">
        <v>43648</v>
      </c>
      <c r="N1139" s="8">
        <v>43712</v>
      </c>
      <c r="O1139" s="8">
        <v>43700</v>
      </c>
      <c r="P1139" s="6" t="s">
        <v>35</v>
      </c>
      <c r="Q1139" s="96">
        <v>1826.25</v>
      </c>
      <c r="R1139" s="97">
        <v>5</v>
      </c>
      <c r="S1139" s="75">
        <f t="shared" si="41"/>
        <v>41323.284246575342</v>
      </c>
      <c r="U1139" s="8">
        <v>43712</v>
      </c>
      <c r="W1139" s="6" t="s">
        <v>33</v>
      </c>
      <c r="X1139" s="6"/>
    </row>
    <row r="1140" spans="1:24" x14ac:dyDescent="0.25">
      <c r="A1140" s="6" t="s">
        <v>25</v>
      </c>
      <c r="B1140" s="94" t="s">
        <v>3740</v>
      </c>
      <c r="C1140" s="6" t="s">
        <v>3741</v>
      </c>
      <c r="D1140" s="140">
        <v>11886062</v>
      </c>
      <c r="E1140" s="6" t="s">
        <v>1996</v>
      </c>
      <c r="F1140" s="10" t="s">
        <v>44</v>
      </c>
      <c r="G1140" s="6" t="s">
        <v>3742</v>
      </c>
      <c r="H1140" s="8">
        <v>45261</v>
      </c>
      <c r="I1140" s="8">
        <v>43616</v>
      </c>
      <c r="J1140" s="8">
        <v>43616</v>
      </c>
      <c r="K1140" s="95">
        <v>43641</v>
      </c>
      <c r="L1140" s="95" t="s">
        <v>31</v>
      </c>
      <c r="M1140" s="8">
        <v>43648</v>
      </c>
      <c r="R1140" s="97" t="str">
        <f t="shared" ref="R1140:R1171" si="43">IF(Q1140&gt;0, Q1140/365, "")</f>
        <v/>
      </c>
      <c r="S1140" s="75" t="str">
        <f t="shared" si="41"/>
        <v/>
      </c>
      <c r="T1140" s="124" t="s">
        <v>3743</v>
      </c>
      <c r="U1140" s="8">
        <v>45065</v>
      </c>
      <c r="W1140" s="6" t="s">
        <v>33</v>
      </c>
      <c r="X1140" s="6"/>
    </row>
    <row r="1141" spans="1:24" x14ac:dyDescent="0.25">
      <c r="A1141" s="6" t="s">
        <v>37</v>
      </c>
      <c r="B1141" s="94" t="s">
        <v>173</v>
      </c>
      <c r="C1141" s="6" t="s">
        <v>3744</v>
      </c>
      <c r="D1141" s="140">
        <v>11596254</v>
      </c>
      <c r="E1141" s="6" t="s">
        <v>3745</v>
      </c>
      <c r="F1141" s="10" t="s">
        <v>44</v>
      </c>
      <c r="G1141" s="6" t="s">
        <v>3746</v>
      </c>
      <c r="H1141" s="8">
        <v>49418</v>
      </c>
      <c r="I1141" s="8">
        <v>43550</v>
      </c>
      <c r="J1141" s="8">
        <v>43567</v>
      </c>
      <c r="K1141" s="95">
        <v>43567</v>
      </c>
      <c r="L1141" s="95" t="s">
        <v>31</v>
      </c>
      <c r="M1141" s="8">
        <v>43574</v>
      </c>
      <c r="N1141" s="8">
        <v>43647</v>
      </c>
      <c r="O1141" s="8">
        <v>43640</v>
      </c>
      <c r="P1141" s="6" t="s">
        <v>75</v>
      </c>
      <c r="R1141" s="97" t="str">
        <f t="shared" si="43"/>
        <v/>
      </c>
      <c r="S1141" s="75" t="str">
        <f t="shared" si="41"/>
        <v/>
      </c>
      <c r="U1141" s="8">
        <v>43647</v>
      </c>
      <c r="W1141" s="6" t="s">
        <v>33</v>
      </c>
      <c r="X1141" s="95">
        <v>49667</v>
      </c>
    </row>
    <row r="1142" spans="1:24" x14ac:dyDescent="0.25">
      <c r="A1142" s="6" t="s">
        <v>25</v>
      </c>
      <c r="B1142" s="94" t="s">
        <v>944</v>
      </c>
      <c r="C1142" s="6" t="s">
        <v>3747</v>
      </c>
      <c r="D1142" s="140">
        <v>11862538</v>
      </c>
      <c r="E1142" s="6" t="s">
        <v>2850</v>
      </c>
      <c r="F1142" s="10" t="s">
        <v>44</v>
      </c>
      <c r="G1142" s="6" t="s">
        <v>3748</v>
      </c>
      <c r="H1142" s="8">
        <v>45892</v>
      </c>
      <c r="I1142" s="8">
        <v>43616</v>
      </c>
      <c r="J1142" s="8">
        <v>43616</v>
      </c>
      <c r="K1142" s="95">
        <v>43641</v>
      </c>
      <c r="L1142" s="95" t="s">
        <v>31</v>
      </c>
      <c r="M1142" s="8">
        <v>43647</v>
      </c>
      <c r="N1142" s="8">
        <v>43768</v>
      </c>
      <c r="O1142" s="8">
        <v>43759</v>
      </c>
      <c r="P1142" s="6" t="s">
        <v>35</v>
      </c>
      <c r="Q1142" s="96">
        <v>1826.25</v>
      </c>
      <c r="R1142" s="97">
        <f t="shared" si="43"/>
        <v>5.0034246575342465</v>
      </c>
      <c r="S1142" s="75">
        <f t="shared" si="41"/>
        <v>41323.284246575342</v>
      </c>
      <c r="U1142" s="8">
        <v>43768</v>
      </c>
      <c r="W1142" s="6" t="s">
        <v>33</v>
      </c>
      <c r="X1142" s="6"/>
    </row>
    <row r="1143" spans="1:24" x14ac:dyDescent="0.25">
      <c r="A1143" s="6" t="s">
        <v>25</v>
      </c>
      <c r="B1143" s="94" t="s">
        <v>3749</v>
      </c>
      <c r="C1143" s="6" t="s">
        <v>3750</v>
      </c>
      <c r="D1143" s="140">
        <v>11895506</v>
      </c>
      <c r="E1143" s="6" t="s">
        <v>209</v>
      </c>
      <c r="F1143" s="10" t="s">
        <v>44</v>
      </c>
      <c r="G1143" s="6" t="s">
        <v>3751</v>
      </c>
      <c r="H1143" s="8">
        <v>52403</v>
      </c>
      <c r="I1143" s="8">
        <v>43623</v>
      </c>
      <c r="J1143" s="8">
        <v>43623</v>
      </c>
      <c r="K1143" s="95">
        <v>43663</v>
      </c>
      <c r="L1143" s="95" t="s">
        <v>31</v>
      </c>
      <c r="M1143" s="8">
        <v>43669</v>
      </c>
      <c r="N1143" s="8">
        <v>44302</v>
      </c>
      <c r="O1143" s="8">
        <v>44028</v>
      </c>
      <c r="P1143" s="6" t="s">
        <v>75</v>
      </c>
      <c r="R1143" s="97" t="str">
        <f t="shared" si="43"/>
        <v/>
      </c>
      <c r="S1143" s="75" t="str">
        <f t="shared" si="41"/>
        <v/>
      </c>
      <c r="U1143" s="8">
        <v>44302</v>
      </c>
      <c r="W1143" s="6" t="s">
        <v>33</v>
      </c>
      <c r="X1143" s="6"/>
    </row>
    <row r="1144" spans="1:24" x14ac:dyDescent="0.25">
      <c r="A1144" s="6" t="s">
        <v>25</v>
      </c>
      <c r="B1144" s="94" t="s">
        <v>1070</v>
      </c>
      <c r="C1144" s="6" t="s">
        <v>3752</v>
      </c>
      <c r="D1144" s="140">
        <v>11046090</v>
      </c>
      <c r="E1144" s="6" t="s">
        <v>209</v>
      </c>
      <c r="F1144" s="10" t="s">
        <v>121</v>
      </c>
      <c r="G1144" s="6" t="s">
        <v>3753</v>
      </c>
      <c r="H1144" s="8">
        <v>48651</v>
      </c>
      <c r="I1144" s="8">
        <v>43679</v>
      </c>
      <c r="J1144" s="8">
        <v>43682</v>
      </c>
      <c r="K1144" s="95">
        <v>43753</v>
      </c>
      <c r="L1144" s="95" t="s">
        <v>31</v>
      </c>
      <c r="M1144" s="8">
        <v>43763</v>
      </c>
      <c r="N1144" s="8">
        <v>43783</v>
      </c>
      <c r="O1144" s="8">
        <v>43776</v>
      </c>
      <c r="P1144" s="6" t="s">
        <v>75</v>
      </c>
      <c r="R1144" s="97" t="str">
        <f t="shared" si="43"/>
        <v/>
      </c>
      <c r="S1144" s="75" t="str">
        <f t="shared" si="41"/>
        <v/>
      </c>
      <c r="U1144" s="8">
        <v>43783</v>
      </c>
      <c r="W1144" s="6" t="s">
        <v>33</v>
      </c>
      <c r="X1144" s="95">
        <v>52181</v>
      </c>
    </row>
    <row r="1145" spans="1:24" ht="30" x14ac:dyDescent="0.25">
      <c r="A1145" s="101" t="s">
        <v>70</v>
      </c>
      <c r="B1145" s="102" t="s">
        <v>197</v>
      </c>
      <c r="C1145" s="101" t="s">
        <v>3754</v>
      </c>
      <c r="D1145" s="141">
        <v>11075021</v>
      </c>
      <c r="E1145" s="101" t="s">
        <v>185</v>
      </c>
      <c r="F1145" s="101" t="s">
        <v>143</v>
      </c>
      <c r="G1145" s="101" t="s">
        <v>3755</v>
      </c>
      <c r="H1145" s="103">
        <v>45575</v>
      </c>
      <c r="I1145" s="95">
        <v>43136</v>
      </c>
      <c r="J1145" s="95">
        <v>43136</v>
      </c>
      <c r="K1145" s="104">
        <v>43143</v>
      </c>
      <c r="L1145" s="95" t="s">
        <v>31</v>
      </c>
      <c r="M1145" s="103">
        <v>43181</v>
      </c>
      <c r="N1145" s="103">
        <v>43563</v>
      </c>
      <c r="O1145" s="103">
        <v>43406</v>
      </c>
      <c r="P1145" s="101" t="s">
        <v>52</v>
      </c>
      <c r="Q1145" s="105"/>
      <c r="R1145" s="97" t="str">
        <f t="shared" si="43"/>
        <v/>
      </c>
      <c r="S1145" s="75" t="str">
        <f t="shared" si="41"/>
        <v/>
      </c>
      <c r="T1145" s="125" t="s">
        <v>3756</v>
      </c>
      <c r="U1145" s="8">
        <v>43563</v>
      </c>
      <c r="W1145" s="6" t="s">
        <v>33</v>
      </c>
      <c r="X1145" s="95">
        <v>51726</v>
      </c>
    </row>
    <row r="1146" spans="1:24" x14ac:dyDescent="0.25">
      <c r="A1146" s="6" t="s">
        <v>25</v>
      </c>
      <c r="B1146" s="94" t="s">
        <v>2857</v>
      </c>
      <c r="C1146" s="6" t="s">
        <v>3757</v>
      </c>
      <c r="D1146" s="140">
        <v>11309852</v>
      </c>
      <c r="E1146" s="6" t="s">
        <v>244</v>
      </c>
      <c r="F1146" s="10" t="s">
        <v>134</v>
      </c>
      <c r="G1146" s="6" t="s">
        <v>3758</v>
      </c>
      <c r="H1146" s="8">
        <v>48205</v>
      </c>
      <c r="I1146" s="8">
        <v>43623</v>
      </c>
      <c r="J1146" s="8">
        <v>43623</v>
      </c>
      <c r="K1146" s="95">
        <v>43663</v>
      </c>
      <c r="L1146" s="95" t="s">
        <v>31</v>
      </c>
      <c r="M1146" s="8">
        <v>43668</v>
      </c>
      <c r="N1146" s="8">
        <v>43872</v>
      </c>
      <c r="O1146" s="8">
        <v>43861</v>
      </c>
      <c r="P1146" s="6" t="s">
        <v>75</v>
      </c>
      <c r="R1146" s="97" t="str">
        <f t="shared" si="43"/>
        <v/>
      </c>
      <c r="S1146" s="75" t="str">
        <f t="shared" si="41"/>
        <v/>
      </c>
      <c r="U1146" s="8">
        <v>43873</v>
      </c>
      <c r="W1146" s="6" t="s">
        <v>33</v>
      </c>
      <c r="X1146" s="6"/>
    </row>
    <row r="1147" spans="1:24" x14ac:dyDescent="0.25">
      <c r="A1147" s="6" t="s">
        <v>25</v>
      </c>
      <c r="B1147" s="94" t="s">
        <v>3759</v>
      </c>
      <c r="C1147" s="6" t="s">
        <v>3760</v>
      </c>
      <c r="D1147" s="140">
        <v>11057882</v>
      </c>
      <c r="E1147" s="6" t="s">
        <v>588</v>
      </c>
      <c r="F1147" s="10" t="s">
        <v>293</v>
      </c>
      <c r="G1147" s="6">
        <v>162916</v>
      </c>
      <c r="H1147" s="8">
        <v>44631</v>
      </c>
      <c r="I1147" s="8">
        <v>43601</v>
      </c>
      <c r="J1147" s="8">
        <v>43601</v>
      </c>
      <c r="K1147" s="95">
        <v>43634</v>
      </c>
      <c r="L1147" s="95" t="s">
        <v>31</v>
      </c>
      <c r="M1147" s="8">
        <v>43636</v>
      </c>
      <c r="N1147" s="8">
        <v>43854</v>
      </c>
      <c r="O1147" s="8">
        <v>43811</v>
      </c>
      <c r="P1147" s="6" t="s">
        <v>35</v>
      </c>
      <c r="Q1147" s="96">
        <v>730</v>
      </c>
      <c r="R1147" s="97">
        <f t="shared" si="43"/>
        <v>2</v>
      </c>
      <c r="S1147" s="75">
        <f t="shared" si="41"/>
        <v>16518</v>
      </c>
      <c r="T1147" s="124" t="s">
        <v>320</v>
      </c>
      <c r="U1147" s="8">
        <v>43854</v>
      </c>
      <c r="W1147" s="6" t="s">
        <v>33</v>
      </c>
      <c r="X1147" s="95">
        <v>49287</v>
      </c>
    </row>
    <row r="1148" spans="1:24" x14ac:dyDescent="0.25">
      <c r="A1148" s="101" t="s">
        <v>85</v>
      </c>
      <c r="B1148" s="102" t="s">
        <v>3761</v>
      </c>
      <c r="C1148" s="101" t="s">
        <v>3762</v>
      </c>
      <c r="D1148" s="141">
        <v>11343550</v>
      </c>
      <c r="E1148" s="6" t="s">
        <v>236</v>
      </c>
      <c r="F1148" s="101" t="s">
        <v>44</v>
      </c>
      <c r="G1148" s="101" t="s">
        <v>3763</v>
      </c>
      <c r="H1148" s="103">
        <v>43869</v>
      </c>
      <c r="I1148" s="95">
        <v>43136</v>
      </c>
      <c r="J1148" s="95">
        <v>43144</v>
      </c>
      <c r="K1148" s="104">
        <v>43146</v>
      </c>
      <c r="L1148" s="95" t="s">
        <v>31</v>
      </c>
      <c r="M1148" s="103">
        <v>43200</v>
      </c>
      <c r="N1148" s="103">
        <v>43563</v>
      </c>
      <c r="O1148" s="103">
        <v>43208</v>
      </c>
      <c r="P1148" s="101" t="s">
        <v>182</v>
      </c>
      <c r="Q1148" s="105"/>
      <c r="R1148" s="97" t="str">
        <f t="shared" si="43"/>
        <v/>
      </c>
      <c r="S1148" s="75" t="str">
        <f t="shared" si="41"/>
        <v/>
      </c>
      <c r="T1148" s="125"/>
      <c r="U1148" s="8">
        <v>43563</v>
      </c>
      <c r="W1148" s="6" t="s">
        <v>33</v>
      </c>
      <c r="X1148" s="95">
        <v>51520</v>
      </c>
    </row>
    <row r="1149" spans="1:24" x14ac:dyDescent="0.25">
      <c r="A1149" s="6" t="s">
        <v>25</v>
      </c>
      <c r="B1149" s="94" t="s">
        <v>3764</v>
      </c>
      <c r="C1149" s="6" t="s">
        <v>3765</v>
      </c>
      <c r="D1149" s="140">
        <v>11072352</v>
      </c>
      <c r="E1149" s="6" t="s">
        <v>1752</v>
      </c>
      <c r="F1149" s="10" t="s">
        <v>44</v>
      </c>
      <c r="G1149" s="6" t="s">
        <v>3766</v>
      </c>
      <c r="H1149" s="8">
        <v>45305</v>
      </c>
      <c r="I1149" s="8">
        <v>43619</v>
      </c>
      <c r="J1149" s="8">
        <v>43619</v>
      </c>
      <c r="K1149" s="95">
        <v>43648</v>
      </c>
      <c r="L1149" s="95" t="s">
        <v>31</v>
      </c>
      <c r="M1149" s="8">
        <v>43651</v>
      </c>
      <c r="N1149" s="8">
        <v>43682</v>
      </c>
      <c r="O1149" s="8">
        <v>43676</v>
      </c>
      <c r="P1149" s="6" t="s">
        <v>75</v>
      </c>
      <c r="R1149" s="97" t="str">
        <f t="shared" si="43"/>
        <v/>
      </c>
      <c r="S1149" s="75" t="str">
        <f t="shared" si="41"/>
        <v/>
      </c>
      <c r="U1149" s="8">
        <v>43935</v>
      </c>
      <c r="W1149" s="6" t="s">
        <v>33</v>
      </c>
      <c r="X1149" s="6"/>
    </row>
    <row r="1150" spans="1:24" x14ac:dyDescent="0.25">
      <c r="A1150" s="6" t="s">
        <v>25</v>
      </c>
      <c r="B1150" s="94" t="s">
        <v>3767</v>
      </c>
      <c r="C1150" s="6" t="s">
        <v>3768</v>
      </c>
      <c r="D1150" s="140">
        <v>11070623</v>
      </c>
      <c r="E1150" s="6" t="s">
        <v>1539</v>
      </c>
      <c r="F1150" s="10" t="s">
        <v>121</v>
      </c>
      <c r="G1150" s="6" t="s">
        <v>3769</v>
      </c>
      <c r="H1150" s="8">
        <v>45356</v>
      </c>
      <c r="I1150" s="8">
        <v>43620</v>
      </c>
      <c r="J1150" s="8">
        <v>43620</v>
      </c>
      <c r="K1150" s="95">
        <v>43648</v>
      </c>
      <c r="L1150" s="95" t="s">
        <v>31</v>
      </c>
      <c r="M1150" s="8">
        <v>43651</v>
      </c>
      <c r="R1150" s="97" t="str">
        <f t="shared" si="43"/>
        <v/>
      </c>
      <c r="S1150" s="75" t="str">
        <f t="shared" si="41"/>
        <v/>
      </c>
      <c r="T1150" s="124" t="s">
        <v>3770</v>
      </c>
      <c r="U1150" s="8">
        <v>44140</v>
      </c>
      <c r="W1150" s="6" t="s">
        <v>33</v>
      </c>
      <c r="X1150" s="6"/>
    </row>
    <row r="1151" spans="1:24" x14ac:dyDescent="0.25">
      <c r="A1151" s="6" t="s">
        <v>25</v>
      </c>
      <c r="B1151" s="94" t="s">
        <v>1409</v>
      </c>
      <c r="C1151" s="6" t="s">
        <v>1410</v>
      </c>
      <c r="D1151" s="140">
        <v>11301969</v>
      </c>
      <c r="E1151" s="6" t="s">
        <v>1400</v>
      </c>
      <c r="F1151" s="10" t="s">
        <v>134</v>
      </c>
      <c r="G1151" s="6" t="s">
        <v>3771</v>
      </c>
      <c r="H1151" s="8">
        <v>52905</v>
      </c>
      <c r="I1151" s="8">
        <v>43623</v>
      </c>
      <c r="J1151" s="8">
        <v>43623</v>
      </c>
      <c r="K1151" s="95">
        <v>43663</v>
      </c>
      <c r="L1151" s="95" t="s">
        <v>31</v>
      </c>
      <c r="M1151" s="8">
        <v>43668</v>
      </c>
      <c r="N1151" s="8">
        <v>43805</v>
      </c>
      <c r="O1151" s="8">
        <v>43801</v>
      </c>
      <c r="P1151" s="6" t="s">
        <v>75</v>
      </c>
      <c r="R1151" s="97" t="str">
        <f t="shared" si="43"/>
        <v/>
      </c>
      <c r="S1151" s="75" t="str">
        <f t="shared" si="41"/>
        <v/>
      </c>
      <c r="U1151" s="8">
        <v>43809</v>
      </c>
      <c r="W1151" s="6" t="s">
        <v>33</v>
      </c>
      <c r="X1151" s="6"/>
    </row>
    <row r="1152" spans="1:24" x14ac:dyDescent="0.25">
      <c r="A1152" s="6" t="s">
        <v>25</v>
      </c>
      <c r="B1152" s="94" t="s">
        <v>108</v>
      </c>
      <c r="C1152" s="6" t="s">
        <v>3772</v>
      </c>
      <c r="D1152" s="140">
        <v>11068674</v>
      </c>
      <c r="E1152" s="6" t="s">
        <v>1659</v>
      </c>
      <c r="F1152" s="10" t="s">
        <v>44</v>
      </c>
      <c r="G1152" s="6" t="s">
        <v>3773</v>
      </c>
      <c r="H1152" s="8">
        <v>47480</v>
      </c>
      <c r="I1152" s="8">
        <v>43620</v>
      </c>
      <c r="J1152" s="8">
        <v>43620</v>
      </c>
      <c r="K1152" s="95">
        <v>43648</v>
      </c>
      <c r="L1152" s="95" t="s">
        <v>359</v>
      </c>
      <c r="R1152" s="97" t="str">
        <f t="shared" si="43"/>
        <v/>
      </c>
      <c r="S1152" s="75" t="str">
        <f t="shared" si="41"/>
        <v/>
      </c>
      <c r="W1152" s="6" t="s">
        <v>33</v>
      </c>
      <c r="X1152" s="95">
        <v>50513</v>
      </c>
    </row>
    <row r="1153" spans="1:24" x14ac:dyDescent="0.25">
      <c r="A1153" s="6" t="s">
        <v>85</v>
      </c>
      <c r="B1153" s="94" t="s">
        <v>3774</v>
      </c>
      <c r="C1153" s="6" t="s">
        <v>3775</v>
      </c>
      <c r="D1153" s="140">
        <v>12100054</v>
      </c>
      <c r="E1153" s="6" t="s">
        <v>651</v>
      </c>
      <c r="F1153" s="6" t="s">
        <v>134</v>
      </c>
      <c r="G1153" s="6" t="s">
        <v>3776</v>
      </c>
      <c r="H1153" s="8">
        <v>44489</v>
      </c>
      <c r="I1153" s="95">
        <v>43136</v>
      </c>
      <c r="J1153" s="8">
        <v>43236</v>
      </c>
      <c r="K1153" s="95">
        <v>43236</v>
      </c>
      <c r="L1153" s="95" t="s">
        <v>31</v>
      </c>
      <c r="M1153" s="8">
        <v>43242</v>
      </c>
      <c r="N1153" s="8">
        <v>43291</v>
      </c>
      <c r="P1153" s="101" t="s">
        <v>182</v>
      </c>
      <c r="R1153" s="97" t="str">
        <f t="shared" si="43"/>
        <v/>
      </c>
      <c r="S1153" s="75" t="str">
        <f t="shared" si="41"/>
        <v/>
      </c>
      <c r="U1153" s="8">
        <v>43291</v>
      </c>
      <c r="W1153" s="6" t="s">
        <v>33</v>
      </c>
      <c r="X1153" s="95">
        <v>46426</v>
      </c>
    </row>
    <row r="1154" spans="1:24" ht="30" x14ac:dyDescent="0.25">
      <c r="A1154" s="101" t="s">
        <v>70</v>
      </c>
      <c r="B1154" s="102" t="s">
        <v>797</v>
      </c>
      <c r="C1154" s="101" t="s">
        <v>3777</v>
      </c>
      <c r="D1154" s="141">
        <v>11637951</v>
      </c>
      <c r="E1154" s="101" t="s">
        <v>3778</v>
      </c>
      <c r="F1154" s="101" t="s">
        <v>205</v>
      </c>
      <c r="G1154" s="101" t="s">
        <v>3779</v>
      </c>
      <c r="H1154" s="103">
        <v>44004</v>
      </c>
      <c r="I1154" s="95">
        <v>43136</v>
      </c>
      <c r="J1154" s="95">
        <v>43202</v>
      </c>
      <c r="K1154" s="104">
        <v>43202</v>
      </c>
      <c r="L1154" s="95" t="s">
        <v>31</v>
      </c>
      <c r="M1154" s="103">
        <v>43206</v>
      </c>
      <c r="N1154" s="103">
        <v>43367</v>
      </c>
      <c r="O1154" s="103">
        <v>43363</v>
      </c>
      <c r="P1154" s="101" t="s">
        <v>35</v>
      </c>
      <c r="Q1154" s="105">
        <v>730.5</v>
      </c>
      <c r="R1154" s="97">
        <f t="shared" si="43"/>
        <v>2.0013698630136987</v>
      </c>
      <c r="S1154" s="75">
        <f t="shared" si="41"/>
        <v>16529.313698630136</v>
      </c>
      <c r="T1154" s="125" t="s">
        <v>3780</v>
      </c>
      <c r="U1154" s="8">
        <v>43367</v>
      </c>
      <c r="V1154" s="100" t="s">
        <v>36</v>
      </c>
      <c r="W1154" s="6" t="s">
        <v>33</v>
      </c>
      <c r="X1154" s="104">
        <v>55059</v>
      </c>
    </row>
    <row r="1155" spans="1:24" x14ac:dyDescent="0.25">
      <c r="A1155" s="6" t="s">
        <v>25</v>
      </c>
      <c r="B1155" s="94" t="s">
        <v>3781</v>
      </c>
      <c r="C1155" s="6" t="s">
        <v>3782</v>
      </c>
      <c r="D1155" s="140">
        <v>11069259</v>
      </c>
      <c r="E1155" s="6" t="s">
        <v>80</v>
      </c>
      <c r="F1155" s="10" t="s">
        <v>176</v>
      </c>
      <c r="G1155" s="6">
        <v>2013025191</v>
      </c>
      <c r="H1155" s="8">
        <v>48315</v>
      </c>
      <c r="I1155" s="8">
        <v>43619</v>
      </c>
      <c r="J1155" s="8">
        <v>43619</v>
      </c>
      <c r="K1155" s="95">
        <v>43648</v>
      </c>
      <c r="L1155" s="95" t="s">
        <v>31</v>
      </c>
      <c r="M1155" s="8">
        <v>43651</v>
      </c>
      <c r="N1155" s="8">
        <v>43941</v>
      </c>
      <c r="O1155" s="8">
        <v>43938</v>
      </c>
      <c r="P1155" s="6" t="s">
        <v>75</v>
      </c>
      <c r="R1155" s="97" t="str">
        <f t="shared" si="43"/>
        <v/>
      </c>
      <c r="S1155" s="75" t="str">
        <f t="shared" si="41"/>
        <v/>
      </c>
      <c r="U1155" s="8">
        <v>43943</v>
      </c>
      <c r="W1155" s="6" t="s">
        <v>33</v>
      </c>
      <c r="X1155" s="95">
        <v>50629</v>
      </c>
    </row>
    <row r="1156" spans="1:24" x14ac:dyDescent="0.25">
      <c r="A1156" s="6" t="s">
        <v>117</v>
      </c>
      <c r="B1156" s="94" t="s">
        <v>635</v>
      </c>
      <c r="C1156" s="6" t="s">
        <v>3783</v>
      </c>
      <c r="D1156" s="140">
        <v>11477952</v>
      </c>
      <c r="E1156" s="6" t="s">
        <v>472</v>
      </c>
      <c r="F1156" s="10" t="s">
        <v>528</v>
      </c>
      <c r="G1156" s="6" t="s">
        <v>3784</v>
      </c>
      <c r="H1156" s="8">
        <v>2958465</v>
      </c>
      <c r="I1156" s="8">
        <v>43343</v>
      </c>
      <c r="J1156" s="95">
        <v>43343</v>
      </c>
      <c r="K1156" s="95">
        <v>43347</v>
      </c>
      <c r="L1156" s="95" t="s">
        <v>31</v>
      </c>
      <c r="M1156" s="8">
        <v>43353</v>
      </c>
      <c r="N1156" s="8">
        <v>43769</v>
      </c>
      <c r="O1156" s="8">
        <v>43768</v>
      </c>
      <c r="P1156" s="6" t="s">
        <v>69</v>
      </c>
      <c r="R1156" s="97" t="str">
        <f t="shared" si="43"/>
        <v/>
      </c>
      <c r="S1156" s="75" t="str">
        <f t="shared" si="41"/>
        <v/>
      </c>
      <c r="T1156" s="124" t="s">
        <v>3785</v>
      </c>
      <c r="U1156" s="8">
        <v>43769</v>
      </c>
      <c r="V1156" s="107"/>
      <c r="W1156" s="6" t="s">
        <v>84</v>
      </c>
      <c r="X1156" s="95">
        <v>45523</v>
      </c>
    </row>
    <row r="1157" spans="1:24" ht="30" x14ac:dyDescent="0.25">
      <c r="A1157" s="6" t="s">
        <v>70</v>
      </c>
      <c r="B1157" s="94" t="s">
        <v>3786</v>
      </c>
      <c r="C1157" s="6" t="s">
        <v>3787</v>
      </c>
      <c r="D1157" s="140">
        <v>11601554</v>
      </c>
      <c r="E1157" s="6" t="s">
        <v>1096</v>
      </c>
      <c r="F1157" s="6" t="s">
        <v>1588</v>
      </c>
      <c r="G1157" s="6" t="s">
        <v>3788</v>
      </c>
      <c r="H1157" s="8">
        <v>43820</v>
      </c>
      <c r="I1157" s="95">
        <v>43136</v>
      </c>
      <c r="J1157" s="95">
        <v>43136</v>
      </c>
      <c r="K1157" s="95">
        <v>43179</v>
      </c>
      <c r="L1157" s="95" t="s">
        <v>31</v>
      </c>
      <c r="M1157" s="8">
        <v>43181</v>
      </c>
      <c r="N1157" s="8">
        <v>44274</v>
      </c>
      <c r="O1157" s="8">
        <v>43306</v>
      </c>
      <c r="P1157" s="6" t="s">
        <v>69</v>
      </c>
      <c r="R1157" s="97" t="str">
        <f t="shared" si="43"/>
        <v/>
      </c>
      <c r="S1157" s="75" t="str">
        <f t="shared" ref="S1157:S1220" si="44">IF(Q1157&gt;0, SUM(Q1157)*(8259/365), "")</f>
        <v/>
      </c>
      <c r="T1157" s="124" t="s">
        <v>3789</v>
      </c>
      <c r="U1157" s="8">
        <v>44274</v>
      </c>
      <c r="W1157" s="6" t="s">
        <v>33</v>
      </c>
      <c r="X1157" s="95">
        <v>43681</v>
      </c>
    </row>
    <row r="1158" spans="1:24" x14ac:dyDescent="0.25">
      <c r="A1158" s="6" t="s">
        <v>25</v>
      </c>
      <c r="B1158" s="94" t="s">
        <v>3790</v>
      </c>
      <c r="C1158" s="6" t="s">
        <v>3791</v>
      </c>
      <c r="D1158" s="140">
        <v>11898931</v>
      </c>
      <c r="E1158" s="6" t="s">
        <v>527</v>
      </c>
      <c r="F1158" s="10" t="s">
        <v>57</v>
      </c>
      <c r="G1158" s="6" t="s">
        <v>3554</v>
      </c>
      <c r="H1158" s="8">
        <v>53330</v>
      </c>
      <c r="I1158" s="8">
        <v>43623</v>
      </c>
      <c r="J1158" s="8">
        <v>43623</v>
      </c>
      <c r="K1158" s="95">
        <v>43663</v>
      </c>
      <c r="L1158" s="95" t="s">
        <v>31</v>
      </c>
      <c r="M1158" s="8">
        <v>43669</v>
      </c>
      <c r="R1158" s="97" t="str">
        <f t="shared" si="43"/>
        <v/>
      </c>
      <c r="S1158" s="75" t="str">
        <f t="shared" si="44"/>
        <v/>
      </c>
      <c r="W1158" s="6" t="s">
        <v>33</v>
      </c>
      <c r="X1158" s="95">
        <v>51375</v>
      </c>
    </row>
    <row r="1159" spans="1:24" x14ac:dyDescent="0.25">
      <c r="A1159" s="6" t="s">
        <v>25</v>
      </c>
      <c r="B1159" s="94" t="s">
        <v>145</v>
      </c>
      <c r="C1159" s="6" t="s">
        <v>3792</v>
      </c>
      <c r="D1159" s="140">
        <v>11909929</v>
      </c>
      <c r="E1159" s="6" t="s">
        <v>61</v>
      </c>
      <c r="F1159" s="10" t="s">
        <v>143</v>
      </c>
      <c r="G1159" s="6" t="s">
        <v>3793</v>
      </c>
      <c r="H1159" s="8">
        <v>59003</v>
      </c>
      <c r="I1159" s="8">
        <v>43623</v>
      </c>
      <c r="J1159" s="8">
        <v>43623</v>
      </c>
      <c r="K1159" s="95">
        <v>43663</v>
      </c>
      <c r="L1159" s="95" t="s">
        <v>31</v>
      </c>
      <c r="M1159" s="8">
        <v>43669</v>
      </c>
      <c r="N1159" s="8">
        <v>43686</v>
      </c>
      <c r="O1159" s="8">
        <v>43682</v>
      </c>
      <c r="P1159" s="6" t="s">
        <v>52</v>
      </c>
      <c r="R1159" s="97" t="str">
        <f t="shared" si="43"/>
        <v/>
      </c>
      <c r="S1159" s="75" t="str">
        <f t="shared" si="44"/>
        <v/>
      </c>
      <c r="T1159" s="124" t="s">
        <v>3794</v>
      </c>
      <c r="U1159" s="8">
        <v>43686</v>
      </c>
      <c r="W1159" s="6" t="s">
        <v>33</v>
      </c>
      <c r="X1159" s="6"/>
    </row>
    <row r="1160" spans="1:24" x14ac:dyDescent="0.25">
      <c r="A1160" s="6" t="s">
        <v>25</v>
      </c>
      <c r="B1160" s="94" t="s">
        <v>496</v>
      </c>
      <c r="C1160" s="6" t="s">
        <v>3795</v>
      </c>
      <c r="D1160" s="140">
        <v>11897558</v>
      </c>
      <c r="E1160" s="6" t="s">
        <v>1927</v>
      </c>
      <c r="F1160" s="10" t="s">
        <v>44</v>
      </c>
      <c r="G1160" s="6" t="s">
        <v>3796</v>
      </c>
      <c r="H1160" s="8">
        <v>47026</v>
      </c>
      <c r="I1160" s="8">
        <v>43623</v>
      </c>
      <c r="J1160" s="8">
        <v>43623</v>
      </c>
      <c r="K1160" s="95">
        <v>43663</v>
      </c>
      <c r="L1160" s="95" t="s">
        <v>31</v>
      </c>
      <c r="M1160" s="8">
        <v>43669</v>
      </c>
      <c r="N1160" s="8">
        <v>44845</v>
      </c>
      <c r="O1160" s="8">
        <v>44833</v>
      </c>
      <c r="P1160" s="6" t="s">
        <v>35</v>
      </c>
      <c r="Q1160" s="96">
        <v>365</v>
      </c>
      <c r="R1160" s="97">
        <f t="shared" si="43"/>
        <v>1</v>
      </c>
      <c r="S1160" s="75">
        <f t="shared" si="44"/>
        <v>8259</v>
      </c>
      <c r="U1160" s="8">
        <v>45022</v>
      </c>
      <c r="W1160" s="6" t="s">
        <v>33</v>
      </c>
      <c r="X1160" s="95">
        <v>50460</v>
      </c>
    </row>
    <row r="1161" spans="1:24" x14ac:dyDescent="0.25">
      <c r="A1161" s="6" t="s">
        <v>25</v>
      </c>
      <c r="B1161" s="94" t="s">
        <v>458</v>
      </c>
      <c r="C1161" s="6" t="s">
        <v>3797</v>
      </c>
      <c r="D1161" s="140">
        <v>11889281</v>
      </c>
      <c r="E1161" s="6" t="s">
        <v>3798</v>
      </c>
      <c r="F1161" s="10" t="s">
        <v>44</v>
      </c>
      <c r="G1161" s="6" t="s">
        <v>3799</v>
      </c>
      <c r="H1161" s="8">
        <v>44251</v>
      </c>
      <c r="I1161" s="8">
        <v>43623</v>
      </c>
      <c r="J1161" s="8">
        <v>43623</v>
      </c>
      <c r="K1161" s="95">
        <v>43663</v>
      </c>
      <c r="L1161" s="95" t="s">
        <v>359</v>
      </c>
      <c r="R1161" s="97" t="str">
        <f t="shared" si="43"/>
        <v/>
      </c>
      <c r="S1161" s="75" t="str">
        <f t="shared" si="44"/>
        <v/>
      </c>
      <c r="W1161" s="6" t="s">
        <v>33</v>
      </c>
      <c r="X1161" s="95">
        <v>51587</v>
      </c>
    </row>
    <row r="1162" spans="1:24" x14ac:dyDescent="0.25">
      <c r="A1162" s="6" t="s">
        <v>25</v>
      </c>
      <c r="B1162" s="94" t="s">
        <v>164</v>
      </c>
      <c r="C1162" s="6" t="s">
        <v>3800</v>
      </c>
      <c r="D1162" s="140">
        <v>11888866</v>
      </c>
      <c r="E1162" s="6" t="s">
        <v>1539</v>
      </c>
      <c r="F1162" s="10" t="s">
        <v>44</v>
      </c>
      <c r="G1162" s="6" t="s">
        <v>3801</v>
      </c>
      <c r="H1162" s="8">
        <v>48214</v>
      </c>
      <c r="I1162" s="8">
        <v>43623</v>
      </c>
      <c r="J1162" s="8">
        <v>43623</v>
      </c>
      <c r="K1162" s="95">
        <v>43663</v>
      </c>
      <c r="L1162" s="95" t="s">
        <v>359</v>
      </c>
      <c r="R1162" s="97" t="str">
        <f t="shared" si="43"/>
        <v/>
      </c>
      <c r="S1162" s="75" t="str">
        <f t="shared" si="44"/>
        <v/>
      </c>
      <c r="W1162" s="6" t="s">
        <v>33</v>
      </c>
      <c r="X1162" s="95">
        <v>50537</v>
      </c>
    </row>
    <row r="1163" spans="1:24" x14ac:dyDescent="0.25">
      <c r="A1163" s="6" t="s">
        <v>25</v>
      </c>
      <c r="B1163" s="94" t="s">
        <v>3802</v>
      </c>
      <c r="C1163" s="6" t="s">
        <v>3803</v>
      </c>
      <c r="D1163" s="140">
        <v>11281808</v>
      </c>
      <c r="E1163" s="6" t="s">
        <v>1236</v>
      </c>
      <c r="F1163" s="10" t="s">
        <v>44</v>
      </c>
      <c r="G1163" s="6" t="s">
        <v>3804</v>
      </c>
      <c r="H1163" s="8">
        <v>44600</v>
      </c>
      <c r="I1163" s="8">
        <v>43763</v>
      </c>
      <c r="J1163" s="8">
        <v>43759</v>
      </c>
      <c r="K1163" s="95">
        <v>43818</v>
      </c>
      <c r="L1163" s="95" t="s">
        <v>31</v>
      </c>
      <c r="M1163" s="8">
        <v>43823</v>
      </c>
      <c r="N1163" s="8">
        <v>44253</v>
      </c>
      <c r="O1163" s="8">
        <v>43964</v>
      </c>
      <c r="P1163" s="6" t="s">
        <v>182</v>
      </c>
      <c r="R1163" s="97" t="str">
        <f t="shared" si="43"/>
        <v/>
      </c>
      <c r="S1163" s="75" t="str">
        <f t="shared" si="44"/>
        <v/>
      </c>
      <c r="U1163" s="8">
        <v>44253</v>
      </c>
      <c r="W1163" s="6" t="s">
        <v>33</v>
      </c>
      <c r="X1163" s="95">
        <v>52943</v>
      </c>
    </row>
    <row r="1164" spans="1:24" x14ac:dyDescent="0.25">
      <c r="A1164" s="6" t="s">
        <v>25</v>
      </c>
      <c r="B1164" s="94" t="s">
        <v>2671</v>
      </c>
      <c r="C1164" s="6" t="s">
        <v>3805</v>
      </c>
      <c r="D1164" s="140">
        <v>11298397</v>
      </c>
      <c r="E1164" s="6" t="s">
        <v>414</v>
      </c>
      <c r="F1164" s="10" t="s">
        <v>134</v>
      </c>
      <c r="G1164" s="6" t="s">
        <v>3806</v>
      </c>
      <c r="H1164" s="8">
        <v>46681</v>
      </c>
      <c r="I1164" s="8">
        <v>43623</v>
      </c>
      <c r="J1164" s="8">
        <v>43623</v>
      </c>
      <c r="K1164" s="95">
        <v>43663</v>
      </c>
      <c r="L1164" s="95" t="s">
        <v>31</v>
      </c>
      <c r="M1164" s="8">
        <v>43668</v>
      </c>
      <c r="N1164" s="8">
        <v>44873</v>
      </c>
      <c r="O1164" s="8">
        <v>44853</v>
      </c>
      <c r="P1164" s="6" t="s">
        <v>35</v>
      </c>
      <c r="Q1164" s="96">
        <v>551</v>
      </c>
      <c r="R1164" s="97">
        <f t="shared" si="43"/>
        <v>1.5095890410958903</v>
      </c>
      <c r="S1164" s="75">
        <f t="shared" si="44"/>
        <v>12467.69589041096</v>
      </c>
      <c r="U1164" s="8">
        <v>44959</v>
      </c>
      <c r="V1164" s="6" t="s">
        <v>36</v>
      </c>
      <c r="W1164" s="6" t="s">
        <v>33</v>
      </c>
      <c r="X1164" s="95">
        <v>54999</v>
      </c>
    </row>
    <row r="1165" spans="1:24" x14ac:dyDescent="0.25">
      <c r="A1165" s="6" t="s">
        <v>168</v>
      </c>
      <c r="B1165" s="94" t="s">
        <v>3807</v>
      </c>
      <c r="C1165" s="6" t="s">
        <v>3808</v>
      </c>
      <c r="D1165" s="140">
        <v>11991281</v>
      </c>
      <c r="E1165" s="6" t="s">
        <v>3809</v>
      </c>
      <c r="F1165" s="10" t="s">
        <v>134</v>
      </c>
      <c r="G1165" s="6" t="s">
        <v>3810</v>
      </c>
      <c r="H1165" s="8">
        <v>50958</v>
      </c>
      <c r="I1165" s="8">
        <v>43501</v>
      </c>
      <c r="J1165" s="8">
        <v>43510</v>
      </c>
      <c r="K1165" s="95">
        <v>43515</v>
      </c>
      <c r="L1165" s="95" t="s">
        <v>359</v>
      </c>
      <c r="R1165" s="97" t="str">
        <f t="shared" si="43"/>
        <v/>
      </c>
      <c r="S1165" s="75" t="str">
        <f t="shared" si="44"/>
        <v/>
      </c>
      <c r="W1165" s="6" t="s">
        <v>84</v>
      </c>
      <c r="X1165" s="95">
        <v>39747</v>
      </c>
    </row>
    <row r="1166" spans="1:24" ht="14.25" customHeight="1" x14ac:dyDescent="0.25">
      <c r="A1166" s="6" t="s">
        <v>25</v>
      </c>
      <c r="B1166" s="94" t="s">
        <v>3377</v>
      </c>
      <c r="C1166" s="6" t="s">
        <v>3811</v>
      </c>
      <c r="D1166" s="140">
        <v>11305838</v>
      </c>
      <c r="E1166" s="6" t="s">
        <v>578</v>
      </c>
      <c r="F1166" s="10" t="s">
        <v>57</v>
      </c>
      <c r="G1166" s="6" t="s">
        <v>3812</v>
      </c>
      <c r="H1166" s="8">
        <v>49358</v>
      </c>
      <c r="I1166" s="8">
        <v>43623</v>
      </c>
      <c r="J1166" s="8">
        <v>43623</v>
      </c>
      <c r="K1166" s="95">
        <v>43663</v>
      </c>
      <c r="L1166" s="95" t="s">
        <v>31</v>
      </c>
      <c r="M1166" s="8">
        <v>43668</v>
      </c>
      <c r="N1166" s="8">
        <v>43795</v>
      </c>
      <c r="O1166" s="8">
        <v>43777</v>
      </c>
      <c r="P1166" s="6" t="s">
        <v>52</v>
      </c>
      <c r="R1166" s="97" t="str">
        <f t="shared" si="43"/>
        <v/>
      </c>
      <c r="S1166" s="75" t="str">
        <f t="shared" si="44"/>
        <v/>
      </c>
      <c r="W1166" s="6" t="s">
        <v>33</v>
      </c>
      <c r="X1166" s="6"/>
    </row>
    <row r="1167" spans="1:24" x14ac:dyDescent="0.25">
      <c r="A1167" s="6" t="s">
        <v>25</v>
      </c>
      <c r="B1167" s="94" t="s">
        <v>2864</v>
      </c>
      <c r="C1167" s="6" t="s">
        <v>3813</v>
      </c>
      <c r="D1167" s="140">
        <v>11766232</v>
      </c>
      <c r="E1167" s="6" t="s">
        <v>130</v>
      </c>
      <c r="F1167" s="10" t="s">
        <v>139</v>
      </c>
      <c r="G1167" s="6" t="s">
        <v>3814</v>
      </c>
      <c r="H1167" s="8">
        <v>45861</v>
      </c>
      <c r="I1167" s="8">
        <v>43672</v>
      </c>
      <c r="J1167" s="8">
        <v>43677</v>
      </c>
      <c r="K1167" s="95">
        <v>43745</v>
      </c>
      <c r="L1167" s="95" t="s">
        <v>31</v>
      </c>
      <c r="M1167" s="8">
        <v>43748</v>
      </c>
      <c r="N1167" s="8">
        <v>44697</v>
      </c>
      <c r="O1167" s="8">
        <v>44687</v>
      </c>
      <c r="P1167" s="6" t="s">
        <v>35</v>
      </c>
      <c r="Q1167" s="96">
        <v>730</v>
      </c>
      <c r="R1167" s="97">
        <f t="shared" si="43"/>
        <v>2</v>
      </c>
      <c r="S1167" s="75">
        <f t="shared" si="44"/>
        <v>16518</v>
      </c>
      <c r="U1167" s="8">
        <v>45065</v>
      </c>
      <c r="W1167" s="6" t="s">
        <v>33</v>
      </c>
      <c r="X1167" s="95">
        <v>49895</v>
      </c>
    </row>
    <row r="1168" spans="1:24" x14ac:dyDescent="0.25">
      <c r="A1168" s="6" t="s">
        <v>65</v>
      </c>
      <c r="B1168" s="94" t="s">
        <v>3254</v>
      </c>
      <c r="C1168" s="6" t="s">
        <v>3815</v>
      </c>
      <c r="D1168" s="140">
        <v>11372230</v>
      </c>
      <c r="E1168" s="6" t="s">
        <v>289</v>
      </c>
      <c r="F1168" s="10" t="s">
        <v>57</v>
      </c>
      <c r="G1168" s="6" t="s">
        <v>3816</v>
      </c>
      <c r="H1168" s="8">
        <v>44998</v>
      </c>
      <c r="I1168" s="8">
        <v>43348</v>
      </c>
      <c r="J1168" s="8">
        <v>43348</v>
      </c>
      <c r="K1168" s="95">
        <v>43362</v>
      </c>
      <c r="L1168" s="95" t="s">
        <v>31</v>
      </c>
      <c r="M1168" s="8">
        <v>43367</v>
      </c>
      <c r="N1168" s="8">
        <v>43892</v>
      </c>
      <c r="O1168" s="8">
        <v>43889</v>
      </c>
      <c r="P1168" s="6" t="s">
        <v>35</v>
      </c>
      <c r="Q1168" s="96">
        <v>1095.75</v>
      </c>
      <c r="R1168" s="97">
        <f t="shared" si="43"/>
        <v>3.0020547945205478</v>
      </c>
      <c r="S1168" s="75">
        <f t="shared" si="44"/>
        <v>24793.970547945206</v>
      </c>
      <c r="U1168" s="8">
        <v>43893</v>
      </c>
      <c r="W1168" s="6" t="s">
        <v>33</v>
      </c>
      <c r="X1168" s="95">
        <v>49542</v>
      </c>
    </row>
    <row r="1169" spans="1:24" x14ac:dyDescent="0.25">
      <c r="A1169" s="6" t="s">
        <v>70</v>
      </c>
      <c r="B1169" s="94" t="s">
        <v>1234</v>
      </c>
      <c r="C1169" s="6" t="s">
        <v>3817</v>
      </c>
      <c r="D1169" s="140">
        <v>12118402</v>
      </c>
      <c r="E1169" s="6" t="s">
        <v>56</v>
      </c>
      <c r="F1169" s="6" t="s">
        <v>134</v>
      </c>
      <c r="G1169" s="6" t="s">
        <v>3818</v>
      </c>
      <c r="H1169" s="8">
        <v>46424</v>
      </c>
      <c r="I1169" s="95">
        <v>43136</v>
      </c>
      <c r="J1169" s="95">
        <v>43202</v>
      </c>
      <c r="K1169" s="95">
        <v>43202</v>
      </c>
      <c r="L1169" s="95" t="s">
        <v>31</v>
      </c>
      <c r="M1169" s="8">
        <v>43206</v>
      </c>
      <c r="N1169" s="8">
        <v>43560</v>
      </c>
      <c r="O1169" s="8">
        <v>43270</v>
      </c>
      <c r="P1169" s="101" t="s">
        <v>182</v>
      </c>
      <c r="R1169" s="97" t="str">
        <f t="shared" si="43"/>
        <v/>
      </c>
      <c r="S1169" s="75" t="str">
        <f t="shared" si="44"/>
        <v/>
      </c>
      <c r="U1169" s="8">
        <v>43560</v>
      </c>
      <c r="W1169" s="6" t="s">
        <v>33</v>
      </c>
      <c r="X1169" s="95">
        <v>46514</v>
      </c>
    </row>
    <row r="1170" spans="1:24" x14ac:dyDescent="0.25">
      <c r="A1170" s="6" t="s">
        <v>70</v>
      </c>
      <c r="B1170" s="94" t="s">
        <v>792</v>
      </c>
      <c r="C1170" s="6" t="s">
        <v>3819</v>
      </c>
      <c r="D1170" s="140">
        <v>11606166</v>
      </c>
      <c r="E1170" s="6" t="s">
        <v>125</v>
      </c>
      <c r="F1170" s="6" t="s">
        <v>205</v>
      </c>
      <c r="G1170" s="6" t="s">
        <v>3820</v>
      </c>
      <c r="H1170" s="8">
        <v>43979</v>
      </c>
      <c r="I1170" s="95">
        <v>43136</v>
      </c>
      <c r="J1170" s="95">
        <v>43202</v>
      </c>
      <c r="K1170" s="95">
        <v>43202</v>
      </c>
      <c r="L1170" s="95" t="s">
        <v>31</v>
      </c>
      <c r="M1170" s="8">
        <v>43206</v>
      </c>
      <c r="N1170" s="8">
        <v>43560</v>
      </c>
      <c r="O1170" s="8">
        <v>43237</v>
      </c>
      <c r="P1170" s="101" t="s">
        <v>182</v>
      </c>
      <c r="R1170" s="97" t="str">
        <f t="shared" si="43"/>
        <v/>
      </c>
      <c r="S1170" s="75" t="str">
        <f t="shared" si="44"/>
        <v/>
      </c>
      <c r="U1170" s="8">
        <v>43560</v>
      </c>
      <c r="W1170" s="6" t="s">
        <v>33</v>
      </c>
      <c r="X1170" s="95">
        <v>43969</v>
      </c>
    </row>
    <row r="1171" spans="1:24" x14ac:dyDescent="0.25">
      <c r="A1171" s="6" t="s">
        <v>25</v>
      </c>
      <c r="B1171" s="94" t="s">
        <v>3821</v>
      </c>
      <c r="C1171" s="6" t="s">
        <v>3822</v>
      </c>
      <c r="D1171" s="140">
        <v>11312812</v>
      </c>
      <c r="E1171" s="6" t="s">
        <v>1082</v>
      </c>
      <c r="F1171" s="10" t="s">
        <v>252</v>
      </c>
      <c r="G1171" s="6">
        <v>51202902</v>
      </c>
      <c r="H1171" s="8">
        <v>45848</v>
      </c>
      <c r="I1171" s="8">
        <v>43623</v>
      </c>
      <c r="J1171" s="8">
        <v>43623</v>
      </c>
      <c r="K1171" s="95">
        <v>43663</v>
      </c>
      <c r="L1171" s="95" t="s">
        <v>31</v>
      </c>
      <c r="M1171" s="8">
        <v>43668</v>
      </c>
      <c r="N1171" s="8">
        <v>43719</v>
      </c>
      <c r="O1171" s="8">
        <v>43713</v>
      </c>
      <c r="P1171" s="6" t="s">
        <v>75</v>
      </c>
      <c r="R1171" s="97" t="str">
        <f t="shared" si="43"/>
        <v/>
      </c>
      <c r="S1171" s="75" t="str">
        <f t="shared" si="44"/>
        <v/>
      </c>
      <c r="U1171" s="8">
        <v>43719</v>
      </c>
      <c r="W1171" s="6" t="s">
        <v>33</v>
      </c>
      <c r="X1171" s="95">
        <v>49846</v>
      </c>
    </row>
    <row r="1172" spans="1:24" x14ac:dyDescent="0.25">
      <c r="A1172" s="6" t="s">
        <v>168</v>
      </c>
      <c r="B1172" s="94" t="s">
        <v>3823</v>
      </c>
      <c r="C1172" s="6" t="s">
        <v>3824</v>
      </c>
      <c r="D1172" s="140">
        <v>11768999</v>
      </c>
      <c r="E1172" s="6" t="s">
        <v>3290</v>
      </c>
      <c r="F1172" s="10" t="s">
        <v>44</v>
      </c>
      <c r="G1172" s="6" t="s">
        <v>3825</v>
      </c>
      <c r="H1172" s="8">
        <v>47725</v>
      </c>
      <c r="I1172" s="8">
        <v>44334</v>
      </c>
      <c r="J1172" s="8">
        <v>44343</v>
      </c>
      <c r="K1172" s="95">
        <v>44343</v>
      </c>
      <c r="L1172" s="95" t="s">
        <v>31</v>
      </c>
      <c r="M1172" s="8">
        <v>44362</v>
      </c>
      <c r="N1172" s="8">
        <v>44532</v>
      </c>
      <c r="O1172" s="8">
        <v>44502</v>
      </c>
      <c r="P1172" s="6" t="s">
        <v>90</v>
      </c>
      <c r="Q1172" s="96">
        <v>3186</v>
      </c>
      <c r="R1172" s="97">
        <f t="shared" ref="R1172:R1203" si="45">IF(Q1172&gt;0, Q1172/365, "")</f>
        <v>8.7287671232876711</v>
      </c>
      <c r="S1172" s="75">
        <f t="shared" si="44"/>
        <v>72090.887671232878</v>
      </c>
      <c r="T1172" s="124" t="s">
        <v>3826</v>
      </c>
      <c r="U1172" s="8">
        <v>44533</v>
      </c>
      <c r="V1172" s="6" t="s">
        <v>36</v>
      </c>
      <c r="W1172" s="6" t="s">
        <v>84</v>
      </c>
      <c r="X1172" s="7">
        <v>47522</v>
      </c>
    </row>
    <row r="1173" spans="1:24" ht="30" x14ac:dyDescent="0.25">
      <c r="A1173" s="6" t="s">
        <v>168</v>
      </c>
      <c r="B1173" s="94" t="s">
        <v>3827</v>
      </c>
      <c r="C1173" s="6" t="s">
        <v>3828</v>
      </c>
      <c r="D1173" s="140">
        <v>11695537</v>
      </c>
      <c r="E1173" s="6" t="s">
        <v>3829</v>
      </c>
      <c r="F1173" s="10" t="s">
        <v>44</v>
      </c>
      <c r="G1173" s="6" t="s">
        <v>3830</v>
      </c>
      <c r="H1173" s="8">
        <v>88465</v>
      </c>
      <c r="I1173" s="8">
        <v>43581</v>
      </c>
      <c r="J1173" s="8">
        <v>43614</v>
      </c>
      <c r="K1173" s="95">
        <v>43614</v>
      </c>
      <c r="L1173" s="95" t="s">
        <v>31</v>
      </c>
      <c r="M1173" s="8">
        <v>43619</v>
      </c>
      <c r="N1173" s="8">
        <v>43776</v>
      </c>
      <c r="O1173" s="8">
        <v>43768</v>
      </c>
      <c r="P1173" s="6" t="s">
        <v>75</v>
      </c>
      <c r="R1173" s="97" t="str">
        <f t="shared" si="45"/>
        <v/>
      </c>
      <c r="S1173" s="75" t="str">
        <f t="shared" si="44"/>
        <v/>
      </c>
      <c r="T1173" s="124" t="s">
        <v>2800</v>
      </c>
      <c r="U1173" s="8">
        <v>44995</v>
      </c>
      <c r="W1173" s="6" t="s">
        <v>84</v>
      </c>
      <c r="X1173" s="95">
        <v>49052</v>
      </c>
    </row>
    <row r="1174" spans="1:24" x14ac:dyDescent="0.25">
      <c r="A1174" s="6" t="s">
        <v>25</v>
      </c>
      <c r="B1174" s="94" t="s">
        <v>3831</v>
      </c>
      <c r="C1174" s="6" t="s">
        <v>3832</v>
      </c>
      <c r="D1174" s="140">
        <v>11253255</v>
      </c>
      <c r="E1174" s="6" t="s">
        <v>175</v>
      </c>
      <c r="F1174" s="10" t="s">
        <v>252</v>
      </c>
      <c r="G1174" s="6">
        <v>51315241</v>
      </c>
      <c r="H1174" s="8">
        <v>45062</v>
      </c>
      <c r="I1174" s="8">
        <v>43605</v>
      </c>
      <c r="J1174" s="8">
        <v>43605</v>
      </c>
      <c r="K1174" s="95">
        <v>43629</v>
      </c>
      <c r="L1174" s="95" t="s">
        <v>31</v>
      </c>
      <c r="M1174" s="8">
        <v>43634</v>
      </c>
      <c r="N1174" s="8">
        <v>44498</v>
      </c>
      <c r="O1174" s="8">
        <v>44498</v>
      </c>
      <c r="P1174" s="6" t="s">
        <v>75</v>
      </c>
      <c r="R1174" s="97" t="str">
        <f t="shared" si="45"/>
        <v/>
      </c>
      <c r="S1174" s="75" t="str">
        <f t="shared" si="44"/>
        <v/>
      </c>
      <c r="T1174" s="124" t="s">
        <v>2800</v>
      </c>
      <c r="U1174" s="8">
        <v>44995</v>
      </c>
      <c r="W1174" s="6" t="s">
        <v>33</v>
      </c>
      <c r="X1174" s="95">
        <v>50296</v>
      </c>
    </row>
    <row r="1175" spans="1:24" x14ac:dyDescent="0.25">
      <c r="A1175" s="6" t="s">
        <v>25</v>
      </c>
      <c r="B1175" s="94" t="s">
        <v>3833</v>
      </c>
      <c r="C1175" s="6" t="s">
        <v>3834</v>
      </c>
      <c r="D1175" s="140">
        <v>11256562</v>
      </c>
      <c r="E1175" s="6" t="s">
        <v>61</v>
      </c>
      <c r="F1175" s="10" t="s">
        <v>176</v>
      </c>
      <c r="G1175" s="6">
        <v>2012008032</v>
      </c>
      <c r="H1175" s="8">
        <v>46372</v>
      </c>
      <c r="I1175" s="8">
        <v>43605</v>
      </c>
      <c r="J1175" s="8">
        <v>43605</v>
      </c>
      <c r="K1175" s="95">
        <v>43629</v>
      </c>
      <c r="L1175" s="95" t="s">
        <v>359</v>
      </c>
      <c r="R1175" s="97" t="str">
        <f t="shared" si="45"/>
        <v/>
      </c>
      <c r="S1175" s="75" t="str">
        <f t="shared" si="44"/>
        <v/>
      </c>
      <c r="W1175" s="6" t="s">
        <v>33</v>
      </c>
      <c r="X1175" s="95">
        <v>50101</v>
      </c>
    </row>
    <row r="1176" spans="1:24" x14ac:dyDescent="0.25">
      <c r="A1176" s="6" t="s">
        <v>168</v>
      </c>
      <c r="B1176" s="94" t="s">
        <v>3835</v>
      </c>
      <c r="C1176" s="6" t="s">
        <v>3836</v>
      </c>
      <c r="D1176" s="140">
        <v>11778005</v>
      </c>
      <c r="E1176" s="6" t="s">
        <v>2314</v>
      </c>
      <c r="F1176" s="10" t="s">
        <v>44</v>
      </c>
      <c r="G1176" s="6" t="s">
        <v>3837</v>
      </c>
      <c r="H1176" s="8">
        <v>53201</v>
      </c>
      <c r="I1176" s="8">
        <v>44362</v>
      </c>
      <c r="J1176" s="8">
        <v>44370</v>
      </c>
      <c r="K1176" s="95">
        <v>44372</v>
      </c>
      <c r="L1176" s="95" t="s">
        <v>359</v>
      </c>
      <c r="R1176" s="97" t="str">
        <f t="shared" si="45"/>
        <v/>
      </c>
      <c r="S1176" s="75" t="str">
        <f t="shared" si="44"/>
        <v/>
      </c>
      <c r="W1176" s="6" t="s">
        <v>84</v>
      </c>
      <c r="X1176" s="7">
        <v>48776</v>
      </c>
    </row>
    <row r="1177" spans="1:24" x14ac:dyDescent="0.25">
      <c r="A1177" s="6" t="s">
        <v>25</v>
      </c>
      <c r="B1177" s="94" t="s">
        <v>3838</v>
      </c>
      <c r="C1177" s="6" t="s">
        <v>3839</v>
      </c>
      <c r="D1177" s="140">
        <v>11259044</v>
      </c>
      <c r="E1177" s="6" t="s">
        <v>162</v>
      </c>
      <c r="F1177" s="10" t="s">
        <v>148</v>
      </c>
      <c r="G1177" s="6" t="s">
        <v>3840</v>
      </c>
      <c r="H1177" s="8">
        <v>45808</v>
      </c>
      <c r="I1177" s="8">
        <v>43602</v>
      </c>
      <c r="J1177" s="8">
        <v>43602</v>
      </c>
      <c r="K1177" s="95">
        <v>43634</v>
      </c>
      <c r="L1177" s="95" t="s">
        <v>359</v>
      </c>
      <c r="R1177" s="97" t="str">
        <f t="shared" si="45"/>
        <v/>
      </c>
      <c r="S1177" s="75" t="str">
        <f t="shared" si="44"/>
        <v/>
      </c>
      <c r="W1177" s="6" t="s">
        <v>33</v>
      </c>
      <c r="X1177" s="95">
        <v>44822</v>
      </c>
    </row>
    <row r="1178" spans="1:24" x14ac:dyDescent="0.25">
      <c r="A1178" s="101" t="s">
        <v>70</v>
      </c>
      <c r="B1178" s="102" t="s">
        <v>3841</v>
      </c>
      <c r="C1178" s="101" t="s">
        <v>3842</v>
      </c>
      <c r="D1178" s="141">
        <v>11325095</v>
      </c>
      <c r="E1178" s="101" t="s">
        <v>866</v>
      </c>
      <c r="F1178" s="101" t="s">
        <v>134</v>
      </c>
      <c r="G1178" s="101" t="s">
        <v>3843</v>
      </c>
      <c r="H1178" s="103">
        <v>45644</v>
      </c>
      <c r="I1178" s="95">
        <v>43136</v>
      </c>
      <c r="J1178" s="95">
        <v>43202</v>
      </c>
      <c r="K1178" s="104">
        <v>43202</v>
      </c>
      <c r="L1178" s="95" t="s">
        <v>31</v>
      </c>
      <c r="M1178" s="103">
        <v>43206</v>
      </c>
      <c r="N1178" s="103">
        <v>43235</v>
      </c>
      <c r="O1178" s="103">
        <v>43229</v>
      </c>
      <c r="P1178" s="101" t="s">
        <v>182</v>
      </c>
      <c r="Q1178" s="105"/>
      <c r="R1178" s="97" t="str">
        <f t="shared" si="45"/>
        <v/>
      </c>
      <c r="S1178" s="75" t="str">
        <f t="shared" si="44"/>
        <v/>
      </c>
      <c r="T1178" s="125"/>
      <c r="U1178" s="103">
        <v>43235</v>
      </c>
      <c r="W1178" s="6" t="s">
        <v>33</v>
      </c>
      <c r="X1178" s="95">
        <v>45644</v>
      </c>
    </row>
    <row r="1179" spans="1:24" ht="30" x14ac:dyDescent="0.25">
      <c r="A1179" s="6" t="s">
        <v>37</v>
      </c>
      <c r="B1179" s="94" t="s">
        <v>3844</v>
      </c>
      <c r="C1179" s="6" t="s">
        <v>3845</v>
      </c>
      <c r="D1179" s="140" t="s">
        <v>3846</v>
      </c>
      <c r="E1179" s="6" t="s">
        <v>3847</v>
      </c>
      <c r="F1179" s="10" t="s">
        <v>143</v>
      </c>
      <c r="G1179" s="6" t="s">
        <v>3848</v>
      </c>
      <c r="H1179" s="8">
        <v>47568</v>
      </c>
      <c r="I1179" s="8">
        <v>43634</v>
      </c>
      <c r="J1179" s="8">
        <v>43647</v>
      </c>
      <c r="K1179" s="95">
        <v>43648</v>
      </c>
      <c r="L1179" s="95" t="s">
        <v>359</v>
      </c>
      <c r="R1179" s="97" t="str">
        <f t="shared" si="45"/>
        <v/>
      </c>
      <c r="S1179" s="75" t="str">
        <f t="shared" si="44"/>
        <v/>
      </c>
      <c r="W1179" s="6" t="s">
        <v>33</v>
      </c>
      <c r="X1179" s="95">
        <v>46694</v>
      </c>
    </row>
    <row r="1180" spans="1:24" x14ac:dyDescent="0.25">
      <c r="A1180" s="6" t="s">
        <v>168</v>
      </c>
      <c r="B1180" s="94" t="s">
        <v>2561</v>
      </c>
      <c r="C1180" s="6" t="s">
        <v>3849</v>
      </c>
      <c r="D1180" s="140">
        <v>11585100</v>
      </c>
      <c r="E1180" s="6" t="s">
        <v>3362</v>
      </c>
      <c r="F1180" s="10" t="s">
        <v>44</v>
      </c>
      <c r="G1180" s="6" t="s">
        <v>3850</v>
      </c>
      <c r="H1180" s="8">
        <v>49557</v>
      </c>
      <c r="I1180" s="8">
        <v>44442</v>
      </c>
      <c r="J1180" s="8">
        <v>44447</v>
      </c>
      <c r="K1180" s="95">
        <v>44449</v>
      </c>
      <c r="L1180" s="95" t="s">
        <v>359</v>
      </c>
      <c r="R1180" s="97" t="str">
        <f t="shared" si="45"/>
        <v/>
      </c>
      <c r="S1180" s="75" t="str">
        <f t="shared" si="44"/>
        <v/>
      </c>
      <c r="W1180" s="6" t="s">
        <v>84</v>
      </c>
      <c r="X1180" s="7">
        <v>49018</v>
      </c>
    </row>
    <row r="1181" spans="1:24" x14ac:dyDescent="0.25">
      <c r="A1181" s="6" t="s">
        <v>25</v>
      </c>
      <c r="B1181" s="94" t="s">
        <v>3851</v>
      </c>
      <c r="C1181" s="6" t="s">
        <v>3852</v>
      </c>
      <c r="D1181" s="140">
        <v>10250872</v>
      </c>
      <c r="E1181" s="6" t="s">
        <v>386</v>
      </c>
      <c r="F1181" s="10" t="s">
        <v>29</v>
      </c>
      <c r="G1181" s="6" t="s">
        <v>3853</v>
      </c>
      <c r="H1181" s="8">
        <v>45426</v>
      </c>
      <c r="I1181" s="8">
        <v>43634</v>
      </c>
      <c r="J1181" s="8">
        <v>43634</v>
      </c>
      <c r="K1181" s="95">
        <v>43663</v>
      </c>
      <c r="L1181" s="95" t="s">
        <v>31</v>
      </c>
      <c r="M1181" s="8">
        <v>43669</v>
      </c>
      <c r="N1181" s="8">
        <v>44046</v>
      </c>
      <c r="O1181" s="8">
        <v>44035</v>
      </c>
      <c r="P1181" s="6" t="s">
        <v>35</v>
      </c>
      <c r="Q1181" s="96">
        <v>3652.5</v>
      </c>
      <c r="R1181" s="97">
        <f t="shared" si="45"/>
        <v>10.006849315068493</v>
      </c>
      <c r="S1181" s="75">
        <f t="shared" si="44"/>
        <v>82646.568493150684</v>
      </c>
      <c r="T1181" s="124" t="s">
        <v>281</v>
      </c>
      <c r="U1181" s="8">
        <v>44046</v>
      </c>
      <c r="W1181" s="6" t="s">
        <v>33</v>
      </c>
      <c r="X1181" s="95">
        <v>50427</v>
      </c>
    </row>
    <row r="1182" spans="1:24" ht="30" x14ac:dyDescent="0.25">
      <c r="A1182" s="6" t="s">
        <v>168</v>
      </c>
      <c r="B1182" s="94" t="s">
        <v>183</v>
      </c>
      <c r="C1182" s="6" t="s">
        <v>3854</v>
      </c>
      <c r="D1182" s="140">
        <v>11595201</v>
      </c>
      <c r="E1182" s="6" t="s">
        <v>3855</v>
      </c>
      <c r="F1182" s="10" t="s">
        <v>205</v>
      </c>
      <c r="G1182" s="6" t="s">
        <v>3856</v>
      </c>
      <c r="H1182" s="8">
        <v>43904</v>
      </c>
      <c r="I1182" s="8">
        <v>43516</v>
      </c>
      <c r="J1182" s="8">
        <v>43524</v>
      </c>
      <c r="K1182" s="8">
        <v>43524</v>
      </c>
      <c r="L1182" s="95" t="s">
        <v>31</v>
      </c>
      <c r="M1182" s="8">
        <v>43531</v>
      </c>
      <c r="N1182" s="8">
        <v>43683</v>
      </c>
      <c r="O1182" s="8">
        <v>43679</v>
      </c>
      <c r="P1182" s="6" t="s">
        <v>35</v>
      </c>
      <c r="Q1182" s="96">
        <v>365</v>
      </c>
      <c r="R1182" s="97">
        <f t="shared" si="45"/>
        <v>1</v>
      </c>
      <c r="S1182" s="75">
        <f t="shared" si="44"/>
        <v>8259</v>
      </c>
      <c r="T1182" s="124" t="s">
        <v>3857</v>
      </c>
      <c r="U1182" s="8">
        <v>43683</v>
      </c>
      <c r="W1182" s="6" t="s">
        <v>33</v>
      </c>
      <c r="X1182" s="135">
        <v>46153</v>
      </c>
    </row>
    <row r="1183" spans="1:24" x14ac:dyDescent="0.25">
      <c r="A1183" s="6" t="s">
        <v>25</v>
      </c>
      <c r="B1183" s="94" t="s">
        <v>3858</v>
      </c>
      <c r="C1183" s="6" t="s">
        <v>3859</v>
      </c>
      <c r="D1183" s="140">
        <v>11763944</v>
      </c>
      <c r="E1183" s="6" t="s">
        <v>175</v>
      </c>
      <c r="F1183" s="10" t="s">
        <v>29</v>
      </c>
      <c r="G1183" s="6" t="s">
        <v>3860</v>
      </c>
      <c r="H1183" s="8">
        <v>45008</v>
      </c>
      <c r="I1183" s="8">
        <v>43480</v>
      </c>
      <c r="J1183" s="8">
        <v>43600</v>
      </c>
      <c r="K1183" s="95">
        <v>43627</v>
      </c>
      <c r="L1183" s="95" t="s">
        <v>31</v>
      </c>
      <c r="M1183" s="8">
        <v>43634</v>
      </c>
      <c r="N1183" s="8">
        <v>44253</v>
      </c>
      <c r="O1183" s="8">
        <v>43658</v>
      </c>
      <c r="P1183" s="6" t="s">
        <v>75</v>
      </c>
      <c r="R1183" s="97" t="str">
        <f t="shared" si="45"/>
        <v/>
      </c>
      <c r="S1183" s="75" t="str">
        <f t="shared" si="44"/>
        <v/>
      </c>
      <c r="U1183" s="8">
        <v>44253</v>
      </c>
      <c r="W1183" s="6" t="s">
        <v>33</v>
      </c>
      <c r="X1183" s="95">
        <v>42946</v>
      </c>
    </row>
    <row r="1184" spans="1:24" x14ac:dyDescent="0.25">
      <c r="A1184" s="6" t="s">
        <v>25</v>
      </c>
      <c r="B1184" s="94" t="s">
        <v>944</v>
      </c>
      <c r="C1184" s="6" t="s">
        <v>3861</v>
      </c>
      <c r="D1184" s="140">
        <v>11937637</v>
      </c>
      <c r="E1184" s="6" t="s">
        <v>153</v>
      </c>
      <c r="F1184" s="10" t="s">
        <v>44</v>
      </c>
      <c r="G1184" s="6" t="s">
        <v>3862</v>
      </c>
      <c r="H1184" s="8">
        <v>47285</v>
      </c>
      <c r="I1184" s="8">
        <v>43634</v>
      </c>
      <c r="J1184" s="8">
        <v>43634</v>
      </c>
      <c r="K1184" s="95">
        <v>43663</v>
      </c>
      <c r="L1184" s="95" t="s">
        <v>359</v>
      </c>
      <c r="R1184" s="97" t="str">
        <f t="shared" si="45"/>
        <v/>
      </c>
      <c r="S1184" s="75" t="str">
        <f t="shared" si="44"/>
        <v/>
      </c>
      <c r="W1184" s="6" t="s">
        <v>33</v>
      </c>
      <c r="X1184" s="95">
        <v>44297</v>
      </c>
    </row>
    <row r="1185" spans="1:24" x14ac:dyDescent="0.25">
      <c r="A1185" s="6" t="s">
        <v>25</v>
      </c>
      <c r="B1185" s="94" t="s">
        <v>2105</v>
      </c>
      <c r="C1185" s="6" t="s">
        <v>3863</v>
      </c>
      <c r="D1185" s="140">
        <v>11973799</v>
      </c>
      <c r="E1185" s="6" t="s">
        <v>826</v>
      </c>
      <c r="F1185" s="10" t="s">
        <v>44</v>
      </c>
      <c r="G1185" s="6" t="s">
        <v>3864</v>
      </c>
      <c r="H1185" s="8">
        <v>47203</v>
      </c>
      <c r="I1185" s="8">
        <v>43634</v>
      </c>
      <c r="J1185" s="8">
        <v>43634</v>
      </c>
      <c r="K1185" s="95">
        <v>43663</v>
      </c>
      <c r="L1185" s="95" t="s">
        <v>359</v>
      </c>
      <c r="R1185" s="97" t="str">
        <f t="shared" si="45"/>
        <v/>
      </c>
      <c r="S1185" s="75" t="str">
        <f t="shared" si="44"/>
        <v/>
      </c>
      <c r="W1185" s="6" t="s">
        <v>33</v>
      </c>
      <c r="X1185" s="95">
        <v>52910</v>
      </c>
    </row>
    <row r="1186" spans="1:24" x14ac:dyDescent="0.25">
      <c r="A1186" s="6" t="s">
        <v>25</v>
      </c>
      <c r="B1186" s="94" t="s">
        <v>3865</v>
      </c>
      <c r="C1186" s="6" t="s">
        <v>3866</v>
      </c>
      <c r="D1186" s="140">
        <v>11198231</v>
      </c>
      <c r="E1186" s="6" t="s">
        <v>49</v>
      </c>
      <c r="F1186" s="10" t="s">
        <v>293</v>
      </c>
      <c r="G1186" s="6" t="s">
        <v>3867</v>
      </c>
      <c r="H1186" s="8">
        <v>47120</v>
      </c>
      <c r="I1186" s="8">
        <v>43634</v>
      </c>
      <c r="J1186" s="8">
        <v>43634</v>
      </c>
      <c r="K1186" s="95">
        <v>43663</v>
      </c>
      <c r="L1186" s="95" t="s">
        <v>359</v>
      </c>
      <c r="R1186" s="97" t="str">
        <f t="shared" si="45"/>
        <v/>
      </c>
      <c r="S1186" s="75" t="str">
        <f t="shared" si="44"/>
        <v/>
      </c>
      <c r="W1186" s="6" t="s">
        <v>33</v>
      </c>
      <c r="X1186" s="95">
        <v>47808</v>
      </c>
    </row>
    <row r="1187" spans="1:24" x14ac:dyDescent="0.25">
      <c r="A1187" s="6" t="s">
        <v>168</v>
      </c>
      <c r="B1187" s="94" t="s">
        <v>188</v>
      </c>
      <c r="C1187" s="6" t="s">
        <v>3868</v>
      </c>
      <c r="D1187" s="140" t="s">
        <v>3869</v>
      </c>
      <c r="E1187" s="6" t="s">
        <v>3870</v>
      </c>
      <c r="F1187" s="10" t="s">
        <v>44</v>
      </c>
      <c r="G1187" s="6" t="s">
        <v>3871</v>
      </c>
      <c r="H1187" s="8">
        <v>48135</v>
      </c>
      <c r="I1187" s="8">
        <v>43515</v>
      </c>
      <c r="J1187" s="8">
        <v>43544</v>
      </c>
      <c r="K1187" s="95">
        <v>43546</v>
      </c>
      <c r="L1187" s="95" t="s">
        <v>31</v>
      </c>
      <c r="M1187" s="8">
        <v>43570</v>
      </c>
      <c r="N1187" s="8">
        <v>43628</v>
      </c>
      <c r="O1187" s="8">
        <v>43609</v>
      </c>
      <c r="P1187" s="6" t="s">
        <v>75</v>
      </c>
      <c r="R1187" s="97" t="str">
        <f t="shared" si="45"/>
        <v/>
      </c>
      <c r="S1187" s="75" t="str">
        <f t="shared" si="44"/>
        <v/>
      </c>
      <c r="U1187" s="8">
        <v>43628</v>
      </c>
      <c r="W1187" s="6" t="s">
        <v>84</v>
      </c>
      <c r="X1187" s="95">
        <v>48532</v>
      </c>
    </row>
    <row r="1188" spans="1:24" x14ac:dyDescent="0.25">
      <c r="A1188" s="6" t="s">
        <v>168</v>
      </c>
      <c r="B1188" s="94" t="s">
        <v>3872</v>
      </c>
      <c r="C1188" s="6" t="s">
        <v>3873</v>
      </c>
      <c r="D1188" s="140">
        <v>11089004</v>
      </c>
      <c r="E1188" s="6" t="s">
        <v>3290</v>
      </c>
      <c r="F1188" s="10" t="s">
        <v>3874</v>
      </c>
      <c r="G1188" s="6" t="s">
        <v>3875</v>
      </c>
      <c r="H1188" s="8">
        <v>45865</v>
      </c>
      <c r="I1188" s="8">
        <v>44322</v>
      </c>
      <c r="J1188" s="8">
        <v>44341</v>
      </c>
      <c r="K1188" s="95">
        <v>44343</v>
      </c>
      <c r="L1188" s="95" t="s">
        <v>31</v>
      </c>
      <c r="M1188" s="8">
        <v>44361</v>
      </c>
      <c r="N1188" s="8">
        <v>44648</v>
      </c>
      <c r="O1188" s="8">
        <v>44642</v>
      </c>
      <c r="P1188" s="6" t="s">
        <v>35</v>
      </c>
      <c r="Q1188" s="96">
        <v>1139</v>
      </c>
      <c r="R1188" s="97">
        <f t="shared" si="45"/>
        <v>3.1205479452054794</v>
      </c>
      <c r="S1188" s="75">
        <f t="shared" si="44"/>
        <v>25772.605479452057</v>
      </c>
      <c r="U1188" s="8">
        <v>44652</v>
      </c>
      <c r="W1188" s="6" t="s">
        <v>84</v>
      </c>
      <c r="X1188" s="7">
        <v>45788</v>
      </c>
    </row>
    <row r="1189" spans="1:24" x14ac:dyDescent="0.25">
      <c r="A1189" s="6" t="s">
        <v>37</v>
      </c>
      <c r="B1189" s="94" t="s">
        <v>173</v>
      </c>
      <c r="C1189" s="6" t="s">
        <v>3876</v>
      </c>
      <c r="D1189" s="140">
        <v>11573315</v>
      </c>
      <c r="E1189" s="6" t="s">
        <v>3665</v>
      </c>
      <c r="F1189" s="10" t="s">
        <v>1384</v>
      </c>
      <c r="G1189" s="6" t="s">
        <v>3877</v>
      </c>
      <c r="H1189" s="8">
        <v>45944</v>
      </c>
      <c r="I1189" s="8">
        <v>44109</v>
      </c>
      <c r="J1189" s="8">
        <v>44119</v>
      </c>
      <c r="K1189" s="95">
        <v>44120</v>
      </c>
      <c r="L1189" s="95" t="s">
        <v>31</v>
      </c>
      <c r="M1189" s="8">
        <v>44141</v>
      </c>
      <c r="R1189" s="97" t="str">
        <f t="shared" si="45"/>
        <v/>
      </c>
      <c r="S1189" s="75" t="str">
        <f t="shared" si="44"/>
        <v/>
      </c>
      <c r="W1189" s="6" t="s">
        <v>33</v>
      </c>
      <c r="X1189" s="135">
        <v>53464</v>
      </c>
    </row>
    <row r="1190" spans="1:24" x14ac:dyDescent="0.25">
      <c r="A1190" s="101" t="s">
        <v>70</v>
      </c>
      <c r="B1190" s="102" t="s">
        <v>2162</v>
      </c>
      <c r="C1190" s="101" t="s">
        <v>3878</v>
      </c>
      <c r="D1190" s="141">
        <v>11947786</v>
      </c>
      <c r="E1190" s="101" t="s">
        <v>747</v>
      </c>
      <c r="F1190" s="101" t="s">
        <v>363</v>
      </c>
      <c r="G1190" s="101">
        <v>1040631</v>
      </c>
      <c r="H1190" s="103">
        <v>44873</v>
      </c>
      <c r="I1190" s="95">
        <v>43136</v>
      </c>
      <c r="J1190" s="95">
        <v>43136</v>
      </c>
      <c r="K1190" s="104">
        <v>43179</v>
      </c>
      <c r="L1190" s="95" t="s">
        <v>31</v>
      </c>
      <c r="M1190" s="103">
        <v>43181</v>
      </c>
      <c r="N1190" s="103">
        <v>43236</v>
      </c>
      <c r="O1190" s="103">
        <v>43235</v>
      </c>
      <c r="P1190" s="101" t="s">
        <v>182</v>
      </c>
      <c r="Q1190" s="105"/>
      <c r="R1190" s="97" t="str">
        <f t="shared" si="45"/>
        <v/>
      </c>
      <c r="S1190" s="75" t="str">
        <f t="shared" si="44"/>
        <v/>
      </c>
      <c r="T1190" s="125"/>
      <c r="U1190" s="103">
        <v>43236</v>
      </c>
      <c r="W1190" s="6" t="s">
        <v>33</v>
      </c>
      <c r="X1190" s="95">
        <v>42511</v>
      </c>
    </row>
    <row r="1191" spans="1:24" x14ac:dyDescent="0.25">
      <c r="A1191" s="6" t="s">
        <v>25</v>
      </c>
      <c r="B1191" s="94" t="s">
        <v>3879</v>
      </c>
      <c r="C1191" s="6" t="s">
        <v>3880</v>
      </c>
      <c r="D1191" s="140">
        <v>12106990</v>
      </c>
      <c r="E1191" s="6" t="s">
        <v>714</v>
      </c>
      <c r="F1191" s="10" t="s">
        <v>134</v>
      </c>
      <c r="G1191" s="6" t="s">
        <v>3881</v>
      </c>
      <c r="H1191" s="8">
        <v>45338</v>
      </c>
      <c r="I1191" s="8">
        <v>43637</v>
      </c>
      <c r="J1191" s="8">
        <v>43640</v>
      </c>
      <c r="K1191" s="95">
        <v>43696</v>
      </c>
      <c r="L1191" s="95" t="s">
        <v>31</v>
      </c>
      <c r="M1191" s="8">
        <v>43704</v>
      </c>
      <c r="N1191" s="8">
        <v>43858</v>
      </c>
      <c r="O1191" s="8">
        <v>43833</v>
      </c>
      <c r="P1191" s="6" t="s">
        <v>90</v>
      </c>
      <c r="Q1191" s="96">
        <v>1826</v>
      </c>
      <c r="R1191" s="97">
        <f t="shared" si="45"/>
        <v>5.0027397260273974</v>
      </c>
      <c r="S1191" s="75">
        <f t="shared" si="44"/>
        <v>41317.627397260272</v>
      </c>
      <c r="T1191" s="124" t="s">
        <v>3882</v>
      </c>
      <c r="U1191" s="8">
        <v>43859</v>
      </c>
      <c r="V1191" s="6" t="s">
        <v>36</v>
      </c>
      <c r="W1191" s="6" t="s">
        <v>33</v>
      </c>
      <c r="X1191" s="6"/>
    </row>
    <row r="1192" spans="1:24" x14ac:dyDescent="0.25">
      <c r="A1192" s="6" t="s">
        <v>168</v>
      </c>
      <c r="B1192" s="94" t="s">
        <v>1793</v>
      </c>
      <c r="C1192" s="6" t="s">
        <v>3883</v>
      </c>
      <c r="D1192" s="140">
        <v>11925509</v>
      </c>
      <c r="E1192" s="6" t="s">
        <v>3884</v>
      </c>
      <c r="F1192" s="10" t="s">
        <v>44</v>
      </c>
      <c r="G1192" s="6" t="s">
        <v>3885</v>
      </c>
      <c r="H1192" s="8">
        <v>46527</v>
      </c>
      <c r="I1192" s="8">
        <v>43720</v>
      </c>
      <c r="J1192" s="8">
        <v>43748</v>
      </c>
      <c r="K1192" s="95">
        <v>43753</v>
      </c>
      <c r="L1192" s="95" t="s">
        <v>31</v>
      </c>
      <c r="M1192" s="8">
        <v>43755</v>
      </c>
      <c r="N1192" s="8">
        <v>43809</v>
      </c>
      <c r="O1192" s="8">
        <v>43805</v>
      </c>
      <c r="P1192" s="6" t="s">
        <v>35</v>
      </c>
      <c r="Q1192" s="96">
        <v>2714</v>
      </c>
      <c r="R1192" s="97">
        <f t="shared" si="45"/>
        <v>7.4356164383561643</v>
      </c>
      <c r="S1192" s="75">
        <f t="shared" si="44"/>
        <v>61410.756164383565</v>
      </c>
      <c r="T1192" s="124" t="s">
        <v>3886</v>
      </c>
      <c r="U1192" s="8">
        <v>43809</v>
      </c>
      <c r="W1192" s="6" t="s">
        <v>84</v>
      </c>
      <c r="X1192" s="95">
        <v>45653</v>
      </c>
    </row>
    <row r="1193" spans="1:24" ht="30" x14ac:dyDescent="0.25">
      <c r="A1193" s="6" t="s">
        <v>70</v>
      </c>
      <c r="B1193" s="94" t="s">
        <v>3887</v>
      </c>
      <c r="C1193" s="6" t="s">
        <v>3888</v>
      </c>
      <c r="D1193" s="140">
        <v>11925613</v>
      </c>
      <c r="E1193" s="6" t="s">
        <v>1096</v>
      </c>
      <c r="F1193" s="6" t="s">
        <v>176</v>
      </c>
      <c r="G1193" s="6">
        <v>2001027240</v>
      </c>
      <c r="H1193" s="8">
        <v>43504</v>
      </c>
      <c r="I1193" s="95">
        <v>43136</v>
      </c>
      <c r="J1193" s="95">
        <v>43202</v>
      </c>
      <c r="K1193" s="95">
        <v>43202</v>
      </c>
      <c r="L1193" s="95" t="s">
        <v>31</v>
      </c>
      <c r="M1193" s="8">
        <v>43206</v>
      </c>
      <c r="N1193" s="8">
        <v>43266</v>
      </c>
      <c r="O1193" s="8">
        <v>43258</v>
      </c>
      <c r="P1193" s="101" t="s">
        <v>182</v>
      </c>
      <c r="R1193" s="97" t="str">
        <f t="shared" si="45"/>
        <v/>
      </c>
      <c r="S1193" s="75" t="str">
        <f t="shared" si="44"/>
        <v/>
      </c>
      <c r="U1193" s="8">
        <v>43266</v>
      </c>
      <c r="W1193" s="6" t="s">
        <v>33</v>
      </c>
      <c r="X1193" s="95">
        <v>49508</v>
      </c>
    </row>
    <row r="1194" spans="1:24" x14ac:dyDescent="0.25">
      <c r="A1194" s="6" t="s">
        <v>25</v>
      </c>
      <c r="B1194" s="94" t="s">
        <v>3889</v>
      </c>
      <c r="C1194" s="6" t="s">
        <v>3890</v>
      </c>
      <c r="D1194" s="140">
        <v>11607770</v>
      </c>
      <c r="E1194" s="6" t="s">
        <v>3163</v>
      </c>
      <c r="F1194" s="10" t="s">
        <v>293</v>
      </c>
      <c r="G1194" s="6" t="s">
        <v>3891</v>
      </c>
      <c r="H1194" s="8">
        <v>45488</v>
      </c>
      <c r="I1194" s="8">
        <v>43637</v>
      </c>
      <c r="J1194" s="8">
        <v>43640</v>
      </c>
      <c r="K1194" s="95">
        <v>43696</v>
      </c>
      <c r="L1194" s="95" t="s">
        <v>31</v>
      </c>
      <c r="M1194" s="8">
        <v>43704</v>
      </c>
      <c r="N1194" s="8">
        <v>44823</v>
      </c>
      <c r="O1194" s="8">
        <v>44662</v>
      </c>
      <c r="P1194" s="6" t="s">
        <v>75</v>
      </c>
      <c r="R1194" s="97" t="str">
        <f t="shared" si="45"/>
        <v/>
      </c>
      <c r="S1194" s="75" t="str">
        <f t="shared" si="44"/>
        <v/>
      </c>
      <c r="T1194" s="157" t="s">
        <v>3892</v>
      </c>
      <c r="U1194" s="8">
        <v>45022</v>
      </c>
      <c r="W1194" s="6" t="s">
        <v>33</v>
      </c>
      <c r="X1194" s="95">
        <v>50505</v>
      </c>
    </row>
    <row r="1195" spans="1:24" x14ac:dyDescent="0.25">
      <c r="A1195" s="6" t="s">
        <v>25</v>
      </c>
      <c r="B1195" s="94" t="s">
        <v>1631</v>
      </c>
      <c r="C1195" s="6" t="s">
        <v>3893</v>
      </c>
      <c r="D1195" s="140">
        <v>11982674</v>
      </c>
      <c r="E1195" s="6" t="s">
        <v>1271</v>
      </c>
      <c r="F1195" s="10" t="s">
        <v>1588</v>
      </c>
      <c r="G1195" s="6" t="s">
        <v>3894</v>
      </c>
      <c r="H1195" s="8">
        <v>45511</v>
      </c>
      <c r="I1195" s="8">
        <v>43637</v>
      </c>
      <c r="J1195" s="8">
        <v>43640</v>
      </c>
      <c r="K1195" s="95">
        <v>43696</v>
      </c>
      <c r="L1195" s="95" t="s">
        <v>31</v>
      </c>
      <c r="M1195" s="8">
        <v>43704</v>
      </c>
      <c r="N1195" s="108">
        <v>43899</v>
      </c>
      <c r="O1195" s="108">
        <v>43840</v>
      </c>
      <c r="P1195" s="107" t="s">
        <v>75</v>
      </c>
      <c r="Q1195" s="110"/>
      <c r="R1195" s="97" t="str">
        <f t="shared" si="45"/>
        <v/>
      </c>
      <c r="S1195" s="75" t="str">
        <f t="shared" si="44"/>
        <v/>
      </c>
      <c r="U1195" s="8">
        <v>44776</v>
      </c>
      <c r="W1195" s="6" t="s">
        <v>33</v>
      </c>
      <c r="X1195" s="95">
        <v>51902</v>
      </c>
    </row>
    <row r="1196" spans="1:24" x14ac:dyDescent="0.25">
      <c r="A1196" s="6" t="s">
        <v>25</v>
      </c>
      <c r="B1196" s="94" t="s">
        <v>3895</v>
      </c>
      <c r="C1196" s="6" t="s">
        <v>3896</v>
      </c>
      <c r="D1196" s="140">
        <v>12106807</v>
      </c>
      <c r="E1196" s="6" t="s">
        <v>1756</v>
      </c>
      <c r="F1196" s="10" t="s">
        <v>57</v>
      </c>
      <c r="G1196" s="6" t="s">
        <v>3897</v>
      </c>
      <c r="H1196" s="8">
        <v>45441</v>
      </c>
      <c r="I1196" s="8">
        <v>43637</v>
      </c>
      <c r="J1196" s="8">
        <v>43640</v>
      </c>
      <c r="K1196" s="95">
        <v>43696</v>
      </c>
      <c r="L1196" s="95" t="s">
        <v>31</v>
      </c>
      <c r="M1196" s="8">
        <v>43704</v>
      </c>
      <c r="N1196" s="8">
        <v>44133</v>
      </c>
      <c r="O1196" s="8">
        <v>44125</v>
      </c>
      <c r="P1196" s="6" t="s">
        <v>35</v>
      </c>
      <c r="Q1196" s="96">
        <v>3285</v>
      </c>
      <c r="R1196" s="97">
        <f t="shared" si="45"/>
        <v>9</v>
      </c>
      <c r="S1196" s="75">
        <f t="shared" si="44"/>
        <v>74331</v>
      </c>
      <c r="T1196" s="124" t="s">
        <v>3898</v>
      </c>
      <c r="U1196" s="8">
        <v>44140</v>
      </c>
      <c r="V1196" s="6" t="s">
        <v>36</v>
      </c>
      <c r="W1196" s="6" t="s">
        <v>33</v>
      </c>
      <c r="X1196" s="95">
        <v>44117</v>
      </c>
    </row>
    <row r="1197" spans="1:24" x14ac:dyDescent="0.25">
      <c r="A1197" s="6" t="s">
        <v>25</v>
      </c>
      <c r="B1197" s="94" t="s">
        <v>3899</v>
      </c>
      <c r="C1197" s="6" t="s">
        <v>3900</v>
      </c>
      <c r="D1197" s="140">
        <v>11525815</v>
      </c>
      <c r="E1197" s="6" t="s">
        <v>907</v>
      </c>
      <c r="F1197" s="10" t="s">
        <v>50</v>
      </c>
      <c r="G1197" s="6" t="s">
        <v>3901</v>
      </c>
      <c r="H1197" s="8">
        <v>45518</v>
      </c>
      <c r="I1197" s="8">
        <v>43637</v>
      </c>
      <c r="J1197" s="8">
        <v>43640</v>
      </c>
      <c r="K1197" s="95">
        <v>43696</v>
      </c>
      <c r="L1197" s="95" t="s">
        <v>31</v>
      </c>
      <c r="M1197" s="8">
        <v>43704</v>
      </c>
      <c r="R1197" s="97" t="str">
        <f t="shared" si="45"/>
        <v/>
      </c>
      <c r="S1197" s="75" t="str">
        <f t="shared" si="44"/>
        <v/>
      </c>
      <c r="T1197" s="124" t="s">
        <v>3902</v>
      </c>
      <c r="U1197" s="8">
        <v>45205</v>
      </c>
      <c r="W1197" s="6" t="s">
        <v>33</v>
      </c>
      <c r="X1197" s="95">
        <v>50140</v>
      </c>
    </row>
    <row r="1198" spans="1:24" x14ac:dyDescent="0.25">
      <c r="A1198" s="6" t="s">
        <v>70</v>
      </c>
      <c r="B1198" s="94" t="s">
        <v>1713</v>
      </c>
      <c r="C1198" s="6" t="s">
        <v>3903</v>
      </c>
      <c r="D1198" s="140">
        <v>11625170</v>
      </c>
      <c r="E1198" s="6" t="s">
        <v>962</v>
      </c>
      <c r="F1198" s="6" t="s">
        <v>62</v>
      </c>
      <c r="G1198" s="6" t="s">
        <v>3904</v>
      </c>
      <c r="H1198" s="8">
        <v>46806</v>
      </c>
      <c r="I1198" s="95">
        <v>43136</v>
      </c>
      <c r="J1198" s="95">
        <v>43202</v>
      </c>
      <c r="K1198" s="95">
        <v>43202</v>
      </c>
      <c r="L1198" s="95" t="s">
        <v>31</v>
      </c>
      <c r="M1198" s="8">
        <v>43206</v>
      </c>
      <c r="N1198" s="8">
        <v>43271</v>
      </c>
      <c r="O1198" s="8">
        <v>43262</v>
      </c>
      <c r="P1198" s="101" t="s">
        <v>182</v>
      </c>
      <c r="R1198" s="97" t="str">
        <f t="shared" si="45"/>
        <v/>
      </c>
      <c r="S1198" s="75" t="str">
        <f t="shared" si="44"/>
        <v/>
      </c>
      <c r="U1198" s="8">
        <v>43279</v>
      </c>
      <c r="W1198" s="6" t="s">
        <v>33</v>
      </c>
      <c r="X1198" s="95">
        <v>44401</v>
      </c>
    </row>
    <row r="1199" spans="1:24" x14ac:dyDescent="0.25">
      <c r="A1199" s="6" t="s">
        <v>25</v>
      </c>
      <c r="B1199" s="94" t="s">
        <v>2276</v>
      </c>
      <c r="C1199" s="6" t="s">
        <v>3905</v>
      </c>
      <c r="D1199" s="140">
        <v>11315715</v>
      </c>
      <c r="E1199" s="6" t="s">
        <v>835</v>
      </c>
      <c r="F1199" s="10" t="s">
        <v>139</v>
      </c>
      <c r="G1199" s="6" t="s">
        <v>3906</v>
      </c>
      <c r="H1199" s="8">
        <v>45388</v>
      </c>
      <c r="I1199" s="8">
        <v>43637</v>
      </c>
      <c r="J1199" s="8">
        <v>43640</v>
      </c>
      <c r="K1199" s="95">
        <v>43696</v>
      </c>
      <c r="L1199" s="95" t="s">
        <v>31</v>
      </c>
      <c r="M1199" s="8">
        <v>43704</v>
      </c>
      <c r="R1199" s="97" t="str">
        <f t="shared" si="45"/>
        <v/>
      </c>
      <c r="S1199" s="75" t="str">
        <f t="shared" si="44"/>
        <v/>
      </c>
      <c r="T1199" s="129" t="s">
        <v>3907</v>
      </c>
      <c r="U1199" s="8">
        <v>44783</v>
      </c>
      <c r="W1199" s="6" t="s">
        <v>33</v>
      </c>
      <c r="X1199" s="95">
        <v>53437</v>
      </c>
    </row>
    <row r="1200" spans="1:24" x14ac:dyDescent="0.25">
      <c r="A1200" s="6" t="s">
        <v>25</v>
      </c>
      <c r="B1200" s="94" t="s">
        <v>3908</v>
      </c>
      <c r="C1200" s="6" t="s">
        <v>3909</v>
      </c>
      <c r="D1200" s="140">
        <v>11756798</v>
      </c>
      <c r="E1200" s="6" t="s">
        <v>298</v>
      </c>
      <c r="F1200" s="10" t="s">
        <v>139</v>
      </c>
      <c r="G1200" s="6">
        <v>9739882</v>
      </c>
      <c r="H1200" s="8">
        <v>47208</v>
      </c>
      <c r="I1200" s="8">
        <v>43640</v>
      </c>
      <c r="J1200" s="95">
        <v>43641</v>
      </c>
      <c r="K1200" s="95">
        <v>43675</v>
      </c>
      <c r="L1200" s="95" t="s">
        <v>31</v>
      </c>
      <c r="M1200" s="8">
        <v>43679</v>
      </c>
      <c r="N1200" s="8">
        <v>43882</v>
      </c>
      <c r="O1200" s="8">
        <v>43872</v>
      </c>
      <c r="P1200" s="6" t="s">
        <v>35</v>
      </c>
      <c r="Q1200" s="96">
        <v>1826</v>
      </c>
      <c r="R1200" s="97">
        <f t="shared" si="45"/>
        <v>5.0027397260273974</v>
      </c>
      <c r="S1200" s="75">
        <f t="shared" si="44"/>
        <v>41317.627397260272</v>
      </c>
      <c r="T1200" s="124" t="s">
        <v>3910</v>
      </c>
      <c r="U1200" s="8">
        <v>43882</v>
      </c>
      <c r="W1200" s="6" t="s">
        <v>33</v>
      </c>
      <c r="X1200" s="6"/>
    </row>
    <row r="1201" spans="1:24" x14ac:dyDescent="0.25">
      <c r="A1201" s="6" t="s">
        <v>25</v>
      </c>
      <c r="B1201" s="94" t="s">
        <v>3911</v>
      </c>
      <c r="C1201" s="6" t="s">
        <v>3912</v>
      </c>
      <c r="D1201" s="140">
        <v>11306154</v>
      </c>
      <c r="E1201" s="6" t="s">
        <v>138</v>
      </c>
      <c r="F1201" s="10" t="s">
        <v>134</v>
      </c>
      <c r="G1201" s="121" t="s">
        <v>3913</v>
      </c>
      <c r="H1201" s="8">
        <v>47628</v>
      </c>
      <c r="I1201" s="8">
        <v>43640</v>
      </c>
      <c r="J1201" s="95">
        <v>43641</v>
      </c>
      <c r="K1201" s="95">
        <v>43675</v>
      </c>
      <c r="L1201" s="95" t="s">
        <v>31</v>
      </c>
      <c r="M1201" s="8">
        <v>43679</v>
      </c>
      <c r="N1201" s="8">
        <v>43826</v>
      </c>
      <c r="O1201" s="8">
        <v>43801</v>
      </c>
      <c r="P1201" s="6" t="s">
        <v>75</v>
      </c>
      <c r="R1201" s="97" t="str">
        <f t="shared" si="45"/>
        <v/>
      </c>
      <c r="S1201" s="75" t="str">
        <f t="shared" si="44"/>
        <v/>
      </c>
      <c r="T1201" s="124" t="s">
        <v>3914</v>
      </c>
      <c r="U1201" s="8">
        <v>43826</v>
      </c>
      <c r="W1201" s="6" t="s">
        <v>33</v>
      </c>
      <c r="X1201" s="6"/>
    </row>
    <row r="1202" spans="1:24" x14ac:dyDescent="0.25">
      <c r="A1202" s="101" t="s">
        <v>70</v>
      </c>
      <c r="B1202" s="102" t="s">
        <v>136</v>
      </c>
      <c r="C1202" s="101" t="s">
        <v>3915</v>
      </c>
      <c r="D1202" s="141">
        <v>11998104</v>
      </c>
      <c r="E1202" s="101" t="s">
        <v>2827</v>
      </c>
      <c r="F1202" s="101" t="s">
        <v>299</v>
      </c>
      <c r="G1202" s="101" t="s">
        <v>3916</v>
      </c>
      <c r="H1202" s="103">
        <v>45034</v>
      </c>
      <c r="I1202" s="95">
        <v>43136</v>
      </c>
      <c r="J1202" s="95">
        <v>43202</v>
      </c>
      <c r="K1202" s="104">
        <v>43202</v>
      </c>
      <c r="L1202" s="95" t="s">
        <v>31</v>
      </c>
      <c r="M1202" s="103">
        <v>43206</v>
      </c>
      <c r="N1202" s="103">
        <v>43641</v>
      </c>
      <c r="O1202" s="103">
        <v>43633</v>
      </c>
      <c r="P1202" s="101" t="s">
        <v>35</v>
      </c>
      <c r="Q1202" s="105">
        <v>1461</v>
      </c>
      <c r="R1202" s="97">
        <f t="shared" si="45"/>
        <v>4.0027397260273974</v>
      </c>
      <c r="S1202" s="75">
        <f t="shared" si="44"/>
        <v>33058.627397260272</v>
      </c>
      <c r="T1202" s="125"/>
      <c r="U1202" s="103">
        <v>43641</v>
      </c>
      <c r="W1202" s="6" t="s">
        <v>33</v>
      </c>
      <c r="X1202" s="95">
        <v>43169</v>
      </c>
    </row>
    <row r="1203" spans="1:24" x14ac:dyDescent="0.25">
      <c r="A1203" s="6" t="s">
        <v>117</v>
      </c>
      <c r="B1203" s="94" t="s">
        <v>3917</v>
      </c>
      <c r="C1203" s="6" t="s">
        <v>3918</v>
      </c>
      <c r="D1203" s="140">
        <v>11423711</v>
      </c>
      <c r="E1203" s="6" t="s">
        <v>460</v>
      </c>
      <c r="F1203" s="10" t="s">
        <v>50</v>
      </c>
      <c r="G1203" s="6" t="s">
        <v>3919</v>
      </c>
      <c r="H1203" s="8">
        <v>51086</v>
      </c>
      <c r="I1203" s="8">
        <v>43678</v>
      </c>
      <c r="J1203" s="8">
        <v>43678</v>
      </c>
      <c r="K1203" s="95">
        <v>43689</v>
      </c>
      <c r="L1203" s="95" t="s">
        <v>31</v>
      </c>
      <c r="M1203" s="8">
        <v>43693</v>
      </c>
      <c r="N1203" s="8">
        <v>43735</v>
      </c>
      <c r="O1203" s="8">
        <v>43727</v>
      </c>
      <c r="P1203" s="6" t="s">
        <v>52</v>
      </c>
      <c r="R1203" s="97" t="str">
        <f t="shared" si="45"/>
        <v/>
      </c>
      <c r="S1203" s="75" t="str">
        <f t="shared" si="44"/>
        <v/>
      </c>
      <c r="U1203" s="8">
        <v>43738</v>
      </c>
      <c r="W1203" s="6" t="s">
        <v>33</v>
      </c>
      <c r="X1203" s="95">
        <v>35659</v>
      </c>
    </row>
    <row r="1204" spans="1:24" x14ac:dyDescent="0.25">
      <c r="A1204" s="6" t="s">
        <v>168</v>
      </c>
      <c r="B1204" s="94" t="s">
        <v>3920</v>
      </c>
      <c r="C1204" s="6" t="s">
        <v>3921</v>
      </c>
      <c r="D1204" s="140">
        <v>10254629</v>
      </c>
      <c r="E1204" s="6" t="s">
        <v>3922</v>
      </c>
      <c r="F1204" s="10" t="s">
        <v>121</v>
      </c>
      <c r="G1204" s="6" t="s">
        <v>3923</v>
      </c>
      <c r="H1204" s="8">
        <v>48868</v>
      </c>
      <c r="I1204" s="8">
        <v>43552</v>
      </c>
      <c r="J1204" s="8">
        <v>43571</v>
      </c>
      <c r="K1204" s="95">
        <v>43571</v>
      </c>
      <c r="L1204" s="95" t="s">
        <v>31</v>
      </c>
      <c r="M1204" s="8">
        <v>43574</v>
      </c>
      <c r="N1204" s="8">
        <v>44274</v>
      </c>
      <c r="O1204" s="8">
        <v>44148</v>
      </c>
      <c r="P1204" s="6" t="s">
        <v>75</v>
      </c>
      <c r="R1204" s="97" t="str">
        <f t="shared" ref="R1204:R1235" si="46">IF(Q1204&gt;0, Q1204/365, "")</f>
        <v/>
      </c>
      <c r="S1204" s="75" t="str">
        <f t="shared" si="44"/>
        <v/>
      </c>
      <c r="U1204" s="8">
        <v>44274</v>
      </c>
      <c r="W1204" s="6" t="s">
        <v>84</v>
      </c>
      <c r="X1204" s="95">
        <v>46973</v>
      </c>
    </row>
    <row r="1205" spans="1:24" ht="30" x14ac:dyDescent="0.25">
      <c r="A1205" s="6" t="s">
        <v>37</v>
      </c>
      <c r="B1205" s="94" t="s">
        <v>3924</v>
      </c>
      <c r="C1205" s="6" t="s">
        <v>3925</v>
      </c>
      <c r="D1205" s="140">
        <v>1137750</v>
      </c>
      <c r="E1205" s="6" t="s">
        <v>1096</v>
      </c>
      <c r="F1205" s="10" t="s">
        <v>29</v>
      </c>
      <c r="G1205" s="6" t="s">
        <v>3926</v>
      </c>
      <c r="H1205" s="8">
        <v>48775</v>
      </c>
      <c r="I1205" s="8">
        <v>43454</v>
      </c>
      <c r="J1205" s="8">
        <v>43463</v>
      </c>
      <c r="K1205" s="95">
        <v>43463</v>
      </c>
      <c r="L1205" s="95" t="s">
        <v>31</v>
      </c>
      <c r="M1205" s="8">
        <v>43465</v>
      </c>
      <c r="N1205" s="8">
        <v>44488</v>
      </c>
      <c r="O1205" s="8">
        <v>44092</v>
      </c>
      <c r="P1205" s="6" t="s">
        <v>75</v>
      </c>
      <c r="R1205" s="97" t="str">
        <f t="shared" si="46"/>
        <v/>
      </c>
      <c r="S1205" s="75" t="str">
        <f t="shared" si="44"/>
        <v/>
      </c>
      <c r="U1205" s="8">
        <v>44488</v>
      </c>
      <c r="W1205" s="6" t="s">
        <v>33</v>
      </c>
      <c r="X1205" s="95">
        <v>49552</v>
      </c>
    </row>
    <row r="1206" spans="1:24" x14ac:dyDescent="0.25">
      <c r="A1206" s="6" t="s">
        <v>168</v>
      </c>
      <c r="B1206" s="94" t="s">
        <v>1123</v>
      </c>
      <c r="C1206" s="6" t="s">
        <v>3927</v>
      </c>
      <c r="D1206" s="140">
        <v>11109951</v>
      </c>
      <c r="E1206" s="6" t="s">
        <v>409</v>
      </c>
      <c r="F1206" s="10" t="s">
        <v>134</v>
      </c>
      <c r="G1206" s="6" t="s">
        <v>3928</v>
      </c>
      <c r="H1206" s="8">
        <v>46578</v>
      </c>
      <c r="I1206" s="8">
        <v>43375</v>
      </c>
      <c r="J1206" s="8">
        <v>43382</v>
      </c>
      <c r="K1206" s="95">
        <v>43395</v>
      </c>
      <c r="L1206" s="95" t="s">
        <v>31</v>
      </c>
      <c r="M1206" s="8">
        <v>43385</v>
      </c>
      <c r="N1206" s="8">
        <v>43504</v>
      </c>
      <c r="O1206" s="8">
        <v>43502</v>
      </c>
      <c r="P1206" s="6" t="s">
        <v>90</v>
      </c>
      <c r="Q1206" s="96">
        <v>6574</v>
      </c>
      <c r="R1206" s="97">
        <f t="shared" si="46"/>
        <v>18.010958904109589</v>
      </c>
      <c r="S1206" s="75">
        <f t="shared" si="44"/>
        <v>148752.50958904109</v>
      </c>
      <c r="T1206" s="124" t="s">
        <v>3929</v>
      </c>
      <c r="U1206" s="8">
        <v>43509</v>
      </c>
      <c r="V1206" s="6" t="s">
        <v>36</v>
      </c>
      <c r="W1206" s="6" t="s">
        <v>84</v>
      </c>
      <c r="X1206" s="95">
        <v>40427</v>
      </c>
    </row>
    <row r="1207" spans="1:24" x14ac:dyDescent="0.25">
      <c r="A1207" s="6" t="s">
        <v>25</v>
      </c>
      <c r="B1207" s="94" t="s">
        <v>291</v>
      </c>
      <c r="C1207" s="6" t="s">
        <v>3930</v>
      </c>
      <c r="D1207" s="140">
        <v>11049002</v>
      </c>
      <c r="E1207" s="6" t="s">
        <v>3931</v>
      </c>
      <c r="F1207" s="10" t="s">
        <v>44</v>
      </c>
      <c r="G1207" s="6" t="s">
        <v>3932</v>
      </c>
      <c r="H1207" s="8">
        <v>46297</v>
      </c>
      <c r="I1207" s="8">
        <v>43600</v>
      </c>
      <c r="J1207" s="8">
        <v>43600</v>
      </c>
      <c r="K1207" s="95">
        <v>43620</v>
      </c>
      <c r="L1207" s="95" t="s">
        <v>31</v>
      </c>
      <c r="M1207" s="8">
        <v>43627</v>
      </c>
      <c r="N1207" s="8">
        <v>43647</v>
      </c>
      <c r="O1207" s="8">
        <v>43637</v>
      </c>
      <c r="P1207" s="6" t="s">
        <v>52</v>
      </c>
      <c r="R1207" s="97" t="str">
        <f t="shared" si="46"/>
        <v/>
      </c>
      <c r="S1207" s="75" t="str">
        <f t="shared" si="44"/>
        <v/>
      </c>
      <c r="U1207" s="8">
        <v>43935</v>
      </c>
      <c r="W1207" s="6" t="s">
        <v>33</v>
      </c>
      <c r="X1207" s="6"/>
    </row>
    <row r="1208" spans="1:24" x14ac:dyDescent="0.25">
      <c r="A1208" s="6" t="s">
        <v>25</v>
      </c>
      <c r="B1208" s="94" t="s">
        <v>3933</v>
      </c>
      <c r="C1208" s="6" t="s">
        <v>3934</v>
      </c>
      <c r="D1208" s="140">
        <v>12010454</v>
      </c>
      <c r="E1208" s="6" t="s">
        <v>162</v>
      </c>
      <c r="F1208" s="10" t="s">
        <v>44</v>
      </c>
      <c r="G1208" s="6" t="s">
        <v>3935</v>
      </c>
      <c r="H1208" s="8">
        <v>47434</v>
      </c>
      <c r="I1208" s="8">
        <v>43642</v>
      </c>
      <c r="J1208" s="8">
        <v>43648</v>
      </c>
      <c r="K1208" s="95">
        <v>43712</v>
      </c>
      <c r="L1208" s="95" t="s">
        <v>31</v>
      </c>
      <c r="M1208" s="8">
        <v>43732</v>
      </c>
      <c r="N1208" s="8">
        <v>43840</v>
      </c>
      <c r="O1208" s="8">
        <v>43822</v>
      </c>
      <c r="P1208" s="6" t="s">
        <v>52</v>
      </c>
      <c r="R1208" s="97" t="str">
        <f t="shared" si="46"/>
        <v/>
      </c>
      <c r="S1208" s="75" t="str">
        <f t="shared" si="44"/>
        <v/>
      </c>
      <c r="T1208" s="124" t="s">
        <v>3936</v>
      </c>
      <c r="U1208" s="8">
        <v>43840</v>
      </c>
      <c r="W1208" s="6" t="s">
        <v>33</v>
      </c>
      <c r="X1208" s="6"/>
    </row>
    <row r="1209" spans="1:24" x14ac:dyDescent="0.25">
      <c r="A1209" s="101" t="s">
        <v>70</v>
      </c>
      <c r="B1209" s="102" t="s">
        <v>3937</v>
      </c>
      <c r="C1209" s="101" t="s">
        <v>3938</v>
      </c>
      <c r="D1209" s="141">
        <v>11992966</v>
      </c>
      <c r="E1209" s="101" t="s">
        <v>162</v>
      </c>
      <c r="F1209" s="101" t="s">
        <v>44</v>
      </c>
      <c r="G1209" s="101" t="s">
        <v>3939</v>
      </c>
      <c r="H1209" s="103">
        <v>45003</v>
      </c>
      <c r="I1209" s="95">
        <v>43136</v>
      </c>
      <c r="J1209" s="95">
        <v>43136</v>
      </c>
      <c r="K1209" s="104">
        <v>43143</v>
      </c>
      <c r="L1209" s="95" t="s">
        <v>31</v>
      </c>
      <c r="M1209" s="103">
        <v>43171</v>
      </c>
      <c r="N1209" s="103">
        <v>43182</v>
      </c>
      <c r="O1209" s="103"/>
      <c r="P1209" s="101" t="s">
        <v>182</v>
      </c>
      <c r="Q1209" s="105"/>
      <c r="R1209" s="97" t="str">
        <f t="shared" si="46"/>
        <v/>
      </c>
      <c r="S1209" s="75" t="str">
        <f t="shared" si="44"/>
        <v/>
      </c>
      <c r="T1209" s="125"/>
      <c r="U1209" s="103">
        <v>43182</v>
      </c>
      <c r="W1209" s="6" t="s">
        <v>33</v>
      </c>
      <c r="X1209" s="95">
        <v>42443</v>
      </c>
    </row>
    <row r="1210" spans="1:24" x14ac:dyDescent="0.25">
      <c r="A1210" s="6" t="s">
        <v>25</v>
      </c>
      <c r="B1210" s="94" t="s">
        <v>3940</v>
      </c>
      <c r="C1210" s="6" t="s">
        <v>3941</v>
      </c>
      <c r="D1210" s="140">
        <v>11133273</v>
      </c>
      <c r="E1210" s="6" t="s">
        <v>1960</v>
      </c>
      <c r="F1210" s="10" t="s">
        <v>3942</v>
      </c>
      <c r="G1210" s="6" t="s">
        <v>3943</v>
      </c>
      <c r="H1210" s="8">
        <v>47561</v>
      </c>
      <c r="I1210" s="8">
        <v>43642</v>
      </c>
      <c r="J1210" s="8">
        <v>43648</v>
      </c>
      <c r="K1210" s="95">
        <v>43712</v>
      </c>
      <c r="L1210" s="95" t="s">
        <v>31</v>
      </c>
      <c r="M1210" s="8">
        <v>43725</v>
      </c>
      <c r="N1210" s="108">
        <v>44285</v>
      </c>
      <c r="O1210" s="108">
        <v>44232</v>
      </c>
      <c r="P1210" s="107" t="s">
        <v>75</v>
      </c>
      <c r="Q1210" s="110"/>
      <c r="R1210" s="97" t="str">
        <f t="shared" si="46"/>
        <v/>
      </c>
      <c r="S1210" s="75" t="str">
        <f t="shared" si="44"/>
        <v/>
      </c>
      <c r="U1210" s="8">
        <v>44776</v>
      </c>
      <c r="W1210" s="6" t="s">
        <v>33</v>
      </c>
      <c r="X1210" s="95">
        <v>49745</v>
      </c>
    </row>
    <row r="1211" spans="1:24" x14ac:dyDescent="0.25">
      <c r="A1211" s="6" t="s">
        <v>25</v>
      </c>
      <c r="B1211" s="94" t="s">
        <v>3944</v>
      </c>
      <c r="C1211" s="6" t="s">
        <v>3945</v>
      </c>
      <c r="D1211" s="140">
        <v>11135480</v>
      </c>
      <c r="E1211" s="6" t="s">
        <v>88</v>
      </c>
      <c r="F1211" s="10" t="s">
        <v>44</v>
      </c>
      <c r="G1211" s="6" t="s">
        <v>3946</v>
      </c>
      <c r="H1211" s="8">
        <v>47593</v>
      </c>
      <c r="I1211" s="8">
        <v>43642</v>
      </c>
      <c r="J1211" s="8">
        <v>43648</v>
      </c>
      <c r="K1211" s="95">
        <v>43712</v>
      </c>
      <c r="L1211" s="95" t="s">
        <v>31</v>
      </c>
      <c r="M1211" s="8">
        <v>43725</v>
      </c>
      <c r="N1211" s="8">
        <v>43754</v>
      </c>
      <c r="O1211" s="8">
        <v>43742</v>
      </c>
      <c r="P1211" s="6" t="s">
        <v>182</v>
      </c>
      <c r="R1211" s="97" t="str">
        <f t="shared" si="46"/>
        <v/>
      </c>
      <c r="S1211" s="75" t="str">
        <f t="shared" si="44"/>
        <v/>
      </c>
      <c r="U1211" s="8">
        <v>43935</v>
      </c>
      <c r="W1211" s="6" t="s">
        <v>33</v>
      </c>
      <c r="X1211" s="6"/>
    </row>
    <row r="1212" spans="1:24" x14ac:dyDescent="0.25">
      <c r="A1212" s="6" t="s">
        <v>25</v>
      </c>
      <c r="B1212" s="94" t="s">
        <v>3947</v>
      </c>
      <c r="C1212" s="6" t="s">
        <v>3948</v>
      </c>
      <c r="D1212" s="140">
        <v>11447886</v>
      </c>
      <c r="E1212" s="6" t="s">
        <v>339</v>
      </c>
      <c r="F1212" s="10" t="s">
        <v>44</v>
      </c>
      <c r="G1212" s="6" t="s">
        <v>3949</v>
      </c>
      <c r="H1212" s="8">
        <v>47449</v>
      </c>
      <c r="I1212" s="8">
        <v>43648</v>
      </c>
      <c r="J1212" s="8">
        <v>43648</v>
      </c>
      <c r="K1212" s="95">
        <v>43712</v>
      </c>
      <c r="L1212" s="95" t="s">
        <v>31</v>
      </c>
      <c r="M1212" s="8">
        <v>43725</v>
      </c>
      <c r="N1212" s="8">
        <v>43789</v>
      </c>
      <c r="O1212" s="8">
        <v>43774</v>
      </c>
      <c r="P1212" s="6" t="s">
        <v>182</v>
      </c>
      <c r="R1212" s="97" t="str">
        <f t="shared" si="46"/>
        <v/>
      </c>
      <c r="S1212" s="75" t="str">
        <f t="shared" si="44"/>
        <v/>
      </c>
      <c r="U1212" s="8">
        <v>43789</v>
      </c>
      <c r="W1212" s="6" t="s">
        <v>33</v>
      </c>
      <c r="X1212" s="6"/>
    </row>
    <row r="1213" spans="1:24" x14ac:dyDescent="0.25">
      <c r="A1213" s="6" t="s">
        <v>25</v>
      </c>
      <c r="B1213" s="94" t="s">
        <v>3950</v>
      </c>
      <c r="C1213" s="6" t="s">
        <v>3951</v>
      </c>
      <c r="D1213" s="140">
        <v>11726933</v>
      </c>
      <c r="E1213" s="6" t="s">
        <v>783</v>
      </c>
      <c r="F1213" s="10" t="s">
        <v>176</v>
      </c>
      <c r="G1213" s="6">
        <v>2004025710</v>
      </c>
      <c r="H1213" s="8">
        <v>44733</v>
      </c>
      <c r="I1213" s="8">
        <v>43775</v>
      </c>
      <c r="J1213" s="8">
        <v>43782</v>
      </c>
      <c r="K1213" s="95">
        <v>43836</v>
      </c>
      <c r="L1213" s="95" t="s">
        <v>31</v>
      </c>
      <c r="M1213" s="8">
        <v>43844</v>
      </c>
      <c r="N1213" s="8">
        <v>43934</v>
      </c>
      <c r="O1213" s="8">
        <v>43929</v>
      </c>
      <c r="P1213" s="6" t="s">
        <v>90</v>
      </c>
      <c r="Q1213" s="96">
        <v>1826.25</v>
      </c>
      <c r="R1213" s="97">
        <f t="shared" si="46"/>
        <v>5.0034246575342465</v>
      </c>
      <c r="S1213" s="75">
        <f t="shared" si="44"/>
        <v>41323.284246575342</v>
      </c>
      <c r="T1213" s="124" t="s">
        <v>3952</v>
      </c>
      <c r="U1213" s="8">
        <v>43934</v>
      </c>
      <c r="V1213" s="6" t="s">
        <v>36</v>
      </c>
      <c r="W1213" s="6" t="s">
        <v>33</v>
      </c>
      <c r="X1213" s="95">
        <v>49372</v>
      </c>
    </row>
    <row r="1214" spans="1:24" x14ac:dyDescent="0.25">
      <c r="A1214" s="6" t="s">
        <v>25</v>
      </c>
      <c r="B1214" s="94" t="s">
        <v>817</v>
      </c>
      <c r="C1214" s="6" t="s">
        <v>3953</v>
      </c>
      <c r="D1214" s="140">
        <v>11063369</v>
      </c>
      <c r="E1214" s="6" t="s">
        <v>3954</v>
      </c>
      <c r="F1214" s="10" t="s">
        <v>44</v>
      </c>
      <c r="G1214" s="6" t="s">
        <v>3955</v>
      </c>
      <c r="H1214" s="8">
        <v>44197</v>
      </c>
      <c r="I1214" s="8">
        <v>43642</v>
      </c>
      <c r="J1214" s="8">
        <v>43642</v>
      </c>
      <c r="K1214" s="95">
        <v>43675</v>
      </c>
      <c r="L1214" s="95" t="s">
        <v>31</v>
      </c>
      <c r="M1214" s="8">
        <v>43679</v>
      </c>
      <c r="R1214" s="97" t="str">
        <f t="shared" si="46"/>
        <v/>
      </c>
      <c r="S1214" s="75" t="str">
        <f t="shared" si="44"/>
        <v/>
      </c>
      <c r="T1214" s="124" t="s">
        <v>3956</v>
      </c>
      <c r="U1214" s="8">
        <v>44140</v>
      </c>
      <c r="W1214" s="6" t="s">
        <v>33</v>
      </c>
      <c r="X1214" s="6"/>
    </row>
    <row r="1215" spans="1:24" x14ac:dyDescent="0.25">
      <c r="A1215" s="6" t="s">
        <v>25</v>
      </c>
      <c r="B1215" s="94" t="s">
        <v>173</v>
      </c>
      <c r="C1215" s="6" t="s">
        <v>3957</v>
      </c>
      <c r="D1215" s="140">
        <v>11049497</v>
      </c>
      <c r="E1215" s="6" t="s">
        <v>1927</v>
      </c>
      <c r="F1215" s="10" t="s">
        <v>44</v>
      </c>
      <c r="G1215" s="6" t="s">
        <v>3958</v>
      </c>
      <c r="H1215" s="8">
        <v>44238</v>
      </c>
      <c r="I1215" s="8">
        <v>43642</v>
      </c>
      <c r="J1215" s="8">
        <v>43642</v>
      </c>
      <c r="K1215" s="95">
        <v>43675</v>
      </c>
      <c r="L1215" s="95" t="s">
        <v>359</v>
      </c>
      <c r="R1215" s="97" t="str">
        <f t="shared" si="46"/>
        <v/>
      </c>
      <c r="S1215" s="75" t="str">
        <f t="shared" si="44"/>
        <v/>
      </c>
      <c r="T1215" s="124" t="s">
        <v>3959</v>
      </c>
      <c r="U1215" s="8">
        <v>44140</v>
      </c>
      <c r="W1215" s="6" t="s">
        <v>33</v>
      </c>
      <c r="X1215" s="6"/>
    </row>
    <row r="1216" spans="1:24" x14ac:dyDescent="0.25">
      <c r="A1216" s="6" t="s">
        <v>25</v>
      </c>
      <c r="B1216" s="94" t="s">
        <v>1691</v>
      </c>
      <c r="C1216" s="6" t="s">
        <v>3960</v>
      </c>
      <c r="D1216" s="140">
        <v>11418475</v>
      </c>
      <c r="E1216" s="6" t="s">
        <v>3468</v>
      </c>
      <c r="F1216" s="10" t="s">
        <v>2600</v>
      </c>
      <c r="G1216" s="6">
        <v>1260289</v>
      </c>
      <c r="H1216" s="8">
        <v>44210</v>
      </c>
      <c r="I1216" s="8">
        <v>43642</v>
      </c>
      <c r="J1216" s="8">
        <v>43642</v>
      </c>
      <c r="K1216" s="95">
        <v>43675</v>
      </c>
      <c r="L1216" s="95" t="s">
        <v>31</v>
      </c>
      <c r="M1216" s="8">
        <v>43679</v>
      </c>
      <c r="N1216" s="8">
        <v>43739</v>
      </c>
      <c r="O1216" s="8">
        <v>43732</v>
      </c>
      <c r="P1216" s="6" t="s">
        <v>90</v>
      </c>
      <c r="Q1216" s="96">
        <v>463</v>
      </c>
      <c r="R1216" s="97">
        <f t="shared" si="46"/>
        <v>1.2684931506849315</v>
      </c>
      <c r="S1216" s="75">
        <f t="shared" si="44"/>
        <v>10476.48493150685</v>
      </c>
      <c r="T1216" s="124" t="s">
        <v>3961</v>
      </c>
      <c r="U1216" s="8">
        <v>43741</v>
      </c>
      <c r="V1216" s="6" t="s">
        <v>36</v>
      </c>
      <c r="W1216" s="6" t="s">
        <v>33</v>
      </c>
      <c r="X1216" s="6"/>
    </row>
    <row r="1217" spans="1:24" x14ac:dyDescent="0.25">
      <c r="A1217" s="6" t="s">
        <v>25</v>
      </c>
      <c r="B1217" s="94" t="s">
        <v>534</v>
      </c>
      <c r="C1217" s="6" t="s">
        <v>3962</v>
      </c>
      <c r="D1217" s="140">
        <v>11180560</v>
      </c>
      <c r="E1217" s="6" t="s">
        <v>3963</v>
      </c>
      <c r="F1217" s="10" t="s">
        <v>62</v>
      </c>
      <c r="G1217" s="6" t="s">
        <v>3964</v>
      </c>
      <c r="H1217" s="8">
        <v>44206</v>
      </c>
      <c r="I1217" s="8">
        <v>43642</v>
      </c>
      <c r="J1217" s="8">
        <v>43642</v>
      </c>
      <c r="K1217" s="95">
        <v>43675</v>
      </c>
      <c r="L1217" s="95" t="s">
        <v>359</v>
      </c>
      <c r="R1217" s="97" t="str">
        <f t="shared" si="46"/>
        <v/>
      </c>
      <c r="S1217" s="75" t="str">
        <f t="shared" si="44"/>
        <v/>
      </c>
      <c r="T1217" s="124" t="s">
        <v>3965</v>
      </c>
      <c r="U1217" s="8">
        <v>44140</v>
      </c>
      <c r="W1217" s="6" t="s">
        <v>33</v>
      </c>
      <c r="X1217" s="6"/>
    </row>
    <row r="1218" spans="1:24" x14ac:dyDescent="0.25">
      <c r="A1218" s="6" t="s">
        <v>25</v>
      </c>
      <c r="B1218" s="94" t="s">
        <v>3966</v>
      </c>
      <c r="C1218" s="6" t="s">
        <v>3967</v>
      </c>
      <c r="D1218" s="140">
        <v>11106647</v>
      </c>
      <c r="E1218" s="6" t="s">
        <v>204</v>
      </c>
      <c r="F1218" s="10" t="s">
        <v>44</v>
      </c>
      <c r="G1218" s="6" t="s">
        <v>3968</v>
      </c>
      <c r="H1218" s="8">
        <v>44197</v>
      </c>
      <c r="I1218" s="8">
        <v>43642</v>
      </c>
      <c r="J1218" s="8">
        <v>43642</v>
      </c>
      <c r="K1218" s="95">
        <v>43675</v>
      </c>
      <c r="L1218" s="95" t="s">
        <v>31</v>
      </c>
      <c r="M1218" s="8">
        <v>43679</v>
      </c>
      <c r="N1218" s="8">
        <v>43836</v>
      </c>
      <c r="O1218" s="8">
        <v>43809</v>
      </c>
      <c r="P1218" s="6" t="s">
        <v>90</v>
      </c>
      <c r="Q1218" s="96">
        <v>1826.25</v>
      </c>
      <c r="R1218" s="97">
        <f t="shared" si="46"/>
        <v>5.0034246575342465</v>
      </c>
      <c r="S1218" s="75">
        <f t="shared" si="44"/>
        <v>41323.284246575342</v>
      </c>
      <c r="T1218" s="124" t="s">
        <v>3969</v>
      </c>
      <c r="U1218" s="8">
        <v>43836</v>
      </c>
      <c r="W1218" s="6" t="s">
        <v>33</v>
      </c>
      <c r="X1218" s="95">
        <v>44197</v>
      </c>
    </row>
    <row r="1219" spans="1:24" x14ac:dyDescent="0.25">
      <c r="A1219" s="12" t="s">
        <v>85</v>
      </c>
      <c r="B1219" s="11" t="s">
        <v>1265</v>
      </c>
      <c r="C1219" s="12" t="s">
        <v>3970</v>
      </c>
      <c r="D1219" s="143">
        <v>11927142</v>
      </c>
      <c r="E1219" s="12" t="s">
        <v>3971</v>
      </c>
      <c r="F1219" s="12" t="s">
        <v>934</v>
      </c>
      <c r="G1219" s="12" t="s">
        <v>3972</v>
      </c>
      <c r="H1219" s="41"/>
      <c r="I1219" s="41">
        <v>43192</v>
      </c>
      <c r="J1219" s="41">
        <v>43192</v>
      </c>
      <c r="K1219" s="13">
        <v>43193</v>
      </c>
      <c r="L1219" s="7" t="s">
        <v>31</v>
      </c>
      <c r="M1219" s="41">
        <v>43195</v>
      </c>
      <c r="N1219" s="41">
        <v>43251</v>
      </c>
      <c r="O1219" s="41">
        <v>43237</v>
      </c>
      <c r="P1219" s="101" t="s">
        <v>182</v>
      </c>
      <c r="Q1219" s="105"/>
      <c r="R1219" s="97" t="str">
        <f t="shared" si="46"/>
        <v/>
      </c>
      <c r="S1219" s="75" t="str">
        <f t="shared" si="44"/>
        <v/>
      </c>
      <c r="T1219" s="125"/>
      <c r="U1219" s="8">
        <v>43251</v>
      </c>
      <c r="W1219" s="6" t="s">
        <v>33</v>
      </c>
      <c r="X1219" s="95">
        <v>42308</v>
      </c>
    </row>
    <row r="1220" spans="1:24" x14ac:dyDescent="0.25">
      <c r="A1220" s="6" t="s">
        <v>25</v>
      </c>
      <c r="B1220" s="94" t="s">
        <v>3973</v>
      </c>
      <c r="C1220" s="6" t="s">
        <v>3974</v>
      </c>
      <c r="D1220" s="140">
        <v>11278667</v>
      </c>
      <c r="E1220" s="6" t="s">
        <v>1018</v>
      </c>
      <c r="F1220" s="10" t="s">
        <v>252</v>
      </c>
      <c r="G1220" s="6">
        <v>51014299</v>
      </c>
      <c r="H1220" s="8">
        <v>44206</v>
      </c>
      <c r="I1220" s="8">
        <v>43642</v>
      </c>
      <c r="J1220" s="8">
        <v>43642</v>
      </c>
      <c r="K1220" s="95">
        <v>43675</v>
      </c>
      <c r="L1220" s="95" t="s">
        <v>359</v>
      </c>
      <c r="R1220" s="97" t="str">
        <f t="shared" si="46"/>
        <v/>
      </c>
      <c r="S1220" s="75" t="str">
        <f t="shared" si="44"/>
        <v/>
      </c>
      <c r="T1220" s="124" t="s">
        <v>3975</v>
      </c>
      <c r="U1220" s="8">
        <v>44140</v>
      </c>
      <c r="W1220" s="6" t="s">
        <v>33</v>
      </c>
      <c r="X1220" s="6"/>
    </row>
    <row r="1221" spans="1:24" x14ac:dyDescent="0.25">
      <c r="A1221" s="6" t="s">
        <v>25</v>
      </c>
      <c r="B1221" s="94" t="s">
        <v>1177</v>
      </c>
      <c r="C1221" s="6" t="s">
        <v>3976</v>
      </c>
      <c r="D1221" s="140">
        <v>11292129</v>
      </c>
      <c r="E1221" s="6" t="s">
        <v>49</v>
      </c>
      <c r="F1221" s="10" t="s">
        <v>134</v>
      </c>
      <c r="G1221" s="6" t="s">
        <v>3977</v>
      </c>
      <c r="H1221" s="8">
        <v>44198</v>
      </c>
      <c r="I1221" s="8">
        <v>43642</v>
      </c>
      <c r="J1221" s="8">
        <v>43642</v>
      </c>
      <c r="K1221" s="95">
        <v>43675</v>
      </c>
      <c r="L1221" s="95" t="s">
        <v>359</v>
      </c>
      <c r="R1221" s="97" t="str">
        <f t="shared" si="46"/>
        <v/>
      </c>
      <c r="S1221" s="75" t="str">
        <f t="shared" ref="S1221:S1284" si="47">IF(Q1221&gt;0, SUM(Q1221)*(8259/365), "")</f>
        <v/>
      </c>
      <c r="T1221" s="124" t="s">
        <v>3978</v>
      </c>
      <c r="U1221" s="8">
        <v>44140</v>
      </c>
      <c r="W1221" s="6" t="s">
        <v>33</v>
      </c>
      <c r="X1221" s="6"/>
    </row>
    <row r="1222" spans="1:24" x14ac:dyDescent="0.25">
      <c r="A1222" s="6" t="s">
        <v>168</v>
      </c>
      <c r="B1222" s="94" t="s">
        <v>1123</v>
      </c>
      <c r="C1222" s="6" t="s">
        <v>3979</v>
      </c>
      <c r="D1222" s="140">
        <v>11203511</v>
      </c>
      <c r="E1222" s="6" t="s">
        <v>3980</v>
      </c>
      <c r="F1222" s="10" t="s">
        <v>139</v>
      </c>
      <c r="G1222" s="6" t="s">
        <v>3981</v>
      </c>
      <c r="H1222" s="8">
        <v>45812</v>
      </c>
      <c r="I1222" s="8">
        <v>43602</v>
      </c>
      <c r="J1222" s="8">
        <v>43619</v>
      </c>
      <c r="K1222" s="95">
        <v>43622</v>
      </c>
      <c r="L1222" s="95" t="s">
        <v>31</v>
      </c>
      <c r="M1222" s="8">
        <v>43627</v>
      </c>
      <c r="N1222" s="8">
        <v>44141</v>
      </c>
      <c r="O1222" s="8">
        <v>43991</v>
      </c>
      <c r="P1222" s="6" t="s">
        <v>90</v>
      </c>
      <c r="Q1222" s="96">
        <v>1793</v>
      </c>
      <c r="R1222" s="97">
        <f t="shared" si="46"/>
        <v>4.912328767123288</v>
      </c>
      <c r="S1222" s="75">
        <f t="shared" si="47"/>
        <v>40570.923287671234</v>
      </c>
      <c r="T1222" s="124" t="s">
        <v>3982</v>
      </c>
      <c r="U1222" s="8">
        <v>44141</v>
      </c>
      <c r="W1222" s="6" t="s">
        <v>84</v>
      </c>
      <c r="X1222" s="95">
        <v>39917</v>
      </c>
    </row>
    <row r="1223" spans="1:24" x14ac:dyDescent="0.25">
      <c r="A1223" s="101" t="s">
        <v>117</v>
      </c>
      <c r="B1223" s="102" t="s">
        <v>2971</v>
      </c>
      <c r="C1223" s="101" t="s">
        <v>3983</v>
      </c>
      <c r="D1223" s="141">
        <v>11583641</v>
      </c>
      <c r="E1223" s="101" t="s">
        <v>1271</v>
      </c>
      <c r="F1223" s="111" t="s">
        <v>979</v>
      </c>
      <c r="G1223" s="101" t="s">
        <v>3984</v>
      </c>
      <c r="H1223" s="103">
        <v>45049</v>
      </c>
      <c r="I1223" s="9">
        <v>43213</v>
      </c>
      <c r="J1223" s="41">
        <v>43236</v>
      </c>
      <c r="K1223" s="13">
        <v>43236</v>
      </c>
      <c r="L1223" s="95" t="s">
        <v>31</v>
      </c>
      <c r="M1223" s="41">
        <v>43241</v>
      </c>
      <c r="N1223" s="41">
        <v>43250</v>
      </c>
      <c r="O1223" s="41">
        <v>43244</v>
      </c>
      <c r="P1223" s="101" t="s">
        <v>182</v>
      </c>
      <c r="Q1223" s="78"/>
      <c r="R1223" s="97" t="str">
        <f t="shared" si="46"/>
        <v/>
      </c>
      <c r="S1223" s="75" t="str">
        <f t="shared" si="47"/>
        <v/>
      </c>
      <c r="T1223" s="125" t="s">
        <v>3985</v>
      </c>
      <c r="U1223" s="8">
        <v>43250</v>
      </c>
      <c r="W1223" s="6" t="s">
        <v>33</v>
      </c>
      <c r="X1223" s="95">
        <v>43649</v>
      </c>
    </row>
    <row r="1224" spans="1:24" ht="15.75" customHeight="1" x14ac:dyDescent="0.25">
      <c r="A1224" s="6" t="s">
        <v>117</v>
      </c>
      <c r="B1224" s="94" t="s">
        <v>1094</v>
      </c>
      <c r="C1224" s="6" t="s">
        <v>3986</v>
      </c>
      <c r="D1224" s="140">
        <v>11188934</v>
      </c>
      <c r="E1224" s="6" t="s">
        <v>247</v>
      </c>
      <c r="F1224" s="6" t="s">
        <v>442</v>
      </c>
      <c r="G1224" s="6" t="s">
        <v>3987</v>
      </c>
      <c r="H1224" s="8">
        <v>43913</v>
      </c>
      <c r="I1224" s="9">
        <v>43243</v>
      </c>
      <c r="J1224" s="8">
        <v>43251</v>
      </c>
      <c r="K1224" s="95">
        <v>43263</v>
      </c>
      <c r="L1224" s="95" t="s">
        <v>31</v>
      </c>
      <c r="M1224" s="8">
        <v>43266</v>
      </c>
      <c r="N1224" s="8">
        <v>43360</v>
      </c>
      <c r="O1224" s="8">
        <v>43343</v>
      </c>
      <c r="P1224" s="6" t="s">
        <v>75</v>
      </c>
      <c r="R1224" s="97" t="str">
        <f t="shared" si="46"/>
        <v/>
      </c>
      <c r="S1224" s="75" t="str">
        <f t="shared" si="47"/>
        <v/>
      </c>
      <c r="U1224" s="8">
        <v>43360</v>
      </c>
      <c r="W1224" s="6" t="s">
        <v>33</v>
      </c>
      <c r="X1224" s="95">
        <v>41380</v>
      </c>
    </row>
    <row r="1225" spans="1:24" ht="60" x14ac:dyDescent="0.25">
      <c r="A1225" s="6" t="s">
        <v>65</v>
      </c>
      <c r="B1225" s="94" t="s">
        <v>1265</v>
      </c>
      <c r="C1225" s="6" t="s">
        <v>3988</v>
      </c>
      <c r="D1225" s="140">
        <v>11240825</v>
      </c>
      <c r="E1225" s="6" t="s">
        <v>2086</v>
      </c>
      <c r="F1225" s="10" t="s">
        <v>44</v>
      </c>
      <c r="G1225" s="6" t="s">
        <v>3989</v>
      </c>
      <c r="H1225" s="8">
        <v>44726</v>
      </c>
      <c r="I1225" s="8">
        <v>43270</v>
      </c>
      <c r="J1225" s="8">
        <v>43270</v>
      </c>
      <c r="K1225" s="95">
        <v>43299</v>
      </c>
      <c r="L1225" s="95" t="s">
        <v>31</v>
      </c>
      <c r="M1225" s="8">
        <v>43305</v>
      </c>
      <c r="N1225" s="8">
        <v>43318</v>
      </c>
      <c r="P1225" s="101" t="s">
        <v>52</v>
      </c>
      <c r="R1225" s="97" t="str">
        <f t="shared" si="46"/>
        <v/>
      </c>
      <c r="S1225" s="75" t="str">
        <f t="shared" si="47"/>
        <v/>
      </c>
      <c r="T1225" s="124" t="s">
        <v>3990</v>
      </c>
      <c r="U1225" s="8">
        <v>43332</v>
      </c>
      <c r="W1225" s="6" t="s">
        <v>33</v>
      </c>
      <c r="X1225" s="95">
        <v>50801</v>
      </c>
    </row>
    <row r="1226" spans="1:24" x14ac:dyDescent="0.25">
      <c r="A1226" s="6" t="s">
        <v>65</v>
      </c>
      <c r="B1226" s="94" t="s">
        <v>873</v>
      </c>
      <c r="C1226" s="6" t="s">
        <v>3991</v>
      </c>
      <c r="D1226" s="140">
        <v>11640903</v>
      </c>
      <c r="E1226" s="6" t="s">
        <v>1185</v>
      </c>
      <c r="F1226" s="10" t="s">
        <v>29</v>
      </c>
      <c r="G1226" s="6" t="s">
        <v>3992</v>
      </c>
      <c r="H1226" s="8">
        <v>44060</v>
      </c>
      <c r="I1226" s="8">
        <v>43270</v>
      </c>
      <c r="J1226" s="8">
        <v>43270</v>
      </c>
      <c r="K1226" s="95">
        <v>43278</v>
      </c>
      <c r="L1226" s="95" t="s">
        <v>31</v>
      </c>
      <c r="M1226" s="8">
        <v>43280</v>
      </c>
      <c r="N1226" s="8">
        <v>43374</v>
      </c>
      <c r="P1226" s="101" t="s">
        <v>182</v>
      </c>
      <c r="R1226" s="97" t="str">
        <f t="shared" si="46"/>
        <v/>
      </c>
      <c r="S1226" s="75" t="str">
        <f t="shared" si="47"/>
        <v/>
      </c>
      <c r="U1226" s="8">
        <v>43374</v>
      </c>
      <c r="W1226" s="6" t="s">
        <v>33</v>
      </c>
      <c r="X1226" s="95">
        <v>44376</v>
      </c>
    </row>
    <row r="1227" spans="1:24" x14ac:dyDescent="0.25">
      <c r="A1227" s="6" t="s">
        <v>25</v>
      </c>
      <c r="B1227" s="94" t="s">
        <v>3993</v>
      </c>
      <c r="C1227" s="6" t="s">
        <v>3994</v>
      </c>
      <c r="D1227" s="140">
        <v>11344961</v>
      </c>
      <c r="E1227" s="6" t="s">
        <v>1271</v>
      </c>
      <c r="F1227" s="10" t="s">
        <v>139</v>
      </c>
      <c r="G1227" s="6" t="s">
        <v>3995</v>
      </c>
      <c r="H1227" s="8">
        <v>45581</v>
      </c>
      <c r="I1227" s="8">
        <v>43643</v>
      </c>
      <c r="J1227" s="8">
        <v>43643</v>
      </c>
      <c r="K1227" s="95">
        <v>43712</v>
      </c>
      <c r="L1227" s="95" t="s">
        <v>31</v>
      </c>
      <c r="M1227" s="8">
        <v>43720</v>
      </c>
      <c r="R1227" s="97" t="str">
        <f t="shared" si="46"/>
        <v/>
      </c>
      <c r="S1227" s="75" t="str">
        <f t="shared" si="47"/>
        <v/>
      </c>
      <c r="T1227" s="124" t="s">
        <v>3996</v>
      </c>
      <c r="U1227" s="8">
        <v>45106</v>
      </c>
      <c r="W1227" s="6" t="s">
        <v>33</v>
      </c>
      <c r="X1227" s="95">
        <v>51205</v>
      </c>
    </row>
    <row r="1228" spans="1:24" x14ac:dyDescent="0.25">
      <c r="A1228" s="6" t="s">
        <v>25</v>
      </c>
      <c r="B1228" s="94" t="s">
        <v>1552</v>
      </c>
      <c r="C1228" s="6" t="s">
        <v>3997</v>
      </c>
      <c r="D1228" s="140">
        <v>11208436</v>
      </c>
      <c r="E1228" s="6" t="s">
        <v>2090</v>
      </c>
      <c r="F1228" s="10" t="s">
        <v>3160</v>
      </c>
      <c r="G1228" s="6">
        <v>219308</v>
      </c>
      <c r="H1228" s="8">
        <v>45555</v>
      </c>
      <c r="I1228" s="8">
        <v>43643</v>
      </c>
      <c r="J1228" s="8">
        <v>43643</v>
      </c>
      <c r="K1228" s="95">
        <v>43712</v>
      </c>
      <c r="L1228" s="95" t="s">
        <v>31</v>
      </c>
      <c r="M1228" s="8">
        <v>43720</v>
      </c>
      <c r="N1228" s="8">
        <v>43867</v>
      </c>
      <c r="O1228" s="8">
        <v>43867</v>
      </c>
      <c r="P1228" s="6" t="s">
        <v>90</v>
      </c>
      <c r="Q1228" s="96">
        <v>2313</v>
      </c>
      <c r="R1228" s="97">
        <f t="shared" si="46"/>
        <v>6.3369863013698629</v>
      </c>
      <c r="S1228" s="75">
        <f t="shared" si="47"/>
        <v>52337.169863013703</v>
      </c>
      <c r="T1228" s="124" t="s">
        <v>3998</v>
      </c>
      <c r="U1228" s="8">
        <v>43867</v>
      </c>
      <c r="V1228" s="6" t="s">
        <v>36</v>
      </c>
      <c r="W1228" s="6" t="s">
        <v>33</v>
      </c>
      <c r="X1228" s="6"/>
    </row>
    <row r="1229" spans="1:24" x14ac:dyDescent="0.25">
      <c r="A1229" s="6" t="s">
        <v>117</v>
      </c>
      <c r="B1229" s="94" t="s">
        <v>1775</v>
      </c>
      <c r="C1229" s="6" t="s">
        <v>3999</v>
      </c>
      <c r="D1229" s="140">
        <v>11368472</v>
      </c>
      <c r="E1229" s="6" t="s">
        <v>49</v>
      </c>
      <c r="F1229" s="10" t="s">
        <v>50</v>
      </c>
      <c r="G1229" s="6" t="s">
        <v>4000</v>
      </c>
      <c r="H1229" s="8">
        <v>45738</v>
      </c>
      <c r="I1229" s="8">
        <v>43854</v>
      </c>
      <c r="J1229" s="8">
        <v>43854</v>
      </c>
      <c r="K1229" s="95">
        <v>43859</v>
      </c>
      <c r="L1229" s="95" t="s">
        <v>31</v>
      </c>
      <c r="M1229" s="8">
        <v>43866</v>
      </c>
      <c r="P1229" s="6" t="s">
        <v>628</v>
      </c>
      <c r="R1229" s="97" t="str">
        <f t="shared" si="46"/>
        <v/>
      </c>
      <c r="S1229" s="75" t="str">
        <f t="shared" si="47"/>
        <v/>
      </c>
      <c r="T1229" s="124" t="s">
        <v>4001</v>
      </c>
      <c r="W1229" s="6" t="s">
        <v>33</v>
      </c>
      <c r="X1229" s="95">
        <v>43301</v>
      </c>
    </row>
    <row r="1230" spans="1:24" ht="30" x14ac:dyDescent="0.25">
      <c r="A1230" s="6" t="s">
        <v>65</v>
      </c>
      <c r="B1230" s="94" t="s">
        <v>1457</v>
      </c>
      <c r="C1230" s="6" t="s">
        <v>4002</v>
      </c>
      <c r="D1230" s="140">
        <v>12103206</v>
      </c>
      <c r="E1230" s="6" t="s">
        <v>289</v>
      </c>
      <c r="F1230" s="10" t="s">
        <v>148</v>
      </c>
      <c r="G1230" s="6" t="s">
        <v>4003</v>
      </c>
      <c r="H1230" s="8">
        <v>44063</v>
      </c>
      <c r="I1230" s="8">
        <v>43348</v>
      </c>
      <c r="J1230" s="8">
        <v>43348</v>
      </c>
      <c r="K1230" s="95">
        <v>43369</v>
      </c>
      <c r="L1230" s="95" t="s">
        <v>31</v>
      </c>
      <c r="M1230" s="8">
        <v>43374</v>
      </c>
      <c r="R1230" s="97" t="str">
        <f t="shared" si="46"/>
        <v/>
      </c>
      <c r="S1230" s="75" t="str">
        <f t="shared" si="47"/>
        <v/>
      </c>
      <c r="T1230" s="124" t="s">
        <v>4004</v>
      </c>
      <c r="U1230" s="8">
        <v>44134</v>
      </c>
      <c r="V1230" s="6" t="s">
        <v>36</v>
      </c>
      <c r="W1230" s="6" t="s">
        <v>33</v>
      </c>
      <c r="X1230" s="95">
        <v>46309</v>
      </c>
    </row>
    <row r="1231" spans="1:24" x14ac:dyDescent="0.25">
      <c r="A1231" s="6" t="s">
        <v>25</v>
      </c>
      <c r="B1231" s="94" t="s">
        <v>1412</v>
      </c>
      <c r="C1231" s="6" t="s">
        <v>4005</v>
      </c>
      <c r="D1231" s="140">
        <v>11301819</v>
      </c>
      <c r="E1231" s="6" t="s">
        <v>1525</v>
      </c>
      <c r="F1231" s="10" t="s">
        <v>44</v>
      </c>
      <c r="G1231" s="6" t="s">
        <v>4006</v>
      </c>
      <c r="H1231" s="8">
        <v>45560</v>
      </c>
      <c r="I1231" s="8">
        <v>43643</v>
      </c>
      <c r="J1231" s="8">
        <v>43643</v>
      </c>
      <c r="K1231" s="95">
        <v>43712</v>
      </c>
      <c r="L1231" s="95" t="s">
        <v>31</v>
      </c>
      <c r="M1231" s="8">
        <v>43720</v>
      </c>
      <c r="N1231" s="8">
        <v>43795</v>
      </c>
      <c r="O1231" s="8">
        <v>43782</v>
      </c>
      <c r="P1231" s="6" t="s">
        <v>75</v>
      </c>
      <c r="R1231" s="97" t="str">
        <f t="shared" si="46"/>
        <v/>
      </c>
      <c r="S1231" s="75" t="str">
        <f t="shared" si="47"/>
        <v/>
      </c>
      <c r="W1231" s="6" t="s">
        <v>33</v>
      </c>
      <c r="X1231" s="6"/>
    </row>
    <row r="1232" spans="1:24" x14ac:dyDescent="0.25">
      <c r="A1232" s="6" t="s">
        <v>65</v>
      </c>
      <c r="B1232" s="94" t="s">
        <v>1171</v>
      </c>
      <c r="C1232" s="6" t="s">
        <v>4007</v>
      </c>
      <c r="D1232" s="140">
        <v>12147373</v>
      </c>
      <c r="E1232" s="6" t="s">
        <v>80</v>
      </c>
      <c r="F1232" s="10" t="s">
        <v>44</v>
      </c>
      <c r="G1232" s="6" t="s">
        <v>4008</v>
      </c>
      <c r="H1232" s="8">
        <v>59014</v>
      </c>
      <c r="I1232" s="8">
        <v>43293</v>
      </c>
      <c r="J1232" s="8">
        <v>43301</v>
      </c>
      <c r="K1232" s="95">
        <v>43313</v>
      </c>
      <c r="L1232" s="95" t="s">
        <v>31</v>
      </c>
      <c r="M1232" s="8">
        <v>43320</v>
      </c>
      <c r="N1232" s="8">
        <v>44914</v>
      </c>
      <c r="O1232" s="8">
        <v>44707</v>
      </c>
      <c r="P1232" s="6" t="s">
        <v>35</v>
      </c>
      <c r="Q1232" s="96">
        <v>8395</v>
      </c>
      <c r="R1232" s="97">
        <f t="shared" si="46"/>
        <v>23</v>
      </c>
      <c r="S1232" s="75">
        <f t="shared" si="47"/>
        <v>189957</v>
      </c>
      <c r="U1232" s="8">
        <v>45022</v>
      </c>
      <c r="W1232" s="6" t="s">
        <v>84</v>
      </c>
      <c r="X1232" s="95">
        <v>50913</v>
      </c>
    </row>
    <row r="1233" spans="1:24" x14ac:dyDescent="0.25">
      <c r="A1233" s="6" t="s">
        <v>37</v>
      </c>
      <c r="B1233" s="94" t="s">
        <v>4009</v>
      </c>
      <c r="C1233" s="6" t="s">
        <v>4010</v>
      </c>
      <c r="D1233" s="140">
        <v>12102482</v>
      </c>
      <c r="E1233" s="6" t="s">
        <v>4011</v>
      </c>
      <c r="F1233" s="10" t="s">
        <v>205</v>
      </c>
      <c r="G1233" s="6" t="s">
        <v>4012</v>
      </c>
      <c r="H1233" s="8">
        <v>45905</v>
      </c>
      <c r="I1233" s="8">
        <v>44119</v>
      </c>
      <c r="J1233" s="8">
        <v>44147</v>
      </c>
      <c r="K1233" s="95">
        <v>44148</v>
      </c>
      <c r="L1233" s="95" t="s">
        <v>31</v>
      </c>
      <c r="M1233" s="8">
        <v>44156</v>
      </c>
      <c r="N1233" s="8">
        <v>44413</v>
      </c>
      <c r="O1233" s="8">
        <v>44399</v>
      </c>
      <c r="P1233" s="6" t="s">
        <v>52</v>
      </c>
      <c r="R1233" s="97" t="str">
        <f t="shared" si="46"/>
        <v/>
      </c>
      <c r="S1233" s="75" t="str">
        <f t="shared" si="47"/>
        <v/>
      </c>
      <c r="T1233" s="124" t="s">
        <v>3501</v>
      </c>
      <c r="U1233" s="8">
        <v>44413</v>
      </c>
      <c r="W1233" s="6" t="s">
        <v>33</v>
      </c>
      <c r="X1233" s="135">
        <v>53637</v>
      </c>
    </row>
    <row r="1234" spans="1:24" x14ac:dyDescent="0.25">
      <c r="A1234" s="6" t="s">
        <v>25</v>
      </c>
      <c r="B1234" s="94" t="s">
        <v>86</v>
      </c>
      <c r="C1234" s="6" t="s">
        <v>4013</v>
      </c>
      <c r="D1234" s="140">
        <v>11916487</v>
      </c>
      <c r="E1234" s="6" t="s">
        <v>153</v>
      </c>
      <c r="F1234" s="10" t="s">
        <v>363</v>
      </c>
      <c r="G1234" s="6">
        <v>1449584</v>
      </c>
      <c r="H1234" s="8">
        <v>44284</v>
      </c>
      <c r="I1234" s="8">
        <v>43644</v>
      </c>
      <c r="J1234" s="8">
        <v>43644</v>
      </c>
      <c r="K1234" s="95">
        <v>43734</v>
      </c>
      <c r="L1234" s="95" t="s">
        <v>359</v>
      </c>
      <c r="R1234" s="97" t="str">
        <f t="shared" si="46"/>
        <v/>
      </c>
      <c r="S1234" s="75" t="str">
        <f t="shared" si="47"/>
        <v/>
      </c>
      <c r="W1234" s="6" t="s">
        <v>33</v>
      </c>
      <c r="X1234" s="95">
        <v>42262</v>
      </c>
    </row>
    <row r="1235" spans="1:24" x14ac:dyDescent="0.25">
      <c r="A1235" s="6" t="s">
        <v>168</v>
      </c>
      <c r="B1235" s="94" t="s">
        <v>2050</v>
      </c>
      <c r="C1235" s="6" t="s">
        <v>4014</v>
      </c>
      <c r="D1235" s="140">
        <v>10256225</v>
      </c>
      <c r="E1235" s="6" t="s">
        <v>4015</v>
      </c>
      <c r="F1235" s="10" t="s">
        <v>44</v>
      </c>
      <c r="G1235" s="6" t="s">
        <v>4016</v>
      </c>
      <c r="H1235" s="8">
        <v>46318</v>
      </c>
      <c r="I1235" s="8">
        <v>43607</v>
      </c>
      <c r="J1235" s="8">
        <v>43614</v>
      </c>
      <c r="K1235" s="95">
        <v>43614</v>
      </c>
      <c r="L1235" s="95" t="s">
        <v>31</v>
      </c>
      <c r="M1235" s="8">
        <v>43619</v>
      </c>
      <c r="N1235" s="8">
        <v>43663</v>
      </c>
      <c r="O1235" s="8">
        <v>43649</v>
      </c>
      <c r="P1235" s="6" t="s">
        <v>75</v>
      </c>
      <c r="R1235" s="97" t="str">
        <f t="shared" si="46"/>
        <v/>
      </c>
      <c r="S1235" s="75" t="str">
        <f t="shared" si="47"/>
        <v/>
      </c>
      <c r="U1235" s="8">
        <v>43663</v>
      </c>
      <c r="W1235" s="6" t="s">
        <v>33</v>
      </c>
      <c r="X1235" s="95">
        <v>48522</v>
      </c>
    </row>
    <row r="1236" spans="1:24" x14ac:dyDescent="0.25">
      <c r="A1236" s="6" t="s">
        <v>65</v>
      </c>
      <c r="B1236" s="94" t="s">
        <v>4017</v>
      </c>
      <c r="C1236" s="6" t="s">
        <v>4018</v>
      </c>
      <c r="D1236" s="140">
        <v>12012731</v>
      </c>
      <c r="E1236" s="6" t="s">
        <v>175</v>
      </c>
      <c r="F1236" s="6" t="s">
        <v>528</v>
      </c>
      <c r="G1236" s="6" t="s">
        <v>4019</v>
      </c>
      <c r="H1236" s="8">
        <v>45314</v>
      </c>
      <c r="I1236" s="8">
        <v>43272</v>
      </c>
      <c r="J1236" s="8">
        <v>43272</v>
      </c>
      <c r="K1236" s="95">
        <v>43283</v>
      </c>
      <c r="L1236" s="95" t="s">
        <v>31</v>
      </c>
      <c r="M1236" s="8">
        <v>43291</v>
      </c>
      <c r="N1236" s="8">
        <v>43393</v>
      </c>
      <c r="P1236" s="101" t="s">
        <v>182</v>
      </c>
      <c r="R1236" s="97" t="str">
        <f t="shared" ref="R1236:R1267" si="48">IF(Q1236&gt;0, Q1236/365, "")</f>
        <v/>
      </c>
      <c r="S1236" s="75" t="str">
        <f t="shared" si="47"/>
        <v/>
      </c>
      <c r="U1236" s="8">
        <v>43376</v>
      </c>
      <c r="W1236" s="6" t="s">
        <v>33</v>
      </c>
      <c r="X1236" s="95">
        <v>43592</v>
      </c>
    </row>
    <row r="1237" spans="1:24" x14ac:dyDescent="0.25">
      <c r="A1237" s="6" t="s">
        <v>25</v>
      </c>
      <c r="B1237" s="94" t="s">
        <v>2329</v>
      </c>
      <c r="C1237" s="6" t="s">
        <v>4020</v>
      </c>
      <c r="D1237" s="140">
        <v>12118590</v>
      </c>
      <c r="E1237" s="6" t="s">
        <v>570</v>
      </c>
      <c r="F1237" s="10" t="s">
        <v>143</v>
      </c>
      <c r="G1237" s="6" t="s">
        <v>4021</v>
      </c>
      <c r="H1237" s="8">
        <v>47605</v>
      </c>
      <c r="I1237" s="8">
        <v>43649</v>
      </c>
      <c r="J1237" s="8">
        <v>43654</v>
      </c>
      <c r="K1237" s="95">
        <v>43712</v>
      </c>
      <c r="L1237" s="95" t="s">
        <v>359</v>
      </c>
      <c r="R1237" s="97" t="str">
        <f t="shared" si="48"/>
        <v/>
      </c>
      <c r="S1237" s="75" t="str">
        <f t="shared" si="47"/>
        <v/>
      </c>
      <c r="W1237" s="6" t="s">
        <v>33</v>
      </c>
      <c r="X1237" s="95">
        <v>46571</v>
      </c>
    </row>
    <row r="1238" spans="1:24" x14ac:dyDescent="0.25">
      <c r="A1238" s="6" t="s">
        <v>25</v>
      </c>
      <c r="B1238" s="94" t="s">
        <v>242</v>
      </c>
      <c r="C1238" s="6" t="s">
        <v>4022</v>
      </c>
      <c r="D1238" s="140">
        <v>12112561</v>
      </c>
      <c r="E1238" s="6" t="s">
        <v>1064</v>
      </c>
      <c r="F1238" s="10" t="s">
        <v>139</v>
      </c>
      <c r="G1238" s="6" t="s">
        <v>4023</v>
      </c>
      <c r="H1238" s="8">
        <v>47506</v>
      </c>
      <c r="I1238" s="8">
        <v>43649</v>
      </c>
      <c r="J1238" s="8">
        <v>43654</v>
      </c>
      <c r="K1238" s="95">
        <v>43712</v>
      </c>
      <c r="L1238" s="95" t="s">
        <v>31</v>
      </c>
      <c r="M1238" s="8">
        <v>43732</v>
      </c>
      <c r="R1238" s="97" t="str">
        <f t="shared" si="48"/>
        <v/>
      </c>
      <c r="S1238" s="75" t="str">
        <f t="shared" si="47"/>
        <v/>
      </c>
      <c r="W1238" s="6" t="s">
        <v>33</v>
      </c>
      <c r="X1238" s="95">
        <v>45375</v>
      </c>
    </row>
    <row r="1239" spans="1:24" x14ac:dyDescent="0.25">
      <c r="A1239" s="6" t="s">
        <v>65</v>
      </c>
      <c r="B1239" s="94" t="s">
        <v>3621</v>
      </c>
      <c r="C1239" s="6" t="s">
        <v>4024</v>
      </c>
      <c r="D1239" s="140">
        <v>11554495</v>
      </c>
      <c r="E1239" s="6" t="s">
        <v>289</v>
      </c>
      <c r="F1239" s="10" t="s">
        <v>139</v>
      </c>
      <c r="G1239" s="6" t="s">
        <v>4025</v>
      </c>
      <c r="H1239" s="8">
        <v>45765</v>
      </c>
      <c r="I1239" s="8">
        <v>43272</v>
      </c>
      <c r="J1239" s="8">
        <v>43272</v>
      </c>
      <c r="K1239" s="95">
        <v>43283</v>
      </c>
      <c r="L1239" s="95" t="s">
        <v>31</v>
      </c>
      <c r="M1239" s="8">
        <v>43291</v>
      </c>
      <c r="N1239" s="8">
        <v>43371</v>
      </c>
      <c r="P1239" s="101" t="s">
        <v>182</v>
      </c>
      <c r="R1239" s="97" t="str">
        <f t="shared" si="48"/>
        <v/>
      </c>
      <c r="S1239" s="75" t="str">
        <f t="shared" si="47"/>
        <v/>
      </c>
      <c r="U1239" s="8">
        <v>43374</v>
      </c>
      <c r="W1239" s="6" t="s">
        <v>33</v>
      </c>
      <c r="X1239" s="95">
        <v>43610</v>
      </c>
    </row>
    <row r="1240" spans="1:24" x14ac:dyDescent="0.25">
      <c r="A1240" s="6" t="s">
        <v>25</v>
      </c>
      <c r="B1240" s="94" t="s">
        <v>870</v>
      </c>
      <c r="C1240" s="6" t="s">
        <v>4026</v>
      </c>
      <c r="D1240" s="140">
        <v>12114481</v>
      </c>
      <c r="E1240" s="6" t="s">
        <v>247</v>
      </c>
      <c r="F1240" s="10" t="s">
        <v>100</v>
      </c>
      <c r="G1240" s="6" t="s">
        <v>4027</v>
      </c>
      <c r="H1240" s="8">
        <v>47487</v>
      </c>
      <c r="I1240" s="8">
        <v>43649</v>
      </c>
      <c r="J1240" s="8">
        <v>43654</v>
      </c>
      <c r="K1240" s="95">
        <v>43712</v>
      </c>
      <c r="L1240" s="95" t="s">
        <v>359</v>
      </c>
      <c r="R1240" s="97" t="str">
        <f t="shared" si="48"/>
        <v/>
      </c>
      <c r="S1240" s="75" t="str">
        <f t="shared" si="47"/>
        <v/>
      </c>
      <c r="W1240" s="6" t="s">
        <v>33</v>
      </c>
      <c r="X1240" s="95">
        <v>55221</v>
      </c>
    </row>
    <row r="1241" spans="1:24" x14ac:dyDescent="0.25">
      <c r="A1241" s="6" t="s">
        <v>25</v>
      </c>
      <c r="B1241" s="94" t="s">
        <v>4028</v>
      </c>
      <c r="C1241" s="6" t="s">
        <v>4029</v>
      </c>
      <c r="D1241" s="140">
        <v>11875373</v>
      </c>
      <c r="E1241" s="6" t="s">
        <v>1156</v>
      </c>
      <c r="F1241" s="10" t="s">
        <v>134</v>
      </c>
      <c r="G1241" s="6" t="s">
        <v>4030</v>
      </c>
      <c r="H1241" s="8">
        <v>47686</v>
      </c>
      <c r="I1241" s="8">
        <v>43649</v>
      </c>
      <c r="J1241" s="8">
        <v>43654</v>
      </c>
      <c r="K1241" s="95">
        <v>43712</v>
      </c>
      <c r="L1241" s="95" t="s">
        <v>31</v>
      </c>
      <c r="M1241" s="8">
        <v>43725</v>
      </c>
      <c r="N1241" s="108">
        <v>43768</v>
      </c>
      <c r="O1241" s="108">
        <v>43748</v>
      </c>
      <c r="P1241" s="107" t="s">
        <v>75</v>
      </c>
      <c r="Q1241" s="110"/>
      <c r="R1241" s="97" t="str">
        <f t="shared" si="48"/>
        <v/>
      </c>
      <c r="S1241" s="75" t="str">
        <f t="shared" si="47"/>
        <v/>
      </c>
      <c r="U1241" s="8">
        <v>44776</v>
      </c>
      <c r="W1241" s="6" t="s">
        <v>33</v>
      </c>
      <c r="X1241" s="95">
        <v>50667</v>
      </c>
    </row>
    <row r="1242" spans="1:24" x14ac:dyDescent="0.25">
      <c r="A1242" s="6" t="s">
        <v>25</v>
      </c>
      <c r="B1242" s="94" t="s">
        <v>4031</v>
      </c>
      <c r="C1242" s="6" t="s">
        <v>4032</v>
      </c>
      <c r="D1242" s="140">
        <v>11218513</v>
      </c>
      <c r="E1242" s="6" t="s">
        <v>584</v>
      </c>
      <c r="F1242" s="10" t="s">
        <v>44</v>
      </c>
      <c r="G1242" s="6" t="s">
        <v>4033</v>
      </c>
      <c r="H1242" s="8">
        <v>47652</v>
      </c>
      <c r="I1242" s="8">
        <v>43649</v>
      </c>
      <c r="J1242" s="8">
        <v>43654</v>
      </c>
      <c r="K1242" s="95">
        <v>43712</v>
      </c>
      <c r="L1242" s="95" t="s">
        <v>31</v>
      </c>
      <c r="M1242" s="8">
        <v>43725</v>
      </c>
      <c r="N1242" s="8">
        <v>43847</v>
      </c>
      <c r="O1242" s="8">
        <v>43837</v>
      </c>
      <c r="P1242" s="6" t="s">
        <v>75</v>
      </c>
      <c r="R1242" s="97" t="str">
        <f t="shared" si="48"/>
        <v/>
      </c>
      <c r="S1242" s="75" t="str">
        <f t="shared" si="47"/>
        <v/>
      </c>
      <c r="U1242" s="8">
        <v>43847</v>
      </c>
      <c r="W1242" s="6" t="s">
        <v>33</v>
      </c>
      <c r="X1242" s="6"/>
    </row>
    <row r="1243" spans="1:24" x14ac:dyDescent="0.25">
      <c r="A1243" s="6" t="s">
        <v>25</v>
      </c>
      <c r="B1243" s="94" t="s">
        <v>3841</v>
      </c>
      <c r="C1243" s="6" t="s">
        <v>4034</v>
      </c>
      <c r="D1243" s="140">
        <v>11362421</v>
      </c>
      <c r="E1243" s="6" t="s">
        <v>4035</v>
      </c>
      <c r="F1243" s="10" t="s">
        <v>148</v>
      </c>
      <c r="G1243" s="6" t="s">
        <v>4036</v>
      </c>
      <c r="H1243" s="8">
        <v>47600</v>
      </c>
      <c r="I1243" s="8">
        <v>43649</v>
      </c>
      <c r="J1243" s="8">
        <v>43654</v>
      </c>
      <c r="K1243" s="95">
        <v>43712</v>
      </c>
      <c r="L1243" s="95" t="s">
        <v>359</v>
      </c>
      <c r="R1243" s="97" t="str">
        <f t="shared" si="48"/>
        <v/>
      </c>
      <c r="S1243" s="75" t="str">
        <f t="shared" si="47"/>
        <v/>
      </c>
      <c r="W1243" s="6" t="s">
        <v>33</v>
      </c>
      <c r="X1243" s="95">
        <v>46605</v>
      </c>
    </row>
    <row r="1244" spans="1:24" x14ac:dyDescent="0.25">
      <c r="A1244" s="6" t="s">
        <v>25</v>
      </c>
      <c r="B1244" s="94" t="s">
        <v>944</v>
      </c>
      <c r="C1244" s="6" t="s">
        <v>4037</v>
      </c>
      <c r="D1244" s="140">
        <v>11581952</v>
      </c>
      <c r="E1244" s="6" t="s">
        <v>928</v>
      </c>
      <c r="F1244" s="10" t="s">
        <v>121</v>
      </c>
      <c r="G1244" s="6" t="s">
        <v>4038</v>
      </c>
      <c r="H1244" s="8">
        <v>47603</v>
      </c>
      <c r="I1244" s="8">
        <v>43649</v>
      </c>
      <c r="J1244" s="8">
        <v>43654</v>
      </c>
      <c r="K1244" s="95">
        <v>43712</v>
      </c>
      <c r="L1244" s="95" t="s">
        <v>31</v>
      </c>
      <c r="M1244" s="8">
        <v>43725</v>
      </c>
      <c r="N1244" s="8">
        <v>43773</v>
      </c>
      <c r="O1244" s="8">
        <v>43738</v>
      </c>
      <c r="P1244" s="6" t="s">
        <v>35</v>
      </c>
      <c r="Q1244" s="96">
        <v>1460</v>
      </c>
      <c r="R1244" s="97">
        <f t="shared" si="48"/>
        <v>4</v>
      </c>
      <c r="S1244" s="75">
        <f t="shared" si="47"/>
        <v>33036</v>
      </c>
      <c r="U1244" s="8">
        <v>43782</v>
      </c>
      <c r="W1244" s="6" t="s">
        <v>33</v>
      </c>
      <c r="X1244" s="6"/>
    </row>
    <row r="1245" spans="1:24" x14ac:dyDescent="0.25">
      <c r="A1245" s="6" t="s">
        <v>37</v>
      </c>
      <c r="B1245" s="94" t="s">
        <v>610</v>
      </c>
      <c r="C1245" s="6" t="s">
        <v>4039</v>
      </c>
      <c r="D1245" s="140" t="s">
        <v>4040</v>
      </c>
      <c r="E1245" s="6" t="s">
        <v>3644</v>
      </c>
      <c r="F1245" s="10" t="s">
        <v>44</v>
      </c>
      <c r="G1245" s="6" t="s">
        <v>4041</v>
      </c>
      <c r="H1245" s="8">
        <v>47611</v>
      </c>
      <c r="I1245" s="8">
        <v>43474</v>
      </c>
      <c r="J1245" s="8">
        <v>43487</v>
      </c>
      <c r="K1245" s="95">
        <v>43488</v>
      </c>
      <c r="L1245" s="95" t="s">
        <v>31</v>
      </c>
      <c r="M1245" s="8">
        <v>43493</v>
      </c>
      <c r="N1245" s="8">
        <v>44677</v>
      </c>
      <c r="O1245" s="8">
        <v>44673</v>
      </c>
      <c r="P1245" s="6" t="s">
        <v>35</v>
      </c>
      <c r="Q1245" s="96">
        <v>1948</v>
      </c>
      <c r="R1245" s="97">
        <f t="shared" si="48"/>
        <v>5.3369863013698629</v>
      </c>
      <c r="S1245" s="75">
        <f t="shared" si="47"/>
        <v>44078.169863013703</v>
      </c>
      <c r="U1245" s="8">
        <v>44679</v>
      </c>
      <c r="W1245" s="6" t="s">
        <v>33</v>
      </c>
      <c r="X1245" s="95">
        <v>46598</v>
      </c>
    </row>
    <row r="1246" spans="1:24" x14ac:dyDescent="0.25">
      <c r="A1246" s="6" t="s">
        <v>168</v>
      </c>
      <c r="B1246" s="94" t="s">
        <v>4042</v>
      </c>
      <c r="C1246" s="6" t="s">
        <v>4043</v>
      </c>
      <c r="D1246" s="140">
        <v>12130334</v>
      </c>
      <c r="E1246" s="6" t="s">
        <v>4044</v>
      </c>
      <c r="F1246" s="10" t="s">
        <v>44</v>
      </c>
      <c r="G1246" s="6" t="s">
        <v>4045</v>
      </c>
      <c r="H1246" s="8">
        <v>44848</v>
      </c>
      <c r="I1246" s="8">
        <v>43895</v>
      </c>
      <c r="J1246" s="8">
        <v>44056</v>
      </c>
      <c r="K1246" s="95">
        <v>44056</v>
      </c>
      <c r="L1246" s="95" t="s">
        <v>359</v>
      </c>
      <c r="R1246" s="97" t="str">
        <f t="shared" si="48"/>
        <v/>
      </c>
      <c r="S1246" s="75" t="str">
        <f t="shared" si="47"/>
        <v/>
      </c>
      <c r="W1246" s="6" t="s">
        <v>33</v>
      </c>
      <c r="X1246" s="95">
        <v>54873</v>
      </c>
    </row>
    <row r="1247" spans="1:24" x14ac:dyDescent="0.25">
      <c r="A1247" s="6" t="s">
        <v>37</v>
      </c>
      <c r="B1247" s="94" t="s">
        <v>610</v>
      </c>
      <c r="C1247" s="6" t="s">
        <v>4046</v>
      </c>
      <c r="D1247" s="140">
        <v>10259368</v>
      </c>
      <c r="E1247" s="6" t="s">
        <v>2589</v>
      </c>
      <c r="F1247" s="10" t="s">
        <v>29</v>
      </c>
      <c r="G1247" s="6" t="s">
        <v>4047</v>
      </c>
      <c r="H1247" s="8">
        <v>45340</v>
      </c>
      <c r="I1247" s="8">
        <v>43999</v>
      </c>
      <c r="J1247" s="8">
        <v>44084</v>
      </c>
      <c r="K1247" s="95">
        <v>44088</v>
      </c>
      <c r="L1247" s="95" t="s">
        <v>31</v>
      </c>
      <c r="M1247" s="8">
        <v>44099</v>
      </c>
      <c r="R1247" s="97" t="str">
        <f t="shared" si="48"/>
        <v/>
      </c>
      <c r="S1247" s="75" t="str">
        <f t="shared" si="47"/>
        <v/>
      </c>
      <c r="T1247" s="124" t="s">
        <v>4048</v>
      </c>
      <c r="U1247" s="8">
        <v>44824</v>
      </c>
      <c r="W1247" s="6" t="s">
        <v>33</v>
      </c>
      <c r="X1247" s="135">
        <v>49459</v>
      </c>
    </row>
    <row r="1248" spans="1:24" x14ac:dyDescent="0.25">
      <c r="A1248" s="6" t="s">
        <v>37</v>
      </c>
      <c r="B1248" s="94" t="s">
        <v>4049</v>
      </c>
      <c r="C1248" s="6" t="s">
        <v>4050</v>
      </c>
      <c r="D1248" s="140">
        <v>11981162</v>
      </c>
      <c r="E1248" s="6" t="s">
        <v>4051</v>
      </c>
      <c r="F1248" s="10" t="s">
        <v>44</v>
      </c>
      <c r="G1248" s="6" t="s">
        <v>4052</v>
      </c>
      <c r="H1248" s="8">
        <v>45175</v>
      </c>
      <c r="I1248" s="8">
        <v>44132</v>
      </c>
      <c r="J1248" s="8">
        <v>44144</v>
      </c>
      <c r="K1248" s="95">
        <v>44144</v>
      </c>
      <c r="L1248" s="95" t="s">
        <v>31</v>
      </c>
      <c r="M1248" s="8">
        <v>44154</v>
      </c>
      <c r="N1248" s="8">
        <v>44713</v>
      </c>
      <c r="O1248" s="8">
        <v>44708</v>
      </c>
      <c r="P1248" s="6" t="s">
        <v>35</v>
      </c>
      <c r="Q1248" s="96">
        <v>68</v>
      </c>
      <c r="R1248" s="97">
        <f t="shared" si="48"/>
        <v>0.18630136986301371</v>
      </c>
      <c r="S1248" s="75">
        <f t="shared" si="47"/>
        <v>1538.6630136986303</v>
      </c>
      <c r="T1248" s="124" t="s">
        <v>4053</v>
      </c>
      <c r="U1248" s="8">
        <v>44792</v>
      </c>
      <c r="W1248" s="6" t="s">
        <v>33</v>
      </c>
      <c r="X1248" s="135">
        <v>51573</v>
      </c>
    </row>
    <row r="1249" spans="1:24" x14ac:dyDescent="0.25">
      <c r="A1249" s="6" t="s">
        <v>168</v>
      </c>
      <c r="B1249" s="94" t="s">
        <v>4054</v>
      </c>
      <c r="C1249" s="6" t="s">
        <v>4055</v>
      </c>
      <c r="D1249" s="140">
        <v>11083572</v>
      </c>
      <c r="E1249" s="6" t="s">
        <v>4056</v>
      </c>
      <c r="F1249" s="10" t="s">
        <v>148</v>
      </c>
      <c r="G1249" s="6" t="s">
        <v>4057</v>
      </c>
      <c r="H1249" s="8">
        <v>53138</v>
      </c>
      <c r="I1249" s="8">
        <v>43634</v>
      </c>
      <c r="J1249" s="8">
        <v>43651</v>
      </c>
      <c r="K1249" s="95">
        <v>43651</v>
      </c>
      <c r="L1249" s="95" t="s">
        <v>31</v>
      </c>
      <c r="M1249" s="8">
        <v>43656</v>
      </c>
      <c r="N1249" s="8">
        <v>44133</v>
      </c>
      <c r="O1249" s="8">
        <v>43845</v>
      </c>
      <c r="P1249" s="6" t="s">
        <v>90</v>
      </c>
      <c r="Q1249" s="96">
        <v>1191</v>
      </c>
      <c r="R1249" s="97">
        <f t="shared" si="48"/>
        <v>3.2630136986301368</v>
      </c>
      <c r="S1249" s="75">
        <f t="shared" si="47"/>
        <v>26949.230136986302</v>
      </c>
      <c r="T1249" s="124" t="s">
        <v>2856</v>
      </c>
      <c r="U1249" s="8">
        <v>44134</v>
      </c>
      <c r="V1249" s="6" t="s">
        <v>36</v>
      </c>
      <c r="W1249" s="6" t="s">
        <v>84</v>
      </c>
      <c r="X1249" s="95">
        <v>38365</v>
      </c>
    </row>
    <row r="1250" spans="1:24" x14ac:dyDescent="0.25">
      <c r="A1250" s="6" t="s">
        <v>25</v>
      </c>
      <c r="B1250" s="94" t="s">
        <v>4058</v>
      </c>
      <c r="C1250" s="6" t="s">
        <v>4059</v>
      </c>
      <c r="D1250" s="140">
        <v>1195773</v>
      </c>
      <c r="E1250" s="6" t="s">
        <v>298</v>
      </c>
      <c r="F1250" s="10" t="s">
        <v>44</v>
      </c>
      <c r="G1250" s="6" t="s">
        <v>4060</v>
      </c>
      <c r="H1250" s="8">
        <v>47962</v>
      </c>
      <c r="I1250" s="8">
        <v>43657</v>
      </c>
      <c r="J1250" s="8">
        <v>43661</v>
      </c>
      <c r="K1250" s="95">
        <v>43712</v>
      </c>
      <c r="L1250" s="95" t="s">
        <v>359</v>
      </c>
      <c r="R1250" s="97" t="str">
        <f t="shared" si="48"/>
        <v/>
      </c>
      <c r="S1250" s="75" t="str">
        <f t="shared" si="47"/>
        <v/>
      </c>
      <c r="W1250" s="6" t="s">
        <v>33</v>
      </c>
      <c r="X1250" s="95">
        <v>52233</v>
      </c>
    </row>
    <row r="1251" spans="1:24" x14ac:dyDescent="0.25">
      <c r="A1251" s="6" t="s">
        <v>25</v>
      </c>
      <c r="B1251" s="94" t="s">
        <v>434</v>
      </c>
      <c r="C1251" s="6" t="s">
        <v>4061</v>
      </c>
      <c r="D1251" s="140">
        <v>11914770</v>
      </c>
      <c r="E1251" s="6" t="s">
        <v>147</v>
      </c>
      <c r="F1251" s="10" t="s">
        <v>29</v>
      </c>
      <c r="G1251" s="6" t="s">
        <v>4062</v>
      </c>
      <c r="H1251" s="8">
        <v>47622</v>
      </c>
      <c r="I1251" s="8">
        <v>43657</v>
      </c>
      <c r="J1251" s="8">
        <v>43661</v>
      </c>
      <c r="K1251" s="95">
        <v>43712</v>
      </c>
      <c r="L1251" s="95" t="s">
        <v>31</v>
      </c>
      <c r="M1251" s="8">
        <v>43725</v>
      </c>
      <c r="N1251" s="8">
        <v>43735</v>
      </c>
      <c r="O1251" s="8">
        <v>43728</v>
      </c>
      <c r="P1251" s="6" t="s">
        <v>52</v>
      </c>
      <c r="R1251" s="97" t="str">
        <f t="shared" si="48"/>
        <v/>
      </c>
      <c r="S1251" s="75" t="str">
        <f t="shared" si="47"/>
        <v/>
      </c>
      <c r="U1251" s="8">
        <v>43735</v>
      </c>
      <c r="W1251" s="6" t="s">
        <v>33</v>
      </c>
      <c r="X1251" s="6"/>
    </row>
    <row r="1252" spans="1:24" x14ac:dyDescent="0.25">
      <c r="A1252" s="6" t="s">
        <v>25</v>
      </c>
      <c r="B1252" s="94" t="s">
        <v>4063</v>
      </c>
      <c r="C1252" s="6" t="s">
        <v>4064</v>
      </c>
      <c r="D1252" s="140">
        <v>11594731</v>
      </c>
      <c r="E1252" s="6" t="s">
        <v>490</v>
      </c>
      <c r="F1252" s="10" t="s">
        <v>44</v>
      </c>
      <c r="G1252" s="6" t="s">
        <v>3864</v>
      </c>
      <c r="H1252" s="8">
        <v>47573</v>
      </c>
      <c r="I1252" s="8">
        <v>43657</v>
      </c>
      <c r="J1252" s="8">
        <v>43661</v>
      </c>
      <c r="K1252" s="95">
        <v>43712</v>
      </c>
      <c r="L1252" s="95" t="s">
        <v>359</v>
      </c>
      <c r="R1252" s="97" t="str">
        <f t="shared" si="48"/>
        <v/>
      </c>
      <c r="S1252" s="75" t="str">
        <f t="shared" si="47"/>
        <v/>
      </c>
      <c r="W1252" s="6" t="s">
        <v>33</v>
      </c>
      <c r="X1252" s="95">
        <v>54204</v>
      </c>
    </row>
    <row r="1253" spans="1:24" x14ac:dyDescent="0.25">
      <c r="A1253" s="6" t="s">
        <v>25</v>
      </c>
      <c r="B1253" s="94" t="s">
        <v>4065</v>
      </c>
      <c r="C1253" s="6" t="s">
        <v>4066</v>
      </c>
      <c r="D1253" s="140">
        <v>10991477</v>
      </c>
      <c r="E1253" s="6" t="s">
        <v>386</v>
      </c>
      <c r="F1253" s="10" t="s">
        <v>134</v>
      </c>
      <c r="G1253" s="6" t="s">
        <v>4067</v>
      </c>
      <c r="H1253" s="8">
        <v>47778</v>
      </c>
      <c r="I1253" s="8">
        <v>43657</v>
      </c>
      <c r="J1253" s="8">
        <v>43661</v>
      </c>
      <c r="K1253" s="95">
        <v>43712</v>
      </c>
      <c r="L1253" s="95" t="s">
        <v>31</v>
      </c>
      <c r="M1253" s="8">
        <v>43725</v>
      </c>
      <c r="N1253" s="8">
        <v>44837</v>
      </c>
      <c r="O1253" s="8">
        <v>44833</v>
      </c>
      <c r="P1253" s="6" t="s">
        <v>35</v>
      </c>
      <c r="Q1253" s="96">
        <v>2555</v>
      </c>
      <c r="R1253" s="97">
        <f t="shared" si="48"/>
        <v>7</v>
      </c>
      <c r="S1253" s="75">
        <f t="shared" si="47"/>
        <v>57813</v>
      </c>
      <c r="U1253" s="8">
        <v>45022</v>
      </c>
      <c r="W1253" s="6" t="s">
        <v>33</v>
      </c>
      <c r="X1253" s="95">
        <v>50568</v>
      </c>
    </row>
    <row r="1254" spans="1:24" x14ac:dyDescent="0.25">
      <c r="A1254" s="6" t="s">
        <v>25</v>
      </c>
      <c r="B1254" s="94" t="s">
        <v>1532</v>
      </c>
      <c r="C1254" s="6" t="s">
        <v>4068</v>
      </c>
      <c r="D1254" s="140">
        <v>11917895</v>
      </c>
      <c r="E1254" s="6" t="s">
        <v>1143</v>
      </c>
      <c r="F1254" s="10" t="s">
        <v>44</v>
      </c>
      <c r="G1254" s="6" t="s">
        <v>4069</v>
      </c>
      <c r="H1254" s="8">
        <v>47806</v>
      </c>
      <c r="I1254" s="8">
        <v>43657</v>
      </c>
      <c r="J1254" s="8">
        <v>43661</v>
      </c>
      <c r="K1254" s="95">
        <v>43712</v>
      </c>
      <c r="L1254" s="95" t="s">
        <v>31</v>
      </c>
      <c r="M1254" s="8">
        <v>43725</v>
      </c>
      <c r="N1254" s="8">
        <v>44124</v>
      </c>
      <c r="O1254" s="8">
        <v>44084</v>
      </c>
      <c r="P1254" s="6" t="s">
        <v>35</v>
      </c>
      <c r="Q1254" s="96">
        <v>2126</v>
      </c>
      <c r="R1254" s="97">
        <f t="shared" si="48"/>
        <v>5.8246575342465752</v>
      </c>
      <c r="S1254" s="75">
        <f t="shared" si="47"/>
        <v>48105.846575342468</v>
      </c>
      <c r="U1254" s="8">
        <v>44141</v>
      </c>
      <c r="W1254" s="6" t="s">
        <v>33</v>
      </c>
      <c r="X1254" s="95">
        <v>50863</v>
      </c>
    </row>
    <row r="1255" spans="1:24" x14ac:dyDescent="0.25">
      <c r="A1255" s="6" t="s">
        <v>37</v>
      </c>
      <c r="B1255" s="94" t="s">
        <v>3635</v>
      </c>
      <c r="C1255" s="6" t="s">
        <v>4070</v>
      </c>
      <c r="D1255" s="140">
        <v>11353766</v>
      </c>
      <c r="E1255" s="6" t="s">
        <v>4071</v>
      </c>
      <c r="F1255" s="10" t="s">
        <v>44</v>
      </c>
      <c r="G1255" s="6" t="s">
        <v>4072</v>
      </c>
      <c r="H1255" s="8">
        <v>44617</v>
      </c>
      <c r="I1255" s="8">
        <v>43474</v>
      </c>
      <c r="J1255" s="8">
        <v>43487</v>
      </c>
      <c r="K1255" s="95">
        <v>43488</v>
      </c>
      <c r="L1255" s="95" t="s">
        <v>31</v>
      </c>
      <c r="M1255" s="8">
        <v>43493</v>
      </c>
      <c r="N1255" s="8">
        <v>44272</v>
      </c>
      <c r="O1255" s="8">
        <v>43532</v>
      </c>
      <c r="P1255" s="6" t="s">
        <v>75</v>
      </c>
      <c r="R1255" s="97" t="str">
        <f t="shared" si="48"/>
        <v/>
      </c>
      <c r="S1255" s="75" t="str">
        <f t="shared" si="47"/>
        <v/>
      </c>
      <c r="U1255" s="8">
        <v>44272</v>
      </c>
      <c r="W1255" s="6" t="s">
        <v>33</v>
      </c>
      <c r="X1255" s="95">
        <v>53840</v>
      </c>
    </row>
    <row r="1256" spans="1:24" x14ac:dyDescent="0.25">
      <c r="A1256" s="6" t="s">
        <v>25</v>
      </c>
      <c r="B1256" s="94" t="s">
        <v>4073</v>
      </c>
      <c r="C1256" s="6" t="s">
        <v>4074</v>
      </c>
      <c r="D1256" s="140">
        <v>11152849</v>
      </c>
      <c r="E1256" s="6" t="s">
        <v>1156</v>
      </c>
      <c r="F1256" s="10" t="s">
        <v>44</v>
      </c>
      <c r="G1256" s="6" t="s">
        <v>4075</v>
      </c>
      <c r="H1256" s="8">
        <v>47861</v>
      </c>
      <c r="I1256" s="8">
        <v>43661</v>
      </c>
      <c r="J1256" s="8">
        <v>43661</v>
      </c>
      <c r="K1256" s="95">
        <v>43745</v>
      </c>
      <c r="L1256" s="95" t="s">
        <v>31</v>
      </c>
      <c r="M1256" s="8">
        <v>43747</v>
      </c>
      <c r="N1256" s="8">
        <v>44130</v>
      </c>
      <c r="O1256" s="8">
        <v>44124</v>
      </c>
      <c r="P1256" s="6" t="s">
        <v>35</v>
      </c>
      <c r="Q1256" s="96">
        <v>3693</v>
      </c>
      <c r="R1256" s="97">
        <f t="shared" si="48"/>
        <v>10.117808219178082</v>
      </c>
      <c r="S1256" s="75">
        <f t="shared" si="47"/>
        <v>83562.978082191781</v>
      </c>
      <c r="T1256" s="124" t="s">
        <v>4076</v>
      </c>
      <c r="U1256" s="8">
        <v>44130</v>
      </c>
      <c r="V1256" s="6" t="s">
        <v>36</v>
      </c>
      <c r="W1256" s="6" t="s">
        <v>33</v>
      </c>
      <c r="X1256" s="95">
        <v>50513</v>
      </c>
    </row>
    <row r="1257" spans="1:24" x14ac:dyDescent="0.25">
      <c r="A1257" s="6" t="s">
        <v>25</v>
      </c>
      <c r="B1257" s="94" t="s">
        <v>4077</v>
      </c>
      <c r="C1257" s="6" t="s">
        <v>4078</v>
      </c>
      <c r="D1257" s="140">
        <v>11610352</v>
      </c>
      <c r="E1257" s="6" t="s">
        <v>428</v>
      </c>
      <c r="F1257" s="10" t="s">
        <v>252</v>
      </c>
      <c r="G1257" s="6" t="s">
        <v>4079</v>
      </c>
      <c r="H1257" s="8">
        <v>47856</v>
      </c>
      <c r="I1257" s="8">
        <v>43661</v>
      </c>
      <c r="J1257" s="8">
        <v>43661</v>
      </c>
      <c r="K1257" s="95">
        <v>43745</v>
      </c>
      <c r="L1257" s="95" t="s">
        <v>31</v>
      </c>
      <c r="M1257" s="8">
        <v>43766</v>
      </c>
      <c r="N1257" s="8">
        <v>43931</v>
      </c>
      <c r="O1257" s="8">
        <v>43903</v>
      </c>
      <c r="P1257" s="6" t="s">
        <v>35</v>
      </c>
      <c r="Q1257" s="96">
        <v>1826.25</v>
      </c>
      <c r="R1257" s="97">
        <f t="shared" si="48"/>
        <v>5.0034246575342465</v>
      </c>
      <c r="S1257" s="75">
        <f t="shared" si="47"/>
        <v>41323.284246575342</v>
      </c>
      <c r="U1257" s="8">
        <v>43943</v>
      </c>
      <c r="W1257" s="6" t="s">
        <v>33</v>
      </c>
      <c r="X1257" s="95">
        <v>51678</v>
      </c>
    </row>
    <row r="1258" spans="1:24" x14ac:dyDescent="0.25">
      <c r="A1258" s="6" t="s">
        <v>25</v>
      </c>
      <c r="B1258" s="94" t="s">
        <v>1113</v>
      </c>
      <c r="C1258" s="6" t="s">
        <v>4080</v>
      </c>
      <c r="D1258" s="140">
        <v>11069397</v>
      </c>
      <c r="E1258" s="6" t="s">
        <v>1650</v>
      </c>
      <c r="F1258" s="10" t="s">
        <v>121</v>
      </c>
      <c r="G1258" s="6" t="s">
        <v>4081</v>
      </c>
      <c r="H1258" s="8">
        <v>47925</v>
      </c>
      <c r="I1258" s="8">
        <v>43661</v>
      </c>
      <c r="J1258" s="8">
        <v>43661</v>
      </c>
      <c r="K1258" s="95">
        <v>43745</v>
      </c>
      <c r="L1258" s="95" t="s">
        <v>31</v>
      </c>
      <c r="M1258" s="8">
        <v>43766</v>
      </c>
      <c r="R1258" s="97" t="str">
        <f t="shared" si="48"/>
        <v/>
      </c>
      <c r="S1258" s="75" t="str">
        <f t="shared" si="47"/>
        <v/>
      </c>
      <c r="W1258" s="6" t="s">
        <v>33</v>
      </c>
      <c r="X1258" s="95">
        <v>49502</v>
      </c>
    </row>
    <row r="1259" spans="1:24" x14ac:dyDescent="0.25">
      <c r="A1259" s="6" t="s">
        <v>25</v>
      </c>
      <c r="B1259" s="94" t="s">
        <v>4082</v>
      </c>
      <c r="C1259" s="6" t="s">
        <v>4083</v>
      </c>
      <c r="D1259" s="140">
        <v>1136721</v>
      </c>
      <c r="E1259" s="6" t="s">
        <v>4084</v>
      </c>
      <c r="F1259" s="10" t="s">
        <v>44</v>
      </c>
      <c r="G1259" s="6" t="s">
        <v>4085</v>
      </c>
      <c r="H1259" s="8">
        <v>47929</v>
      </c>
      <c r="I1259" s="8">
        <v>43661</v>
      </c>
      <c r="J1259" s="8">
        <v>43661</v>
      </c>
      <c r="K1259" s="95">
        <v>43745</v>
      </c>
      <c r="L1259" s="95" t="s">
        <v>31</v>
      </c>
      <c r="M1259" s="8">
        <v>43747</v>
      </c>
      <c r="N1259" s="8">
        <v>43847</v>
      </c>
      <c r="O1259" s="8">
        <v>43833</v>
      </c>
      <c r="P1259" s="6" t="s">
        <v>35</v>
      </c>
      <c r="Q1259" s="96">
        <v>1826.25</v>
      </c>
      <c r="R1259" s="97">
        <f t="shared" si="48"/>
        <v>5.0034246575342465</v>
      </c>
      <c r="S1259" s="75">
        <f t="shared" si="47"/>
        <v>41323.284246575342</v>
      </c>
      <c r="T1259" s="124" t="s">
        <v>601</v>
      </c>
      <c r="U1259" s="8">
        <v>43847</v>
      </c>
      <c r="W1259" s="6" t="s">
        <v>33</v>
      </c>
      <c r="X1259" s="95">
        <v>55575</v>
      </c>
    </row>
    <row r="1260" spans="1:24" ht="30" x14ac:dyDescent="0.25">
      <c r="A1260" s="6" t="s">
        <v>25</v>
      </c>
      <c r="B1260" s="94" t="s">
        <v>4086</v>
      </c>
      <c r="C1260" s="6" t="s">
        <v>4087</v>
      </c>
      <c r="D1260" s="140">
        <v>11149320</v>
      </c>
      <c r="E1260" s="6" t="s">
        <v>318</v>
      </c>
      <c r="F1260" s="10" t="s">
        <v>299</v>
      </c>
      <c r="G1260" s="6" t="s">
        <v>4088</v>
      </c>
      <c r="H1260" s="8">
        <v>47946</v>
      </c>
      <c r="I1260" s="8">
        <v>43661</v>
      </c>
      <c r="J1260" s="8">
        <v>43661</v>
      </c>
      <c r="K1260" s="95">
        <v>43745</v>
      </c>
      <c r="L1260" s="95" t="s">
        <v>31</v>
      </c>
      <c r="M1260" s="8">
        <v>43766</v>
      </c>
      <c r="N1260" s="8">
        <v>43795</v>
      </c>
      <c r="O1260" s="8">
        <v>43774</v>
      </c>
      <c r="P1260" s="6" t="s">
        <v>182</v>
      </c>
      <c r="R1260" s="97" t="str">
        <f t="shared" si="48"/>
        <v/>
      </c>
      <c r="S1260" s="75" t="str">
        <f t="shared" si="47"/>
        <v/>
      </c>
      <c r="U1260" s="8">
        <v>43795</v>
      </c>
      <c r="W1260" s="6" t="s">
        <v>33</v>
      </c>
      <c r="X1260" s="95">
        <v>47946</v>
      </c>
    </row>
    <row r="1261" spans="1:24" x14ac:dyDescent="0.25">
      <c r="A1261" s="6" t="s">
        <v>25</v>
      </c>
      <c r="B1261" s="94" t="s">
        <v>635</v>
      </c>
      <c r="C1261" s="6" t="s">
        <v>4089</v>
      </c>
      <c r="D1261" s="140">
        <v>11268951</v>
      </c>
      <c r="E1261" s="6" t="s">
        <v>175</v>
      </c>
      <c r="F1261" s="10" t="s">
        <v>134</v>
      </c>
      <c r="G1261" s="6" t="s">
        <v>4090</v>
      </c>
      <c r="H1261" s="8">
        <v>47823</v>
      </c>
      <c r="I1261" s="8">
        <v>43661</v>
      </c>
      <c r="J1261" s="8">
        <v>43661</v>
      </c>
      <c r="K1261" s="95">
        <v>43734</v>
      </c>
      <c r="L1261" s="95" t="s">
        <v>31</v>
      </c>
      <c r="M1261" s="8">
        <v>43738</v>
      </c>
      <c r="N1261" s="8">
        <v>44909</v>
      </c>
      <c r="O1261" s="8">
        <v>44826</v>
      </c>
      <c r="P1261" s="6" t="s">
        <v>35</v>
      </c>
      <c r="Q1261" s="96">
        <v>365</v>
      </c>
      <c r="R1261" s="97">
        <f t="shared" si="48"/>
        <v>1</v>
      </c>
      <c r="S1261" s="75">
        <f t="shared" si="47"/>
        <v>8259</v>
      </c>
      <c r="U1261" s="8">
        <v>45022</v>
      </c>
      <c r="W1261" s="6" t="s">
        <v>33</v>
      </c>
      <c r="X1261" s="95">
        <v>50651</v>
      </c>
    </row>
    <row r="1262" spans="1:24" x14ac:dyDescent="0.25">
      <c r="A1262" s="6" t="s">
        <v>37</v>
      </c>
      <c r="B1262" s="94" t="s">
        <v>3295</v>
      </c>
      <c r="C1262" s="6" t="s">
        <v>3296</v>
      </c>
      <c r="D1262" s="140">
        <v>11687908</v>
      </c>
      <c r="E1262" s="6" t="s">
        <v>4091</v>
      </c>
      <c r="F1262" s="10" t="s">
        <v>44</v>
      </c>
      <c r="G1262" s="6" t="s">
        <v>4092</v>
      </c>
      <c r="H1262" s="8">
        <v>45540</v>
      </c>
      <c r="I1262" s="8">
        <v>43684</v>
      </c>
      <c r="J1262" s="8">
        <v>43685</v>
      </c>
      <c r="K1262" s="95">
        <v>43693</v>
      </c>
      <c r="L1262" s="95" t="s">
        <v>31</v>
      </c>
      <c r="M1262" s="8">
        <v>43706</v>
      </c>
      <c r="N1262" s="8">
        <v>43767</v>
      </c>
      <c r="O1262" s="8">
        <v>43755</v>
      </c>
      <c r="P1262" s="6" t="s">
        <v>75</v>
      </c>
      <c r="R1262" s="97" t="str">
        <f t="shared" si="48"/>
        <v/>
      </c>
      <c r="S1262" s="75" t="str">
        <f t="shared" si="47"/>
        <v/>
      </c>
      <c r="U1262" s="8">
        <v>43767</v>
      </c>
      <c r="W1262" s="6" t="s">
        <v>33</v>
      </c>
      <c r="X1262" s="95">
        <v>47943</v>
      </c>
    </row>
    <row r="1263" spans="1:24" x14ac:dyDescent="0.25">
      <c r="A1263" s="6" t="s">
        <v>25</v>
      </c>
      <c r="B1263" s="94" t="s">
        <v>4093</v>
      </c>
      <c r="C1263" s="6" t="s">
        <v>4094</v>
      </c>
      <c r="D1263" s="140">
        <v>11088037</v>
      </c>
      <c r="E1263" s="6" t="s">
        <v>409</v>
      </c>
      <c r="F1263" s="10" t="s">
        <v>44</v>
      </c>
      <c r="G1263" s="6" t="s">
        <v>4095</v>
      </c>
      <c r="H1263" s="8">
        <v>45001</v>
      </c>
      <c r="I1263" s="8">
        <v>43640</v>
      </c>
      <c r="J1263" s="8">
        <v>43640</v>
      </c>
      <c r="K1263" s="95">
        <v>43663</v>
      </c>
      <c r="L1263" s="95" t="s">
        <v>31</v>
      </c>
      <c r="M1263" s="8">
        <v>43668</v>
      </c>
      <c r="R1263" s="97" t="str">
        <f t="shared" si="48"/>
        <v/>
      </c>
      <c r="S1263" s="75" t="str">
        <f t="shared" si="47"/>
        <v/>
      </c>
      <c r="T1263" s="124" t="s">
        <v>4096</v>
      </c>
      <c r="U1263" s="8">
        <v>44783</v>
      </c>
      <c r="W1263" s="6" t="s">
        <v>33</v>
      </c>
      <c r="X1263" s="6"/>
    </row>
    <row r="1264" spans="1:24" x14ac:dyDescent="0.25">
      <c r="A1264" s="6" t="s">
        <v>25</v>
      </c>
      <c r="B1264" s="94" t="s">
        <v>4097</v>
      </c>
      <c r="C1264" s="6" t="s">
        <v>4098</v>
      </c>
      <c r="D1264" s="140">
        <v>11083782</v>
      </c>
      <c r="E1264" s="6" t="s">
        <v>2160</v>
      </c>
      <c r="F1264" s="10" t="s">
        <v>44</v>
      </c>
      <c r="G1264" s="6" t="s">
        <v>4099</v>
      </c>
      <c r="H1264" s="8">
        <v>46030</v>
      </c>
      <c r="I1264" s="8">
        <v>43640</v>
      </c>
      <c r="J1264" s="8">
        <v>43640</v>
      </c>
      <c r="K1264" s="95">
        <v>43663</v>
      </c>
      <c r="L1264" s="95" t="s">
        <v>31</v>
      </c>
      <c r="M1264" s="8">
        <v>43668</v>
      </c>
      <c r="R1264" s="97" t="str">
        <f t="shared" si="48"/>
        <v/>
      </c>
      <c r="S1264" s="75" t="str">
        <f t="shared" si="47"/>
        <v/>
      </c>
      <c r="T1264" s="129" t="s">
        <v>4100</v>
      </c>
      <c r="U1264" s="8">
        <v>44783</v>
      </c>
      <c r="W1264" s="6" t="s">
        <v>33</v>
      </c>
      <c r="X1264" s="95">
        <v>50076</v>
      </c>
    </row>
    <row r="1265" spans="1:24" x14ac:dyDescent="0.25">
      <c r="A1265" s="6" t="s">
        <v>65</v>
      </c>
      <c r="B1265" s="94" t="s">
        <v>1110</v>
      </c>
      <c r="C1265" s="6" t="s">
        <v>4101</v>
      </c>
      <c r="D1265" s="140">
        <v>12111065</v>
      </c>
      <c r="E1265" s="6" t="s">
        <v>997</v>
      </c>
      <c r="F1265" s="10" t="s">
        <v>139</v>
      </c>
      <c r="G1265" s="6" t="s">
        <v>4102</v>
      </c>
      <c r="H1265" s="8">
        <v>45386</v>
      </c>
      <c r="I1265" s="8">
        <v>43272</v>
      </c>
      <c r="J1265" s="8">
        <v>43272</v>
      </c>
      <c r="K1265" s="95">
        <v>43283</v>
      </c>
      <c r="L1265" s="95" t="s">
        <v>31</v>
      </c>
      <c r="M1265" s="8">
        <v>43291</v>
      </c>
      <c r="N1265" s="8">
        <v>43418</v>
      </c>
      <c r="P1265" s="101" t="s">
        <v>182</v>
      </c>
      <c r="R1265" s="97" t="str">
        <f t="shared" si="48"/>
        <v/>
      </c>
      <c r="S1265" s="75" t="str">
        <f t="shared" si="47"/>
        <v/>
      </c>
      <c r="U1265" s="8">
        <v>43374</v>
      </c>
      <c r="V1265" s="107"/>
      <c r="W1265" s="107" t="s">
        <v>33</v>
      </c>
      <c r="X1265" s="109">
        <v>46055</v>
      </c>
    </row>
    <row r="1266" spans="1:24" x14ac:dyDescent="0.25">
      <c r="A1266" s="6" t="s">
        <v>25</v>
      </c>
      <c r="B1266" s="94" t="s">
        <v>3188</v>
      </c>
      <c r="C1266" s="6" t="s">
        <v>4103</v>
      </c>
      <c r="D1266" s="140">
        <v>11074063</v>
      </c>
      <c r="E1266" s="6" t="s">
        <v>714</v>
      </c>
      <c r="F1266" s="10" t="s">
        <v>3160</v>
      </c>
      <c r="G1266" s="6">
        <v>213935</v>
      </c>
      <c r="H1266" s="8">
        <v>44231</v>
      </c>
      <c r="I1266" s="8">
        <v>43640</v>
      </c>
      <c r="J1266" s="8">
        <v>43640</v>
      </c>
      <c r="K1266" s="95">
        <v>43663</v>
      </c>
      <c r="L1266" s="95" t="s">
        <v>31</v>
      </c>
      <c r="M1266" s="8">
        <v>43668</v>
      </c>
      <c r="N1266" s="8">
        <v>44147</v>
      </c>
      <c r="O1266" s="8">
        <v>44141</v>
      </c>
      <c r="P1266" s="6" t="s">
        <v>90</v>
      </c>
      <c r="Q1266" s="96">
        <v>81</v>
      </c>
      <c r="R1266" s="97">
        <f t="shared" si="48"/>
        <v>0.22191780821917809</v>
      </c>
      <c r="S1266" s="75">
        <f t="shared" si="47"/>
        <v>1832.8191780821919</v>
      </c>
      <c r="T1266" s="124" t="s">
        <v>4104</v>
      </c>
      <c r="U1266" s="8">
        <v>44148</v>
      </c>
      <c r="V1266" s="6" t="s">
        <v>36</v>
      </c>
      <c r="W1266" s="6" t="s">
        <v>33</v>
      </c>
      <c r="X1266" s="95">
        <v>49549</v>
      </c>
    </row>
    <row r="1267" spans="1:24" x14ac:dyDescent="0.25">
      <c r="A1267" s="6" t="s">
        <v>65</v>
      </c>
      <c r="B1267" s="94" t="s">
        <v>512</v>
      </c>
      <c r="C1267" s="6" t="s">
        <v>4105</v>
      </c>
      <c r="D1267" s="140">
        <v>11964491</v>
      </c>
      <c r="E1267" s="6" t="s">
        <v>714</v>
      </c>
      <c r="F1267" s="10" t="s">
        <v>143</v>
      </c>
      <c r="G1267" s="6" t="s">
        <v>4106</v>
      </c>
      <c r="H1267" s="8">
        <v>45596</v>
      </c>
      <c r="I1267" s="8">
        <v>43272</v>
      </c>
      <c r="J1267" s="8">
        <v>43272</v>
      </c>
      <c r="K1267" s="95">
        <v>43283</v>
      </c>
      <c r="L1267" s="95" t="s">
        <v>31</v>
      </c>
      <c r="M1267" s="8">
        <v>43291</v>
      </c>
      <c r="N1267" s="8">
        <v>43341</v>
      </c>
      <c r="P1267" s="101" t="s">
        <v>52</v>
      </c>
      <c r="R1267" s="97" t="str">
        <f t="shared" si="48"/>
        <v/>
      </c>
      <c r="S1267" s="75" t="str">
        <f t="shared" si="47"/>
        <v/>
      </c>
      <c r="T1267" s="124" t="s">
        <v>4107</v>
      </c>
      <c r="U1267" s="8">
        <v>43353</v>
      </c>
      <c r="W1267" s="6" t="s">
        <v>84</v>
      </c>
      <c r="X1267" s="95">
        <v>46201</v>
      </c>
    </row>
    <row r="1268" spans="1:24" x14ac:dyDescent="0.25">
      <c r="A1268" s="6" t="s">
        <v>25</v>
      </c>
      <c r="B1268" s="94" t="s">
        <v>1799</v>
      </c>
      <c r="C1268" s="6" t="s">
        <v>4108</v>
      </c>
      <c r="D1268" s="140">
        <v>11088868</v>
      </c>
      <c r="E1268" s="6" t="s">
        <v>3564</v>
      </c>
      <c r="F1268" s="10" t="s">
        <v>293</v>
      </c>
      <c r="G1268" s="6">
        <v>152375</v>
      </c>
      <c r="H1268" s="8">
        <v>47229</v>
      </c>
      <c r="I1268" s="8">
        <v>43640</v>
      </c>
      <c r="J1268" s="8">
        <v>43640</v>
      </c>
      <c r="K1268" s="95">
        <v>43663</v>
      </c>
      <c r="L1268" s="95" t="s">
        <v>31</v>
      </c>
      <c r="M1268" s="8">
        <v>43668</v>
      </c>
      <c r="N1268" s="8">
        <v>43861</v>
      </c>
      <c r="O1268" s="8">
        <v>43853</v>
      </c>
      <c r="P1268" s="6" t="s">
        <v>35</v>
      </c>
      <c r="Q1268" s="96">
        <v>1826</v>
      </c>
      <c r="R1268" s="97">
        <f t="shared" ref="R1268:R1299" si="49">IF(Q1268&gt;0, Q1268/365, "")</f>
        <v>5.0027397260273974</v>
      </c>
      <c r="S1268" s="75">
        <f t="shared" si="47"/>
        <v>41317.627397260272</v>
      </c>
      <c r="U1268" s="8">
        <v>43866</v>
      </c>
      <c r="W1268" s="6" t="s">
        <v>33</v>
      </c>
      <c r="X1268" s="95">
        <v>47613</v>
      </c>
    </row>
    <row r="1269" spans="1:24" x14ac:dyDescent="0.25">
      <c r="A1269" s="6" t="s">
        <v>65</v>
      </c>
      <c r="B1269" s="94" t="s">
        <v>334</v>
      </c>
      <c r="C1269" s="6" t="s">
        <v>4109</v>
      </c>
      <c r="D1269" s="140">
        <v>11610441</v>
      </c>
      <c r="E1269" s="6" t="s">
        <v>199</v>
      </c>
      <c r="F1269" s="6" t="s">
        <v>44</v>
      </c>
      <c r="G1269" s="6" t="s">
        <v>4110</v>
      </c>
      <c r="H1269" s="8">
        <v>47126</v>
      </c>
      <c r="I1269" s="8">
        <v>43273</v>
      </c>
      <c r="J1269" s="8">
        <v>43273</v>
      </c>
      <c r="K1269" s="95">
        <v>43292</v>
      </c>
      <c r="L1269" s="95" t="s">
        <v>31</v>
      </c>
      <c r="M1269" s="8">
        <v>43299</v>
      </c>
      <c r="N1269" s="8">
        <v>43308</v>
      </c>
      <c r="P1269" s="101" t="s">
        <v>182</v>
      </c>
      <c r="R1269" s="97" t="str">
        <f t="shared" si="49"/>
        <v/>
      </c>
      <c r="S1269" s="75" t="str">
        <f t="shared" si="47"/>
        <v/>
      </c>
      <c r="U1269" s="8">
        <v>43348</v>
      </c>
      <c r="W1269" s="6" t="s">
        <v>33</v>
      </c>
      <c r="X1269" s="95">
        <v>44255</v>
      </c>
    </row>
    <row r="1270" spans="1:24" x14ac:dyDescent="0.25">
      <c r="A1270" s="6" t="s">
        <v>25</v>
      </c>
      <c r="B1270" s="94" t="s">
        <v>531</v>
      </c>
      <c r="C1270" s="6" t="s">
        <v>4111</v>
      </c>
      <c r="D1270" s="140">
        <v>11073349</v>
      </c>
      <c r="E1270" s="6" t="s">
        <v>4112</v>
      </c>
      <c r="F1270" s="10" t="s">
        <v>143</v>
      </c>
      <c r="G1270" s="6" t="s">
        <v>4113</v>
      </c>
      <c r="H1270" s="8">
        <v>44439</v>
      </c>
      <c r="I1270" s="8">
        <v>43640</v>
      </c>
      <c r="J1270" s="8">
        <v>43640</v>
      </c>
      <c r="K1270" s="95">
        <v>43663</v>
      </c>
      <c r="L1270" s="95" t="s">
        <v>31</v>
      </c>
      <c r="M1270" s="8">
        <v>43668</v>
      </c>
      <c r="N1270" s="8">
        <v>43754</v>
      </c>
      <c r="O1270" s="8">
        <v>43742</v>
      </c>
      <c r="P1270" s="6" t="s">
        <v>182</v>
      </c>
      <c r="R1270" s="97" t="str">
        <f t="shared" si="49"/>
        <v/>
      </c>
      <c r="S1270" s="75" t="str">
        <f t="shared" si="47"/>
        <v/>
      </c>
      <c r="U1270" s="8">
        <v>43754</v>
      </c>
      <c r="W1270" s="6" t="s">
        <v>33</v>
      </c>
      <c r="X1270" s="95">
        <v>52181</v>
      </c>
    </row>
    <row r="1271" spans="1:24" x14ac:dyDescent="0.25">
      <c r="A1271" s="6" t="s">
        <v>168</v>
      </c>
      <c r="B1271" s="94" t="s">
        <v>145</v>
      </c>
      <c r="C1271" s="6" t="s">
        <v>4114</v>
      </c>
      <c r="D1271" s="140">
        <v>11984794</v>
      </c>
      <c r="E1271" s="6" t="s">
        <v>1659</v>
      </c>
      <c r="F1271" s="10" t="s">
        <v>44</v>
      </c>
      <c r="G1271" s="6" t="s">
        <v>4115</v>
      </c>
      <c r="H1271" s="8">
        <v>46231</v>
      </c>
      <c r="I1271" s="8">
        <v>43530</v>
      </c>
      <c r="J1271" s="8">
        <v>43172</v>
      </c>
      <c r="K1271" s="95">
        <v>43172</v>
      </c>
      <c r="L1271" s="95" t="s">
        <v>359</v>
      </c>
      <c r="R1271" s="97" t="str">
        <f t="shared" si="49"/>
        <v/>
      </c>
      <c r="S1271" s="75" t="str">
        <f t="shared" si="47"/>
        <v/>
      </c>
      <c r="W1271" s="6" t="s">
        <v>84</v>
      </c>
      <c r="X1271" s="95">
        <v>50170</v>
      </c>
    </row>
    <row r="1272" spans="1:24" x14ac:dyDescent="0.25">
      <c r="A1272" s="6" t="s">
        <v>25</v>
      </c>
      <c r="B1272" s="94" t="s">
        <v>4116</v>
      </c>
      <c r="C1272" s="6" t="s">
        <v>4117</v>
      </c>
      <c r="D1272" s="140">
        <v>11193822</v>
      </c>
      <c r="E1272" s="6" t="s">
        <v>2195</v>
      </c>
      <c r="F1272" s="10" t="s">
        <v>44</v>
      </c>
      <c r="G1272" s="6" t="s">
        <v>4118</v>
      </c>
      <c r="H1272" s="8">
        <v>45614</v>
      </c>
      <c r="I1272" s="8">
        <v>43651</v>
      </c>
      <c r="J1272" s="8">
        <v>43654</v>
      </c>
      <c r="K1272" s="95">
        <v>43734</v>
      </c>
      <c r="L1272" s="95" t="s">
        <v>359</v>
      </c>
      <c r="R1272" s="97" t="str">
        <f t="shared" si="49"/>
        <v/>
      </c>
      <c r="S1272" s="75" t="str">
        <f t="shared" si="47"/>
        <v/>
      </c>
      <c r="W1272" s="6" t="s">
        <v>33</v>
      </c>
      <c r="X1272" s="95">
        <v>49578</v>
      </c>
    </row>
    <row r="1273" spans="1:24" x14ac:dyDescent="0.25">
      <c r="A1273" s="6" t="s">
        <v>25</v>
      </c>
      <c r="B1273" s="94" t="s">
        <v>4119</v>
      </c>
      <c r="C1273" s="6" t="s">
        <v>4120</v>
      </c>
      <c r="D1273" s="140">
        <v>12107031</v>
      </c>
      <c r="E1273" s="6" t="s">
        <v>2195</v>
      </c>
      <c r="F1273" s="10" t="s">
        <v>2600</v>
      </c>
      <c r="G1273" s="6">
        <v>1407328</v>
      </c>
      <c r="H1273" s="8">
        <v>45660</v>
      </c>
      <c r="I1273" s="8">
        <v>43651</v>
      </c>
      <c r="J1273" s="8">
        <v>43654</v>
      </c>
      <c r="K1273" s="95">
        <v>43734</v>
      </c>
      <c r="L1273" s="95" t="s">
        <v>359</v>
      </c>
      <c r="R1273" s="97" t="str">
        <f t="shared" si="49"/>
        <v/>
      </c>
      <c r="S1273" s="75" t="str">
        <f t="shared" si="47"/>
        <v/>
      </c>
      <c r="W1273" s="6" t="s">
        <v>33</v>
      </c>
      <c r="X1273" s="95">
        <v>53575</v>
      </c>
    </row>
    <row r="1274" spans="1:24" x14ac:dyDescent="0.25">
      <c r="A1274" s="6" t="s">
        <v>25</v>
      </c>
      <c r="B1274" s="94" t="s">
        <v>4121</v>
      </c>
      <c r="C1274" s="6" t="s">
        <v>4122</v>
      </c>
      <c r="D1274" s="140">
        <v>11867217</v>
      </c>
      <c r="E1274" s="6" t="s">
        <v>1082</v>
      </c>
      <c r="F1274" s="10" t="s">
        <v>44</v>
      </c>
      <c r="G1274" s="6" t="s">
        <v>4123</v>
      </c>
      <c r="H1274" s="8">
        <v>45648</v>
      </c>
      <c r="I1274" s="8">
        <v>43651</v>
      </c>
      <c r="J1274" s="8">
        <v>43654</v>
      </c>
      <c r="K1274" s="95">
        <v>43734</v>
      </c>
      <c r="L1274" s="95" t="s">
        <v>31</v>
      </c>
      <c r="M1274" s="8">
        <v>43738</v>
      </c>
      <c r="R1274" s="97" t="str">
        <f t="shared" si="49"/>
        <v/>
      </c>
      <c r="S1274" s="75" t="str">
        <f t="shared" si="47"/>
        <v/>
      </c>
      <c r="W1274" s="6" t="s">
        <v>33</v>
      </c>
      <c r="X1274" s="95">
        <v>46251</v>
      </c>
    </row>
    <row r="1275" spans="1:24" x14ac:dyDescent="0.25">
      <c r="A1275" s="6" t="s">
        <v>25</v>
      </c>
      <c r="B1275" s="94" t="s">
        <v>3295</v>
      </c>
      <c r="C1275" s="6" t="s">
        <v>4124</v>
      </c>
      <c r="D1275" s="140">
        <v>11167596</v>
      </c>
      <c r="E1275" s="6" t="s">
        <v>1156</v>
      </c>
      <c r="F1275" s="10" t="s">
        <v>205</v>
      </c>
      <c r="G1275" s="6" t="s">
        <v>4125</v>
      </c>
      <c r="H1275" s="8">
        <v>45650</v>
      </c>
      <c r="I1275" s="8">
        <v>43651</v>
      </c>
      <c r="J1275" s="8">
        <v>43654</v>
      </c>
      <c r="K1275" s="95">
        <v>43734</v>
      </c>
      <c r="L1275" s="95" t="s">
        <v>31</v>
      </c>
      <c r="M1275" s="8">
        <v>43739</v>
      </c>
      <c r="R1275" s="97" t="str">
        <f t="shared" si="49"/>
        <v/>
      </c>
      <c r="S1275" s="75" t="str">
        <f t="shared" si="47"/>
        <v/>
      </c>
      <c r="T1275" s="124" t="s">
        <v>4126</v>
      </c>
      <c r="U1275" s="8">
        <v>45191</v>
      </c>
      <c r="W1275" s="6" t="s">
        <v>33</v>
      </c>
      <c r="X1275" s="95">
        <v>48508</v>
      </c>
    </row>
    <row r="1276" spans="1:24" x14ac:dyDescent="0.25">
      <c r="A1276" s="6" t="s">
        <v>25</v>
      </c>
      <c r="B1276" s="94" t="s">
        <v>202</v>
      </c>
      <c r="C1276" s="6" t="s">
        <v>4127</v>
      </c>
      <c r="D1276" s="140">
        <v>11902507</v>
      </c>
      <c r="E1276" s="6" t="s">
        <v>142</v>
      </c>
      <c r="F1276" s="10" t="s">
        <v>528</v>
      </c>
      <c r="G1276" s="6" t="s">
        <v>4128</v>
      </c>
      <c r="H1276" s="8">
        <v>45108</v>
      </c>
      <c r="I1276" s="8">
        <v>43804</v>
      </c>
      <c r="J1276" s="8">
        <v>43805</v>
      </c>
      <c r="K1276" s="95">
        <v>43875</v>
      </c>
      <c r="L1276" s="95" t="s">
        <v>31</v>
      </c>
      <c r="M1276" s="8">
        <v>43885</v>
      </c>
      <c r="N1276" s="8">
        <v>44253</v>
      </c>
      <c r="O1276" s="8">
        <v>44049</v>
      </c>
      <c r="P1276" s="6" t="s">
        <v>35</v>
      </c>
      <c r="Q1276" s="96">
        <v>1826</v>
      </c>
      <c r="R1276" s="97">
        <f t="shared" si="49"/>
        <v>5.0027397260273974</v>
      </c>
      <c r="S1276" s="75">
        <f t="shared" si="47"/>
        <v>41317.627397260272</v>
      </c>
      <c r="T1276" s="124" t="s">
        <v>4129</v>
      </c>
      <c r="U1276" s="8">
        <v>44253</v>
      </c>
      <c r="W1276" s="6" t="s">
        <v>84</v>
      </c>
      <c r="X1276" s="95">
        <v>44825</v>
      </c>
    </row>
    <row r="1277" spans="1:24" x14ac:dyDescent="0.25">
      <c r="A1277" s="6" t="s">
        <v>25</v>
      </c>
      <c r="B1277" s="94" t="s">
        <v>1110</v>
      </c>
      <c r="C1277" s="6" t="s">
        <v>4130</v>
      </c>
      <c r="D1277" s="140">
        <v>12116873</v>
      </c>
      <c r="E1277" s="6" t="s">
        <v>180</v>
      </c>
      <c r="F1277" s="10" t="s">
        <v>57</v>
      </c>
      <c r="G1277" s="6" t="s">
        <v>4131</v>
      </c>
      <c r="H1277" s="8">
        <v>45687</v>
      </c>
      <c r="I1277" s="8">
        <v>43658</v>
      </c>
      <c r="J1277" s="8">
        <v>43661</v>
      </c>
      <c r="K1277" s="95">
        <v>43734</v>
      </c>
      <c r="L1277" s="95" t="s">
        <v>31</v>
      </c>
      <c r="M1277" s="8">
        <v>43739</v>
      </c>
      <c r="R1277" s="97" t="str">
        <f t="shared" si="49"/>
        <v/>
      </c>
      <c r="S1277" s="75" t="str">
        <f t="shared" si="47"/>
        <v/>
      </c>
      <c r="T1277" s="124" t="s">
        <v>4132</v>
      </c>
      <c r="U1277" s="8">
        <v>45106</v>
      </c>
      <c r="W1277" s="6" t="s">
        <v>33</v>
      </c>
      <c r="X1277" s="95">
        <v>55104</v>
      </c>
    </row>
    <row r="1278" spans="1:24" x14ac:dyDescent="0.25">
      <c r="A1278" s="6" t="s">
        <v>37</v>
      </c>
      <c r="B1278" s="94" t="s">
        <v>108</v>
      </c>
      <c r="C1278" s="6" t="s">
        <v>4133</v>
      </c>
      <c r="D1278" s="140">
        <v>11279875</v>
      </c>
      <c r="E1278" s="6" t="s">
        <v>209</v>
      </c>
      <c r="F1278" s="10" t="s">
        <v>57</v>
      </c>
      <c r="G1278" s="6" t="s">
        <v>4134</v>
      </c>
      <c r="H1278" s="8">
        <v>48917</v>
      </c>
      <c r="I1278" s="8">
        <v>43343</v>
      </c>
      <c r="J1278" s="8">
        <v>43350</v>
      </c>
      <c r="K1278" s="95">
        <v>43350</v>
      </c>
      <c r="L1278" s="95" t="s">
        <v>31</v>
      </c>
      <c r="M1278" s="8">
        <v>43360</v>
      </c>
      <c r="N1278" s="8">
        <v>44253</v>
      </c>
      <c r="O1278" s="8">
        <v>44029</v>
      </c>
      <c r="P1278" s="6" t="s">
        <v>75</v>
      </c>
      <c r="R1278" s="97" t="str">
        <f t="shared" si="49"/>
        <v/>
      </c>
      <c r="S1278" s="75" t="str">
        <f t="shared" si="47"/>
        <v/>
      </c>
      <c r="T1278" s="124" t="s">
        <v>4135</v>
      </c>
      <c r="U1278" s="8">
        <v>44253</v>
      </c>
      <c r="W1278" s="6" t="s">
        <v>33</v>
      </c>
      <c r="X1278" s="95">
        <v>45810</v>
      </c>
    </row>
    <row r="1279" spans="1:24" x14ac:dyDescent="0.25">
      <c r="A1279" s="6" t="s">
        <v>25</v>
      </c>
      <c r="B1279" s="94" t="s">
        <v>4136</v>
      </c>
      <c r="C1279" s="6" t="s">
        <v>4137</v>
      </c>
      <c r="D1279" s="140">
        <v>11979084</v>
      </c>
      <c r="E1279" s="6" t="s">
        <v>147</v>
      </c>
      <c r="F1279" s="10" t="s">
        <v>44</v>
      </c>
      <c r="G1279" s="6" t="s">
        <v>4138</v>
      </c>
      <c r="H1279" s="8">
        <v>45709</v>
      </c>
      <c r="I1279" s="8">
        <v>43658</v>
      </c>
      <c r="J1279" s="8">
        <v>43661</v>
      </c>
      <c r="K1279" s="95">
        <v>43734</v>
      </c>
      <c r="L1279" s="95" t="s">
        <v>31</v>
      </c>
      <c r="M1279" s="8">
        <v>43738</v>
      </c>
      <c r="R1279" s="97" t="str">
        <f t="shared" si="49"/>
        <v/>
      </c>
      <c r="S1279" s="75" t="str">
        <f t="shared" si="47"/>
        <v/>
      </c>
      <c r="T1279" s="124" t="s">
        <v>4139</v>
      </c>
      <c r="U1279" s="8">
        <v>45208</v>
      </c>
      <c r="W1279" s="6" t="s">
        <v>33</v>
      </c>
      <c r="X1279" s="95">
        <v>52443</v>
      </c>
    </row>
    <row r="1280" spans="1:24" x14ac:dyDescent="0.25">
      <c r="A1280" s="6" t="s">
        <v>25</v>
      </c>
      <c r="B1280" s="94" t="s">
        <v>2680</v>
      </c>
      <c r="C1280" s="6" t="s">
        <v>4140</v>
      </c>
      <c r="D1280" s="140">
        <v>11948514</v>
      </c>
      <c r="E1280" s="6" t="s">
        <v>2090</v>
      </c>
      <c r="F1280" s="10" t="s">
        <v>44</v>
      </c>
      <c r="G1280" s="6" t="s">
        <v>4141</v>
      </c>
      <c r="H1280" s="8">
        <v>45714</v>
      </c>
      <c r="I1280" s="8">
        <v>43658</v>
      </c>
      <c r="J1280" s="8">
        <v>43661</v>
      </c>
      <c r="K1280" s="95">
        <v>43734</v>
      </c>
      <c r="L1280" s="95" t="s">
        <v>31</v>
      </c>
      <c r="M1280" s="8">
        <v>43738</v>
      </c>
      <c r="R1280" s="97" t="str">
        <f t="shared" si="49"/>
        <v/>
      </c>
      <c r="S1280" s="75" t="str">
        <f t="shared" si="47"/>
        <v/>
      </c>
      <c r="W1280" s="6" t="s">
        <v>33</v>
      </c>
      <c r="X1280" s="95">
        <v>52553</v>
      </c>
    </row>
    <row r="1281" spans="1:24" x14ac:dyDescent="0.25">
      <c r="A1281" s="6" t="s">
        <v>25</v>
      </c>
      <c r="B1281" s="94" t="s">
        <v>1045</v>
      </c>
      <c r="C1281" s="6" t="s">
        <v>4142</v>
      </c>
      <c r="D1281" s="140">
        <v>11590656</v>
      </c>
      <c r="E1281" s="6" t="s">
        <v>2195</v>
      </c>
      <c r="F1281" s="10" t="s">
        <v>277</v>
      </c>
      <c r="G1281" s="6" t="s">
        <v>4143</v>
      </c>
      <c r="H1281" s="8">
        <v>45737</v>
      </c>
      <c r="I1281" s="8">
        <v>43658</v>
      </c>
      <c r="J1281" s="8">
        <v>43661</v>
      </c>
      <c r="K1281" s="95">
        <v>43734</v>
      </c>
      <c r="L1281" s="95" t="s">
        <v>359</v>
      </c>
      <c r="R1281" s="97" t="str">
        <f t="shared" si="49"/>
        <v/>
      </c>
      <c r="S1281" s="75" t="str">
        <f t="shared" si="47"/>
        <v/>
      </c>
      <c r="W1281" s="6" t="s">
        <v>33</v>
      </c>
      <c r="X1281" s="95">
        <v>53350</v>
      </c>
    </row>
    <row r="1282" spans="1:24" x14ac:dyDescent="0.25">
      <c r="A1282" s="6" t="s">
        <v>25</v>
      </c>
      <c r="B1282" s="94" t="s">
        <v>4144</v>
      </c>
      <c r="C1282" s="6" t="s">
        <v>4145</v>
      </c>
      <c r="D1282" s="140">
        <v>11121725</v>
      </c>
      <c r="E1282" s="6" t="s">
        <v>418</v>
      </c>
      <c r="F1282" s="10" t="s">
        <v>44</v>
      </c>
      <c r="G1282" s="6" t="s">
        <v>4146</v>
      </c>
      <c r="H1282" s="8">
        <v>45759</v>
      </c>
      <c r="I1282" s="8">
        <v>43658</v>
      </c>
      <c r="J1282" s="8">
        <v>43661</v>
      </c>
      <c r="K1282" s="95">
        <v>43734</v>
      </c>
      <c r="L1282" s="95" t="s">
        <v>31</v>
      </c>
      <c r="M1282" s="8">
        <v>43738</v>
      </c>
      <c r="R1282" s="97" t="str">
        <f t="shared" si="49"/>
        <v/>
      </c>
      <c r="S1282" s="75" t="str">
        <f t="shared" si="47"/>
        <v/>
      </c>
      <c r="T1282" s="124" t="s">
        <v>4147</v>
      </c>
      <c r="U1282" s="8">
        <v>45065</v>
      </c>
      <c r="W1282" s="6" t="s">
        <v>33</v>
      </c>
      <c r="X1282" s="95">
        <v>50154</v>
      </c>
    </row>
    <row r="1283" spans="1:24" x14ac:dyDescent="0.25">
      <c r="A1283" s="6" t="s">
        <v>65</v>
      </c>
      <c r="B1283" s="94" t="s">
        <v>242</v>
      </c>
      <c r="C1283" s="6" t="s">
        <v>4148</v>
      </c>
      <c r="D1283" s="140">
        <v>12182339</v>
      </c>
      <c r="E1283" s="6" t="s">
        <v>1756</v>
      </c>
      <c r="F1283" s="10" t="s">
        <v>44</v>
      </c>
      <c r="G1283" s="6" t="s">
        <v>4149</v>
      </c>
      <c r="H1283" s="8">
        <v>45784</v>
      </c>
      <c r="I1283" s="8">
        <v>43273</v>
      </c>
      <c r="J1283" s="8">
        <v>43273</v>
      </c>
      <c r="K1283" s="95">
        <v>43292</v>
      </c>
      <c r="L1283" s="95" t="s">
        <v>31</v>
      </c>
      <c r="M1283" s="8">
        <v>43299</v>
      </c>
      <c r="N1283" s="8">
        <v>43418</v>
      </c>
      <c r="P1283" s="101" t="s">
        <v>182</v>
      </c>
      <c r="R1283" s="97" t="str">
        <f t="shared" si="49"/>
        <v/>
      </c>
      <c r="S1283" s="75" t="str">
        <f t="shared" si="47"/>
        <v/>
      </c>
      <c r="U1283" s="8">
        <v>43432</v>
      </c>
      <c r="W1283" s="6" t="s">
        <v>33</v>
      </c>
      <c r="X1283" s="95">
        <v>55483</v>
      </c>
    </row>
    <row r="1284" spans="1:24" x14ac:dyDescent="0.25">
      <c r="A1284" s="6" t="s">
        <v>65</v>
      </c>
      <c r="B1284" s="94" t="s">
        <v>2971</v>
      </c>
      <c r="C1284" s="6" t="s">
        <v>4150</v>
      </c>
      <c r="D1284" s="140">
        <v>11923147</v>
      </c>
      <c r="E1284" s="6" t="s">
        <v>73</v>
      </c>
      <c r="F1284" s="10" t="s">
        <v>934</v>
      </c>
      <c r="G1284" s="6" t="s">
        <v>4151</v>
      </c>
      <c r="H1284" s="8">
        <v>46223</v>
      </c>
      <c r="I1284" s="8">
        <v>43273</v>
      </c>
      <c r="J1284" s="8">
        <v>43273</v>
      </c>
      <c r="K1284" s="95">
        <v>43292</v>
      </c>
      <c r="L1284" s="95" t="s">
        <v>31</v>
      </c>
      <c r="M1284" s="8">
        <v>43299</v>
      </c>
      <c r="N1284" s="8">
        <v>43347</v>
      </c>
      <c r="P1284" s="101" t="s">
        <v>182</v>
      </c>
      <c r="R1284" s="97" t="str">
        <f t="shared" si="49"/>
        <v/>
      </c>
      <c r="S1284" s="75" t="str">
        <f t="shared" si="47"/>
        <v/>
      </c>
      <c r="U1284" s="8">
        <v>43353</v>
      </c>
      <c r="W1284" s="6" t="s">
        <v>33</v>
      </c>
      <c r="X1284" s="95">
        <v>41244</v>
      </c>
    </row>
    <row r="1285" spans="1:24" x14ac:dyDescent="0.25">
      <c r="A1285" s="6" t="s">
        <v>25</v>
      </c>
      <c r="B1285" s="94" t="s">
        <v>890</v>
      </c>
      <c r="C1285" s="6" t="s">
        <v>4152</v>
      </c>
      <c r="D1285" s="140">
        <v>12013617</v>
      </c>
      <c r="E1285" s="6" t="s">
        <v>783</v>
      </c>
      <c r="F1285" s="10" t="s">
        <v>57</v>
      </c>
      <c r="G1285" s="6" t="s">
        <v>4153</v>
      </c>
      <c r="H1285" s="8">
        <v>44311</v>
      </c>
      <c r="I1285" s="8">
        <v>43649</v>
      </c>
      <c r="J1285" s="8">
        <v>43649</v>
      </c>
      <c r="K1285" s="95">
        <v>43734</v>
      </c>
      <c r="L1285" s="95" t="s">
        <v>31</v>
      </c>
      <c r="M1285" s="8">
        <v>43738</v>
      </c>
      <c r="N1285" s="108">
        <v>43994</v>
      </c>
      <c r="O1285" s="108">
        <v>43994</v>
      </c>
      <c r="P1285" s="107" t="s">
        <v>35</v>
      </c>
      <c r="Q1285" s="110">
        <v>311</v>
      </c>
      <c r="R1285" s="97">
        <f t="shared" si="49"/>
        <v>0.852054794520548</v>
      </c>
      <c r="S1285" s="75">
        <f t="shared" ref="S1285:S1327" si="50">IF(Q1285&gt;0, SUM(Q1285)*(8259/365), "")</f>
        <v>7037.1205479452055</v>
      </c>
      <c r="U1285" s="8">
        <v>44776</v>
      </c>
      <c r="W1285" s="6" t="s">
        <v>33</v>
      </c>
      <c r="X1285" s="95">
        <v>50454</v>
      </c>
    </row>
    <row r="1286" spans="1:24" x14ac:dyDescent="0.25">
      <c r="A1286" s="6" t="s">
        <v>25</v>
      </c>
      <c r="B1286" s="94" t="s">
        <v>4154</v>
      </c>
      <c r="C1286" s="6" t="s">
        <v>4155</v>
      </c>
      <c r="D1286" s="140">
        <v>11102901</v>
      </c>
      <c r="E1286" s="6" t="s">
        <v>2090</v>
      </c>
      <c r="F1286" s="10" t="s">
        <v>293</v>
      </c>
      <c r="G1286" s="6">
        <v>147149</v>
      </c>
      <c r="H1286" s="8">
        <v>44328</v>
      </c>
      <c r="I1286" s="8">
        <v>43662</v>
      </c>
      <c r="J1286" s="8">
        <v>43664</v>
      </c>
      <c r="K1286" s="95">
        <v>43745</v>
      </c>
      <c r="L1286" s="95" t="s">
        <v>31</v>
      </c>
      <c r="M1286" s="8">
        <v>43749</v>
      </c>
      <c r="R1286" s="97" t="str">
        <f t="shared" si="49"/>
        <v/>
      </c>
      <c r="S1286" s="75" t="str">
        <f t="shared" si="50"/>
        <v/>
      </c>
      <c r="T1286" s="129" t="s">
        <v>4156</v>
      </c>
      <c r="U1286" s="8">
        <v>44783</v>
      </c>
      <c r="W1286" s="6" t="s">
        <v>33</v>
      </c>
      <c r="X1286" s="95">
        <v>47070</v>
      </c>
    </row>
    <row r="1287" spans="1:24" ht="14.25" customHeight="1" x14ac:dyDescent="0.25">
      <c r="A1287" s="6" t="s">
        <v>65</v>
      </c>
      <c r="B1287" s="94" t="s">
        <v>4157</v>
      </c>
      <c r="C1287" s="6" t="s">
        <v>4158</v>
      </c>
      <c r="D1287" s="140">
        <v>11298712</v>
      </c>
      <c r="E1287" s="6" t="s">
        <v>1089</v>
      </c>
      <c r="F1287" s="10" t="s">
        <v>139</v>
      </c>
      <c r="G1287" s="6" t="s">
        <v>4159</v>
      </c>
      <c r="H1287" s="8">
        <v>46764</v>
      </c>
      <c r="I1287" s="8">
        <v>43273</v>
      </c>
      <c r="J1287" s="8">
        <v>43273</v>
      </c>
      <c r="K1287" s="95">
        <v>43292</v>
      </c>
      <c r="L1287" s="95" t="s">
        <v>31</v>
      </c>
      <c r="M1287" s="8">
        <v>43299</v>
      </c>
      <c r="N1287" s="8">
        <v>43347</v>
      </c>
      <c r="P1287" s="101" t="s">
        <v>182</v>
      </c>
      <c r="R1287" s="97" t="str">
        <f t="shared" si="49"/>
        <v/>
      </c>
      <c r="S1287" s="75" t="str">
        <f t="shared" si="50"/>
        <v/>
      </c>
      <c r="U1287" s="8">
        <v>43353</v>
      </c>
      <c r="W1287" s="6" t="s">
        <v>33</v>
      </c>
      <c r="X1287" s="95">
        <v>45869</v>
      </c>
    </row>
    <row r="1288" spans="1:24" x14ac:dyDescent="0.25">
      <c r="A1288" s="6" t="s">
        <v>25</v>
      </c>
      <c r="B1288" s="94" t="s">
        <v>4160</v>
      </c>
      <c r="C1288" s="6" t="s">
        <v>4161</v>
      </c>
      <c r="D1288" s="140">
        <v>11734071</v>
      </c>
      <c r="E1288" s="6" t="s">
        <v>157</v>
      </c>
      <c r="F1288" s="10" t="s">
        <v>44</v>
      </c>
      <c r="G1288" s="6" t="s">
        <v>4162</v>
      </c>
      <c r="H1288" s="8">
        <v>44372</v>
      </c>
      <c r="I1288" s="8">
        <v>43662</v>
      </c>
      <c r="J1288" s="8">
        <v>43664</v>
      </c>
      <c r="K1288" s="95">
        <v>43745</v>
      </c>
      <c r="L1288" s="95" t="s">
        <v>31</v>
      </c>
      <c r="M1288" s="8">
        <v>43745</v>
      </c>
      <c r="N1288" s="108">
        <v>44298</v>
      </c>
      <c r="O1288" s="108">
        <v>44284</v>
      </c>
      <c r="P1288" s="107" t="s">
        <v>75</v>
      </c>
      <c r="Q1288" s="110"/>
      <c r="R1288" s="97" t="str">
        <f t="shared" si="49"/>
        <v/>
      </c>
      <c r="S1288" s="75" t="str">
        <f t="shared" si="50"/>
        <v/>
      </c>
      <c r="U1288" s="8">
        <v>44776</v>
      </c>
      <c r="W1288" s="6" t="s">
        <v>33</v>
      </c>
      <c r="X1288" s="95">
        <v>44372</v>
      </c>
    </row>
    <row r="1289" spans="1:24" x14ac:dyDescent="0.25">
      <c r="A1289" s="6" t="s">
        <v>25</v>
      </c>
      <c r="B1289" s="94" t="s">
        <v>1761</v>
      </c>
      <c r="C1289" s="6" t="s">
        <v>4163</v>
      </c>
      <c r="D1289" s="140">
        <v>11369391</v>
      </c>
      <c r="E1289" s="6" t="s">
        <v>2090</v>
      </c>
      <c r="F1289" s="10" t="s">
        <v>134</v>
      </c>
      <c r="G1289" s="6" t="s">
        <v>4164</v>
      </c>
      <c r="H1289" s="8">
        <v>44322</v>
      </c>
      <c r="I1289" s="8">
        <v>43662</v>
      </c>
      <c r="J1289" s="8">
        <v>43664</v>
      </c>
      <c r="K1289" s="95">
        <v>43745</v>
      </c>
      <c r="L1289" s="95" t="s">
        <v>31</v>
      </c>
      <c r="M1289" s="8">
        <v>43749</v>
      </c>
      <c r="N1289" s="8">
        <v>43845</v>
      </c>
      <c r="O1289" s="8">
        <v>43775</v>
      </c>
      <c r="P1289" s="6" t="s">
        <v>75</v>
      </c>
      <c r="R1289" s="97" t="str">
        <f t="shared" si="49"/>
        <v/>
      </c>
      <c r="S1289" s="75" t="str">
        <f t="shared" si="50"/>
        <v/>
      </c>
      <c r="U1289" s="8">
        <v>43894</v>
      </c>
      <c r="W1289" s="6" t="s">
        <v>33</v>
      </c>
      <c r="X1289" s="95">
        <v>54325</v>
      </c>
    </row>
    <row r="1290" spans="1:24" x14ac:dyDescent="0.25">
      <c r="A1290" s="6" t="s">
        <v>25</v>
      </c>
      <c r="B1290" s="94" t="s">
        <v>4165</v>
      </c>
      <c r="C1290" s="6" t="s">
        <v>4166</v>
      </c>
      <c r="D1290" s="140">
        <v>12111240</v>
      </c>
      <c r="E1290" s="6" t="s">
        <v>4167</v>
      </c>
      <c r="F1290" s="10" t="s">
        <v>134</v>
      </c>
      <c r="G1290" s="6" t="s">
        <v>4168</v>
      </c>
      <c r="H1290" s="8">
        <v>44364</v>
      </c>
      <c r="I1290" s="8">
        <v>43662</v>
      </c>
      <c r="J1290" s="8">
        <v>43664</v>
      </c>
      <c r="K1290" s="95">
        <v>43745</v>
      </c>
      <c r="L1290" s="95" t="s">
        <v>31</v>
      </c>
      <c r="M1290" s="8">
        <v>43749</v>
      </c>
      <c r="N1290" s="8">
        <v>43795</v>
      </c>
      <c r="O1290" s="8">
        <v>43781</v>
      </c>
      <c r="P1290" s="6" t="s">
        <v>52</v>
      </c>
      <c r="R1290" s="97" t="str">
        <f t="shared" si="49"/>
        <v/>
      </c>
      <c r="S1290" s="75" t="str">
        <f t="shared" si="50"/>
        <v/>
      </c>
      <c r="U1290" s="8">
        <v>43795</v>
      </c>
      <c r="W1290" s="6" t="s">
        <v>33</v>
      </c>
      <c r="X1290" s="95">
        <v>53826</v>
      </c>
    </row>
    <row r="1291" spans="1:24" x14ac:dyDescent="0.25">
      <c r="A1291" s="6" t="s">
        <v>25</v>
      </c>
      <c r="B1291" s="94" t="s">
        <v>944</v>
      </c>
      <c r="C1291" s="6" t="s">
        <v>4169</v>
      </c>
      <c r="D1291" s="140">
        <v>12099832</v>
      </c>
      <c r="E1291" s="6" t="s">
        <v>1443</v>
      </c>
      <c r="F1291" s="10" t="s">
        <v>44</v>
      </c>
      <c r="G1291" s="6" t="s">
        <v>4170</v>
      </c>
      <c r="H1291" s="8">
        <v>44398</v>
      </c>
      <c r="I1291" s="8">
        <v>43662</v>
      </c>
      <c r="J1291" s="8">
        <v>43664</v>
      </c>
      <c r="K1291" s="95">
        <v>43745</v>
      </c>
      <c r="L1291" s="95" t="s">
        <v>31</v>
      </c>
      <c r="M1291" s="8">
        <v>43749</v>
      </c>
      <c r="N1291" s="8">
        <v>43889</v>
      </c>
      <c r="O1291" s="8">
        <v>43885</v>
      </c>
      <c r="P1291" s="6" t="s">
        <v>90</v>
      </c>
      <c r="Q1291" s="96">
        <v>1826.25</v>
      </c>
      <c r="R1291" s="97">
        <f t="shared" si="49"/>
        <v>5.0034246575342465</v>
      </c>
      <c r="S1291" s="75">
        <f t="shared" si="50"/>
        <v>41323.284246575342</v>
      </c>
      <c r="T1291" s="124" t="s">
        <v>4171</v>
      </c>
      <c r="U1291" s="8">
        <v>43894</v>
      </c>
      <c r="V1291" s="6" t="s">
        <v>36</v>
      </c>
      <c r="W1291" s="6" t="s">
        <v>33</v>
      </c>
      <c r="X1291" s="95">
        <v>50549</v>
      </c>
    </row>
    <row r="1292" spans="1:24" ht="30" x14ac:dyDescent="0.25">
      <c r="A1292" s="6" t="s">
        <v>37</v>
      </c>
      <c r="B1292" s="94" t="s">
        <v>2519</v>
      </c>
      <c r="C1292" s="6" t="s">
        <v>4172</v>
      </c>
      <c r="D1292" s="140">
        <v>11278282</v>
      </c>
      <c r="E1292" s="6" t="s">
        <v>4173</v>
      </c>
      <c r="F1292" s="10" t="s">
        <v>143</v>
      </c>
      <c r="G1292" s="6" t="s">
        <v>4174</v>
      </c>
      <c r="H1292" s="8">
        <v>45406</v>
      </c>
      <c r="I1292" s="8">
        <v>44256</v>
      </c>
      <c r="J1292" s="8">
        <v>44267</v>
      </c>
      <c r="K1292" s="95">
        <v>44271</v>
      </c>
      <c r="L1292" s="95" t="s">
        <v>31</v>
      </c>
      <c r="M1292" s="8">
        <v>44281</v>
      </c>
      <c r="N1292" s="8">
        <v>44657</v>
      </c>
      <c r="O1292" s="8">
        <v>44650</v>
      </c>
      <c r="P1292" s="6" t="s">
        <v>35</v>
      </c>
      <c r="Q1292" s="96">
        <v>139</v>
      </c>
      <c r="R1292" s="97">
        <f t="shared" si="49"/>
        <v>0.38082191780821917</v>
      </c>
      <c r="S1292" s="75">
        <f t="shared" si="50"/>
        <v>3145.2082191780823</v>
      </c>
      <c r="T1292" s="124" t="s">
        <v>4175</v>
      </c>
      <c r="U1292" s="8">
        <v>44652</v>
      </c>
      <c r="W1292" s="6" t="s">
        <v>33</v>
      </c>
      <c r="X1292" s="7">
        <v>44797</v>
      </c>
    </row>
    <row r="1293" spans="1:24" x14ac:dyDescent="0.25">
      <c r="A1293" s="6" t="s">
        <v>25</v>
      </c>
      <c r="B1293" s="94" t="s">
        <v>2162</v>
      </c>
      <c r="C1293" s="6" t="s">
        <v>4176</v>
      </c>
      <c r="D1293" s="140">
        <v>11059846</v>
      </c>
      <c r="E1293" s="6" t="s">
        <v>826</v>
      </c>
      <c r="F1293" s="10" t="s">
        <v>57</v>
      </c>
      <c r="G1293" s="6" t="s">
        <v>4177</v>
      </c>
      <c r="H1293" s="8">
        <v>45663</v>
      </c>
      <c r="I1293" s="8">
        <v>43668</v>
      </c>
      <c r="J1293" s="8">
        <v>43670</v>
      </c>
      <c r="K1293" s="95">
        <v>43732</v>
      </c>
      <c r="L1293" s="95" t="s">
        <v>31</v>
      </c>
      <c r="M1293" s="8">
        <v>43739</v>
      </c>
      <c r="N1293" s="8">
        <v>44956</v>
      </c>
      <c r="O1293" s="8">
        <v>44946</v>
      </c>
      <c r="P1293" s="6" t="s">
        <v>35</v>
      </c>
      <c r="Q1293" s="96">
        <v>1825</v>
      </c>
      <c r="R1293" s="97">
        <f t="shared" si="49"/>
        <v>5</v>
      </c>
      <c r="S1293" s="75">
        <f t="shared" si="50"/>
        <v>41295</v>
      </c>
      <c r="U1293" s="8">
        <v>44958</v>
      </c>
      <c r="V1293" s="6" t="s">
        <v>36</v>
      </c>
      <c r="W1293" s="6" t="s">
        <v>33</v>
      </c>
      <c r="X1293" s="95">
        <v>44958</v>
      </c>
    </row>
    <row r="1294" spans="1:24" x14ac:dyDescent="0.25">
      <c r="A1294" s="6" t="s">
        <v>25</v>
      </c>
      <c r="B1294" s="94" t="s">
        <v>2162</v>
      </c>
      <c r="C1294" s="6" t="s">
        <v>4176</v>
      </c>
      <c r="D1294" s="140">
        <v>11059846</v>
      </c>
      <c r="E1294" s="6" t="s">
        <v>1525</v>
      </c>
      <c r="F1294" s="10" t="s">
        <v>44</v>
      </c>
      <c r="G1294" s="6" t="s">
        <v>4178</v>
      </c>
      <c r="H1294" s="8">
        <v>45663</v>
      </c>
      <c r="I1294" s="8">
        <v>43668</v>
      </c>
      <c r="J1294" s="8">
        <v>43670</v>
      </c>
      <c r="K1294" s="95">
        <v>43732</v>
      </c>
      <c r="L1294" s="95" t="s">
        <v>31</v>
      </c>
      <c r="M1294" s="8">
        <v>43738</v>
      </c>
      <c r="N1294" s="8">
        <v>44958</v>
      </c>
      <c r="O1294" s="8">
        <v>44946</v>
      </c>
      <c r="P1294" s="6" t="s">
        <v>90</v>
      </c>
      <c r="Q1294" s="96">
        <v>1825</v>
      </c>
      <c r="R1294" s="97">
        <f t="shared" si="49"/>
        <v>5</v>
      </c>
      <c r="S1294" s="75">
        <f t="shared" si="50"/>
        <v>41295</v>
      </c>
      <c r="T1294" s="124" t="s">
        <v>4179</v>
      </c>
      <c r="U1294" s="8">
        <v>45337</v>
      </c>
      <c r="V1294" s="6" t="s">
        <v>36</v>
      </c>
      <c r="W1294" s="6" t="s">
        <v>33</v>
      </c>
      <c r="X1294" s="95">
        <v>45125</v>
      </c>
    </row>
    <row r="1295" spans="1:24" x14ac:dyDescent="0.25">
      <c r="A1295" s="6" t="s">
        <v>25</v>
      </c>
      <c r="B1295" s="94" t="s">
        <v>4180</v>
      </c>
      <c r="C1295" s="6" t="s">
        <v>4181</v>
      </c>
      <c r="D1295" s="140">
        <v>11139741</v>
      </c>
      <c r="E1295" s="6" t="s">
        <v>1443</v>
      </c>
      <c r="F1295" s="10" t="s">
        <v>252</v>
      </c>
      <c r="G1295" s="6">
        <v>51220391</v>
      </c>
      <c r="H1295" s="8">
        <v>45772</v>
      </c>
      <c r="I1295" s="8">
        <v>43668</v>
      </c>
      <c r="J1295" s="8">
        <v>43670</v>
      </c>
      <c r="K1295" s="95">
        <v>43732</v>
      </c>
      <c r="L1295" s="95" t="s">
        <v>31</v>
      </c>
      <c r="M1295" s="8">
        <v>43739</v>
      </c>
      <c r="N1295" s="8">
        <v>44487</v>
      </c>
      <c r="O1295" s="8">
        <v>44477</v>
      </c>
      <c r="P1295" s="6" t="s">
        <v>90</v>
      </c>
      <c r="Q1295" s="96">
        <v>1284</v>
      </c>
      <c r="R1295" s="97">
        <f t="shared" si="49"/>
        <v>3.5178082191780824</v>
      </c>
      <c r="S1295" s="75">
        <f t="shared" si="50"/>
        <v>29053.578082191783</v>
      </c>
      <c r="T1295" s="124" t="s">
        <v>4182</v>
      </c>
      <c r="U1295" s="8">
        <v>44487</v>
      </c>
      <c r="V1295" s="6" t="s">
        <v>36</v>
      </c>
      <c r="W1295" s="6" t="s">
        <v>33</v>
      </c>
      <c r="X1295" s="95">
        <v>50129</v>
      </c>
    </row>
    <row r="1296" spans="1:24" x14ac:dyDescent="0.25">
      <c r="A1296" s="6" t="s">
        <v>25</v>
      </c>
      <c r="B1296" s="94" t="s">
        <v>1040</v>
      </c>
      <c r="C1296" s="6" t="s">
        <v>4183</v>
      </c>
      <c r="D1296" s="140">
        <v>11197744</v>
      </c>
      <c r="E1296" s="6" t="s">
        <v>261</v>
      </c>
      <c r="F1296" s="10" t="s">
        <v>134</v>
      </c>
      <c r="G1296" s="6" t="s">
        <v>4184</v>
      </c>
      <c r="H1296" s="8">
        <v>45672</v>
      </c>
      <c r="I1296" s="8">
        <v>43668</v>
      </c>
      <c r="J1296" s="8">
        <v>43670</v>
      </c>
      <c r="K1296" s="95">
        <v>43732</v>
      </c>
      <c r="L1296" s="95" t="s">
        <v>31</v>
      </c>
      <c r="M1296" s="8">
        <v>43739</v>
      </c>
      <c r="N1296" s="108">
        <v>44019</v>
      </c>
      <c r="O1296" s="108">
        <v>43997</v>
      </c>
      <c r="P1296" s="107" t="s">
        <v>52</v>
      </c>
      <c r="Q1296" s="110"/>
      <c r="R1296" s="97" t="str">
        <f t="shared" si="49"/>
        <v/>
      </c>
      <c r="S1296" s="75" t="str">
        <f t="shared" si="50"/>
        <v/>
      </c>
      <c r="U1296" s="8">
        <v>44776</v>
      </c>
      <c r="W1296" s="6" t="s">
        <v>33</v>
      </c>
      <c r="X1296" s="95">
        <v>45803</v>
      </c>
    </row>
    <row r="1297" spans="1:24" ht="30" x14ac:dyDescent="0.25">
      <c r="A1297" s="6" t="s">
        <v>65</v>
      </c>
      <c r="B1297" s="94" t="s">
        <v>1000</v>
      </c>
      <c r="C1297" s="6" t="s">
        <v>4185</v>
      </c>
      <c r="D1297" s="140">
        <v>11850304</v>
      </c>
      <c r="E1297" s="6" t="s">
        <v>519</v>
      </c>
      <c r="F1297" s="10" t="s">
        <v>134</v>
      </c>
      <c r="G1297" s="6" t="s">
        <v>4186</v>
      </c>
      <c r="H1297" s="8">
        <v>64622</v>
      </c>
      <c r="I1297" s="8">
        <v>43293</v>
      </c>
      <c r="J1297" s="8">
        <v>43293</v>
      </c>
      <c r="K1297" s="95">
        <v>43306</v>
      </c>
      <c r="L1297" s="95" t="s">
        <v>31</v>
      </c>
      <c r="M1297" s="8">
        <v>43312</v>
      </c>
      <c r="N1297" s="8">
        <v>43368</v>
      </c>
      <c r="P1297" s="101" t="s">
        <v>182</v>
      </c>
      <c r="R1297" s="97" t="str">
        <f t="shared" si="49"/>
        <v/>
      </c>
      <c r="S1297" s="75" t="str">
        <f t="shared" si="50"/>
        <v/>
      </c>
      <c r="T1297" s="124" t="s">
        <v>4187</v>
      </c>
      <c r="U1297" s="8">
        <v>43374</v>
      </c>
      <c r="V1297" s="10"/>
      <c r="W1297" s="10" t="s">
        <v>33</v>
      </c>
      <c r="X1297" s="7">
        <v>50238</v>
      </c>
    </row>
    <row r="1298" spans="1:24" x14ac:dyDescent="0.25">
      <c r="A1298" s="6" t="s">
        <v>65</v>
      </c>
      <c r="B1298" s="94" t="s">
        <v>4188</v>
      </c>
      <c r="C1298" s="6" t="s">
        <v>4189</v>
      </c>
      <c r="D1298" s="140">
        <v>11630856</v>
      </c>
      <c r="E1298" s="6" t="s">
        <v>366</v>
      </c>
      <c r="F1298" s="10" t="s">
        <v>44</v>
      </c>
      <c r="G1298" s="6" t="s">
        <v>4190</v>
      </c>
      <c r="H1298" s="8">
        <v>69105</v>
      </c>
      <c r="I1298" s="8">
        <v>43293</v>
      </c>
      <c r="J1298" s="8">
        <v>43293</v>
      </c>
      <c r="K1298" s="95">
        <v>43306</v>
      </c>
      <c r="L1298" s="95" t="s">
        <v>31</v>
      </c>
      <c r="M1298" s="8">
        <v>43312</v>
      </c>
      <c r="N1298" s="8">
        <v>43367</v>
      </c>
      <c r="P1298" s="101" t="s">
        <v>52</v>
      </c>
      <c r="R1298" s="97" t="str">
        <f t="shared" si="49"/>
        <v/>
      </c>
      <c r="S1298" s="75" t="str">
        <f t="shared" si="50"/>
        <v/>
      </c>
      <c r="T1298" s="124" t="s">
        <v>368</v>
      </c>
      <c r="U1298" s="8">
        <v>43374</v>
      </c>
      <c r="W1298" s="6" t="s">
        <v>33</v>
      </c>
      <c r="X1298" s="95">
        <v>46137</v>
      </c>
    </row>
    <row r="1299" spans="1:24" x14ac:dyDescent="0.25">
      <c r="A1299" s="6" t="s">
        <v>25</v>
      </c>
      <c r="B1299" s="94" t="s">
        <v>4191</v>
      </c>
      <c r="C1299" s="6" t="s">
        <v>4192</v>
      </c>
      <c r="D1299" s="140">
        <v>11099953</v>
      </c>
      <c r="E1299" s="6" t="s">
        <v>878</v>
      </c>
      <c r="F1299" s="10" t="s">
        <v>44</v>
      </c>
      <c r="G1299" s="6" t="s">
        <v>4193</v>
      </c>
      <c r="H1299" s="8">
        <v>45792</v>
      </c>
      <c r="I1299" s="8">
        <v>43668</v>
      </c>
      <c r="J1299" s="8">
        <v>43670</v>
      </c>
      <c r="K1299" s="95">
        <v>43732</v>
      </c>
      <c r="L1299" s="95" t="s">
        <v>31</v>
      </c>
      <c r="M1299" s="8">
        <v>43738</v>
      </c>
      <c r="N1299" s="8">
        <v>43810</v>
      </c>
      <c r="O1299" s="8">
        <v>43802</v>
      </c>
      <c r="P1299" s="6" t="s">
        <v>75</v>
      </c>
      <c r="R1299" s="97" t="str">
        <f t="shared" si="49"/>
        <v/>
      </c>
      <c r="S1299" s="75" t="str">
        <f t="shared" si="50"/>
        <v/>
      </c>
      <c r="U1299" s="8">
        <v>43810</v>
      </c>
      <c r="W1299" s="6" t="s">
        <v>33</v>
      </c>
      <c r="X1299" s="95">
        <v>50137</v>
      </c>
    </row>
    <row r="1300" spans="1:24" x14ac:dyDescent="0.25">
      <c r="A1300" s="6" t="s">
        <v>25</v>
      </c>
      <c r="B1300" s="94" t="s">
        <v>449</v>
      </c>
      <c r="C1300" s="6" t="s">
        <v>4194</v>
      </c>
      <c r="D1300" s="140">
        <v>11209281</v>
      </c>
      <c r="E1300" s="6" t="s">
        <v>61</v>
      </c>
      <c r="F1300" s="10" t="s">
        <v>121</v>
      </c>
      <c r="G1300" s="6" t="s">
        <v>4195</v>
      </c>
      <c r="H1300" s="8">
        <v>45768</v>
      </c>
      <c r="I1300" s="8">
        <v>43668</v>
      </c>
      <c r="J1300" s="8">
        <v>43670</v>
      </c>
      <c r="K1300" s="95">
        <v>43732</v>
      </c>
      <c r="L1300" s="95" t="s">
        <v>31</v>
      </c>
      <c r="M1300" s="8">
        <v>43739</v>
      </c>
      <c r="N1300" s="8">
        <v>43836</v>
      </c>
      <c r="O1300" s="8">
        <v>43811</v>
      </c>
      <c r="P1300" s="6" t="s">
        <v>52</v>
      </c>
      <c r="R1300" s="97" t="str">
        <f t="shared" ref="R1300:R1327" si="51">IF(Q1300&gt;0, Q1300/365, "")</f>
        <v/>
      </c>
      <c r="S1300" s="75" t="str">
        <f t="shared" si="50"/>
        <v/>
      </c>
      <c r="U1300" s="8">
        <v>43836</v>
      </c>
      <c r="W1300" s="6" t="s">
        <v>33</v>
      </c>
      <c r="X1300" s="95">
        <v>50465</v>
      </c>
    </row>
    <row r="1301" spans="1:24" x14ac:dyDescent="0.25">
      <c r="A1301" s="6" t="s">
        <v>25</v>
      </c>
      <c r="B1301" s="94" t="s">
        <v>4196</v>
      </c>
      <c r="C1301" s="6" t="s">
        <v>4197</v>
      </c>
      <c r="D1301" s="140">
        <v>11921198</v>
      </c>
      <c r="E1301" s="6" t="s">
        <v>436</v>
      </c>
      <c r="F1301" s="10" t="s">
        <v>134</v>
      </c>
      <c r="G1301" s="6" t="s">
        <v>4198</v>
      </c>
      <c r="H1301" s="8">
        <v>45800</v>
      </c>
      <c r="I1301" s="8">
        <v>43668</v>
      </c>
      <c r="J1301" s="8">
        <v>43670</v>
      </c>
      <c r="K1301" s="95">
        <v>43732</v>
      </c>
      <c r="L1301" s="95" t="s">
        <v>31</v>
      </c>
      <c r="M1301" s="8">
        <v>43739</v>
      </c>
      <c r="N1301" s="108">
        <v>43776</v>
      </c>
      <c r="O1301" s="108">
        <v>43760</v>
      </c>
      <c r="P1301" s="107" t="s">
        <v>75</v>
      </c>
      <c r="Q1301" s="110"/>
      <c r="R1301" s="97" t="str">
        <f t="shared" si="51"/>
        <v/>
      </c>
      <c r="S1301" s="75" t="str">
        <f t="shared" si="50"/>
        <v/>
      </c>
      <c r="U1301" s="8">
        <v>44776</v>
      </c>
      <c r="W1301" s="6" t="s">
        <v>33</v>
      </c>
      <c r="X1301" s="95">
        <v>49780</v>
      </c>
    </row>
    <row r="1302" spans="1:24" x14ac:dyDescent="0.25">
      <c r="A1302" s="6" t="s">
        <v>25</v>
      </c>
      <c r="B1302" s="94" t="s">
        <v>291</v>
      </c>
      <c r="C1302" s="6" t="s">
        <v>4199</v>
      </c>
      <c r="D1302" s="140">
        <v>11612184</v>
      </c>
      <c r="E1302" s="6" t="s">
        <v>414</v>
      </c>
      <c r="F1302" s="10" t="s">
        <v>134</v>
      </c>
      <c r="G1302" s="6" t="s">
        <v>4200</v>
      </c>
      <c r="H1302" s="8">
        <v>44816</v>
      </c>
      <c r="I1302" s="8">
        <v>43784</v>
      </c>
      <c r="J1302" s="8">
        <v>43788</v>
      </c>
      <c r="K1302" s="95">
        <v>43836</v>
      </c>
      <c r="L1302" s="95" t="s">
        <v>31</v>
      </c>
      <c r="M1302" s="8">
        <v>43844</v>
      </c>
      <c r="N1302" s="8">
        <v>43880</v>
      </c>
      <c r="O1302" s="8">
        <v>43859</v>
      </c>
      <c r="P1302" s="6" t="s">
        <v>75</v>
      </c>
      <c r="R1302" s="97" t="str">
        <f t="shared" si="51"/>
        <v/>
      </c>
      <c r="S1302" s="75" t="str">
        <f t="shared" si="50"/>
        <v/>
      </c>
      <c r="U1302" s="8">
        <v>43931</v>
      </c>
      <c r="W1302" s="6" t="s">
        <v>33</v>
      </c>
      <c r="X1302" s="95">
        <v>52090</v>
      </c>
    </row>
    <row r="1303" spans="1:24" x14ac:dyDescent="0.25">
      <c r="A1303" s="6" t="s">
        <v>37</v>
      </c>
      <c r="B1303" s="94" t="s">
        <v>2598</v>
      </c>
      <c r="C1303" s="6" t="s">
        <v>4201</v>
      </c>
      <c r="D1303" s="140">
        <v>11557386</v>
      </c>
      <c r="E1303" s="6" t="s">
        <v>4202</v>
      </c>
      <c r="F1303" s="10" t="s">
        <v>57</v>
      </c>
      <c r="G1303" s="6" t="s">
        <v>4203</v>
      </c>
      <c r="H1303" s="8">
        <v>44253</v>
      </c>
      <c r="I1303" s="8">
        <v>43662</v>
      </c>
      <c r="J1303" s="8">
        <v>43664</v>
      </c>
      <c r="K1303" s="95">
        <v>43665</v>
      </c>
      <c r="L1303" s="95" t="s">
        <v>31</v>
      </c>
      <c r="M1303" s="8">
        <v>43671</v>
      </c>
      <c r="N1303" s="8">
        <v>44008</v>
      </c>
      <c r="O1303" s="8">
        <v>44007</v>
      </c>
      <c r="P1303" s="6" t="s">
        <v>35</v>
      </c>
      <c r="Q1303" s="96">
        <v>2556</v>
      </c>
      <c r="R1303" s="97">
        <f t="shared" si="51"/>
        <v>7.0027397260273974</v>
      </c>
      <c r="S1303" s="75">
        <f t="shared" si="50"/>
        <v>57835.627397260272</v>
      </c>
      <c r="T1303" s="124" t="s">
        <v>4204</v>
      </c>
      <c r="U1303" s="8">
        <v>44008</v>
      </c>
      <c r="W1303" s="6" t="s">
        <v>33</v>
      </c>
      <c r="X1303" s="95">
        <v>49849</v>
      </c>
    </row>
    <row r="1304" spans="1:24" x14ac:dyDescent="0.25">
      <c r="A1304" s="6" t="s">
        <v>37</v>
      </c>
      <c r="B1304" s="94" t="s">
        <v>2598</v>
      </c>
      <c r="C1304" s="6" t="s">
        <v>4205</v>
      </c>
      <c r="D1304" s="140">
        <v>11652404</v>
      </c>
      <c r="E1304" s="6" t="s">
        <v>4206</v>
      </c>
      <c r="F1304" s="10" t="s">
        <v>44</v>
      </c>
      <c r="G1304" s="6" t="s">
        <v>4207</v>
      </c>
      <c r="H1304" s="8">
        <v>48444</v>
      </c>
      <c r="I1304" s="8">
        <v>44096</v>
      </c>
      <c r="J1304" s="8">
        <v>44097</v>
      </c>
      <c r="K1304" s="95">
        <v>44099</v>
      </c>
      <c r="L1304" s="95" t="s">
        <v>31</v>
      </c>
      <c r="M1304" s="8">
        <v>44141</v>
      </c>
      <c r="R1304" s="97" t="str">
        <f t="shared" si="51"/>
        <v/>
      </c>
      <c r="S1304" s="75" t="str">
        <f t="shared" si="50"/>
        <v/>
      </c>
      <c r="W1304" s="6" t="s">
        <v>33</v>
      </c>
      <c r="X1304" s="135">
        <v>53632</v>
      </c>
    </row>
    <row r="1305" spans="1:24" ht="36.75" customHeight="1" x14ac:dyDescent="0.25">
      <c r="A1305" s="6" t="s">
        <v>168</v>
      </c>
      <c r="B1305" s="94" t="s">
        <v>145</v>
      </c>
      <c r="C1305" s="6" t="s">
        <v>4208</v>
      </c>
      <c r="D1305" s="140">
        <v>11288191</v>
      </c>
      <c r="E1305" s="6" t="s">
        <v>3362</v>
      </c>
      <c r="F1305" s="10" t="s">
        <v>44</v>
      </c>
      <c r="G1305" s="6" t="s">
        <v>4209</v>
      </c>
      <c r="H1305" s="8">
        <v>61990</v>
      </c>
      <c r="I1305" s="8">
        <v>44042</v>
      </c>
      <c r="J1305" s="8">
        <v>44104</v>
      </c>
      <c r="K1305" s="95">
        <v>44105</v>
      </c>
      <c r="L1305" s="95" t="s">
        <v>31</v>
      </c>
      <c r="M1305" s="8">
        <v>44127</v>
      </c>
      <c r="N1305" s="8">
        <v>44298</v>
      </c>
      <c r="O1305" s="8">
        <v>44280</v>
      </c>
      <c r="P1305" s="6" t="s">
        <v>35</v>
      </c>
      <c r="R1305" s="97" t="str">
        <f t="shared" si="51"/>
        <v/>
      </c>
      <c r="S1305" s="75" t="str">
        <f t="shared" si="50"/>
        <v/>
      </c>
      <c r="U1305" s="8">
        <v>44669</v>
      </c>
      <c r="W1305" s="6" t="s">
        <v>84</v>
      </c>
      <c r="X1305" s="135">
        <v>50920</v>
      </c>
    </row>
    <row r="1306" spans="1:24" x14ac:dyDescent="0.25">
      <c r="A1306" s="6" t="s">
        <v>168</v>
      </c>
      <c r="B1306" s="94" t="s">
        <v>145</v>
      </c>
      <c r="C1306" s="6" t="s">
        <v>4210</v>
      </c>
      <c r="D1306" s="140">
        <v>11890526</v>
      </c>
      <c r="E1306" s="6" t="s">
        <v>3243</v>
      </c>
      <c r="F1306" s="10" t="s">
        <v>44</v>
      </c>
      <c r="G1306" s="6" t="s">
        <v>4211</v>
      </c>
      <c r="H1306" s="8">
        <v>49419</v>
      </c>
      <c r="I1306" s="8">
        <v>44336</v>
      </c>
      <c r="J1306" s="8">
        <v>44344</v>
      </c>
      <c r="K1306" s="95">
        <v>44344</v>
      </c>
      <c r="L1306" s="95" t="s">
        <v>359</v>
      </c>
      <c r="R1306" s="97" t="str">
        <f t="shared" si="51"/>
        <v/>
      </c>
      <c r="S1306" s="75" t="str">
        <f t="shared" si="50"/>
        <v/>
      </c>
      <c r="W1306" s="6" t="s">
        <v>84</v>
      </c>
      <c r="X1306" s="7">
        <v>45075</v>
      </c>
    </row>
    <row r="1307" spans="1:24" x14ac:dyDescent="0.25">
      <c r="A1307" s="6" t="s">
        <v>25</v>
      </c>
      <c r="B1307" s="94" t="s">
        <v>4063</v>
      </c>
      <c r="C1307" s="6" t="s">
        <v>4212</v>
      </c>
      <c r="D1307" s="140">
        <v>11169172</v>
      </c>
      <c r="E1307" s="6" t="s">
        <v>3778</v>
      </c>
      <c r="F1307" s="10" t="s">
        <v>293</v>
      </c>
      <c r="G1307" s="6">
        <v>171505</v>
      </c>
      <c r="H1307" s="8">
        <v>44412</v>
      </c>
      <c r="I1307" s="8">
        <v>43662</v>
      </c>
      <c r="J1307" s="8">
        <v>43664</v>
      </c>
      <c r="K1307" s="95">
        <v>43745</v>
      </c>
      <c r="L1307" s="95" t="s">
        <v>31</v>
      </c>
      <c r="M1307" s="8">
        <v>43749</v>
      </c>
      <c r="N1307" s="8">
        <v>43886</v>
      </c>
      <c r="O1307" s="8">
        <v>43860</v>
      </c>
      <c r="P1307" s="6" t="s">
        <v>75</v>
      </c>
      <c r="R1307" s="97" t="str">
        <f t="shared" si="51"/>
        <v/>
      </c>
      <c r="S1307" s="75" t="str">
        <f t="shared" si="50"/>
        <v/>
      </c>
      <c r="U1307" s="8">
        <v>43887</v>
      </c>
      <c r="W1307" s="6" t="s">
        <v>33</v>
      </c>
      <c r="X1307" s="95">
        <v>42378</v>
      </c>
    </row>
    <row r="1308" spans="1:24" x14ac:dyDescent="0.25">
      <c r="A1308" s="6" t="s">
        <v>25</v>
      </c>
      <c r="B1308" s="94" t="s">
        <v>86</v>
      </c>
      <c r="C1308" s="6" t="s">
        <v>4213</v>
      </c>
      <c r="D1308" s="140">
        <v>11089606</v>
      </c>
      <c r="E1308" s="6" t="s">
        <v>414</v>
      </c>
      <c r="F1308" s="10" t="s">
        <v>134</v>
      </c>
      <c r="G1308" s="6" t="s">
        <v>4214</v>
      </c>
      <c r="H1308" s="8">
        <v>44474</v>
      </c>
      <c r="I1308" s="8">
        <v>43671</v>
      </c>
      <c r="J1308" s="8">
        <v>43671</v>
      </c>
      <c r="K1308" s="95">
        <v>43745</v>
      </c>
      <c r="L1308" s="95" t="s">
        <v>31</v>
      </c>
      <c r="M1308" s="8">
        <v>43749</v>
      </c>
      <c r="N1308" s="8">
        <v>43893</v>
      </c>
      <c r="O1308" s="8">
        <v>43887</v>
      </c>
      <c r="P1308" s="6" t="s">
        <v>90</v>
      </c>
      <c r="Q1308" s="96">
        <v>1826.25</v>
      </c>
      <c r="R1308" s="97">
        <f t="shared" si="51"/>
        <v>5.0034246575342465</v>
      </c>
      <c r="S1308" s="75">
        <f t="shared" si="50"/>
        <v>41323.284246575342</v>
      </c>
      <c r="T1308" s="124" t="s">
        <v>4215</v>
      </c>
      <c r="U1308" s="8">
        <v>43894</v>
      </c>
      <c r="V1308" s="6" t="s">
        <v>36</v>
      </c>
      <c r="W1308" s="6" t="s">
        <v>33</v>
      </c>
      <c r="X1308" s="95">
        <v>46267</v>
      </c>
    </row>
    <row r="1309" spans="1:24" x14ac:dyDescent="0.25">
      <c r="A1309" s="6" t="s">
        <v>25</v>
      </c>
      <c r="B1309" s="94" t="s">
        <v>2329</v>
      </c>
      <c r="C1309" s="6" t="s">
        <v>4216</v>
      </c>
      <c r="D1309" s="140">
        <v>11531267</v>
      </c>
      <c r="E1309" s="6" t="s">
        <v>1773</v>
      </c>
      <c r="F1309" s="10" t="s">
        <v>44</v>
      </c>
      <c r="G1309" s="6" t="s">
        <v>4217</v>
      </c>
      <c r="H1309" s="8">
        <v>56043</v>
      </c>
      <c r="I1309" s="8">
        <v>43483</v>
      </c>
      <c r="J1309" s="8">
        <v>43804</v>
      </c>
      <c r="K1309" s="95">
        <v>43839</v>
      </c>
      <c r="L1309" s="95" t="s">
        <v>31</v>
      </c>
      <c r="M1309" s="8">
        <v>43851</v>
      </c>
      <c r="N1309" s="8">
        <v>44302</v>
      </c>
      <c r="O1309" s="8">
        <v>44011</v>
      </c>
      <c r="P1309" s="6" t="s">
        <v>69</v>
      </c>
      <c r="R1309" s="97" t="str">
        <f t="shared" si="51"/>
        <v/>
      </c>
      <c r="S1309" s="75" t="str">
        <f t="shared" si="50"/>
        <v/>
      </c>
      <c r="T1309" s="124" t="s">
        <v>4218</v>
      </c>
      <c r="U1309" s="8">
        <v>44302</v>
      </c>
      <c r="W1309" s="6" t="s">
        <v>33</v>
      </c>
      <c r="X1309" s="95">
        <v>46904</v>
      </c>
    </row>
    <row r="1310" spans="1:24" x14ac:dyDescent="0.25">
      <c r="A1310" s="6" t="s">
        <v>25</v>
      </c>
      <c r="B1310" s="94" t="s">
        <v>2857</v>
      </c>
      <c r="C1310" s="6" t="s">
        <v>4219</v>
      </c>
      <c r="D1310" s="140">
        <v>11213873</v>
      </c>
      <c r="E1310" s="6" t="s">
        <v>1752</v>
      </c>
      <c r="F1310" s="10" t="s">
        <v>134</v>
      </c>
      <c r="G1310" s="6" t="s">
        <v>4220</v>
      </c>
      <c r="H1310" s="8">
        <v>44451</v>
      </c>
      <c r="I1310" s="8">
        <v>43671</v>
      </c>
      <c r="J1310" s="8">
        <v>43671</v>
      </c>
      <c r="K1310" s="95">
        <v>43745</v>
      </c>
      <c r="L1310" s="95" t="s">
        <v>31</v>
      </c>
      <c r="M1310" s="8">
        <v>43749</v>
      </c>
      <c r="R1310" s="97" t="str">
        <f t="shared" si="51"/>
        <v/>
      </c>
      <c r="S1310" s="75" t="str">
        <f t="shared" si="50"/>
        <v/>
      </c>
      <c r="T1310" s="129" t="s">
        <v>4221</v>
      </c>
      <c r="U1310" s="8">
        <v>44783</v>
      </c>
      <c r="W1310" s="6" t="s">
        <v>33</v>
      </c>
      <c r="X1310" s="95">
        <v>49149</v>
      </c>
    </row>
    <row r="1311" spans="1:24" x14ac:dyDescent="0.25">
      <c r="A1311" s="6" t="s">
        <v>168</v>
      </c>
      <c r="B1311" s="94" t="s">
        <v>145</v>
      </c>
      <c r="C1311" s="6" t="s">
        <v>4222</v>
      </c>
      <c r="D1311" s="140">
        <v>11506219</v>
      </c>
      <c r="E1311" s="6" t="s">
        <v>4223</v>
      </c>
      <c r="F1311" s="10" t="s">
        <v>29</v>
      </c>
      <c r="G1311" s="6" t="s">
        <v>4224</v>
      </c>
      <c r="H1311" s="8">
        <v>69007</v>
      </c>
      <c r="I1311" s="8">
        <v>44371</v>
      </c>
      <c r="J1311" s="8">
        <v>44391</v>
      </c>
      <c r="K1311" s="95">
        <v>44399</v>
      </c>
      <c r="L1311" s="95" t="s">
        <v>359</v>
      </c>
      <c r="R1311" s="97" t="str">
        <f t="shared" si="51"/>
        <v/>
      </c>
      <c r="S1311" s="75" t="str">
        <f t="shared" si="50"/>
        <v/>
      </c>
      <c r="W1311" s="6" t="s">
        <v>84</v>
      </c>
      <c r="X1311" s="7">
        <v>45323</v>
      </c>
    </row>
    <row r="1312" spans="1:24" x14ac:dyDescent="0.25">
      <c r="A1312" s="6" t="s">
        <v>85</v>
      </c>
      <c r="B1312" s="94" t="s">
        <v>202</v>
      </c>
      <c r="C1312" s="6" t="s">
        <v>4225</v>
      </c>
      <c r="D1312" s="140">
        <v>11296836</v>
      </c>
      <c r="E1312" s="6" t="s">
        <v>866</v>
      </c>
      <c r="F1312" s="10" t="s">
        <v>143</v>
      </c>
      <c r="G1312" s="6" t="s">
        <v>4226</v>
      </c>
      <c r="H1312" s="8">
        <v>49773</v>
      </c>
      <c r="I1312" s="8">
        <v>43299</v>
      </c>
      <c r="J1312" s="8">
        <v>43301</v>
      </c>
      <c r="K1312" s="95">
        <v>43313</v>
      </c>
      <c r="L1312" s="95" t="s">
        <v>31</v>
      </c>
      <c r="M1312" s="8">
        <v>43320</v>
      </c>
      <c r="N1312" s="8">
        <v>43368</v>
      </c>
      <c r="P1312" s="101" t="s">
        <v>52</v>
      </c>
      <c r="R1312" s="97" t="str">
        <f t="shared" si="51"/>
        <v/>
      </c>
      <c r="S1312" s="75" t="str">
        <f t="shared" si="50"/>
        <v/>
      </c>
      <c r="T1312" s="124" t="s">
        <v>4227</v>
      </c>
      <c r="U1312" s="8">
        <v>43374</v>
      </c>
      <c r="W1312" s="6" t="s">
        <v>33</v>
      </c>
      <c r="X1312" s="95">
        <v>45232</v>
      </c>
    </row>
    <row r="1313" spans="1:24" x14ac:dyDescent="0.25">
      <c r="A1313" s="6" t="s">
        <v>25</v>
      </c>
      <c r="B1313" s="94" t="s">
        <v>4228</v>
      </c>
      <c r="C1313" s="6" t="s">
        <v>4229</v>
      </c>
      <c r="D1313" s="140">
        <v>11965499</v>
      </c>
      <c r="E1313" s="6" t="s">
        <v>344</v>
      </c>
      <c r="F1313" s="10" t="s">
        <v>44</v>
      </c>
      <c r="G1313" s="6" t="s">
        <v>4230</v>
      </c>
      <c r="H1313" s="8">
        <v>47922</v>
      </c>
      <c r="I1313" s="8">
        <v>43668</v>
      </c>
      <c r="J1313" s="8">
        <v>43675</v>
      </c>
      <c r="K1313" s="95">
        <v>43745</v>
      </c>
      <c r="L1313" s="95" t="s">
        <v>31</v>
      </c>
      <c r="M1313" s="8">
        <v>43747</v>
      </c>
      <c r="N1313" s="8">
        <v>45030</v>
      </c>
      <c r="O1313" s="8">
        <v>44993</v>
      </c>
      <c r="P1313" s="6" t="s">
        <v>35</v>
      </c>
      <c r="Q1313" s="96">
        <v>1825</v>
      </c>
      <c r="R1313" s="97">
        <f t="shared" si="51"/>
        <v>5</v>
      </c>
      <c r="S1313" s="75">
        <f t="shared" si="50"/>
        <v>41295</v>
      </c>
      <c r="U1313" s="8">
        <v>45044</v>
      </c>
      <c r="W1313" s="6" t="s">
        <v>33</v>
      </c>
      <c r="X1313" s="95">
        <v>52337</v>
      </c>
    </row>
    <row r="1314" spans="1:24" x14ac:dyDescent="0.25">
      <c r="A1314" s="6" t="s">
        <v>25</v>
      </c>
      <c r="B1314" s="94" t="s">
        <v>145</v>
      </c>
      <c r="C1314" s="6" t="s">
        <v>4231</v>
      </c>
      <c r="D1314" s="140">
        <v>12005636</v>
      </c>
      <c r="E1314" s="6" t="s">
        <v>3484</v>
      </c>
      <c r="F1314" s="10" t="s">
        <v>176</v>
      </c>
      <c r="G1314" s="6">
        <v>2009036676</v>
      </c>
      <c r="H1314" s="8">
        <v>44419</v>
      </c>
      <c r="I1314" s="8">
        <v>43671</v>
      </c>
      <c r="J1314" s="8">
        <v>43671</v>
      </c>
      <c r="K1314" s="95">
        <v>43745</v>
      </c>
      <c r="L1314" s="95" t="s">
        <v>31</v>
      </c>
      <c r="M1314" s="8">
        <v>43749</v>
      </c>
      <c r="N1314" s="8">
        <v>44153</v>
      </c>
      <c r="O1314" s="8">
        <v>44137</v>
      </c>
      <c r="P1314" s="6" t="s">
        <v>75</v>
      </c>
      <c r="R1314" s="97" t="str">
        <f t="shared" si="51"/>
        <v/>
      </c>
      <c r="S1314" s="75" t="str">
        <f t="shared" si="50"/>
        <v/>
      </c>
      <c r="U1314" s="8">
        <v>44153</v>
      </c>
      <c r="W1314" s="6" t="s">
        <v>33</v>
      </c>
      <c r="X1314" s="95">
        <v>52047</v>
      </c>
    </row>
    <row r="1315" spans="1:24" x14ac:dyDescent="0.25">
      <c r="A1315" s="6" t="s">
        <v>25</v>
      </c>
      <c r="B1315" s="94" t="s">
        <v>635</v>
      </c>
      <c r="C1315" s="6" t="s">
        <v>4232</v>
      </c>
      <c r="D1315" s="140">
        <v>11350377</v>
      </c>
      <c r="E1315" s="6" t="s">
        <v>4233</v>
      </c>
      <c r="F1315" s="10" t="s">
        <v>148</v>
      </c>
      <c r="G1315" s="6" t="s">
        <v>4234</v>
      </c>
      <c r="H1315" s="8">
        <v>48132</v>
      </c>
      <c r="I1315" s="8">
        <v>43668</v>
      </c>
      <c r="J1315" s="8">
        <v>43675</v>
      </c>
      <c r="K1315" s="95">
        <v>43745</v>
      </c>
      <c r="L1315" s="95" t="s">
        <v>31</v>
      </c>
      <c r="M1315" s="8">
        <v>43766</v>
      </c>
      <c r="N1315" s="8">
        <v>44133</v>
      </c>
      <c r="O1315" s="8">
        <v>43769</v>
      </c>
      <c r="P1315" s="6" t="s">
        <v>75</v>
      </c>
      <c r="R1315" s="97" t="str">
        <f t="shared" si="51"/>
        <v/>
      </c>
      <c r="S1315" s="75" t="str">
        <f t="shared" si="50"/>
        <v/>
      </c>
      <c r="U1315" s="8">
        <v>44134</v>
      </c>
      <c r="W1315" s="6" t="s">
        <v>33</v>
      </c>
      <c r="X1315" s="95">
        <v>55326</v>
      </c>
    </row>
    <row r="1316" spans="1:24" x14ac:dyDescent="0.25">
      <c r="A1316" s="6" t="s">
        <v>37</v>
      </c>
      <c r="B1316" s="94" t="s">
        <v>617</v>
      </c>
      <c r="C1316" s="6" t="s">
        <v>4235</v>
      </c>
      <c r="D1316" s="140">
        <v>11954042</v>
      </c>
      <c r="E1316" s="6" t="s">
        <v>4236</v>
      </c>
      <c r="F1316" s="10" t="s">
        <v>44</v>
      </c>
      <c r="G1316" s="6" t="s">
        <v>4237</v>
      </c>
      <c r="H1316" s="8">
        <v>45202</v>
      </c>
      <c r="I1316" s="8">
        <v>43761</v>
      </c>
      <c r="J1316" s="8">
        <v>43782</v>
      </c>
      <c r="K1316" s="95">
        <v>43783</v>
      </c>
      <c r="L1316" s="95" t="s">
        <v>31</v>
      </c>
      <c r="M1316" s="8">
        <v>43794</v>
      </c>
      <c r="N1316" s="8">
        <v>43858</v>
      </c>
      <c r="O1316" s="8">
        <v>43826</v>
      </c>
      <c r="P1316" s="6" t="s">
        <v>75</v>
      </c>
      <c r="R1316" s="97" t="str">
        <f t="shared" si="51"/>
        <v/>
      </c>
      <c r="S1316" s="75" t="str">
        <f t="shared" si="50"/>
        <v/>
      </c>
      <c r="U1316" s="8">
        <v>43857</v>
      </c>
      <c r="W1316" s="6" t="s">
        <v>33</v>
      </c>
      <c r="X1316" s="95">
        <v>50031</v>
      </c>
    </row>
    <row r="1317" spans="1:24" x14ac:dyDescent="0.25">
      <c r="A1317" s="6" t="s">
        <v>37</v>
      </c>
      <c r="B1317" s="94" t="s">
        <v>1171</v>
      </c>
      <c r="C1317" s="6" t="s">
        <v>4238</v>
      </c>
      <c r="D1317" s="140">
        <v>11352473</v>
      </c>
      <c r="E1317" s="6" t="s">
        <v>1539</v>
      </c>
      <c r="F1317" s="10" t="s">
        <v>57</v>
      </c>
      <c r="G1317" s="6" t="s">
        <v>4239</v>
      </c>
      <c r="H1317" s="8">
        <v>47682</v>
      </c>
      <c r="I1317" s="8">
        <v>43454</v>
      </c>
      <c r="J1317" s="8">
        <v>43455</v>
      </c>
      <c r="K1317" s="95">
        <v>43455</v>
      </c>
      <c r="L1317" s="95" t="s">
        <v>31</v>
      </c>
      <c r="M1317" s="8">
        <v>43461</v>
      </c>
      <c r="N1317" s="8">
        <v>43762</v>
      </c>
      <c r="O1317" s="8">
        <v>43714</v>
      </c>
      <c r="P1317" s="6" t="s">
        <v>35</v>
      </c>
      <c r="Q1317" s="96">
        <v>3652</v>
      </c>
      <c r="R1317" s="97">
        <f t="shared" si="51"/>
        <v>10.005479452054795</v>
      </c>
      <c r="S1317" s="75">
        <f t="shared" si="50"/>
        <v>82635.254794520544</v>
      </c>
      <c r="U1317" s="8">
        <v>43762</v>
      </c>
      <c r="W1317" s="6" t="s">
        <v>33</v>
      </c>
      <c r="X1317" s="95">
        <v>46117</v>
      </c>
    </row>
    <row r="1318" spans="1:24" x14ac:dyDescent="0.25">
      <c r="A1318" s="6" t="s">
        <v>25</v>
      </c>
      <c r="B1318" s="94" t="s">
        <v>4240</v>
      </c>
      <c r="C1318" s="6" t="s">
        <v>4241</v>
      </c>
      <c r="D1318" s="140">
        <v>11639010</v>
      </c>
      <c r="E1318" s="6" t="s">
        <v>56</v>
      </c>
      <c r="F1318" s="10" t="s">
        <v>134</v>
      </c>
      <c r="G1318" s="6" t="s">
        <v>4242</v>
      </c>
      <c r="H1318" s="8">
        <v>47964</v>
      </c>
      <c r="I1318" s="8">
        <v>43668</v>
      </c>
      <c r="J1318" s="8">
        <v>43675</v>
      </c>
      <c r="K1318" s="95">
        <v>43745</v>
      </c>
      <c r="L1318" s="95" t="s">
        <v>31</v>
      </c>
      <c r="M1318" s="8">
        <v>43749</v>
      </c>
      <c r="N1318" s="8">
        <v>43802</v>
      </c>
      <c r="O1318" s="8">
        <v>43791</v>
      </c>
      <c r="P1318" s="6" t="s">
        <v>75</v>
      </c>
      <c r="R1318" s="97" t="str">
        <f t="shared" si="51"/>
        <v/>
      </c>
      <c r="S1318" s="75" t="str">
        <f t="shared" si="50"/>
        <v/>
      </c>
      <c r="U1318" s="8">
        <v>43899</v>
      </c>
      <c r="W1318" s="6" t="s">
        <v>33</v>
      </c>
      <c r="X1318" s="95">
        <v>54163</v>
      </c>
    </row>
    <row r="1319" spans="1:24" x14ac:dyDescent="0.25">
      <c r="A1319" s="6" t="s">
        <v>25</v>
      </c>
      <c r="B1319" s="94" t="s">
        <v>145</v>
      </c>
      <c r="C1319" s="6" t="s">
        <v>4243</v>
      </c>
      <c r="D1319" s="140">
        <v>11355092</v>
      </c>
      <c r="E1319" s="6" t="s">
        <v>414</v>
      </c>
      <c r="F1319" s="10" t="s">
        <v>44</v>
      </c>
      <c r="G1319" s="6" t="s">
        <v>4244</v>
      </c>
      <c r="H1319" s="8">
        <v>48115</v>
      </c>
      <c r="I1319" s="8">
        <v>43675</v>
      </c>
      <c r="J1319" s="8">
        <v>43679</v>
      </c>
      <c r="K1319" s="95">
        <v>43712</v>
      </c>
      <c r="L1319" s="95" t="s">
        <v>359</v>
      </c>
      <c r="R1319" s="97" t="str">
        <f t="shared" si="51"/>
        <v/>
      </c>
      <c r="S1319" s="75" t="str">
        <f t="shared" si="50"/>
        <v/>
      </c>
      <c r="W1319" s="6" t="s">
        <v>33</v>
      </c>
      <c r="X1319" s="95">
        <v>50752</v>
      </c>
    </row>
    <row r="1320" spans="1:24" x14ac:dyDescent="0.25">
      <c r="A1320" s="6" t="s">
        <v>25</v>
      </c>
      <c r="B1320" s="94" t="s">
        <v>944</v>
      </c>
      <c r="C1320" s="6" t="s">
        <v>4245</v>
      </c>
      <c r="D1320" s="140">
        <v>11962998</v>
      </c>
      <c r="E1320" s="6" t="s">
        <v>958</v>
      </c>
      <c r="F1320" s="10" t="s">
        <v>148</v>
      </c>
      <c r="G1320" s="6" t="s">
        <v>4246</v>
      </c>
      <c r="H1320" s="8">
        <v>48127</v>
      </c>
      <c r="I1320" s="8">
        <v>43675</v>
      </c>
      <c r="J1320" s="8">
        <v>43679</v>
      </c>
      <c r="K1320" s="95">
        <v>43712</v>
      </c>
      <c r="L1320" s="95" t="s">
        <v>359</v>
      </c>
      <c r="R1320" s="97" t="str">
        <f t="shared" si="51"/>
        <v/>
      </c>
      <c r="S1320" s="75" t="str">
        <f t="shared" si="50"/>
        <v/>
      </c>
      <c r="W1320" s="6" t="s">
        <v>33</v>
      </c>
      <c r="X1320" s="95">
        <v>53098</v>
      </c>
    </row>
    <row r="1321" spans="1:24" x14ac:dyDescent="0.25">
      <c r="A1321" s="6" t="s">
        <v>25</v>
      </c>
      <c r="B1321" s="94" t="s">
        <v>4247</v>
      </c>
      <c r="C1321" s="6" t="s">
        <v>4248</v>
      </c>
      <c r="D1321" s="140">
        <v>11276659</v>
      </c>
      <c r="E1321" s="6" t="s">
        <v>1143</v>
      </c>
      <c r="F1321" s="10" t="s">
        <v>143</v>
      </c>
      <c r="G1321" s="6" t="s">
        <v>4249</v>
      </c>
      <c r="H1321" s="8">
        <v>48279</v>
      </c>
      <c r="I1321" s="8">
        <v>43675</v>
      </c>
      <c r="J1321" s="8">
        <v>43679</v>
      </c>
      <c r="K1321" s="95">
        <v>43712</v>
      </c>
      <c r="L1321" s="95" t="s">
        <v>31</v>
      </c>
      <c r="M1321" s="8">
        <v>43725</v>
      </c>
      <c r="N1321" s="8">
        <v>43867</v>
      </c>
      <c r="O1321" s="8">
        <v>43854</v>
      </c>
      <c r="P1321" s="6" t="s">
        <v>52</v>
      </c>
      <c r="R1321" s="97" t="str">
        <f t="shared" si="51"/>
        <v/>
      </c>
      <c r="S1321" s="75" t="str">
        <f t="shared" si="50"/>
        <v/>
      </c>
      <c r="U1321" s="8">
        <v>43868</v>
      </c>
      <c r="W1321" s="6" t="s">
        <v>33</v>
      </c>
      <c r="X1321" s="95">
        <v>50301</v>
      </c>
    </row>
    <row r="1322" spans="1:24" x14ac:dyDescent="0.25">
      <c r="A1322" s="6" t="s">
        <v>25</v>
      </c>
      <c r="B1322" s="94" t="s">
        <v>4250</v>
      </c>
      <c r="C1322" s="6" t="s">
        <v>4251</v>
      </c>
      <c r="D1322" s="140">
        <v>12102235</v>
      </c>
      <c r="E1322" s="6" t="s">
        <v>498</v>
      </c>
      <c r="F1322" s="10" t="s">
        <v>62</v>
      </c>
      <c r="G1322" s="6" t="s">
        <v>4252</v>
      </c>
      <c r="H1322" s="8">
        <v>48292</v>
      </c>
      <c r="I1322" s="8">
        <v>43675</v>
      </c>
      <c r="J1322" s="8">
        <v>43679</v>
      </c>
      <c r="K1322" s="95">
        <v>43712</v>
      </c>
      <c r="L1322" s="95" t="s">
        <v>31</v>
      </c>
      <c r="M1322" s="8">
        <v>43738</v>
      </c>
      <c r="R1322" s="97" t="str">
        <f t="shared" si="51"/>
        <v/>
      </c>
      <c r="S1322" s="75" t="str">
        <f t="shared" si="50"/>
        <v/>
      </c>
      <c r="W1322" s="6" t="s">
        <v>33</v>
      </c>
      <c r="X1322" s="95">
        <v>50365</v>
      </c>
    </row>
    <row r="1323" spans="1:24" x14ac:dyDescent="0.25">
      <c r="A1323" s="6" t="s">
        <v>25</v>
      </c>
      <c r="B1323" s="94" t="s">
        <v>890</v>
      </c>
      <c r="C1323" s="6" t="s">
        <v>4253</v>
      </c>
      <c r="D1323" s="140">
        <v>11367120</v>
      </c>
      <c r="E1323" s="6" t="s">
        <v>73</v>
      </c>
      <c r="F1323" s="10" t="s">
        <v>44</v>
      </c>
      <c r="G1323" s="6" t="s">
        <v>4254</v>
      </c>
      <c r="H1323" s="8">
        <v>48458</v>
      </c>
      <c r="I1323" s="8">
        <v>43675</v>
      </c>
      <c r="J1323" s="8">
        <v>43679</v>
      </c>
      <c r="K1323" s="95">
        <v>43712</v>
      </c>
      <c r="L1323" s="95" t="s">
        <v>31</v>
      </c>
      <c r="M1323" s="8">
        <v>43725</v>
      </c>
      <c r="N1323" s="8">
        <v>43845</v>
      </c>
      <c r="O1323" s="8">
        <v>43768</v>
      </c>
      <c r="P1323" s="6" t="s">
        <v>52</v>
      </c>
      <c r="R1323" s="97" t="str">
        <f t="shared" si="51"/>
        <v/>
      </c>
      <c r="S1323" s="75" t="str">
        <f t="shared" si="50"/>
        <v/>
      </c>
      <c r="U1323" s="8">
        <v>43845</v>
      </c>
      <c r="W1323" s="6" t="s">
        <v>33</v>
      </c>
      <c r="X1323" s="95">
        <v>53648</v>
      </c>
    </row>
    <row r="1324" spans="1:24" x14ac:dyDescent="0.25">
      <c r="A1324" s="6" t="s">
        <v>25</v>
      </c>
      <c r="B1324" s="94" t="s">
        <v>4255</v>
      </c>
      <c r="C1324" s="6" t="s">
        <v>4256</v>
      </c>
      <c r="D1324" s="140">
        <v>11500195</v>
      </c>
      <c r="E1324" s="6" t="s">
        <v>3468</v>
      </c>
      <c r="F1324" s="10" t="s">
        <v>134</v>
      </c>
      <c r="G1324" s="6" t="s">
        <v>4257</v>
      </c>
      <c r="H1324" s="8">
        <v>48486</v>
      </c>
      <c r="I1324" s="8">
        <v>43675</v>
      </c>
      <c r="J1324" s="8">
        <v>43679</v>
      </c>
      <c r="K1324" s="95">
        <v>43712</v>
      </c>
      <c r="L1324" s="95" t="s">
        <v>31</v>
      </c>
      <c r="M1324" s="8">
        <v>43725</v>
      </c>
      <c r="N1324" s="8">
        <v>43768</v>
      </c>
      <c r="O1324" s="8">
        <v>43748</v>
      </c>
      <c r="P1324" s="6" t="s">
        <v>75</v>
      </c>
      <c r="R1324" s="97" t="str">
        <f t="shared" si="51"/>
        <v/>
      </c>
      <c r="S1324" s="75" t="str">
        <f t="shared" si="50"/>
        <v/>
      </c>
      <c r="U1324" s="8">
        <v>43899</v>
      </c>
      <c r="W1324" s="6" t="s">
        <v>33</v>
      </c>
      <c r="X1324" s="95">
        <v>50178</v>
      </c>
    </row>
    <row r="1325" spans="1:24" x14ac:dyDescent="0.25">
      <c r="A1325" s="6" t="s">
        <v>25</v>
      </c>
      <c r="B1325" s="94" t="s">
        <v>145</v>
      </c>
      <c r="C1325" s="6" t="s">
        <v>4258</v>
      </c>
      <c r="D1325" s="140">
        <v>11926941</v>
      </c>
      <c r="E1325" s="6" t="s">
        <v>835</v>
      </c>
      <c r="F1325" s="10" t="s">
        <v>44</v>
      </c>
      <c r="G1325" s="6" t="s">
        <v>4259</v>
      </c>
      <c r="H1325" s="8">
        <v>45841</v>
      </c>
      <c r="I1325" s="8">
        <v>43672</v>
      </c>
      <c r="J1325" s="8">
        <v>43677</v>
      </c>
      <c r="K1325" s="95">
        <v>43745</v>
      </c>
      <c r="L1325" s="95" t="s">
        <v>31</v>
      </c>
      <c r="M1325" s="8">
        <v>43748</v>
      </c>
      <c r="N1325" s="8">
        <v>43843</v>
      </c>
      <c r="O1325" s="8">
        <v>43759</v>
      </c>
      <c r="P1325" s="6" t="s">
        <v>52</v>
      </c>
      <c r="R1325" s="97" t="str">
        <f t="shared" si="51"/>
        <v/>
      </c>
      <c r="S1325" s="75" t="str">
        <f t="shared" si="50"/>
        <v/>
      </c>
      <c r="T1325" s="124" t="s">
        <v>4260</v>
      </c>
      <c r="U1325" s="8">
        <v>43843</v>
      </c>
      <c r="W1325" s="6" t="s">
        <v>33</v>
      </c>
      <c r="X1325" s="95">
        <v>45841</v>
      </c>
    </row>
    <row r="1326" spans="1:24" x14ac:dyDescent="0.25">
      <c r="A1326" s="6" t="s">
        <v>25</v>
      </c>
      <c r="B1326" s="94" t="s">
        <v>4261</v>
      </c>
      <c r="C1326" s="6" t="s">
        <v>4262</v>
      </c>
      <c r="D1326" s="140">
        <v>11137780</v>
      </c>
      <c r="E1326" s="6" t="s">
        <v>2090</v>
      </c>
      <c r="F1326" s="10" t="s">
        <v>44</v>
      </c>
      <c r="G1326" s="6" t="s">
        <v>4263</v>
      </c>
      <c r="H1326" s="8">
        <v>45819</v>
      </c>
      <c r="I1326" s="8">
        <v>43672</v>
      </c>
      <c r="J1326" s="8">
        <v>43677</v>
      </c>
      <c r="K1326" s="95">
        <v>43745</v>
      </c>
      <c r="L1326" s="95" t="s">
        <v>31</v>
      </c>
      <c r="M1326" s="8">
        <v>43748</v>
      </c>
      <c r="N1326" s="8">
        <v>44074</v>
      </c>
      <c r="O1326" s="8">
        <v>44060</v>
      </c>
      <c r="P1326" s="6" t="s">
        <v>75</v>
      </c>
      <c r="R1326" s="97" t="str">
        <f t="shared" si="51"/>
        <v/>
      </c>
      <c r="S1326" s="75" t="str">
        <f t="shared" si="50"/>
        <v/>
      </c>
      <c r="U1326" s="8">
        <v>44074</v>
      </c>
      <c r="W1326" s="6" t="s">
        <v>33</v>
      </c>
      <c r="X1326" s="95">
        <v>49919</v>
      </c>
    </row>
    <row r="1327" spans="1:24" x14ac:dyDescent="0.25">
      <c r="A1327" s="6" t="s">
        <v>25</v>
      </c>
      <c r="B1327" s="94" t="s">
        <v>4264</v>
      </c>
      <c r="C1327" s="6" t="s">
        <v>4265</v>
      </c>
      <c r="D1327" s="140">
        <v>11363070</v>
      </c>
      <c r="E1327" s="6" t="s">
        <v>4266</v>
      </c>
      <c r="F1327" s="10" t="s">
        <v>148</v>
      </c>
      <c r="G1327" s="6" t="s">
        <v>4267</v>
      </c>
      <c r="H1327" s="8">
        <v>45856</v>
      </c>
      <c r="I1327" s="8">
        <v>43672</v>
      </c>
      <c r="J1327" s="8">
        <v>43677</v>
      </c>
      <c r="K1327" s="95">
        <v>43745</v>
      </c>
      <c r="L1327" s="95" t="s">
        <v>31</v>
      </c>
      <c r="M1327" s="8">
        <v>43748</v>
      </c>
      <c r="N1327" s="8">
        <v>43794</v>
      </c>
      <c r="O1327" s="8">
        <v>43770</v>
      </c>
      <c r="P1327" s="6" t="s">
        <v>52</v>
      </c>
      <c r="R1327" s="97" t="str">
        <f t="shared" si="51"/>
        <v/>
      </c>
      <c r="S1327" s="75" t="str">
        <f t="shared" si="50"/>
        <v/>
      </c>
      <c r="U1327" s="8">
        <v>43794</v>
      </c>
      <c r="W1327" s="6" t="s">
        <v>33</v>
      </c>
      <c r="X1327" s="95">
        <v>46490</v>
      </c>
    </row>
    <row r="1328" spans="1:24" x14ac:dyDescent="0.25">
      <c r="A1328" s="6" t="s">
        <v>25</v>
      </c>
      <c r="B1328" s="94" t="s">
        <v>4268</v>
      </c>
      <c r="C1328" s="6" t="s">
        <v>4269</v>
      </c>
      <c r="D1328" s="140">
        <v>11617458</v>
      </c>
      <c r="E1328" s="6" t="s">
        <v>1400</v>
      </c>
      <c r="F1328" s="10" t="s">
        <v>293</v>
      </c>
      <c r="G1328" s="6">
        <v>173652</v>
      </c>
      <c r="H1328" s="8">
        <v>44396</v>
      </c>
      <c r="I1328" s="8">
        <v>43672</v>
      </c>
      <c r="J1328" s="8">
        <v>43677</v>
      </c>
      <c r="K1328" s="95">
        <v>43745</v>
      </c>
      <c r="L1328" s="95" t="s">
        <v>31</v>
      </c>
      <c r="M1328" s="8">
        <v>43748</v>
      </c>
      <c r="N1328" s="8">
        <v>43852</v>
      </c>
      <c r="O1328" s="8">
        <v>43840</v>
      </c>
      <c r="P1328" s="6" t="s">
        <v>35</v>
      </c>
      <c r="Q1328" s="96">
        <v>1826.25</v>
      </c>
      <c r="R1328" s="97">
        <v>5</v>
      </c>
      <c r="S1328" s="75">
        <v>41323.279999999999</v>
      </c>
      <c r="U1328" s="8">
        <v>43858</v>
      </c>
      <c r="W1328" s="6" t="s">
        <v>33</v>
      </c>
      <c r="X1328" s="95">
        <v>54155</v>
      </c>
    </row>
    <row r="1329" spans="1:24" x14ac:dyDescent="0.25">
      <c r="A1329" s="6" t="s">
        <v>85</v>
      </c>
      <c r="B1329" s="94" t="s">
        <v>659</v>
      </c>
      <c r="C1329" s="6" t="s">
        <v>4270</v>
      </c>
      <c r="D1329" s="140">
        <v>11860169</v>
      </c>
      <c r="E1329" s="6" t="s">
        <v>607</v>
      </c>
      <c r="F1329" s="10" t="s">
        <v>57</v>
      </c>
      <c r="G1329" s="6" t="s">
        <v>4271</v>
      </c>
      <c r="H1329" s="8">
        <v>50181</v>
      </c>
      <c r="I1329" s="8">
        <v>43299</v>
      </c>
      <c r="J1329" s="8">
        <v>43301</v>
      </c>
      <c r="K1329" s="95">
        <v>43306</v>
      </c>
      <c r="L1329" s="95" t="s">
        <v>31</v>
      </c>
      <c r="M1329" s="8">
        <v>43312</v>
      </c>
      <c r="N1329" s="8">
        <v>43560</v>
      </c>
      <c r="P1329" s="6" t="s">
        <v>182</v>
      </c>
      <c r="R1329" s="97" t="str">
        <f t="shared" ref="R1329:R1348" si="52">IF(Q1329&gt;0, Q1329/365, "")</f>
        <v/>
      </c>
      <c r="S1329" s="75" t="str">
        <f t="shared" ref="S1329:S1348" si="53">IF(Q1329&gt;0, SUM(Q1329)*(8259/365), "")</f>
        <v/>
      </c>
      <c r="U1329" s="8">
        <v>43560</v>
      </c>
      <c r="W1329" s="6" t="s">
        <v>84</v>
      </c>
      <c r="X1329" s="95">
        <v>45375</v>
      </c>
    </row>
    <row r="1330" spans="1:24" x14ac:dyDescent="0.25">
      <c r="A1330" s="6" t="s">
        <v>25</v>
      </c>
      <c r="B1330" s="94" t="s">
        <v>1799</v>
      </c>
      <c r="C1330" s="6" t="s">
        <v>1800</v>
      </c>
      <c r="D1330" s="140">
        <v>11219036</v>
      </c>
      <c r="E1330" s="6" t="s">
        <v>1913</v>
      </c>
      <c r="F1330" s="10" t="s">
        <v>29</v>
      </c>
      <c r="G1330" s="6" t="s">
        <v>1802</v>
      </c>
      <c r="H1330" s="8">
        <v>44410</v>
      </c>
      <c r="I1330" s="8">
        <v>43592</v>
      </c>
      <c r="J1330" s="8">
        <v>43592</v>
      </c>
      <c r="K1330" s="95">
        <v>43602</v>
      </c>
      <c r="L1330" s="95" t="s">
        <v>31</v>
      </c>
      <c r="M1330" s="8">
        <v>43627</v>
      </c>
      <c r="P1330" s="6" t="s">
        <v>628</v>
      </c>
      <c r="R1330" s="97" t="str">
        <f t="shared" si="52"/>
        <v/>
      </c>
      <c r="S1330" s="75" t="str">
        <f t="shared" si="53"/>
        <v/>
      </c>
      <c r="T1330" s="124" t="s">
        <v>4272</v>
      </c>
      <c r="U1330" s="8">
        <v>44302</v>
      </c>
      <c r="W1330" s="6" t="s">
        <v>33</v>
      </c>
      <c r="X1330" s="95">
        <v>50593</v>
      </c>
    </row>
    <row r="1331" spans="1:24" x14ac:dyDescent="0.25">
      <c r="A1331" s="6" t="s">
        <v>25</v>
      </c>
      <c r="B1331" s="94" t="s">
        <v>884</v>
      </c>
      <c r="C1331" s="6" t="s">
        <v>4273</v>
      </c>
      <c r="D1331" s="140">
        <v>11303310</v>
      </c>
      <c r="E1331" s="6" t="s">
        <v>578</v>
      </c>
      <c r="F1331" s="10" t="s">
        <v>57</v>
      </c>
      <c r="G1331" s="6" t="s">
        <v>4274</v>
      </c>
      <c r="H1331" s="8">
        <v>45802</v>
      </c>
      <c r="I1331" s="8">
        <v>43672</v>
      </c>
      <c r="J1331" s="8">
        <v>43677</v>
      </c>
      <c r="K1331" s="95">
        <v>43745</v>
      </c>
      <c r="L1331" s="95" t="s">
        <v>31</v>
      </c>
      <c r="M1331" s="8">
        <v>43748</v>
      </c>
      <c r="N1331" s="108">
        <v>44082</v>
      </c>
      <c r="O1331" s="108">
        <v>44063</v>
      </c>
      <c r="P1331" s="107" t="s">
        <v>75</v>
      </c>
      <c r="Q1331" s="110"/>
      <c r="R1331" s="97" t="str">
        <f t="shared" si="52"/>
        <v/>
      </c>
      <c r="S1331" s="75" t="str">
        <f t="shared" si="53"/>
        <v/>
      </c>
      <c r="U1331" s="8">
        <v>44776</v>
      </c>
      <c r="W1331" s="6" t="s">
        <v>33</v>
      </c>
      <c r="X1331" s="95">
        <v>55722</v>
      </c>
    </row>
    <row r="1332" spans="1:24" x14ac:dyDescent="0.25">
      <c r="A1332" s="6" t="s">
        <v>85</v>
      </c>
      <c r="B1332" s="94" t="s">
        <v>4275</v>
      </c>
      <c r="C1332" s="6" t="s">
        <v>4276</v>
      </c>
      <c r="D1332" s="140">
        <v>11287678</v>
      </c>
      <c r="E1332" s="6" t="s">
        <v>209</v>
      </c>
      <c r="F1332" s="10" t="s">
        <v>44</v>
      </c>
      <c r="G1332" s="6" t="s">
        <v>4277</v>
      </c>
      <c r="H1332" s="8">
        <v>50058</v>
      </c>
      <c r="I1332" s="8">
        <v>43304</v>
      </c>
      <c r="J1332" s="8">
        <v>43304</v>
      </c>
      <c r="K1332" s="95">
        <v>43313</v>
      </c>
      <c r="L1332" s="95" t="s">
        <v>31</v>
      </c>
      <c r="M1332" s="8">
        <v>43320</v>
      </c>
      <c r="N1332" s="8">
        <v>43363</v>
      </c>
      <c r="P1332" s="101" t="s">
        <v>182</v>
      </c>
      <c r="R1332" s="97" t="str">
        <f t="shared" si="52"/>
        <v/>
      </c>
      <c r="S1332" s="75" t="str">
        <f t="shared" si="53"/>
        <v/>
      </c>
      <c r="U1332" s="8">
        <v>43363</v>
      </c>
      <c r="W1332" s="6" t="s">
        <v>33</v>
      </c>
      <c r="X1332" s="95">
        <v>51006</v>
      </c>
    </row>
    <row r="1333" spans="1:24" x14ac:dyDescent="0.25">
      <c r="A1333" s="6" t="s">
        <v>85</v>
      </c>
      <c r="B1333" s="94" t="s">
        <v>2428</v>
      </c>
      <c r="C1333" s="6" t="s">
        <v>4278</v>
      </c>
      <c r="D1333" s="140">
        <v>11297964</v>
      </c>
      <c r="E1333" s="6" t="s">
        <v>540</v>
      </c>
      <c r="F1333" s="10" t="s">
        <v>44</v>
      </c>
      <c r="G1333" s="6" t="s">
        <v>4279</v>
      </c>
      <c r="H1333" s="8">
        <v>46758</v>
      </c>
      <c r="I1333" s="8">
        <v>43306</v>
      </c>
      <c r="J1333" s="8">
        <v>43306</v>
      </c>
      <c r="K1333" s="95">
        <v>43319</v>
      </c>
      <c r="L1333" s="95" t="s">
        <v>31</v>
      </c>
      <c r="M1333" s="8">
        <v>43325</v>
      </c>
      <c r="N1333" s="8">
        <v>43343</v>
      </c>
      <c r="P1333" s="101" t="s">
        <v>182</v>
      </c>
      <c r="R1333" s="97" t="str">
        <f t="shared" si="52"/>
        <v/>
      </c>
      <c r="S1333" s="75" t="str">
        <f t="shared" si="53"/>
        <v/>
      </c>
      <c r="U1333" s="8">
        <v>43353</v>
      </c>
      <c r="W1333" s="6" t="s">
        <v>33</v>
      </c>
      <c r="X1333" s="95">
        <v>45891</v>
      </c>
    </row>
    <row r="1334" spans="1:24" x14ac:dyDescent="0.25">
      <c r="A1334" s="6" t="s">
        <v>168</v>
      </c>
      <c r="B1334" s="94" t="s">
        <v>4280</v>
      </c>
      <c r="C1334" s="6" t="s">
        <v>4281</v>
      </c>
      <c r="D1334" s="140">
        <v>11976515</v>
      </c>
      <c r="E1334" s="6" t="s">
        <v>4044</v>
      </c>
      <c r="F1334" s="10" t="s">
        <v>44</v>
      </c>
      <c r="G1334" s="6" t="s">
        <v>4282</v>
      </c>
      <c r="H1334" s="8">
        <v>60958</v>
      </c>
      <c r="I1334" s="8">
        <v>44404</v>
      </c>
      <c r="J1334" s="8">
        <v>44414</v>
      </c>
      <c r="K1334" s="95">
        <v>44419</v>
      </c>
      <c r="L1334" s="95" t="s">
        <v>31</v>
      </c>
      <c r="M1334" s="8">
        <v>44427</v>
      </c>
      <c r="N1334" s="8">
        <v>44953</v>
      </c>
      <c r="O1334" s="8">
        <v>44936</v>
      </c>
      <c r="P1334" s="6" t="s">
        <v>35</v>
      </c>
      <c r="Q1334" s="96">
        <v>18980</v>
      </c>
      <c r="R1334" s="97">
        <f t="shared" si="52"/>
        <v>52</v>
      </c>
      <c r="S1334" s="75">
        <f t="shared" si="53"/>
        <v>429468</v>
      </c>
      <c r="T1334" s="8"/>
      <c r="U1334" s="8">
        <v>44995</v>
      </c>
      <c r="W1334" s="6" t="s">
        <v>84</v>
      </c>
      <c r="X1334" s="7">
        <v>46346</v>
      </c>
    </row>
    <row r="1335" spans="1:24" ht="30" x14ac:dyDescent="0.25">
      <c r="A1335" s="6" t="s">
        <v>211</v>
      </c>
      <c r="B1335" s="94" t="s">
        <v>4283</v>
      </c>
      <c r="C1335" s="6" t="s">
        <v>4284</v>
      </c>
      <c r="D1335" s="140">
        <v>11346513</v>
      </c>
      <c r="E1335" s="6" t="s">
        <v>1927</v>
      </c>
      <c r="F1335" s="10" t="s">
        <v>29</v>
      </c>
      <c r="G1335" s="6" t="s">
        <v>4285</v>
      </c>
      <c r="H1335" s="8">
        <v>44149</v>
      </c>
      <c r="I1335" s="8">
        <v>43313</v>
      </c>
      <c r="J1335" s="8">
        <v>43326</v>
      </c>
      <c r="K1335" s="95">
        <v>43327</v>
      </c>
      <c r="L1335" s="95" t="s">
        <v>31</v>
      </c>
      <c r="M1335" s="8">
        <v>43334</v>
      </c>
      <c r="N1335" s="8">
        <v>43344</v>
      </c>
      <c r="P1335" s="101" t="s">
        <v>52</v>
      </c>
      <c r="R1335" s="97" t="str">
        <f t="shared" si="52"/>
        <v/>
      </c>
      <c r="S1335" s="75" t="str">
        <f t="shared" si="53"/>
        <v/>
      </c>
      <c r="T1335" s="124" t="s">
        <v>4286</v>
      </c>
      <c r="U1335" s="8">
        <v>43515</v>
      </c>
      <c r="W1335" s="6" t="s">
        <v>33</v>
      </c>
      <c r="X1335" s="95">
        <v>48830</v>
      </c>
    </row>
    <row r="1336" spans="1:24" x14ac:dyDescent="0.25">
      <c r="A1336" s="6" t="s">
        <v>25</v>
      </c>
      <c r="B1336" s="94" t="s">
        <v>4287</v>
      </c>
      <c r="C1336" s="6" t="s">
        <v>4288</v>
      </c>
      <c r="D1336" s="140">
        <v>11902476</v>
      </c>
      <c r="E1336" s="6" t="s">
        <v>1443</v>
      </c>
      <c r="F1336" s="10" t="s">
        <v>100</v>
      </c>
      <c r="G1336" s="6" t="s">
        <v>4289</v>
      </c>
      <c r="H1336" s="8">
        <v>48524</v>
      </c>
      <c r="I1336" s="8">
        <v>43679</v>
      </c>
      <c r="J1336" s="8">
        <v>43682</v>
      </c>
      <c r="K1336" s="95">
        <v>43753</v>
      </c>
      <c r="L1336" s="95" t="s">
        <v>31</v>
      </c>
      <c r="M1336" s="8">
        <v>43763</v>
      </c>
      <c r="N1336" s="108">
        <v>44257</v>
      </c>
      <c r="O1336" s="108">
        <v>44110</v>
      </c>
      <c r="P1336" s="107" t="s">
        <v>35</v>
      </c>
      <c r="Q1336" s="110">
        <v>3215</v>
      </c>
      <c r="R1336" s="97">
        <f t="shared" si="52"/>
        <v>8.8082191780821919</v>
      </c>
      <c r="S1336" s="75">
        <f t="shared" si="53"/>
        <v>72747.082191780821</v>
      </c>
      <c r="U1336" s="8">
        <v>44776</v>
      </c>
      <c r="W1336" s="6" t="s">
        <v>33</v>
      </c>
      <c r="X1336" s="95">
        <v>50315</v>
      </c>
    </row>
    <row r="1337" spans="1:24" x14ac:dyDescent="0.25">
      <c r="A1337" s="6" t="s">
        <v>25</v>
      </c>
      <c r="B1337" s="94" t="s">
        <v>4290</v>
      </c>
      <c r="C1337" s="6" t="s">
        <v>4291</v>
      </c>
      <c r="D1337" s="140">
        <v>11209251</v>
      </c>
      <c r="E1337" s="6" t="s">
        <v>1662</v>
      </c>
      <c r="F1337" s="10" t="s">
        <v>143</v>
      </c>
      <c r="G1337" s="6">
        <v>212318</v>
      </c>
      <c r="H1337" s="8">
        <v>48599</v>
      </c>
      <c r="I1337" s="8">
        <v>43679</v>
      </c>
      <c r="J1337" s="8">
        <v>43682</v>
      </c>
      <c r="K1337" s="95">
        <v>43753</v>
      </c>
      <c r="L1337" s="95" t="s">
        <v>31</v>
      </c>
      <c r="M1337" s="8">
        <v>43763</v>
      </c>
      <c r="N1337" s="8">
        <v>43867</v>
      </c>
      <c r="O1337" s="8">
        <v>43783</v>
      </c>
      <c r="P1337" s="6" t="s">
        <v>75</v>
      </c>
      <c r="R1337" s="97" t="str">
        <f t="shared" si="52"/>
        <v/>
      </c>
      <c r="S1337" s="75" t="str">
        <f t="shared" si="53"/>
        <v/>
      </c>
      <c r="U1337" s="8">
        <v>43868</v>
      </c>
      <c r="W1337" s="6" t="s">
        <v>33</v>
      </c>
      <c r="X1337" s="95">
        <v>42608</v>
      </c>
    </row>
    <row r="1338" spans="1:24" x14ac:dyDescent="0.25">
      <c r="A1338" s="6" t="s">
        <v>25</v>
      </c>
      <c r="B1338" s="94" t="s">
        <v>4292</v>
      </c>
      <c r="C1338" s="6" t="s">
        <v>4293</v>
      </c>
      <c r="D1338" s="140">
        <v>11043960</v>
      </c>
      <c r="E1338" s="6" t="s">
        <v>783</v>
      </c>
      <c r="F1338" s="10" t="s">
        <v>44</v>
      </c>
      <c r="G1338" s="6" t="s">
        <v>4294</v>
      </c>
      <c r="H1338" s="8">
        <v>48638</v>
      </c>
      <c r="I1338" s="8">
        <v>43679</v>
      </c>
      <c r="J1338" s="8">
        <v>43682</v>
      </c>
      <c r="K1338" s="95">
        <v>43753</v>
      </c>
      <c r="L1338" s="95" t="s">
        <v>359</v>
      </c>
      <c r="R1338" s="97" t="str">
        <f t="shared" si="52"/>
        <v/>
      </c>
      <c r="S1338" s="75" t="str">
        <f t="shared" si="53"/>
        <v/>
      </c>
      <c r="W1338" s="6" t="s">
        <v>33</v>
      </c>
      <c r="X1338" s="95">
        <v>50198</v>
      </c>
    </row>
    <row r="1339" spans="1:24" x14ac:dyDescent="0.25">
      <c r="A1339" s="6" t="s">
        <v>25</v>
      </c>
      <c r="B1339" s="94" t="s">
        <v>4295</v>
      </c>
      <c r="C1339" s="6" t="s">
        <v>4296</v>
      </c>
      <c r="D1339" s="140">
        <v>11939131</v>
      </c>
      <c r="E1339" s="6" t="s">
        <v>382</v>
      </c>
      <c r="F1339" s="10" t="s">
        <v>121</v>
      </c>
      <c r="G1339" s="6" t="s">
        <v>4195</v>
      </c>
      <c r="H1339" s="8">
        <v>48630</v>
      </c>
      <c r="I1339" s="8">
        <v>43679</v>
      </c>
      <c r="J1339" s="8">
        <v>43682</v>
      </c>
      <c r="K1339" s="95">
        <v>43753</v>
      </c>
      <c r="L1339" s="95" t="s">
        <v>31</v>
      </c>
      <c r="M1339" s="8">
        <v>43763</v>
      </c>
      <c r="R1339" s="97" t="str">
        <f t="shared" si="52"/>
        <v/>
      </c>
      <c r="S1339" s="75" t="str">
        <f t="shared" si="53"/>
        <v/>
      </c>
      <c r="W1339" s="6" t="s">
        <v>33</v>
      </c>
      <c r="X1339" s="95">
        <v>52922</v>
      </c>
    </row>
    <row r="1340" spans="1:24" x14ac:dyDescent="0.25">
      <c r="A1340" s="6" t="s">
        <v>65</v>
      </c>
      <c r="B1340" s="94" t="s">
        <v>242</v>
      </c>
      <c r="C1340" s="6" t="s">
        <v>4297</v>
      </c>
      <c r="D1340" s="140">
        <v>11629216</v>
      </c>
      <c r="E1340" s="6" t="s">
        <v>261</v>
      </c>
      <c r="F1340" s="10" t="s">
        <v>134</v>
      </c>
      <c r="G1340" s="6" t="s">
        <v>4298</v>
      </c>
      <c r="H1340" s="8">
        <v>44049</v>
      </c>
      <c r="I1340" s="8">
        <v>43335</v>
      </c>
      <c r="J1340" s="8">
        <v>43335</v>
      </c>
      <c r="K1340" s="95">
        <v>43341</v>
      </c>
      <c r="L1340" s="95" t="s">
        <v>31</v>
      </c>
      <c r="M1340" s="8">
        <v>43354</v>
      </c>
      <c r="N1340" s="8">
        <v>43374</v>
      </c>
      <c r="P1340" s="101" t="s">
        <v>182</v>
      </c>
      <c r="R1340" s="97" t="str">
        <f t="shared" si="52"/>
        <v/>
      </c>
      <c r="S1340" s="75" t="str">
        <f t="shared" si="53"/>
        <v/>
      </c>
      <c r="U1340" s="8">
        <v>43376</v>
      </c>
      <c r="W1340" s="6" t="s">
        <v>33</v>
      </c>
      <c r="X1340" s="95">
        <v>44542</v>
      </c>
    </row>
    <row r="1341" spans="1:24" x14ac:dyDescent="0.25">
      <c r="A1341" s="6" t="s">
        <v>25</v>
      </c>
      <c r="B1341" s="94" t="s">
        <v>449</v>
      </c>
      <c r="C1341" s="6" t="s">
        <v>4299</v>
      </c>
      <c r="D1341" s="140">
        <v>12134613</v>
      </c>
      <c r="E1341" s="6" t="s">
        <v>460</v>
      </c>
      <c r="F1341" s="10" t="s">
        <v>252</v>
      </c>
      <c r="G1341" s="6" t="s">
        <v>4300</v>
      </c>
      <c r="H1341" s="8">
        <v>48645</v>
      </c>
      <c r="I1341" s="8">
        <v>43679</v>
      </c>
      <c r="J1341" s="8">
        <v>43682</v>
      </c>
      <c r="K1341" s="95">
        <v>43753</v>
      </c>
      <c r="L1341" s="95" t="s">
        <v>359</v>
      </c>
      <c r="R1341" s="97" t="str">
        <f t="shared" si="52"/>
        <v/>
      </c>
      <c r="S1341" s="75" t="str">
        <f t="shared" si="53"/>
        <v/>
      </c>
      <c r="W1341" s="6" t="s">
        <v>33</v>
      </c>
      <c r="X1341" s="95">
        <v>53806</v>
      </c>
    </row>
    <row r="1342" spans="1:24" x14ac:dyDescent="0.25">
      <c r="A1342" s="6" t="s">
        <v>25</v>
      </c>
      <c r="B1342" s="94" t="s">
        <v>4301</v>
      </c>
      <c r="C1342" s="6" t="s">
        <v>4302</v>
      </c>
      <c r="D1342" s="140">
        <v>11565147</v>
      </c>
      <c r="E1342" s="6" t="s">
        <v>607</v>
      </c>
      <c r="F1342" s="10" t="s">
        <v>148</v>
      </c>
      <c r="G1342" s="6" t="s">
        <v>4303</v>
      </c>
      <c r="H1342" s="8">
        <v>48558</v>
      </c>
      <c r="I1342" s="8">
        <v>43679</v>
      </c>
      <c r="J1342" s="8">
        <v>43682</v>
      </c>
      <c r="K1342" s="95">
        <v>43753</v>
      </c>
      <c r="L1342" s="95" t="s">
        <v>359</v>
      </c>
      <c r="R1342" s="97" t="str">
        <f t="shared" si="52"/>
        <v/>
      </c>
      <c r="S1342" s="75" t="str">
        <f t="shared" si="53"/>
        <v/>
      </c>
      <c r="W1342" s="6" t="s">
        <v>33</v>
      </c>
      <c r="X1342" s="95">
        <v>46213</v>
      </c>
    </row>
    <row r="1343" spans="1:24" x14ac:dyDescent="0.25">
      <c r="A1343" s="6" t="s">
        <v>25</v>
      </c>
      <c r="B1343" s="94" t="s">
        <v>977</v>
      </c>
      <c r="C1343" s="6" t="s">
        <v>4304</v>
      </c>
      <c r="D1343" s="140">
        <v>11147170</v>
      </c>
      <c r="E1343" s="6" t="s">
        <v>1443</v>
      </c>
      <c r="F1343" s="10" t="s">
        <v>29</v>
      </c>
      <c r="G1343" s="6" t="s">
        <v>4305</v>
      </c>
      <c r="H1343" s="8">
        <v>48737</v>
      </c>
      <c r="I1343" s="8">
        <v>43679</v>
      </c>
      <c r="J1343" s="8">
        <v>43682</v>
      </c>
      <c r="K1343" s="95">
        <v>43753</v>
      </c>
      <c r="L1343" s="95" t="s">
        <v>31</v>
      </c>
      <c r="M1343" s="8">
        <v>43763</v>
      </c>
      <c r="N1343" s="108">
        <v>44320</v>
      </c>
      <c r="O1343" s="108">
        <v>44033</v>
      </c>
      <c r="P1343" s="107" t="s">
        <v>633</v>
      </c>
      <c r="Q1343" s="110"/>
      <c r="R1343" s="97" t="str">
        <f t="shared" si="52"/>
        <v/>
      </c>
      <c r="S1343" s="75" t="str">
        <f t="shared" si="53"/>
        <v/>
      </c>
      <c r="U1343" s="8">
        <v>44776</v>
      </c>
      <c r="W1343" s="6" t="s">
        <v>33</v>
      </c>
      <c r="X1343" s="95">
        <v>46441</v>
      </c>
    </row>
    <row r="1344" spans="1:24" x14ac:dyDescent="0.25">
      <c r="A1344" s="6" t="s">
        <v>25</v>
      </c>
      <c r="B1344" s="94" t="s">
        <v>4306</v>
      </c>
      <c r="C1344" s="6" t="s">
        <v>4307</v>
      </c>
      <c r="D1344" s="140">
        <v>11360382</v>
      </c>
      <c r="E1344" s="6" t="s">
        <v>3455</v>
      </c>
      <c r="F1344" s="10" t="s">
        <v>44</v>
      </c>
      <c r="G1344" s="6" t="s">
        <v>4308</v>
      </c>
      <c r="H1344" s="8">
        <v>44395</v>
      </c>
      <c r="I1344" s="8">
        <v>43682</v>
      </c>
      <c r="J1344" s="8">
        <v>43682</v>
      </c>
      <c r="K1344" s="95">
        <v>43759</v>
      </c>
      <c r="L1344" s="95" t="s">
        <v>31</v>
      </c>
      <c r="M1344" s="8">
        <v>43787</v>
      </c>
      <c r="N1344" s="8">
        <v>43819</v>
      </c>
      <c r="O1344" s="8">
        <v>43812</v>
      </c>
      <c r="P1344" s="6" t="s">
        <v>52</v>
      </c>
      <c r="R1344" s="97" t="str">
        <f t="shared" si="52"/>
        <v/>
      </c>
      <c r="S1344" s="75" t="str">
        <f t="shared" si="53"/>
        <v/>
      </c>
      <c r="U1344" s="8">
        <v>43812</v>
      </c>
      <c r="W1344" s="6" t="s">
        <v>33</v>
      </c>
      <c r="X1344" s="95">
        <v>53877</v>
      </c>
    </row>
    <row r="1345" spans="1:24" x14ac:dyDescent="0.25">
      <c r="A1345" s="6" t="s">
        <v>25</v>
      </c>
      <c r="B1345" s="94" t="s">
        <v>373</v>
      </c>
      <c r="C1345" s="6" t="s">
        <v>4309</v>
      </c>
      <c r="D1345" s="140">
        <v>12120859</v>
      </c>
      <c r="E1345" s="6" t="s">
        <v>4310</v>
      </c>
      <c r="F1345" s="10" t="s">
        <v>81</v>
      </c>
      <c r="G1345" s="6" t="s">
        <v>4311</v>
      </c>
      <c r="H1345" s="8">
        <v>44477</v>
      </c>
      <c r="I1345" s="8">
        <v>43682</v>
      </c>
      <c r="J1345" s="8">
        <v>43682</v>
      </c>
      <c r="K1345" s="95">
        <v>43759</v>
      </c>
      <c r="L1345" s="95" t="s">
        <v>359</v>
      </c>
      <c r="R1345" s="97" t="str">
        <f t="shared" si="52"/>
        <v/>
      </c>
      <c r="S1345" s="75" t="str">
        <f t="shared" si="53"/>
        <v/>
      </c>
      <c r="W1345" s="6" t="s">
        <v>33</v>
      </c>
      <c r="X1345" s="95">
        <v>54310</v>
      </c>
    </row>
    <row r="1346" spans="1:24" x14ac:dyDescent="0.25">
      <c r="A1346" s="6" t="s">
        <v>25</v>
      </c>
      <c r="B1346" s="94" t="s">
        <v>4312</v>
      </c>
      <c r="C1346" s="6" t="s">
        <v>4313</v>
      </c>
      <c r="D1346" s="140">
        <v>11562675</v>
      </c>
      <c r="E1346" s="6" t="s">
        <v>3644</v>
      </c>
      <c r="F1346" s="10" t="s">
        <v>44</v>
      </c>
      <c r="G1346" s="6" t="s">
        <v>4314</v>
      </c>
      <c r="H1346" s="8">
        <v>44341</v>
      </c>
      <c r="I1346" s="8">
        <v>43682</v>
      </c>
      <c r="J1346" s="8">
        <v>43682</v>
      </c>
      <c r="K1346" s="95">
        <v>43759</v>
      </c>
      <c r="L1346" s="95" t="s">
        <v>31</v>
      </c>
      <c r="M1346" s="8">
        <v>43787</v>
      </c>
      <c r="R1346" s="97" t="str">
        <f t="shared" si="52"/>
        <v/>
      </c>
      <c r="S1346" s="75" t="str">
        <f t="shared" si="53"/>
        <v/>
      </c>
      <c r="T1346" s="124" t="s">
        <v>4315</v>
      </c>
      <c r="U1346" s="8">
        <v>44783</v>
      </c>
      <c r="X1346" s="6"/>
    </row>
    <row r="1347" spans="1:24" x14ac:dyDescent="0.25">
      <c r="A1347" s="6" t="s">
        <v>25</v>
      </c>
      <c r="B1347" s="94" t="s">
        <v>3155</v>
      </c>
      <c r="C1347" s="6" t="s">
        <v>4316</v>
      </c>
      <c r="D1347" s="140">
        <v>11109150</v>
      </c>
      <c r="E1347" s="6" t="s">
        <v>1752</v>
      </c>
      <c r="F1347" s="10" t="s">
        <v>44</v>
      </c>
      <c r="G1347" s="6" t="s">
        <v>4317</v>
      </c>
      <c r="H1347" s="8">
        <v>44473</v>
      </c>
      <c r="I1347" s="8">
        <v>43682</v>
      </c>
      <c r="J1347" s="8">
        <v>43682</v>
      </c>
      <c r="K1347" s="95">
        <v>43759</v>
      </c>
      <c r="L1347" s="95" t="s">
        <v>31</v>
      </c>
      <c r="M1347" s="8">
        <v>43787</v>
      </c>
      <c r="N1347" s="8">
        <v>43888</v>
      </c>
      <c r="O1347" s="8">
        <v>43879</v>
      </c>
      <c r="P1347" s="6" t="s">
        <v>75</v>
      </c>
      <c r="R1347" s="97" t="str">
        <f t="shared" si="52"/>
        <v/>
      </c>
      <c r="S1347" s="75" t="str">
        <f t="shared" si="53"/>
        <v/>
      </c>
      <c r="U1347" s="8">
        <v>43888</v>
      </c>
      <c r="W1347" s="6" t="s">
        <v>33</v>
      </c>
      <c r="X1347" s="95">
        <v>50490</v>
      </c>
    </row>
    <row r="1348" spans="1:24" x14ac:dyDescent="0.25">
      <c r="A1348" s="6" t="s">
        <v>25</v>
      </c>
      <c r="B1348" s="94" t="s">
        <v>4318</v>
      </c>
      <c r="C1348" s="6" t="s">
        <v>4319</v>
      </c>
      <c r="D1348" s="140">
        <v>11215897</v>
      </c>
      <c r="E1348" s="6" t="s">
        <v>547</v>
      </c>
      <c r="F1348" s="10" t="s">
        <v>57</v>
      </c>
      <c r="G1348" s="6" t="s">
        <v>4320</v>
      </c>
      <c r="H1348" s="8">
        <v>44295</v>
      </c>
      <c r="I1348" s="8">
        <v>43682</v>
      </c>
      <c r="J1348" s="8">
        <v>43682</v>
      </c>
      <c r="K1348" s="95">
        <v>43759</v>
      </c>
      <c r="L1348" s="95" t="s">
        <v>359</v>
      </c>
      <c r="R1348" s="97" t="str">
        <f t="shared" si="52"/>
        <v/>
      </c>
      <c r="S1348" s="75" t="str">
        <f t="shared" si="53"/>
        <v/>
      </c>
      <c r="W1348" s="6" t="s">
        <v>33</v>
      </c>
      <c r="X1348" s="95">
        <v>39546</v>
      </c>
    </row>
    <row r="1349" spans="1:24" x14ac:dyDescent="0.25">
      <c r="A1349" s="6" t="s">
        <v>25</v>
      </c>
      <c r="B1349" s="94" t="s">
        <v>4318</v>
      </c>
      <c r="C1349" s="6" t="s">
        <v>4319</v>
      </c>
      <c r="D1349" s="140">
        <v>11215897</v>
      </c>
      <c r="E1349" s="6" t="s">
        <v>4321</v>
      </c>
      <c r="F1349" s="10" t="s">
        <v>57</v>
      </c>
      <c r="G1349" s="6" t="s">
        <v>4322</v>
      </c>
      <c r="H1349" s="8">
        <v>44295</v>
      </c>
      <c r="I1349" s="8">
        <v>43682</v>
      </c>
      <c r="J1349" s="8">
        <v>43682</v>
      </c>
      <c r="K1349" s="95">
        <v>43759</v>
      </c>
      <c r="L1349" s="95" t="s">
        <v>359</v>
      </c>
      <c r="W1349" s="6" t="s">
        <v>33</v>
      </c>
      <c r="X1349" s="95">
        <v>39546</v>
      </c>
    </row>
    <row r="1350" spans="1:24" x14ac:dyDescent="0.25">
      <c r="A1350" s="6" t="s">
        <v>168</v>
      </c>
      <c r="B1350" s="94" t="s">
        <v>4323</v>
      </c>
      <c r="C1350" s="6" t="s">
        <v>4324</v>
      </c>
      <c r="D1350" s="140">
        <v>11623919</v>
      </c>
      <c r="E1350" s="6" t="s">
        <v>2314</v>
      </c>
      <c r="F1350" s="10" t="s">
        <v>3874</v>
      </c>
      <c r="G1350" s="6" t="s">
        <v>4325</v>
      </c>
      <c r="H1350" s="8">
        <v>48157</v>
      </c>
      <c r="I1350" s="8">
        <v>44251</v>
      </c>
      <c r="J1350" s="8">
        <v>44267</v>
      </c>
      <c r="K1350" s="95">
        <v>44267</v>
      </c>
      <c r="L1350" s="95" t="s">
        <v>31</v>
      </c>
      <c r="M1350" s="8">
        <v>44272</v>
      </c>
      <c r="N1350" s="8">
        <v>44505</v>
      </c>
      <c r="O1350" s="8">
        <v>44439</v>
      </c>
      <c r="P1350" s="6" t="s">
        <v>75</v>
      </c>
      <c r="R1350" s="97" t="str">
        <f t="shared" ref="R1350:R1413" si="54">IF(Q1350&gt;0, Q1350/365, "")</f>
        <v/>
      </c>
      <c r="S1350" s="75" t="str">
        <f t="shared" ref="S1350:S1413" si="55">IF(Q1350&gt;0, SUM(Q1350)*(8259/365), "")</f>
        <v/>
      </c>
      <c r="U1350" s="8">
        <v>44669</v>
      </c>
      <c r="W1350" s="6" t="s">
        <v>84</v>
      </c>
      <c r="X1350" s="7">
        <v>48552</v>
      </c>
    </row>
    <row r="1351" spans="1:24" x14ac:dyDescent="0.25">
      <c r="A1351" s="6" t="s">
        <v>25</v>
      </c>
      <c r="B1351" s="94" t="s">
        <v>4326</v>
      </c>
      <c r="C1351" s="6" t="s">
        <v>4327</v>
      </c>
      <c r="D1351" s="140">
        <v>11186566</v>
      </c>
      <c r="E1351" s="6" t="s">
        <v>142</v>
      </c>
      <c r="F1351" s="10" t="s">
        <v>293</v>
      </c>
      <c r="G1351" s="6">
        <v>171747</v>
      </c>
      <c r="H1351" s="8">
        <v>45854</v>
      </c>
      <c r="I1351" s="8">
        <v>43679</v>
      </c>
      <c r="J1351" s="8">
        <v>43682</v>
      </c>
      <c r="K1351" s="95">
        <v>43756</v>
      </c>
      <c r="L1351" s="95" t="s">
        <v>31</v>
      </c>
      <c r="M1351" s="8">
        <v>43763</v>
      </c>
      <c r="N1351" s="108">
        <v>44193</v>
      </c>
      <c r="O1351" s="108">
        <v>44175</v>
      </c>
      <c r="P1351" s="107" t="s">
        <v>52</v>
      </c>
      <c r="Q1351" s="110"/>
      <c r="R1351" s="97" t="str">
        <f t="shared" si="54"/>
        <v/>
      </c>
      <c r="S1351" s="75" t="str">
        <f t="shared" si="55"/>
        <v/>
      </c>
      <c r="U1351" s="8">
        <v>44776</v>
      </c>
      <c r="W1351" s="6" t="s">
        <v>33</v>
      </c>
      <c r="X1351" s="95">
        <v>50543</v>
      </c>
    </row>
    <row r="1352" spans="1:24" x14ac:dyDescent="0.25">
      <c r="A1352" s="6" t="s">
        <v>25</v>
      </c>
      <c r="B1352" s="94" t="s">
        <v>4328</v>
      </c>
      <c r="C1352" s="6" t="s">
        <v>4329</v>
      </c>
      <c r="D1352" s="140">
        <v>11304521</v>
      </c>
      <c r="E1352" s="6" t="s">
        <v>578</v>
      </c>
      <c r="F1352" s="10" t="s">
        <v>1384</v>
      </c>
      <c r="G1352" s="6" t="s">
        <v>4330</v>
      </c>
      <c r="H1352" s="8">
        <v>45758</v>
      </c>
      <c r="I1352" s="8">
        <v>43679</v>
      </c>
      <c r="J1352" s="8">
        <v>43682</v>
      </c>
      <c r="K1352" s="95">
        <v>43756</v>
      </c>
      <c r="L1352" s="95" t="s">
        <v>359</v>
      </c>
      <c r="R1352" s="97" t="str">
        <f t="shared" si="54"/>
        <v/>
      </c>
      <c r="S1352" s="75" t="str">
        <f t="shared" si="55"/>
        <v/>
      </c>
      <c r="W1352" s="6" t="s">
        <v>33</v>
      </c>
      <c r="X1352" s="95">
        <v>53671</v>
      </c>
    </row>
    <row r="1353" spans="1:24" x14ac:dyDescent="0.25">
      <c r="A1353" s="6" t="s">
        <v>25</v>
      </c>
      <c r="B1353" s="94" t="s">
        <v>635</v>
      </c>
      <c r="C1353" s="6" t="s">
        <v>4331</v>
      </c>
      <c r="D1353" s="140">
        <v>11198957</v>
      </c>
      <c r="E1353" s="6" t="s">
        <v>1752</v>
      </c>
      <c r="F1353" s="10" t="s">
        <v>44</v>
      </c>
      <c r="G1353" s="6" t="s">
        <v>4332</v>
      </c>
      <c r="H1353" s="8">
        <v>45878</v>
      </c>
      <c r="I1353" s="8">
        <v>43679</v>
      </c>
      <c r="J1353" s="8">
        <v>43682</v>
      </c>
      <c r="K1353" s="95">
        <v>43756</v>
      </c>
      <c r="L1353" s="95" t="s">
        <v>31</v>
      </c>
      <c r="M1353" s="8">
        <v>43763</v>
      </c>
      <c r="N1353" s="8">
        <v>43851</v>
      </c>
      <c r="O1353" s="8">
        <v>43843</v>
      </c>
      <c r="P1353" s="6" t="s">
        <v>52</v>
      </c>
      <c r="R1353" s="97" t="str">
        <f t="shared" si="54"/>
        <v/>
      </c>
      <c r="S1353" s="75" t="str">
        <f t="shared" si="55"/>
        <v/>
      </c>
      <c r="U1353" s="8">
        <v>43852</v>
      </c>
      <c r="W1353" s="6" t="s">
        <v>33</v>
      </c>
      <c r="X1353" s="95">
        <v>49490</v>
      </c>
    </row>
    <row r="1354" spans="1:24" x14ac:dyDescent="0.25">
      <c r="A1354" s="6" t="s">
        <v>37</v>
      </c>
      <c r="B1354" s="94" t="s">
        <v>617</v>
      </c>
      <c r="C1354" s="6" t="s">
        <v>4333</v>
      </c>
      <c r="D1354" s="140">
        <v>12102509</v>
      </c>
      <c r="E1354" s="6" t="s">
        <v>2206</v>
      </c>
      <c r="F1354" s="10" t="s">
        <v>134</v>
      </c>
      <c r="G1354" s="6" t="s">
        <v>4334</v>
      </c>
      <c r="H1354" s="8">
        <v>45502</v>
      </c>
      <c r="I1354" s="8">
        <v>43802</v>
      </c>
      <c r="J1354" s="8">
        <v>43815</v>
      </c>
      <c r="K1354" s="8">
        <v>43815</v>
      </c>
      <c r="L1354" s="95" t="s">
        <v>31</v>
      </c>
      <c r="M1354" s="8">
        <v>43819</v>
      </c>
      <c r="N1354" s="8">
        <v>43881</v>
      </c>
      <c r="O1354" s="8">
        <v>43864</v>
      </c>
      <c r="P1354" s="6" t="s">
        <v>52</v>
      </c>
      <c r="R1354" s="97" t="str">
        <f t="shared" si="54"/>
        <v/>
      </c>
      <c r="S1354" s="75" t="str">
        <f t="shared" si="55"/>
        <v/>
      </c>
      <c r="U1354" s="8">
        <v>43881</v>
      </c>
      <c r="W1354" s="6" t="s">
        <v>33</v>
      </c>
      <c r="X1354" s="95">
        <v>45376</v>
      </c>
    </row>
    <row r="1355" spans="1:24" x14ac:dyDescent="0.25">
      <c r="A1355" s="6" t="s">
        <v>25</v>
      </c>
      <c r="B1355" s="94" t="s">
        <v>1552</v>
      </c>
      <c r="C1355" s="6" t="s">
        <v>4335</v>
      </c>
      <c r="D1355" s="140">
        <v>11725030</v>
      </c>
      <c r="E1355" s="6" t="s">
        <v>49</v>
      </c>
      <c r="F1355" s="10" t="s">
        <v>252</v>
      </c>
      <c r="G1355" s="6">
        <v>51100601</v>
      </c>
      <c r="H1355" s="8">
        <v>45883</v>
      </c>
      <c r="I1355" s="8">
        <v>43679</v>
      </c>
      <c r="J1355" s="8">
        <v>43682</v>
      </c>
      <c r="K1355" s="95">
        <v>43756</v>
      </c>
      <c r="L1355" s="95" t="s">
        <v>31</v>
      </c>
      <c r="M1355" s="8">
        <v>43763</v>
      </c>
      <c r="R1355" s="97" t="str">
        <f t="shared" si="54"/>
        <v/>
      </c>
      <c r="S1355" s="75" t="str">
        <f t="shared" si="55"/>
        <v/>
      </c>
      <c r="T1355" s="124" t="s">
        <v>4336</v>
      </c>
      <c r="U1355" s="8">
        <v>45106</v>
      </c>
      <c r="W1355" s="6" t="s">
        <v>33</v>
      </c>
      <c r="X1355" s="95">
        <v>49444</v>
      </c>
    </row>
    <row r="1356" spans="1:24" x14ac:dyDescent="0.25">
      <c r="A1356" s="6" t="s">
        <v>25</v>
      </c>
      <c r="B1356" s="94" t="s">
        <v>635</v>
      </c>
      <c r="C1356" s="6" t="s">
        <v>4337</v>
      </c>
      <c r="D1356" s="140">
        <v>11924077</v>
      </c>
      <c r="E1356" s="6" t="s">
        <v>1443</v>
      </c>
      <c r="F1356" s="10" t="s">
        <v>148</v>
      </c>
      <c r="G1356" s="6" t="s">
        <v>4338</v>
      </c>
      <c r="H1356" s="8">
        <v>45904</v>
      </c>
      <c r="I1356" s="8">
        <v>43679</v>
      </c>
      <c r="J1356" s="8">
        <v>43682</v>
      </c>
      <c r="K1356" s="95">
        <v>43756</v>
      </c>
      <c r="L1356" s="95" t="s">
        <v>31</v>
      </c>
      <c r="M1356" s="8">
        <v>43763</v>
      </c>
      <c r="N1356" s="8">
        <v>44000</v>
      </c>
      <c r="O1356" s="8">
        <v>43978</v>
      </c>
      <c r="P1356" s="6" t="s">
        <v>35</v>
      </c>
      <c r="Q1356" s="96">
        <v>730</v>
      </c>
      <c r="R1356" s="97">
        <f t="shared" si="54"/>
        <v>2</v>
      </c>
      <c r="S1356" s="75">
        <f t="shared" si="55"/>
        <v>16518</v>
      </c>
      <c r="T1356" s="124" t="s">
        <v>320</v>
      </c>
      <c r="U1356" s="8">
        <v>44005</v>
      </c>
      <c r="W1356" s="6" t="s">
        <v>33</v>
      </c>
      <c r="X1356" s="95">
        <v>50248</v>
      </c>
    </row>
    <row r="1357" spans="1:24" x14ac:dyDescent="0.25">
      <c r="A1357" s="6" t="s">
        <v>25</v>
      </c>
      <c r="B1357" s="94" t="s">
        <v>4339</v>
      </c>
      <c r="C1357" s="6" t="s">
        <v>4340</v>
      </c>
      <c r="D1357" s="140">
        <v>11828539</v>
      </c>
      <c r="E1357" s="6" t="s">
        <v>1650</v>
      </c>
      <c r="F1357" s="10" t="s">
        <v>44</v>
      </c>
      <c r="G1357" s="6" t="s">
        <v>4341</v>
      </c>
      <c r="H1357" s="8">
        <v>45908</v>
      </c>
      <c r="I1357" s="8">
        <v>43679</v>
      </c>
      <c r="J1357" s="8">
        <v>43682</v>
      </c>
      <c r="K1357" s="95">
        <v>43756</v>
      </c>
      <c r="L1357" s="95" t="s">
        <v>31</v>
      </c>
      <c r="M1357" s="8">
        <v>43763</v>
      </c>
      <c r="R1357" s="97" t="str">
        <f t="shared" si="54"/>
        <v/>
      </c>
      <c r="S1357" s="75" t="str">
        <f t="shared" si="55"/>
        <v/>
      </c>
      <c r="T1357" s="124" t="s">
        <v>4342</v>
      </c>
      <c r="U1357" s="8">
        <v>45065</v>
      </c>
      <c r="W1357" s="6" t="s">
        <v>33</v>
      </c>
      <c r="X1357" s="95">
        <v>54896</v>
      </c>
    </row>
    <row r="1358" spans="1:24" x14ac:dyDescent="0.25">
      <c r="A1358" s="6" t="s">
        <v>25</v>
      </c>
      <c r="B1358" s="94" t="s">
        <v>1000</v>
      </c>
      <c r="C1358" s="6" t="s">
        <v>4343</v>
      </c>
      <c r="D1358" s="140">
        <v>11116788</v>
      </c>
      <c r="E1358" s="6" t="s">
        <v>344</v>
      </c>
      <c r="F1358" s="10" t="s">
        <v>121</v>
      </c>
      <c r="G1358" s="6" t="s">
        <v>4344</v>
      </c>
      <c r="H1358" s="8">
        <v>45895</v>
      </c>
      <c r="I1358" s="8">
        <v>43679</v>
      </c>
      <c r="J1358" s="8">
        <v>43682</v>
      </c>
      <c r="K1358" s="95">
        <v>43756</v>
      </c>
      <c r="L1358" s="95" t="s">
        <v>31</v>
      </c>
      <c r="M1358" s="8">
        <v>43763</v>
      </c>
      <c r="N1358" s="8">
        <v>44788</v>
      </c>
      <c r="O1358" s="8">
        <v>44783</v>
      </c>
      <c r="P1358" s="6" t="s">
        <v>35</v>
      </c>
      <c r="Q1358" s="96">
        <v>532</v>
      </c>
      <c r="R1358" s="97">
        <f t="shared" si="54"/>
        <v>1.4575342465753425</v>
      </c>
      <c r="S1358" s="75">
        <f t="shared" si="55"/>
        <v>12037.775342465753</v>
      </c>
      <c r="U1358" s="8">
        <v>44792</v>
      </c>
      <c r="W1358" s="6" t="s">
        <v>33</v>
      </c>
      <c r="X1358" s="95">
        <v>42454</v>
      </c>
    </row>
    <row r="1359" spans="1:24" x14ac:dyDescent="0.25">
      <c r="A1359" s="6" t="s">
        <v>25</v>
      </c>
      <c r="B1359" s="94" t="s">
        <v>2743</v>
      </c>
      <c r="C1359" s="6" t="s">
        <v>4345</v>
      </c>
      <c r="D1359" s="140">
        <v>11049677</v>
      </c>
      <c r="E1359" s="6" t="s">
        <v>1996</v>
      </c>
      <c r="F1359" s="10" t="s">
        <v>205</v>
      </c>
      <c r="G1359" s="6" t="s">
        <v>4346</v>
      </c>
      <c r="H1359" s="8">
        <v>45939</v>
      </c>
      <c r="I1359" s="8">
        <v>43679</v>
      </c>
      <c r="J1359" s="8">
        <v>43682</v>
      </c>
      <c r="K1359" s="95">
        <v>43756</v>
      </c>
      <c r="L1359" s="95" t="s">
        <v>359</v>
      </c>
      <c r="R1359" s="97" t="str">
        <f t="shared" si="54"/>
        <v/>
      </c>
      <c r="S1359" s="75" t="str">
        <f t="shared" si="55"/>
        <v/>
      </c>
      <c r="W1359" s="6" t="s">
        <v>33</v>
      </c>
      <c r="X1359" s="95">
        <v>47408</v>
      </c>
    </row>
    <row r="1360" spans="1:24" x14ac:dyDescent="0.25">
      <c r="A1360" s="6" t="s">
        <v>37</v>
      </c>
      <c r="B1360" s="106" t="s">
        <v>4347</v>
      </c>
      <c r="C1360" s="107" t="s">
        <v>4348</v>
      </c>
      <c r="D1360" s="142">
        <v>11272238</v>
      </c>
      <c r="E1360" s="107" t="s">
        <v>4349</v>
      </c>
      <c r="F1360" s="56" t="s">
        <v>139</v>
      </c>
      <c r="G1360" s="107" t="s">
        <v>4350</v>
      </c>
      <c r="H1360" s="108">
        <v>46230</v>
      </c>
      <c r="I1360" s="108">
        <v>43418</v>
      </c>
      <c r="J1360" s="108">
        <v>43422</v>
      </c>
      <c r="K1360" s="109">
        <v>43422</v>
      </c>
      <c r="L1360" s="109" t="s">
        <v>31</v>
      </c>
      <c r="M1360" s="108">
        <v>43433</v>
      </c>
      <c r="N1360" s="108">
        <v>43475</v>
      </c>
      <c r="O1360" s="108"/>
      <c r="P1360" s="101" t="s">
        <v>52</v>
      </c>
      <c r="Q1360" s="110"/>
      <c r="R1360" s="120" t="str">
        <f t="shared" si="54"/>
        <v/>
      </c>
      <c r="S1360" s="75" t="str">
        <f t="shared" si="55"/>
        <v/>
      </c>
      <c r="T1360" s="129" t="s">
        <v>4351</v>
      </c>
      <c r="U1360" s="8">
        <v>43475</v>
      </c>
      <c r="W1360" s="6" t="s">
        <v>33</v>
      </c>
      <c r="X1360" s="95">
        <v>50337</v>
      </c>
    </row>
    <row r="1361" spans="1:24" x14ac:dyDescent="0.25">
      <c r="A1361" s="6" t="s">
        <v>37</v>
      </c>
      <c r="B1361" s="94" t="s">
        <v>4352</v>
      </c>
      <c r="C1361" s="6" t="s">
        <v>4353</v>
      </c>
      <c r="D1361" s="140">
        <v>11451808</v>
      </c>
      <c r="E1361" s="6" t="s">
        <v>4354</v>
      </c>
      <c r="F1361" s="10" t="s">
        <v>44</v>
      </c>
      <c r="G1361" s="6" t="s">
        <v>4355</v>
      </c>
      <c r="H1361" s="8">
        <v>56713</v>
      </c>
      <c r="I1361" s="8">
        <v>44089</v>
      </c>
      <c r="J1361" s="8">
        <v>44091</v>
      </c>
      <c r="K1361" s="95">
        <v>44091</v>
      </c>
      <c r="L1361" s="95" t="s">
        <v>31</v>
      </c>
      <c r="M1361" s="8">
        <v>44099</v>
      </c>
      <c r="N1361" s="8">
        <v>44350</v>
      </c>
      <c r="O1361" s="8">
        <v>44329</v>
      </c>
      <c r="P1361" s="6" t="s">
        <v>90</v>
      </c>
      <c r="Q1361" s="96">
        <v>1194</v>
      </c>
      <c r="R1361" s="97">
        <f t="shared" si="54"/>
        <v>3.2712328767123289</v>
      </c>
      <c r="S1361" s="75">
        <f t="shared" si="55"/>
        <v>27017.112328767125</v>
      </c>
      <c r="T1361" s="124" t="s">
        <v>4356</v>
      </c>
      <c r="U1361" s="8">
        <v>44350</v>
      </c>
      <c r="V1361" s="6" t="s">
        <v>36</v>
      </c>
      <c r="W1361" s="6" t="s">
        <v>84</v>
      </c>
      <c r="X1361" s="135">
        <v>45544</v>
      </c>
    </row>
    <row r="1362" spans="1:24" x14ac:dyDescent="0.25">
      <c r="A1362" s="6" t="s">
        <v>168</v>
      </c>
      <c r="B1362" s="94" t="s">
        <v>4357</v>
      </c>
      <c r="C1362" s="6" t="s">
        <v>4358</v>
      </c>
      <c r="D1362" s="140">
        <v>11593415</v>
      </c>
      <c r="E1362" s="6" t="s">
        <v>839</v>
      </c>
      <c r="F1362" s="10" t="s">
        <v>57</v>
      </c>
      <c r="G1362" s="6" t="s">
        <v>4359</v>
      </c>
      <c r="H1362" s="8">
        <v>45535</v>
      </c>
      <c r="I1362" s="8">
        <v>44242</v>
      </c>
      <c r="J1362" s="8">
        <v>44267</v>
      </c>
      <c r="K1362" s="95">
        <v>44271</v>
      </c>
      <c r="L1362" s="95" t="s">
        <v>359</v>
      </c>
      <c r="R1362" s="97" t="str">
        <f t="shared" si="54"/>
        <v/>
      </c>
      <c r="S1362" s="75" t="str">
        <f t="shared" si="55"/>
        <v/>
      </c>
      <c r="W1362" s="6" t="s">
        <v>33</v>
      </c>
      <c r="X1362" s="7">
        <v>47893</v>
      </c>
    </row>
    <row r="1363" spans="1:24" x14ac:dyDescent="0.25">
      <c r="A1363" s="6" t="s">
        <v>37</v>
      </c>
      <c r="B1363" s="94" t="s">
        <v>4360</v>
      </c>
      <c r="C1363" s="6" t="s">
        <v>4361</v>
      </c>
      <c r="D1363" s="140" t="s">
        <v>4362</v>
      </c>
      <c r="E1363" s="6" t="s">
        <v>4363</v>
      </c>
      <c r="F1363" s="10" t="s">
        <v>293</v>
      </c>
      <c r="G1363" s="6">
        <v>150580</v>
      </c>
      <c r="H1363" s="8">
        <v>46683</v>
      </c>
      <c r="I1363" s="8">
        <v>43615</v>
      </c>
      <c r="J1363" s="8">
        <v>43634</v>
      </c>
      <c r="K1363" s="95">
        <v>43634</v>
      </c>
      <c r="L1363" s="95" t="s">
        <v>31</v>
      </c>
      <c r="M1363" s="8">
        <v>43643</v>
      </c>
      <c r="N1363" s="8">
        <v>44256</v>
      </c>
      <c r="O1363" s="8">
        <v>44140</v>
      </c>
      <c r="P1363" s="6" t="s">
        <v>90</v>
      </c>
      <c r="Q1363" s="96">
        <v>2535</v>
      </c>
      <c r="R1363" s="97">
        <f t="shared" si="54"/>
        <v>6.9452054794520546</v>
      </c>
      <c r="S1363" s="75">
        <f t="shared" si="55"/>
        <v>57360.452054794521</v>
      </c>
      <c r="T1363" s="124" t="s">
        <v>4364</v>
      </c>
      <c r="U1363" s="8">
        <v>44256</v>
      </c>
      <c r="W1363" s="6" t="s">
        <v>33</v>
      </c>
      <c r="X1363" s="95">
        <v>47528</v>
      </c>
    </row>
    <row r="1364" spans="1:24" x14ac:dyDescent="0.25">
      <c r="A1364" s="6" t="s">
        <v>168</v>
      </c>
      <c r="B1364" s="94" t="s">
        <v>108</v>
      </c>
      <c r="C1364" s="6" t="s">
        <v>4365</v>
      </c>
      <c r="D1364" s="140">
        <v>11341445</v>
      </c>
      <c r="E1364" s="6" t="s">
        <v>4366</v>
      </c>
      <c r="F1364" s="10" t="s">
        <v>134</v>
      </c>
      <c r="G1364" s="6" t="s">
        <v>4367</v>
      </c>
      <c r="H1364" s="8">
        <v>45156</v>
      </c>
      <c r="I1364" s="8">
        <v>44398</v>
      </c>
      <c r="J1364" s="8">
        <v>44412</v>
      </c>
      <c r="K1364" s="95">
        <v>44414</v>
      </c>
      <c r="L1364" s="95" t="s">
        <v>359</v>
      </c>
      <c r="R1364" s="97" t="str">
        <f t="shared" si="54"/>
        <v/>
      </c>
      <c r="S1364" s="75" t="str">
        <f t="shared" si="55"/>
        <v/>
      </c>
      <c r="W1364" s="6" t="s">
        <v>33</v>
      </c>
      <c r="X1364" s="7">
        <v>45292</v>
      </c>
    </row>
    <row r="1365" spans="1:24" x14ac:dyDescent="0.25">
      <c r="A1365" s="6" t="s">
        <v>37</v>
      </c>
      <c r="B1365" s="94" t="s">
        <v>723</v>
      </c>
      <c r="C1365" s="6" t="s">
        <v>4368</v>
      </c>
      <c r="D1365" s="140">
        <v>11997664</v>
      </c>
      <c r="E1365" s="6" t="s">
        <v>4369</v>
      </c>
      <c r="F1365" s="10" t="s">
        <v>4370</v>
      </c>
      <c r="G1365" s="6" t="s">
        <v>4371</v>
      </c>
      <c r="H1365" s="8">
        <v>48517</v>
      </c>
      <c r="I1365" s="8">
        <v>44116</v>
      </c>
      <c r="J1365" s="8">
        <v>44127</v>
      </c>
      <c r="K1365" s="95">
        <v>44144</v>
      </c>
      <c r="L1365" s="95" t="s">
        <v>31</v>
      </c>
      <c r="M1365" s="8">
        <v>44147</v>
      </c>
      <c r="N1365" s="8">
        <v>44320</v>
      </c>
      <c r="O1365" s="8">
        <v>44294</v>
      </c>
      <c r="P1365" s="6" t="s">
        <v>35</v>
      </c>
      <c r="Q1365" s="96">
        <v>365</v>
      </c>
      <c r="R1365" s="97">
        <f t="shared" si="54"/>
        <v>1</v>
      </c>
      <c r="S1365" s="75">
        <f t="shared" si="55"/>
        <v>8259</v>
      </c>
      <c r="U1365" s="8">
        <v>44320</v>
      </c>
      <c r="W1365" s="6" t="s">
        <v>33</v>
      </c>
      <c r="X1365" s="135">
        <v>52440</v>
      </c>
    </row>
    <row r="1366" spans="1:24" x14ac:dyDescent="0.25">
      <c r="A1366" s="6" t="s">
        <v>168</v>
      </c>
      <c r="B1366" s="94" t="s">
        <v>4372</v>
      </c>
      <c r="C1366" s="6" t="s">
        <v>4373</v>
      </c>
      <c r="D1366" s="140">
        <v>11248239</v>
      </c>
      <c r="E1366" s="6" t="s">
        <v>2314</v>
      </c>
      <c r="F1366" s="10" t="s">
        <v>44</v>
      </c>
      <c r="G1366" s="6" t="s">
        <v>4374</v>
      </c>
      <c r="H1366" s="8">
        <v>46471</v>
      </c>
      <c r="I1366" s="8">
        <v>44147</v>
      </c>
      <c r="J1366" s="8">
        <v>44180</v>
      </c>
      <c r="K1366" s="95">
        <v>44177</v>
      </c>
      <c r="L1366" s="95" t="s">
        <v>359</v>
      </c>
      <c r="R1366" s="97" t="str">
        <f t="shared" si="54"/>
        <v/>
      </c>
      <c r="S1366" s="75" t="str">
        <f t="shared" si="55"/>
        <v/>
      </c>
      <c r="W1366" s="6" t="s">
        <v>84</v>
      </c>
      <c r="X1366" s="95">
        <v>48987</v>
      </c>
    </row>
    <row r="1367" spans="1:24" ht="75" x14ac:dyDescent="0.25">
      <c r="A1367" s="6" t="s">
        <v>37</v>
      </c>
      <c r="B1367" s="94" t="s">
        <v>4375</v>
      </c>
      <c r="C1367" s="6" t="s">
        <v>4376</v>
      </c>
      <c r="D1367" s="140">
        <v>11993612</v>
      </c>
      <c r="E1367" s="6" t="s">
        <v>3008</v>
      </c>
      <c r="F1367" s="10" t="s">
        <v>44</v>
      </c>
      <c r="G1367" s="6" t="s">
        <v>4377</v>
      </c>
      <c r="H1367" s="8">
        <v>46947</v>
      </c>
      <c r="I1367" s="8">
        <v>43803</v>
      </c>
      <c r="J1367" s="8">
        <v>43907</v>
      </c>
      <c r="K1367" s="95">
        <v>43908</v>
      </c>
      <c r="L1367" s="95" t="s">
        <v>31</v>
      </c>
      <c r="M1367" s="8">
        <v>44056</v>
      </c>
      <c r="N1367" s="8">
        <v>44153</v>
      </c>
      <c r="O1367" s="8">
        <v>44137</v>
      </c>
      <c r="P1367" s="6" t="s">
        <v>75</v>
      </c>
      <c r="R1367" s="97" t="str">
        <f t="shared" si="54"/>
        <v/>
      </c>
      <c r="S1367" s="75" t="str">
        <f t="shared" si="55"/>
        <v/>
      </c>
      <c r="T1367" s="124" t="s">
        <v>4378</v>
      </c>
      <c r="U1367" s="8">
        <v>44153</v>
      </c>
      <c r="W1367" s="6" t="s">
        <v>33</v>
      </c>
      <c r="X1367" s="95">
        <v>51503</v>
      </c>
    </row>
    <row r="1368" spans="1:24" x14ac:dyDescent="0.25">
      <c r="A1368" s="6" t="s">
        <v>37</v>
      </c>
      <c r="B1368" s="94" t="s">
        <v>4379</v>
      </c>
      <c r="C1368" s="6" t="s">
        <v>4380</v>
      </c>
      <c r="D1368" s="140">
        <v>11162726</v>
      </c>
      <c r="E1368" s="6" t="s">
        <v>4381</v>
      </c>
      <c r="F1368" s="10" t="s">
        <v>44</v>
      </c>
      <c r="G1368" s="6" t="s">
        <v>4382</v>
      </c>
      <c r="H1368" s="8">
        <v>49029</v>
      </c>
      <c r="I1368" s="8">
        <v>44208</v>
      </c>
      <c r="J1368" s="8">
        <v>44224</v>
      </c>
      <c r="K1368" s="95">
        <v>44225</v>
      </c>
      <c r="L1368" s="95" t="s">
        <v>31</v>
      </c>
      <c r="M1368" s="8">
        <v>44230</v>
      </c>
      <c r="N1368" s="8">
        <v>44571</v>
      </c>
      <c r="O1368" s="8">
        <v>44552</v>
      </c>
      <c r="P1368" s="6" t="s">
        <v>35</v>
      </c>
      <c r="Q1368" s="96">
        <v>4443</v>
      </c>
      <c r="R1368" s="97">
        <f t="shared" si="54"/>
        <v>12.172602739726027</v>
      </c>
      <c r="S1368" s="75">
        <f t="shared" si="55"/>
        <v>100533.52602739727</v>
      </c>
      <c r="U1368" s="8">
        <v>44587</v>
      </c>
      <c r="W1368" s="6" t="s">
        <v>33</v>
      </c>
      <c r="X1368" s="95">
        <v>49240</v>
      </c>
    </row>
    <row r="1369" spans="1:24" x14ac:dyDescent="0.25">
      <c r="A1369" s="6" t="s">
        <v>37</v>
      </c>
      <c r="B1369" s="94" t="s">
        <v>4383</v>
      </c>
      <c r="C1369" s="6" t="s">
        <v>4384</v>
      </c>
      <c r="D1369" s="140">
        <v>11362128</v>
      </c>
      <c r="E1369" s="6" t="s">
        <v>1236</v>
      </c>
      <c r="F1369" s="10" t="s">
        <v>29</v>
      </c>
      <c r="G1369" s="6" t="s">
        <v>4385</v>
      </c>
      <c r="H1369" s="8">
        <v>44748</v>
      </c>
      <c r="I1369" s="8">
        <v>43474</v>
      </c>
      <c r="J1369" s="8">
        <v>43479</v>
      </c>
      <c r="K1369" s="95">
        <v>43497</v>
      </c>
      <c r="L1369" s="95" t="s">
        <v>31</v>
      </c>
      <c r="M1369" s="8">
        <v>43507</v>
      </c>
      <c r="N1369" s="8">
        <v>43741</v>
      </c>
      <c r="O1369" s="8">
        <v>43741</v>
      </c>
      <c r="P1369" s="6" t="s">
        <v>75</v>
      </c>
      <c r="R1369" s="97" t="str">
        <f t="shared" si="54"/>
        <v/>
      </c>
      <c r="S1369" s="75" t="str">
        <f t="shared" si="55"/>
        <v/>
      </c>
      <c r="U1369" s="8">
        <v>43741</v>
      </c>
      <c r="W1369" s="6" t="s">
        <v>33</v>
      </c>
      <c r="X1369" s="95">
        <v>45700</v>
      </c>
    </row>
    <row r="1370" spans="1:24" x14ac:dyDescent="0.25">
      <c r="A1370" s="6" t="s">
        <v>37</v>
      </c>
      <c r="B1370" s="94" t="s">
        <v>4386</v>
      </c>
      <c r="C1370" s="6" t="s">
        <v>4387</v>
      </c>
      <c r="D1370" s="140">
        <v>11991424</v>
      </c>
      <c r="E1370" s="6" t="s">
        <v>2764</v>
      </c>
      <c r="F1370" s="10" t="s">
        <v>44</v>
      </c>
      <c r="G1370" s="6" t="s">
        <v>4388</v>
      </c>
      <c r="H1370" s="8">
        <v>46555</v>
      </c>
      <c r="I1370" s="8">
        <v>44256</v>
      </c>
      <c r="J1370" s="8">
        <v>44267</v>
      </c>
      <c r="K1370" s="95">
        <v>44271</v>
      </c>
      <c r="L1370" s="95" t="s">
        <v>31</v>
      </c>
      <c r="M1370" s="8">
        <v>44273</v>
      </c>
      <c r="R1370" s="97" t="str">
        <f t="shared" si="54"/>
        <v/>
      </c>
      <c r="S1370" s="75" t="str">
        <f t="shared" si="55"/>
        <v/>
      </c>
      <c r="W1370" s="6" t="s">
        <v>33</v>
      </c>
      <c r="X1370" s="7">
        <v>49025</v>
      </c>
    </row>
    <row r="1371" spans="1:24" x14ac:dyDescent="0.25">
      <c r="A1371" s="6" t="s">
        <v>37</v>
      </c>
      <c r="B1371" s="94" t="s">
        <v>4389</v>
      </c>
      <c r="C1371" s="6" t="s">
        <v>4390</v>
      </c>
      <c r="D1371" s="140">
        <v>11277303</v>
      </c>
      <c r="E1371" s="6" t="s">
        <v>4391</v>
      </c>
      <c r="F1371" s="10" t="s">
        <v>44</v>
      </c>
      <c r="G1371" s="6" t="s">
        <v>4392</v>
      </c>
      <c r="H1371" s="8">
        <v>44899</v>
      </c>
      <c r="I1371" s="8">
        <v>44314</v>
      </c>
      <c r="J1371" s="8">
        <v>44306</v>
      </c>
      <c r="K1371" s="95">
        <v>44312</v>
      </c>
      <c r="L1371" s="95" t="s">
        <v>31</v>
      </c>
      <c r="M1371" s="8">
        <v>44314</v>
      </c>
      <c r="R1371" s="97" t="str">
        <f t="shared" si="54"/>
        <v/>
      </c>
      <c r="S1371" s="75" t="str">
        <f t="shared" si="55"/>
        <v/>
      </c>
      <c r="T1371" s="129" t="s">
        <v>4393</v>
      </c>
      <c r="U1371" s="8">
        <v>44783</v>
      </c>
      <c r="W1371" s="6" t="s">
        <v>33</v>
      </c>
      <c r="X1371" s="7">
        <v>45999</v>
      </c>
    </row>
    <row r="1372" spans="1:24" ht="30" x14ac:dyDescent="0.25">
      <c r="A1372" s="6" t="s">
        <v>37</v>
      </c>
      <c r="B1372" s="94" t="s">
        <v>590</v>
      </c>
      <c r="C1372" s="6" t="s">
        <v>4394</v>
      </c>
      <c r="D1372" s="140">
        <v>11205948</v>
      </c>
      <c r="E1372" s="6" t="s">
        <v>4202</v>
      </c>
      <c r="F1372" s="10" t="s">
        <v>29</v>
      </c>
      <c r="G1372" s="6" t="s">
        <v>4395</v>
      </c>
      <c r="H1372" s="8">
        <v>44223</v>
      </c>
      <c r="I1372" s="8">
        <v>43657</v>
      </c>
      <c r="J1372" s="8">
        <v>43662</v>
      </c>
      <c r="K1372" s="95">
        <v>43665</v>
      </c>
      <c r="L1372" s="95" t="s">
        <v>31</v>
      </c>
      <c r="M1372" s="8">
        <v>43668</v>
      </c>
      <c r="N1372" s="8">
        <v>43833</v>
      </c>
      <c r="O1372" s="8">
        <v>43801</v>
      </c>
      <c r="P1372" s="6" t="s">
        <v>52</v>
      </c>
      <c r="R1372" s="97" t="str">
        <f t="shared" si="54"/>
        <v/>
      </c>
      <c r="S1372" s="75" t="str">
        <f t="shared" si="55"/>
        <v/>
      </c>
      <c r="T1372" s="124" t="s">
        <v>4396</v>
      </c>
      <c r="U1372" s="8">
        <v>43837</v>
      </c>
      <c r="W1372" s="6" t="s">
        <v>33</v>
      </c>
      <c r="X1372" s="95">
        <v>49229</v>
      </c>
    </row>
    <row r="1373" spans="1:24" x14ac:dyDescent="0.25">
      <c r="A1373" s="6" t="s">
        <v>37</v>
      </c>
      <c r="B1373" s="94" t="s">
        <v>590</v>
      </c>
      <c r="C1373" s="6" t="s">
        <v>4397</v>
      </c>
      <c r="D1373" s="140">
        <v>11280877</v>
      </c>
      <c r="E1373" s="6" t="s">
        <v>4398</v>
      </c>
      <c r="F1373" s="10" t="s">
        <v>143</v>
      </c>
      <c r="G1373" s="6" t="s">
        <v>4226</v>
      </c>
      <c r="H1373" s="8">
        <v>45882</v>
      </c>
      <c r="I1373" s="8">
        <v>44256</v>
      </c>
      <c r="J1373" s="8">
        <v>44267</v>
      </c>
      <c r="K1373" s="95">
        <v>44271</v>
      </c>
      <c r="L1373" s="95" t="s">
        <v>31</v>
      </c>
      <c r="M1373" s="8">
        <v>44273</v>
      </c>
      <c r="N1373" s="8">
        <v>44321</v>
      </c>
      <c r="O1373" s="8">
        <v>44314</v>
      </c>
      <c r="P1373" s="6" t="s">
        <v>75</v>
      </c>
      <c r="R1373" s="97" t="str">
        <f t="shared" si="54"/>
        <v/>
      </c>
      <c r="S1373" s="75" t="str">
        <f t="shared" si="55"/>
        <v/>
      </c>
      <c r="U1373" s="8">
        <v>44322</v>
      </c>
      <c r="W1373" s="6" t="s">
        <v>33</v>
      </c>
      <c r="X1373" s="7">
        <v>45230</v>
      </c>
    </row>
    <row r="1374" spans="1:24" x14ac:dyDescent="0.25">
      <c r="A1374" s="6" t="s">
        <v>37</v>
      </c>
      <c r="B1374" s="94" t="s">
        <v>4399</v>
      </c>
      <c r="C1374" s="6" t="s">
        <v>4400</v>
      </c>
      <c r="D1374" s="140">
        <v>11879796</v>
      </c>
      <c r="E1374" s="6" t="s">
        <v>3008</v>
      </c>
      <c r="F1374" s="10" t="s">
        <v>44</v>
      </c>
      <c r="G1374" s="6" t="s">
        <v>4401</v>
      </c>
      <c r="H1374" s="8">
        <v>45440</v>
      </c>
      <c r="I1374" s="8">
        <v>43895</v>
      </c>
      <c r="J1374" s="8">
        <v>44056</v>
      </c>
      <c r="K1374" s="95">
        <v>44056</v>
      </c>
      <c r="L1374" s="95" t="s">
        <v>31</v>
      </c>
      <c r="M1374" s="8">
        <v>44077</v>
      </c>
      <c r="N1374" s="108">
        <v>44274</v>
      </c>
      <c r="O1374" s="108">
        <v>44085</v>
      </c>
      <c r="P1374" s="107" t="s">
        <v>52</v>
      </c>
      <c r="Q1374" s="110"/>
      <c r="R1374" s="97" t="str">
        <f t="shared" si="54"/>
        <v/>
      </c>
      <c r="S1374" s="75" t="str">
        <f t="shared" si="55"/>
        <v/>
      </c>
      <c r="U1374" s="8">
        <v>44776</v>
      </c>
      <c r="W1374" s="6" t="s">
        <v>33</v>
      </c>
      <c r="X1374" s="95">
        <v>47114</v>
      </c>
    </row>
    <row r="1375" spans="1:24" x14ac:dyDescent="0.25">
      <c r="A1375" s="6" t="s">
        <v>37</v>
      </c>
      <c r="B1375" s="94" t="s">
        <v>4402</v>
      </c>
      <c r="C1375" s="6" t="s">
        <v>4403</v>
      </c>
      <c r="D1375" s="140">
        <v>11296605</v>
      </c>
      <c r="E1375" s="6" t="s">
        <v>4404</v>
      </c>
      <c r="F1375" s="10" t="s">
        <v>134</v>
      </c>
      <c r="G1375" s="6" t="s">
        <v>4405</v>
      </c>
      <c r="H1375" s="8">
        <v>45499</v>
      </c>
      <c r="I1375" s="8">
        <v>44062</v>
      </c>
      <c r="J1375" s="8">
        <v>44088</v>
      </c>
      <c r="K1375" s="95">
        <v>44088</v>
      </c>
      <c r="L1375" s="95" t="s">
        <v>31</v>
      </c>
      <c r="M1375" s="8">
        <v>44097</v>
      </c>
      <c r="N1375" s="108">
        <v>44335</v>
      </c>
      <c r="O1375" s="108">
        <v>44335</v>
      </c>
      <c r="P1375" s="107" t="s">
        <v>35</v>
      </c>
      <c r="Q1375" s="110">
        <v>1157</v>
      </c>
      <c r="R1375" s="97">
        <f t="shared" si="54"/>
        <v>3.1698630136986301</v>
      </c>
      <c r="S1375" s="75">
        <f t="shared" si="55"/>
        <v>26179.898630136988</v>
      </c>
      <c r="U1375" s="8">
        <v>44776</v>
      </c>
      <c r="W1375" s="6" t="s">
        <v>33</v>
      </c>
      <c r="X1375" s="135">
        <v>45908</v>
      </c>
    </row>
    <row r="1376" spans="1:24" x14ac:dyDescent="0.25">
      <c r="A1376" s="6" t="s">
        <v>168</v>
      </c>
      <c r="B1376" s="94" t="s">
        <v>4406</v>
      </c>
      <c r="C1376" s="6" t="s">
        <v>4407</v>
      </c>
      <c r="D1376" s="140">
        <v>12007811</v>
      </c>
      <c r="E1376" s="6" t="s">
        <v>80</v>
      </c>
      <c r="F1376" s="10" t="s">
        <v>44</v>
      </c>
      <c r="G1376" s="6" t="s">
        <v>4408</v>
      </c>
      <c r="H1376" s="8">
        <v>51176</v>
      </c>
      <c r="I1376" s="8">
        <v>43529</v>
      </c>
      <c r="J1376" s="8">
        <v>43545</v>
      </c>
      <c r="K1376" s="95">
        <v>43545</v>
      </c>
      <c r="L1376" s="95" t="s">
        <v>359</v>
      </c>
      <c r="N1376" s="8">
        <v>44533</v>
      </c>
      <c r="O1376" s="8">
        <v>44521</v>
      </c>
      <c r="P1376" s="6" t="s">
        <v>35</v>
      </c>
      <c r="Q1376" s="96">
        <v>6579</v>
      </c>
      <c r="R1376" s="97">
        <f t="shared" si="54"/>
        <v>18.024657534246575</v>
      </c>
      <c r="S1376" s="75">
        <f t="shared" si="55"/>
        <v>148865.64657534246</v>
      </c>
      <c r="U1376" s="8">
        <v>44533</v>
      </c>
      <c r="W1376" s="6" t="s">
        <v>84</v>
      </c>
      <c r="X1376" s="95">
        <v>46873</v>
      </c>
    </row>
    <row r="1377" spans="1:24" x14ac:dyDescent="0.25">
      <c r="A1377" s="6" t="s">
        <v>37</v>
      </c>
      <c r="B1377" s="94" t="s">
        <v>4409</v>
      </c>
      <c r="C1377" s="6" t="s">
        <v>4410</v>
      </c>
      <c r="D1377" s="140">
        <v>11158928</v>
      </c>
      <c r="E1377" s="6" t="s">
        <v>4411</v>
      </c>
      <c r="F1377" s="10" t="s">
        <v>134</v>
      </c>
      <c r="G1377" s="6" t="s">
        <v>4412</v>
      </c>
      <c r="H1377" s="8">
        <v>44750</v>
      </c>
      <c r="I1377" s="8">
        <v>44054</v>
      </c>
      <c r="J1377" s="8">
        <v>44064</v>
      </c>
      <c r="K1377" s="95">
        <v>44070</v>
      </c>
      <c r="L1377" s="95" t="s">
        <v>31</v>
      </c>
      <c r="M1377" s="8">
        <v>44100</v>
      </c>
      <c r="N1377" s="8">
        <v>44263</v>
      </c>
      <c r="O1377" s="8">
        <v>44204</v>
      </c>
      <c r="P1377" s="6" t="s">
        <v>52</v>
      </c>
      <c r="R1377" s="97" t="str">
        <f t="shared" si="54"/>
        <v/>
      </c>
      <c r="S1377" s="75" t="str">
        <f t="shared" si="55"/>
        <v/>
      </c>
      <c r="U1377" s="8">
        <v>44263</v>
      </c>
      <c r="W1377" s="6" t="s">
        <v>33</v>
      </c>
      <c r="X1377" s="135">
        <v>47754</v>
      </c>
    </row>
    <row r="1378" spans="1:24" ht="30" x14ac:dyDescent="0.25">
      <c r="A1378" s="6" t="s">
        <v>37</v>
      </c>
      <c r="B1378" s="94" t="s">
        <v>4413</v>
      </c>
      <c r="C1378" s="6" t="s">
        <v>4414</v>
      </c>
      <c r="D1378" s="140">
        <v>11238644</v>
      </c>
      <c r="E1378" s="6" t="s">
        <v>3243</v>
      </c>
      <c r="F1378" s="10" t="s">
        <v>44</v>
      </c>
      <c r="G1378" s="6" t="s">
        <v>4415</v>
      </c>
      <c r="H1378" s="8">
        <v>45328</v>
      </c>
      <c r="I1378" s="8">
        <v>44208</v>
      </c>
      <c r="J1378" s="8">
        <v>44236</v>
      </c>
      <c r="K1378" s="95">
        <v>44238</v>
      </c>
      <c r="L1378" s="95" t="s">
        <v>31</v>
      </c>
      <c r="M1378" s="8">
        <v>44244</v>
      </c>
      <c r="N1378" s="8">
        <v>44364</v>
      </c>
      <c r="O1378" s="8">
        <v>44335</v>
      </c>
      <c r="P1378" s="6" t="s">
        <v>90</v>
      </c>
      <c r="Q1378" s="96">
        <v>986</v>
      </c>
      <c r="R1378" s="97">
        <f t="shared" si="54"/>
        <v>2.7013698630136984</v>
      </c>
      <c r="S1378" s="75">
        <f t="shared" si="55"/>
        <v>22310.613698630139</v>
      </c>
      <c r="T1378" s="124" t="s">
        <v>4416</v>
      </c>
      <c r="U1378" s="8">
        <v>44364</v>
      </c>
      <c r="V1378" s="6" t="s">
        <v>581</v>
      </c>
      <c r="W1378" s="6" t="s">
        <v>33</v>
      </c>
      <c r="X1378" s="95">
        <v>49568</v>
      </c>
    </row>
    <row r="1379" spans="1:24" x14ac:dyDescent="0.25">
      <c r="A1379" s="6" t="s">
        <v>65</v>
      </c>
      <c r="B1379" s="94" t="s">
        <v>920</v>
      </c>
      <c r="C1379" s="6" t="s">
        <v>4417</v>
      </c>
      <c r="D1379" s="140">
        <v>11375135</v>
      </c>
      <c r="E1379" s="6" t="s">
        <v>1566</v>
      </c>
      <c r="F1379" s="10" t="s">
        <v>29</v>
      </c>
      <c r="G1379" s="6" t="s">
        <v>1247</v>
      </c>
      <c r="H1379" s="8">
        <v>48332</v>
      </c>
      <c r="I1379" s="8">
        <v>43348</v>
      </c>
      <c r="J1379" s="8">
        <v>43348</v>
      </c>
      <c r="K1379" s="95">
        <v>43369</v>
      </c>
      <c r="L1379" s="95" t="s">
        <v>31</v>
      </c>
      <c r="M1379" s="8">
        <v>43374</v>
      </c>
      <c r="N1379" s="8">
        <v>44301</v>
      </c>
      <c r="O1379" s="8">
        <v>44287</v>
      </c>
      <c r="P1379" s="6" t="s">
        <v>75</v>
      </c>
      <c r="R1379" s="97" t="str">
        <f t="shared" si="54"/>
        <v/>
      </c>
      <c r="S1379" s="75" t="str">
        <f t="shared" si="55"/>
        <v/>
      </c>
      <c r="U1379" s="8">
        <v>44301</v>
      </c>
      <c r="W1379" s="6" t="s">
        <v>33</v>
      </c>
      <c r="X1379" s="95">
        <v>44735</v>
      </c>
    </row>
    <row r="1380" spans="1:24" x14ac:dyDescent="0.25">
      <c r="A1380" s="6" t="s">
        <v>37</v>
      </c>
      <c r="B1380" s="94" t="s">
        <v>4418</v>
      </c>
      <c r="C1380" s="6" t="s">
        <v>4419</v>
      </c>
      <c r="D1380" s="140">
        <v>11146748</v>
      </c>
      <c r="E1380" s="6" t="s">
        <v>3931</v>
      </c>
      <c r="F1380" s="10" t="s">
        <v>62</v>
      </c>
      <c r="G1380" s="6" t="s">
        <v>4420</v>
      </c>
      <c r="H1380" s="8">
        <v>45566</v>
      </c>
      <c r="I1380" s="8">
        <v>44110</v>
      </c>
      <c r="J1380" s="8">
        <v>44120</v>
      </c>
      <c r="K1380" s="95">
        <v>44121</v>
      </c>
      <c r="L1380" s="95" t="s">
        <v>31</v>
      </c>
      <c r="M1380" s="8">
        <v>44141</v>
      </c>
      <c r="R1380" s="97" t="str">
        <f t="shared" si="54"/>
        <v/>
      </c>
      <c r="S1380" s="75" t="str">
        <f t="shared" si="55"/>
        <v/>
      </c>
      <c r="W1380" s="6" t="s">
        <v>33</v>
      </c>
      <c r="X1380" s="135">
        <v>50603</v>
      </c>
    </row>
    <row r="1381" spans="1:24" x14ac:dyDescent="0.25">
      <c r="A1381" s="6" t="s">
        <v>25</v>
      </c>
      <c r="B1381" s="94" t="s">
        <v>3823</v>
      </c>
      <c r="C1381" s="6" t="s">
        <v>4421</v>
      </c>
      <c r="D1381" s="140">
        <v>11994569</v>
      </c>
      <c r="E1381" s="6" t="s">
        <v>3210</v>
      </c>
      <c r="F1381" s="10" t="s">
        <v>3160</v>
      </c>
      <c r="G1381" s="6">
        <v>12006702</v>
      </c>
      <c r="H1381" s="8">
        <v>45819</v>
      </c>
      <c r="I1381" s="8">
        <v>43822</v>
      </c>
      <c r="J1381" s="8">
        <v>43822</v>
      </c>
      <c r="K1381" s="95">
        <v>43899</v>
      </c>
      <c r="L1381" s="95" t="s">
        <v>31</v>
      </c>
      <c r="M1381" s="8">
        <v>43909</v>
      </c>
      <c r="N1381" s="8">
        <v>44256</v>
      </c>
      <c r="O1381" s="8">
        <v>44021</v>
      </c>
      <c r="P1381" s="6" t="s">
        <v>90</v>
      </c>
      <c r="Q1381" s="96">
        <v>1790</v>
      </c>
      <c r="R1381" s="97">
        <f t="shared" si="54"/>
        <v>4.904109589041096</v>
      </c>
      <c r="S1381" s="75">
        <f t="shared" si="55"/>
        <v>40503.04109589041</v>
      </c>
      <c r="T1381" s="124" t="s">
        <v>4422</v>
      </c>
      <c r="U1381" s="8">
        <v>44256</v>
      </c>
      <c r="W1381" s="6" t="s">
        <v>33</v>
      </c>
      <c r="X1381" s="95">
        <v>50108</v>
      </c>
    </row>
    <row r="1382" spans="1:24" x14ac:dyDescent="0.25">
      <c r="A1382" s="6" t="s">
        <v>168</v>
      </c>
      <c r="B1382" s="94" t="s">
        <v>4406</v>
      </c>
      <c r="C1382" s="6" t="s">
        <v>4407</v>
      </c>
      <c r="D1382" s="140">
        <v>12007811</v>
      </c>
      <c r="E1382" s="6" t="s">
        <v>1156</v>
      </c>
      <c r="F1382" s="10" t="s">
        <v>44</v>
      </c>
      <c r="G1382" s="6" t="s">
        <v>4408</v>
      </c>
      <c r="H1382" s="8">
        <v>51040</v>
      </c>
      <c r="I1382" s="8">
        <v>44256</v>
      </c>
      <c r="J1382" s="8">
        <v>44267</v>
      </c>
      <c r="K1382" s="95">
        <v>44267</v>
      </c>
      <c r="L1382" s="95" t="s">
        <v>31</v>
      </c>
      <c r="M1382" s="8">
        <v>44272</v>
      </c>
      <c r="N1382" s="8">
        <v>44652</v>
      </c>
      <c r="O1382" s="8">
        <v>44515</v>
      </c>
      <c r="P1382" s="6" t="s">
        <v>35</v>
      </c>
      <c r="Q1382" s="96">
        <v>2597</v>
      </c>
      <c r="R1382" s="97">
        <f t="shared" si="54"/>
        <v>7.1150684931506847</v>
      </c>
      <c r="S1382" s="75">
        <f t="shared" si="55"/>
        <v>58763.350684931509</v>
      </c>
      <c r="U1382" s="8">
        <v>44669</v>
      </c>
      <c r="W1382" s="6" t="s">
        <v>84</v>
      </c>
      <c r="X1382" s="7">
        <v>46873</v>
      </c>
    </row>
    <row r="1383" spans="1:24" x14ac:dyDescent="0.25">
      <c r="A1383" s="6" t="s">
        <v>70</v>
      </c>
      <c r="B1383" s="94" t="s">
        <v>4423</v>
      </c>
      <c r="C1383" s="6" t="s">
        <v>4424</v>
      </c>
      <c r="D1383" s="140">
        <v>12178770</v>
      </c>
      <c r="E1383" s="6" t="s">
        <v>199</v>
      </c>
      <c r="F1383" s="6" t="s">
        <v>57</v>
      </c>
      <c r="G1383" s="6" t="s">
        <v>4425</v>
      </c>
      <c r="H1383" s="8">
        <v>47654</v>
      </c>
      <c r="I1383" s="8">
        <v>43242</v>
      </c>
      <c r="J1383" s="8">
        <v>43243</v>
      </c>
      <c r="K1383" s="95">
        <v>43243</v>
      </c>
      <c r="L1383" s="95" t="s">
        <v>31</v>
      </c>
      <c r="M1383" s="8">
        <v>43251</v>
      </c>
      <c r="N1383" s="8">
        <v>43284</v>
      </c>
      <c r="P1383" s="101" t="s">
        <v>182</v>
      </c>
      <c r="R1383" s="97" t="str">
        <f t="shared" si="54"/>
        <v/>
      </c>
      <c r="S1383" s="75" t="str">
        <f t="shared" si="55"/>
        <v/>
      </c>
      <c r="U1383" s="8">
        <v>43284</v>
      </c>
      <c r="W1383" s="6" t="s">
        <v>33</v>
      </c>
      <c r="X1383" s="95">
        <v>54695</v>
      </c>
    </row>
    <row r="1384" spans="1:24" x14ac:dyDescent="0.25">
      <c r="A1384" s="6" t="s">
        <v>37</v>
      </c>
      <c r="B1384" s="94" t="s">
        <v>837</v>
      </c>
      <c r="C1384" s="6" t="s">
        <v>838</v>
      </c>
      <c r="D1384" s="140">
        <v>11886566</v>
      </c>
      <c r="E1384" s="6" t="s">
        <v>3671</v>
      </c>
      <c r="F1384" s="10" t="s">
        <v>44</v>
      </c>
      <c r="G1384" s="6" t="s">
        <v>840</v>
      </c>
      <c r="H1384" s="8">
        <v>47309</v>
      </c>
      <c r="I1384" s="8">
        <v>43726</v>
      </c>
      <c r="J1384" s="8">
        <v>43748</v>
      </c>
      <c r="K1384" s="95">
        <v>43753</v>
      </c>
      <c r="L1384" s="95" t="s">
        <v>359</v>
      </c>
      <c r="R1384" s="97" t="str">
        <f t="shared" si="54"/>
        <v/>
      </c>
      <c r="S1384" s="75" t="str">
        <f t="shared" si="55"/>
        <v/>
      </c>
      <c r="T1384" s="124" t="s">
        <v>4426</v>
      </c>
      <c r="W1384" s="6" t="s">
        <v>33</v>
      </c>
      <c r="X1384" s="95">
        <v>47816</v>
      </c>
    </row>
    <row r="1385" spans="1:24" x14ac:dyDescent="0.25">
      <c r="A1385" s="6" t="s">
        <v>37</v>
      </c>
      <c r="B1385" s="94" t="s">
        <v>1113</v>
      </c>
      <c r="C1385" s="6" t="s">
        <v>4427</v>
      </c>
      <c r="D1385" s="140">
        <v>12123139</v>
      </c>
      <c r="E1385" s="6" t="s">
        <v>3665</v>
      </c>
      <c r="F1385" s="10" t="s">
        <v>44</v>
      </c>
      <c r="G1385" s="6" t="s">
        <v>4428</v>
      </c>
      <c r="H1385" s="8">
        <v>46081</v>
      </c>
      <c r="I1385" s="8">
        <v>44130</v>
      </c>
      <c r="J1385" s="8">
        <v>44147</v>
      </c>
      <c r="K1385" s="95">
        <v>44144</v>
      </c>
      <c r="L1385" s="95" t="s">
        <v>31</v>
      </c>
      <c r="M1385" s="8">
        <v>44154</v>
      </c>
      <c r="N1385" s="8">
        <v>44320</v>
      </c>
      <c r="O1385" s="8">
        <v>44302</v>
      </c>
      <c r="P1385" s="6" t="s">
        <v>182</v>
      </c>
      <c r="R1385" s="97" t="str">
        <f t="shared" si="54"/>
        <v/>
      </c>
      <c r="S1385" s="75" t="str">
        <f t="shared" si="55"/>
        <v/>
      </c>
      <c r="U1385" s="8">
        <v>44320</v>
      </c>
      <c r="W1385" s="6" t="s">
        <v>33</v>
      </c>
      <c r="X1385" s="7">
        <v>46885</v>
      </c>
    </row>
    <row r="1386" spans="1:24" x14ac:dyDescent="0.25">
      <c r="A1386" s="6" t="s">
        <v>168</v>
      </c>
      <c r="B1386" s="94" t="s">
        <v>4429</v>
      </c>
      <c r="C1386" s="6" t="s">
        <v>4430</v>
      </c>
      <c r="D1386" s="140">
        <v>11132679</v>
      </c>
      <c r="E1386" s="6" t="s">
        <v>4431</v>
      </c>
      <c r="F1386" s="10" t="s">
        <v>528</v>
      </c>
      <c r="G1386" s="6" t="s">
        <v>4432</v>
      </c>
      <c r="H1386" s="8">
        <v>46845</v>
      </c>
      <c r="I1386" s="8">
        <v>43627</v>
      </c>
      <c r="J1386" s="8">
        <v>43635</v>
      </c>
      <c r="K1386" s="95">
        <v>43635</v>
      </c>
      <c r="L1386" s="95" t="s">
        <v>359</v>
      </c>
      <c r="R1386" s="97" t="str">
        <f t="shared" si="54"/>
        <v/>
      </c>
      <c r="S1386" s="75" t="str">
        <f t="shared" si="55"/>
        <v/>
      </c>
      <c r="W1386" s="6" t="s">
        <v>84</v>
      </c>
      <c r="X1386" s="95">
        <v>47602</v>
      </c>
    </row>
    <row r="1387" spans="1:24" x14ac:dyDescent="0.25">
      <c r="A1387" s="6" t="s">
        <v>168</v>
      </c>
      <c r="B1387" s="94" t="s">
        <v>598</v>
      </c>
      <c r="C1387" s="6" t="s">
        <v>4433</v>
      </c>
      <c r="D1387" s="140">
        <v>11665948</v>
      </c>
      <c r="E1387" s="6" t="s">
        <v>3410</v>
      </c>
      <c r="F1387" s="10" t="s">
        <v>44</v>
      </c>
      <c r="G1387" s="6" t="s">
        <v>4434</v>
      </c>
      <c r="H1387" s="8">
        <v>50951</v>
      </c>
      <c r="I1387" s="8">
        <v>43761</v>
      </c>
      <c r="J1387" s="8">
        <v>43787</v>
      </c>
      <c r="K1387" s="95">
        <v>43788</v>
      </c>
      <c r="L1387" s="95" t="s">
        <v>31</v>
      </c>
      <c r="M1387" s="8">
        <v>43794</v>
      </c>
      <c r="N1387" s="8">
        <v>43915</v>
      </c>
      <c r="O1387" s="8">
        <v>43910</v>
      </c>
      <c r="P1387" s="6" t="s">
        <v>90</v>
      </c>
      <c r="Q1387" s="96">
        <v>7027</v>
      </c>
      <c r="R1387" s="97">
        <f t="shared" si="54"/>
        <v>19.252054794520546</v>
      </c>
      <c r="S1387" s="75">
        <f t="shared" si="55"/>
        <v>159002.72054794521</v>
      </c>
      <c r="T1387" s="124" t="s">
        <v>4435</v>
      </c>
      <c r="U1387" s="8">
        <v>43917</v>
      </c>
      <c r="V1387" s="6" t="s">
        <v>36</v>
      </c>
      <c r="W1387" s="6" t="s">
        <v>84</v>
      </c>
      <c r="X1387" s="95">
        <v>37841</v>
      </c>
    </row>
    <row r="1388" spans="1:24" x14ac:dyDescent="0.25">
      <c r="A1388" s="6" t="s">
        <v>25</v>
      </c>
      <c r="B1388" s="94" t="s">
        <v>323</v>
      </c>
      <c r="C1388" s="6" t="s">
        <v>4436</v>
      </c>
      <c r="D1388" s="140">
        <v>11859407</v>
      </c>
      <c r="E1388" s="6" t="s">
        <v>157</v>
      </c>
      <c r="F1388" s="10" t="s">
        <v>44</v>
      </c>
      <c r="G1388" s="6" t="s">
        <v>4437</v>
      </c>
      <c r="H1388" s="8">
        <v>44577</v>
      </c>
      <c r="I1388" s="8">
        <v>43677</v>
      </c>
      <c r="J1388" s="8">
        <v>43677</v>
      </c>
      <c r="K1388" s="95">
        <v>43745</v>
      </c>
      <c r="L1388" s="95" t="s">
        <v>31</v>
      </c>
      <c r="M1388" s="8">
        <v>43749</v>
      </c>
      <c r="N1388" s="8">
        <v>43880</v>
      </c>
      <c r="O1388" s="8">
        <v>43867</v>
      </c>
      <c r="P1388" s="6" t="s">
        <v>52</v>
      </c>
      <c r="R1388" s="97" t="str">
        <f t="shared" si="54"/>
        <v/>
      </c>
      <c r="S1388" s="75" t="str">
        <f t="shared" si="55"/>
        <v/>
      </c>
      <c r="T1388" s="124" t="s">
        <v>4260</v>
      </c>
      <c r="U1388" s="8">
        <v>43880</v>
      </c>
      <c r="W1388" s="6" t="s">
        <v>33</v>
      </c>
      <c r="X1388" s="95">
        <v>50446</v>
      </c>
    </row>
    <row r="1389" spans="1:24" x14ac:dyDescent="0.25">
      <c r="A1389" s="6" t="s">
        <v>25</v>
      </c>
      <c r="B1389" s="94" t="s">
        <v>4438</v>
      </c>
      <c r="C1389" s="6" t="s">
        <v>4439</v>
      </c>
      <c r="D1389" s="140">
        <v>11232849</v>
      </c>
      <c r="E1389" s="6" t="s">
        <v>2037</v>
      </c>
      <c r="F1389" s="10" t="s">
        <v>134</v>
      </c>
      <c r="G1389" s="6" t="s">
        <v>4440</v>
      </c>
      <c r="H1389" s="8">
        <v>44329</v>
      </c>
      <c r="I1389" s="8">
        <v>43649</v>
      </c>
      <c r="J1389" s="8">
        <v>43649</v>
      </c>
      <c r="K1389" s="95">
        <v>43734</v>
      </c>
      <c r="L1389" s="95" t="s">
        <v>31</v>
      </c>
      <c r="M1389" s="8">
        <v>43749</v>
      </c>
      <c r="N1389" s="8">
        <v>43836</v>
      </c>
      <c r="O1389" s="8">
        <v>43810</v>
      </c>
      <c r="P1389" s="6" t="s">
        <v>52</v>
      </c>
      <c r="R1389" s="97" t="str">
        <f t="shared" si="54"/>
        <v/>
      </c>
      <c r="S1389" s="75" t="str">
        <f t="shared" si="55"/>
        <v/>
      </c>
      <c r="T1389" s="124" t="s">
        <v>4260</v>
      </c>
      <c r="U1389" s="8">
        <v>43836</v>
      </c>
      <c r="W1389" s="6" t="s">
        <v>33</v>
      </c>
      <c r="X1389" s="95">
        <v>44329</v>
      </c>
    </row>
    <row r="1390" spans="1:24" x14ac:dyDescent="0.25">
      <c r="A1390" s="6" t="s">
        <v>25</v>
      </c>
      <c r="B1390" s="94" t="s">
        <v>833</v>
      </c>
      <c r="C1390" s="6" t="s">
        <v>4441</v>
      </c>
      <c r="D1390" s="140">
        <v>11096149</v>
      </c>
      <c r="E1390" s="6" t="s">
        <v>1200</v>
      </c>
      <c r="F1390" s="10" t="s">
        <v>121</v>
      </c>
      <c r="G1390" s="6" t="s">
        <v>4442</v>
      </c>
      <c r="H1390" s="8">
        <v>44316</v>
      </c>
      <c r="I1390" s="8">
        <v>43649</v>
      </c>
      <c r="J1390" s="8">
        <v>43649</v>
      </c>
      <c r="K1390" s="95">
        <v>43734</v>
      </c>
      <c r="L1390" s="95" t="s">
        <v>359</v>
      </c>
      <c r="R1390" s="97" t="str">
        <f t="shared" si="54"/>
        <v/>
      </c>
      <c r="S1390" s="75" t="str">
        <f t="shared" si="55"/>
        <v/>
      </c>
      <c r="W1390" s="6" t="s">
        <v>33</v>
      </c>
      <c r="X1390" s="95">
        <v>42111</v>
      </c>
    </row>
    <row r="1391" spans="1:24" x14ac:dyDescent="0.25">
      <c r="A1391" s="6" t="s">
        <v>25</v>
      </c>
      <c r="B1391" s="94" t="s">
        <v>4443</v>
      </c>
      <c r="C1391" s="6" t="s">
        <v>4444</v>
      </c>
      <c r="D1391" s="140">
        <v>11999607</v>
      </c>
      <c r="E1391" s="6" t="s">
        <v>490</v>
      </c>
      <c r="F1391" s="10" t="s">
        <v>44</v>
      </c>
      <c r="G1391" s="6" t="s">
        <v>4445</v>
      </c>
      <c r="H1391" s="8">
        <v>44333</v>
      </c>
      <c r="I1391" s="8">
        <v>43649</v>
      </c>
      <c r="J1391" s="8">
        <v>43649</v>
      </c>
      <c r="K1391" s="95">
        <v>43734</v>
      </c>
      <c r="L1391" s="95" t="s">
        <v>359</v>
      </c>
      <c r="R1391" s="97" t="str">
        <f t="shared" si="54"/>
        <v/>
      </c>
      <c r="S1391" s="75" t="str">
        <f t="shared" si="55"/>
        <v/>
      </c>
      <c r="W1391" s="6" t="s">
        <v>33</v>
      </c>
      <c r="X1391" s="95">
        <v>53274</v>
      </c>
    </row>
    <row r="1392" spans="1:24" x14ac:dyDescent="0.25">
      <c r="A1392" s="6" t="s">
        <v>25</v>
      </c>
      <c r="B1392" s="94" t="s">
        <v>1265</v>
      </c>
      <c r="C1392" s="6" t="s">
        <v>4446</v>
      </c>
      <c r="D1392" s="140">
        <v>11244768</v>
      </c>
      <c r="E1392" s="6" t="s">
        <v>216</v>
      </c>
      <c r="F1392" s="10" t="s">
        <v>57</v>
      </c>
      <c r="G1392" s="6" t="s">
        <v>4447</v>
      </c>
      <c r="H1392" s="8">
        <v>44216</v>
      </c>
      <c r="I1392" s="8">
        <v>43649</v>
      </c>
      <c r="J1392" s="8">
        <v>43649</v>
      </c>
      <c r="K1392" s="95">
        <v>43734</v>
      </c>
      <c r="L1392" s="95" t="s">
        <v>31</v>
      </c>
      <c r="M1392" s="8">
        <v>43738</v>
      </c>
      <c r="N1392" s="8">
        <v>44057</v>
      </c>
      <c r="O1392" s="8">
        <v>44047</v>
      </c>
      <c r="P1392" s="6" t="s">
        <v>90</v>
      </c>
      <c r="Q1392" s="96">
        <v>365</v>
      </c>
      <c r="R1392" s="97">
        <f t="shared" si="54"/>
        <v>1</v>
      </c>
      <c r="S1392" s="75">
        <f t="shared" si="55"/>
        <v>8259</v>
      </c>
      <c r="T1392" s="124" t="s">
        <v>4448</v>
      </c>
      <c r="U1392" s="8">
        <v>44057</v>
      </c>
      <c r="V1392" s="6" t="s">
        <v>36</v>
      </c>
      <c r="W1392" s="6" t="s">
        <v>33</v>
      </c>
      <c r="X1392" s="95">
        <v>49722</v>
      </c>
    </row>
    <row r="1393" spans="1:24" x14ac:dyDescent="0.25">
      <c r="A1393" s="6" t="s">
        <v>25</v>
      </c>
      <c r="B1393" s="94" t="s">
        <v>145</v>
      </c>
      <c r="C1393" s="6" t="s">
        <v>4449</v>
      </c>
      <c r="D1393" s="140">
        <v>11352707</v>
      </c>
      <c r="E1393" s="6" t="s">
        <v>2195</v>
      </c>
      <c r="F1393" s="10" t="s">
        <v>134</v>
      </c>
      <c r="G1393" s="6" t="s">
        <v>4450</v>
      </c>
      <c r="H1393" s="8">
        <v>44290</v>
      </c>
      <c r="I1393" s="8">
        <v>43649</v>
      </c>
      <c r="J1393" s="8">
        <v>43649</v>
      </c>
      <c r="K1393" s="95">
        <v>43734</v>
      </c>
      <c r="L1393" s="95" t="s">
        <v>31</v>
      </c>
      <c r="M1393" s="8">
        <v>43738</v>
      </c>
      <c r="N1393" s="8">
        <v>43818</v>
      </c>
      <c r="O1393" s="8">
        <v>43808</v>
      </c>
      <c r="P1393" s="6" t="s">
        <v>75</v>
      </c>
      <c r="R1393" s="97" t="str">
        <f t="shared" si="54"/>
        <v/>
      </c>
      <c r="S1393" s="75" t="str">
        <f t="shared" si="55"/>
        <v/>
      </c>
      <c r="U1393" s="8">
        <v>43899</v>
      </c>
      <c r="W1393" s="6" t="s">
        <v>33</v>
      </c>
      <c r="X1393" s="95">
        <v>42303</v>
      </c>
    </row>
    <row r="1394" spans="1:24" x14ac:dyDescent="0.25">
      <c r="A1394" s="6" t="s">
        <v>25</v>
      </c>
      <c r="B1394" s="94" t="s">
        <v>4451</v>
      </c>
      <c r="C1394" s="6" t="s">
        <v>4452</v>
      </c>
      <c r="D1394" s="140">
        <v>11114173</v>
      </c>
      <c r="E1394" s="6" t="s">
        <v>43</v>
      </c>
      <c r="F1394" s="10" t="s">
        <v>44</v>
      </c>
      <c r="G1394" s="6" t="s">
        <v>4453</v>
      </c>
      <c r="H1394" s="8">
        <v>44315</v>
      </c>
      <c r="I1394" s="8">
        <v>43649</v>
      </c>
      <c r="J1394" s="8">
        <v>43649</v>
      </c>
      <c r="K1394" s="95">
        <v>43734</v>
      </c>
      <c r="L1394" s="95" t="s">
        <v>31</v>
      </c>
      <c r="M1394" s="8">
        <v>43738</v>
      </c>
      <c r="R1394" s="97" t="str">
        <f t="shared" si="54"/>
        <v/>
      </c>
      <c r="S1394" s="75" t="str">
        <f t="shared" si="55"/>
        <v/>
      </c>
      <c r="T1394" s="129" t="s">
        <v>4454</v>
      </c>
      <c r="U1394" s="8">
        <v>44783</v>
      </c>
      <c r="W1394" s="6" t="s">
        <v>33</v>
      </c>
      <c r="X1394" s="95">
        <v>50627</v>
      </c>
    </row>
    <row r="1395" spans="1:24" x14ac:dyDescent="0.25">
      <c r="A1395" s="6" t="s">
        <v>25</v>
      </c>
      <c r="B1395" s="94" t="s">
        <v>4455</v>
      </c>
      <c r="C1395" s="6" t="s">
        <v>4456</v>
      </c>
      <c r="D1395" s="140">
        <v>11509952</v>
      </c>
      <c r="E1395" s="6" t="s">
        <v>56</v>
      </c>
      <c r="F1395" s="10" t="s">
        <v>134</v>
      </c>
      <c r="G1395" s="6" t="s">
        <v>4457</v>
      </c>
      <c r="H1395" s="8">
        <v>44699</v>
      </c>
      <c r="I1395" s="8">
        <v>43480</v>
      </c>
      <c r="J1395" s="8">
        <v>43759</v>
      </c>
      <c r="K1395" s="95">
        <v>43818</v>
      </c>
      <c r="L1395" s="95" t="s">
        <v>31</v>
      </c>
      <c r="M1395" s="8">
        <v>43823</v>
      </c>
      <c r="N1395" s="108">
        <v>44036</v>
      </c>
      <c r="O1395" s="108">
        <v>44028</v>
      </c>
      <c r="P1395" s="107" t="s">
        <v>35</v>
      </c>
      <c r="Q1395" s="110">
        <v>658</v>
      </c>
      <c r="R1395" s="97">
        <f t="shared" si="54"/>
        <v>1.8027397260273972</v>
      </c>
      <c r="S1395" s="75">
        <f t="shared" si="55"/>
        <v>14888.827397260275</v>
      </c>
      <c r="U1395" s="8">
        <v>44776</v>
      </c>
      <c r="W1395" s="6" t="s">
        <v>33</v>
      </c>
      <c r="X1395" s="95">
        <v>50217</v>
      </c>
    </row>
    <row r="1396" spans="1:24" x14ac:dyDescent="0.25">
      <c r="A1396" s="6" t="s">
        <v>25</v>
      </c>
      <c r="B1396" s="94" t="s">
        <v>4458</v>
      </c>
      <c r="C1396" s="6" t="s">
        <v>4459</v>
      </c>
      <c r="D1396" s="140">
        <v>12100191</v>
      </c>
      <c r="E1396" s="6" t="s">
        <v>1996</v>
      </c>
      <c r="F1396" s="10" t="s">
        <v>44</v>
      </c>
      <c r="G1396" s="6" t="s">
        <v>4460</v>
      </c>
      <c r="H1396" s="8">
        <v>44308</v>
      </c>
      <c r="I1396" s="8">
        <v>43649</v>
      </c>
      <c r="J1396" s="8">
        <v>43649</v>
      </c>
      <c r="K1396" s="95">
        <v>43734</v>
      </c>
      <c r="L1396" s="95" t="s">
        <v>359</v>
      </c>
      <c r="R1396" s="97" t="str">
        <f t="shared" si="54"/>
        <v/>
      </c>
      <c r="S1396" s="75" t="str">
        <f t="shared" si="55"/>
        <v/>
      </c>
      <c r="W1396" s="6" t="s">
        <v>33</v>
      </c>
      <c r="X1396" s="95">
        <v>46439</v>
      </c>
    </row>
    <row r="1397" spans="1:24" x14ac:dyDescent="0.25">
      <c r="A1397" s="6" t="s">
        <v>168</v>
      </c>
      <c r="B1397" s="94" t="s">
        <v>598</v>
      </c>
      <c r="C1397" s="6" t="s">
        <v>4461</v>
      </c>
      <c r="D1397" s="140">
        <v>11234172</v>
      </c>
      <c r="E1397" s="6" t="s">
        <v>2187</v>
      </c>
      <c r="F1397" s="10" t="s">
        <v>363</v>
      </c>
      <c r="G1397" s="6">
        <v>145370</v>
      </c>
      <c r="H1397" s="8">
        <v>49117</v>
      </c>
      <c r="I1397" s="8">
        <v>44251</v>
      </c>
      <c r="J1397" s="8">
        <v>44267</v>
      </c>
      <c r="K1397" s="95">
        <v>44267</v>
      </c>
      <c r="L1397" s="95" t="s">
        <v>31</v>
      </c>
      <c r="M1397" s="8">
        <v>44272</v>
      </c>
      <c r="N1397" s="8">
        <v>44435</v>
      </c>
      <c r="O1397" s="8">
        <v>44427</v>
      </c>
      <c r="P1397" s="6" t="s">
        <v>75</v>
      </c>
      <c r="R1397" s="97" t="str">
        <f t="shared" si="54"/>
        <v/>
      </c>
      <c r="S1397" s="75" t="str">
        <f t="shared" si="55"/>
        <v/>
      </c>
      <c r="U1397" s="8">
        <v>44669</v>
      </c>
      <c r="W1397" s="6" t="s">
        <v>33</v>
      </c>
      <c r="X1397" s="7">
        <v>47807</v>
      </c>
    </row>
    <row r="1398" spans="1:24" x14ac:dyDescent="0.25">
      <c r="A1398" s="6" t="s">
        <v>37</v>
      </c>
      <c r="B1398" s="94" t="s">
        <v>4462</v>
      </c>
      <c r="C1398" s="6" t="s">
        <v>4463</v>
      </c>
      <c r="D1398" s="140">
        <v>12136982</v>
      </c>
      <c r="E1398" s="6" t="s">
        <v>3354</v>
      </c>
      <c r="F1398" s="10" t="s">
        <v>50</v>
      </c>
      <c r="G1398" s="6" t="s">
        <v>4464</v>
      </c>
      <c r="H1398" s="8">
        <v>48000</v>
      </c>
      <c r="I1398" s="8">
        <v>44141</v>
      </c>
      <c r="J1398" s="8">
        <v>44174</v>
      </c>
      <c r="K1398" s="95">
        <v>44152</v>
      </c>
      <c r="L1398" s="95" t="s">
        <v>31</v>
      </c>
      <c r="M1398" s="8">
        <v>44193</v>
      </c>
      <c r="R1398" s="97" t="str">
        <f t="shared" si="54"/>
        <v/>
      </c>
      <c r="S1398" s="75" t="str">
        <f t="shared" si="55"/>
        <v/>
      </c>
      <c r="W1398" s="6" t="s">
        <v>33</v>
      </c>
      <c r="X1398" s="95">
        <v>50324</v>
      </c>
    </row>
    <row r="1399" spans="1:24" ht="30" x14ac:dyDescent="0.25">
      <c r="A1399" s="6" t="s">
        <v>168</v>
      </c>
      <c r="B1399" s="94" t="s">
        <v>4465</v>
      </c>
      <c r="C1399" s="6" t="s">
        <v>4466</v>
      </c>
      <c r="D1399" s="140">
        <v>11212466</v>
      </c>
      <c r="E1399" s="6" t="s">
        <v>1539</v>
      </c>
      <c r="F1399" s="10" t="s">
        <v>143</v>
      </c>
      <c r="H1399" s="8">
        <v>85805</v>
      </c>
      <c r="I1399" s="95">
        <v>43146</v>
      </c>
      <c r="J1399" s="95">
        <v>43146</v>
      </c>
      <c r="K1399" s="95">
        <v>43146</v>
      </c>
      <c r="L1399" s="95" t="s">
        <v>31</v>
      </c>
      <c r="M1399" s="8">
        <v>43173</v>
      </c>
      <c r="N1399" s="8">
        <v>43343</v>
      </c>
      <c r="O1399" s="8">
        <v>43343</v>
      </c>
      <c r="P1399" s="6" t="s">
        <v>90</v>
      </c>
      <c r="Q1399" s="96">
        <v>5479</v>
      </c>
      <c r="R1399" s="97">
        <f t="shared" si="54"/>
        <v>15.010958904109589</v>
      </c>
      <c r="S1399" s="75">
        <f t="shared" si="55"/>
        <v>123975.5095890411</v>
      </c>
      <c r="T1399" s="124" t="s">
        <v>4467</v>
      </c>
      <c r="U1399" s="8">
        <v>43348</v>
      </c>
      <c r="V1399" s="6" t="s">
        <v>581</v>
      </c>
      <c r="W1399" s="6" t="s">
        <v>84</v>
      </c>
      <c r="X1399" s="95">
        <v>45433</v>
      </c>
    </row>
    <row r="1400" spans="1:24" x14ac:dyDescent="0.25">
      <c r="A1400" s="6" t="s">
        <v>168</v>
      </c>
      <c r="B1400" s="94" t="s">
        <v>873</v>
      </c>
      <c r="C1400" s="6" t="s">
        <v>4468</v>
      </c>
      <c r="D1400" s="140">
        <v>11644999</v>
      </c>
      <c r="E1400" s="6" t="s">
        <v>3362</v>
      </c>
      <c r="F1400" s="10" t="s">
        <v>44</v>
      </c>
      <c r="G1400" s="6" t="s">
        <v>4469</v>
      </c>
      <c r="H1400" s="8">
        <v>46736</v>
      </c>
      <c r="I1400" s="8">
        <v>44329</v>
      </c>
      <c r="J1400" s="8">
        <v>44343</v>
      </c>
      <c r="K1400" s="95">
        <v>44343</v>
      </c>
      <c r="L1400" s="95" t="s">
        <v>359</v>
      </c>
      <c r="R1400" s="97" t="str">
        <f t="shared" si="54"/>
        <v/>
      </c>
      <c r="S1400" s="75" t="str">
        <f t="shared" si="55"/>
        <v/>
      </c>
      <c r="W1400" s="6" t="s">
        <v>84</v>
      </c>
      <c r="X1400" s="7">
        <v>51878</v>
      </c>
    </row>
    <row r="1401" spans="1:24" x14ac:dyDescent="0.25">
      <c r="A1401" s="6" t="s">
        <v>37</v>
      </c>
      <c r="B1401" s="94" t="s">
        <v>4470</v>
      </c>
      <c r="C1401" s="6" t="s">
        <v>4471</v>
      </c>
      <c r="D1401" s="140">
        <v>11492218</v>
      </c>
      <c r="E1401" s="6" t="s">
        <v>2875</v>
      </c>
      <c r="F1401" s="10" t="s">
        <v>143</v>
      </c>
      <c r="G1401" s="6" t="s">
        <v>4472</v>
      </c>
      <c r="H1401" s="8">
        <v>51283</v>
      </c>
      <c r="I1401" s="8">
        <v>44270</v>
      </c>
      <c r="J1401" s="8">
        <v>44284</v>
      </c>
      <c r="K1401" s="95">
        <v>44285</v>
      </c>
      <c r="L1401" s="95" t="s">
        <v>31</v>
      </c>
      <c r="M1401" s="8">
        <v>44295</v>
      </c>
      <c r="N1401" s="8">
        <v>44655</v>
      </c>
      <c r="O1401" s="8">
        <v>44635</v>
      </c>
      <c r="P1401" s="6" t="s">
        <v>35</v>
      </c>
      <c r="Q1401" s="96">
        <v>5844</v>
      </c>
      <c r="R1401" s="97">
        <f t="shared" si="54"/>
        <v>16.010958904109589</v>
      </c>
      <c r="S1401" s="75">
        <f t="shared" si="55"/>
        <v>132234.50958904109</v>
      </c>
      <c r="U1401" s="8">
        <v>44669</v>
      </c>
      <c r="W1401" s="6" t="s">
        <v>33</v>
      </c>
      <c r="X1401" s="7">
        <v>46610</v>
      </c>
    </row>
    <row r="1402" spans="1:24" x14ac:dyDescent="0.25">
      <c r="A1402" s="6" t="s">
        <v>168</v>
      </c>
      <c r="B1402" s="94" t="s">
        <v>873</v>
      </c>
      <c r="C1402" s="6" t="s">
        <v>4473</v>
      </c>
      <c r="D1402" s="140">
        <v>11221410</v>
      </c>
      <c r="E1402" s="6" t="s">
        <v>4474</v>
      </c>
      <c r="F1402" s="10" t="s">
        <v>29</v>
      </c>
      <c r="G1402" s="6" t="s">
        <v>4475</v>
      </c>
      <c r="H1402" s="8">
        <v>71757</v>
      </c>
      <c r="I1402" s="8">
        <v>44418</v>
      </c>
      <c r="J1402" s="8">
        <v>44426</v>
      </c>
      <c r="K1402" s="95">
        <v>44431</v>
      </c>
      <c r="L1402" s="95" t="s">
        <v>359</v>
      </c>
      <c r="R1402" s="97" t="str">
        <f t="shared" si="54"/>
        <v/>
      </c>
      <c r="S1402" s="75" t="str">
        <f t="shared" si="55"/>
        <v/>
      </c>
      <c r="W1402" s="6" t="s">
        <v>84</v>
      </c>
      <c r="X1402" s="7">
        <v>48151</v>
      </c>
    </row>
    <row r="1403" spans="1:24" x14ac:dyDescent="0.25">
      <c r="A1403" s="6" t="s">
        <v>168</v>
      </c>
      <c r="B1403" s="94" t="s">
        <v>4476</v>
      </c>
      <c r="C1403" s="6" t="s">
        <v>4477</v>
      </c>
      <c r="D1403" s="140">
        <v>11914489</v>
      </c>
      <c r="E1403" s="6" t="s">
        <v>3534</v>
      </c>
      <c r="F1403" s="10" t="s">
        <v>363</v>
      </c>
      <c r="G1403" s="6">
        <v>240597</v>
      </c>
      <c r="H1403" s="8">
        <v>91048</v>
      </c>
      <c r="I1403" s="8">
        <v>44383</v>
      </c>
      <c r="J1403" s="8">
        <v>44406</v>
      </c>
      <c r="K1403" s="95">
        <v>44411</v>
      </c>
      <c r="L1403" s="95" t="s">
        <v>359</v>
      </c>
      <c r="R1403" s="97" t="str">
        <f t="shared" si="54"/>
        <v/>
      </c>
      <c r="S1403" s="75" t="str">
        <f t="shared" si="55"/>
        <v/>
      </c>
      <c r="W1403" s="6" t="s">
        <v>84</v>
      </c>
      <c r="X1403" s="7">
        <v>45085</v>
      </c>
    </row>
    <row r="1404" spans="1:24" x14ac:dyDescent="0.25">
      <c r="A1404" s="6" t="s">
        <v>168</v>
      </c>
      <c r="B1404" s="94" t="s">
        <v>4478</v>
      </c>
      <c r="C1404" s="6" t="s">
        <v>4479</v>
      </c>
      <c r="D1404" s="140">
        <v>11587190</v>
      </c>
      <c r="E1404" s="6" t="s">
        <v>3290</v>
      </c>
      <c r="F1404" s="10" t="s">
        <v>293</v>
      </c>
      <c r="G1404" s="6">
        <v>154129</v>
      </c>
      <c r="H1404" s="8">
        <v>44805</v>
      </c>
      <c r="I1404" s="8">
        <v>43888</v>
      </c>
      <c r="J1404" s="8">
        <v>43909</v>
      </c>
      <c r="K1404" s="95">
        <v>44025</v>
      </c>
      <c r="L1404" s="95" t="s">
        <v>31</v>
      </c>
      <c r="M1404" s="8">
        <v>44056</v>
      </c>
      <c r="N1404" s="8">
        <v>44320</v>
      </c>
      <c r="O1404" s="8">
        <v>44097</v>
      </c>
      <c r="P1404" s="6" t="s">
        <v>90</v>
      </c>
      <c r="Q1404" s="96">
        <v>701</v>
      </c>
      <c r="R1404" s="97">
        <f t="shared" si="54"/>
        <v>1.9205479452054794</v>
      </c>
      <c r="S1404" s="75">
        <f t="shared" si="55"/>
        <v>15861.805479452056</v>
      </c>
      <c r="T1404" s="124" t="s">
        <v>4480</v>
      </c>
      <c r="U1404" s="8">
        <v>44320</v>
      </c>
      <c r="V1404" s="6" t="s">
        <v>36</v>
      </c>
      <c r="W1404" s="6" t="s">
        <v>33</v>
      </c>
      <c r="X1404" s="95">
        <v>47903</v>
      </c>
    </row>
    <row r="1405" spans="1:24" x14ac:dyDescent="0.25">
      <c r="A1405" s="6" t="s">
        <v>25</v>
      </c>
      <c r="B1405" s="94" t="s">
        <v>4481</v>
      </c>
      <c r="C1405" s="6" t="s">
        <v>4482</v>
      </c>
      <c r="D1405" s="140">
        <v>11307498</v>
      </c>
      <c r="E1405" s="6" t="s">
        <v>480</v>
      </c>
      <c r="F1405" s="10" t="s">
        <v>121</v>
      </c>
      <c r="G1405" s="6" t="s">
        <v>4483</v>
      </c>
      <c r="H1405" s="8">
        <v>48738</v>
      </c>
      <c r="I1405" s="8">
        <v>43745</v>
      </c>
      <c r="J1405" s="8">
        <v>43747</v>
      </c>
      <c r="K1405" s="95">
        <v>43795</v>
      </c>
      <c r="L1405" s="95" t="s">
        <v>359</v>
      </c>
      <c r="R1405" s="97" t="str">
        <f t="shared" si="54"/>
        <v/>
      </c>
      <c r="S1405" s="75" t="str">
        <f t="shared" si="55"/>
        <v/>
      </c>
      <c r="W1405" s="6" t="s">
        <v>33</v>
      </c>
      <c r="X1405" s="95">
        <v>45381</v>
      </c>
    </row>
    <row r="1406" spans="1:24" x14ac:dyDescent="0.25">
      <c r="A1406" s="6" t="s">
        <v>25</v>
      </c>
      <c r="B1406" s="94" t="s">
        <v>2416</v>
      </c>
      <c r="C1406" s="6" t="s">
        <v>4484</v>
      </c>
      <c r="D1406" s="140">
        <v>11883441</v>
      </c>
      <c r="E1406" s="6" t="s">
        <v>204</v>
      </c>
      <c r="F1406" s="10" t="s">
        <v>44</v>
      </c>
      <c r="G1406" s="6" t="s">
        <v>4485</v>
      </c>
      <c r="H1406" s="8">
        <v>48788</v>
      </c>
      <c r="I1406" s="8">
        <v>43745</v>
      </c>
      <c r="J1406" s="8">
        <v>43747</v>
      </c>
      <c r="K1406" s="95">
        <v>43795</v>
      </c>
      <c r="L1406" s="95" t="s">
        <v>31</v>
      </c>
      <c r="M1406" s="8">
        <v>43805</v>
      </c>
      <c r="N1406" s="8">
        <v>43950</v>
      </c>
      <c r="O1406" s="8">
        <v>43879</v>
      </c>
      <c r="P1406" s="6" t="s">
        <v>182</v>
      </c>
      <c r="R1406" s="97" t="str">
        <f t="shared" si="54"/>
        <v/>
      </c>
      <c r="S1406" s="75" t="str">
        <f t="shared" si="55"/>
        <v/>
      </c>
      <c r="U1406" s="8">
        <v>43950</v>
      </c>
      <c r="W1406" s="6" t="s">
        <v>33</v>
      </c>
      <c r="X1406" s="95">
        <v>52121</v>
      </c>
    </row>
    <row r="1407" spans="1:24" x14ac:dyDescent="0.25">
      <c r="A1407" s="6" t="s">
        <v>25</v>
      </c>
      <c r="B1407" s="94" t="s">
        <v>4486</v>
      </c>
      <c r="C1407" s="6" t="s">
        <v>4487</v>
      </c>
      <c r="D1407" s="140">
        <v>11942914</v>
      </c>
      <c r="E1407" s="6" t="s">
        <v>826</v>
      </c>
      <c r="F1407" s="10" t="s">
        <v>44</v>
      </c>
      <c r="G1407" s="6" t="s">
        <v>4488</v>
      </c>
      <c r="H1407" s="8">
        <v>48816</v>
      </c>
      <c r="I1407" s="8">
        <v>43745</v>
      </c>
      <c r="J1407" s="8">
        <v>43747</v>
      </c>
      <c r="K1407" s="95">
        <v>43795</v>
      </c>
      <c r="L1407" s="95" t="s">
        <v>31</v>
      </c>
      <c r="M1407" s="8">
        <v>43805</v>
      </c>
      <c r="N1407" s="108">
        <v>44152</v>
      </c>
      <c r="O1407" s="108">
        <v>44075</v>
      </c>
      <c r="P1407" s="107" t="s">
        <v>35</v>
      </c>
      <c r="Q1407" s="110">
        <v>1545</v>
      </c>
      <c r="R1407" s="97">
        <f t="shared" si="54"/>
        <v>4.2328767123287667</v>
      </c>
      <c r="S1407" s="75">
        <f t="shared" si="55"/>
        <v>34959.32876712329</v>
      </c>
      <c r="U1407" s="8">
        <v>44776</v>
      </c>
      <c r="W1407" s="6" t="s">
        <v>33</v>
      </c>
      <c r="X1407" s="95">
        <v>52833</v>
      </c>
    </row>
    <row r="1408" spans="1:24" x14ac:dyDescent="0.25">
      <c r="A1408" s="6" t="s">
        <v>25</v>
      </c>
      <c r="B1408" s="94" t="s">
        <v>3191</v>
      </c>
      <c r="C1408" s="6" t="s">
        <v>4489</v>
      </c>
      <c r="D1408" s="140">
        <v>12004659</v>
      </c>
      <c r="E1408" s="6" t="s">
        <v>962</v>
      </c>
      <c r="F1408" s="10" t="s">
        <v>143</v>
      </c>
      <c r="G1408" s="6" t="s">
        <v>4490</v>
      </c>
      <c r="H1408" s="8">
        <v>48725</v>
      </c>
      <c r="I1408" s="8">
        <v>43745</v>
      </c>
      <c r="J1408" s="8">
        <v>43747</v>
      </c>
      <c r="K1408" s="95">
        <v>43795</v>
      </c>
      <c r="L1408" s="95" t="s">
        <v>31</v>
      </c>
      <c r="M1408" s="8">
        <v>43805</v>
      </c>
      <c r="N1408" s="8">
        <v>43865</v>
      </c>
      <c r="O1408" s="8">
        <v>43857</v>
      </c>
      <c r="P1408" s="6" t="s">
        <v>52</v>
      </c>
      <c r="R1408" s="97" t="str">
        <f t="shared" si="54"/>
        <v/>
      </c>
      <c r="S1408" s="75" t="str">
        <f t="shared" si="55"/>
        <v/>
      </c>
      <c r="U1408" s="8">
        <v>43865</v>
      </c>
      <c r="W1408" s="6" t="s">
        <v>33</v>
      </c>
      <c r="X1408" s="95">
        <v>48715</v>
      </c>
    </row>
    <row r="1409" spans="1:24" x14ac:dyDescent="0.25">
      <c r="A1409" s="6" t="s">
        <v>25</v>
      </c>
      <c r="B1409" s="94" t="s">
        <v>242</v>
      </c>
      <c r="C1409" s="6" t="s">
        <v>4491</v>
      </c>
      <c r="D1409" s="140">
        <v>11369514</v>
      </c>
      <c r="E1409" s="6" t="s">
        <v>4492</v>
      </c>
      <c r="F1409" s="10" t="s">
        <v>148</v>
      </c>
      <c r="G1409" s="6" t="s">
        <v>4493</v>
      </c>
      <c r="H1409" s="8">
        <v>48864</v>
      </c>
      <c r="I1409" s="8">
        <v>43745</v>
      </c>
      <c r="J1409" s="8">
        <v>43747</v>
      </c>
      <c r="K1409" s="95">
        <v>43795</v>
      </c>
      <c r="L1409" s="95" t="s">
        <v>359</v>
      </c>
      <c r="R1409" s="97" t="str">
        <f t="shared" si="54"/>
        <v/>
      </c>
      <c r="S1409" s="75" t="str">
        <f t="shared" si="55"/>
        <v/>
      </c>
      <c r="W1409" s="6" t="s">
        <v>33</v>
      </c>
      <c r="X1409" s="95">
        <v>55460</v>
      </c>
    </row>
    <row r="1410" spans="1:24" x14ac:dyDescent="0.25">
      <c r="A1410" s="6" t="s">
        <v>25</v>
      </c>
      <c r="B1410" s="94" t="s">
        <v>4494</v>
      </c>
      <c r="C1410" s="6" t="s">
        <v>4495</v>
      </c>
      <c r="D1410" s="140">
        <v>11847669</v>
      </c>
      <c r="E1410" s="6" t="s">
        <v>4496</v>
      </c>
      <c r="F1410" s="10" t="s">
        <v>299</v>
      </c>
      <c r="G1410" s="6" t="s">
        <v>4497</v>
      </c>
      <c r="H1410" s="8">
        <v>48875</v>
      </c>
      <c r="I1410" s="8">
        <v>43745</v>
      </c>
      <c r="J1410" s="8">
        <v>43747</v>
      </c>
      <c r="K1410" s="95">
        <v>43795</v>
      </c>
      <c r="L1410" s="95" t="s">
        <v>359</v>
      </c>
      <c r="R1410" s="97" t="str">
        <f t="shared" si="54"/>
        <v/>
      </c>
      <c r="S1410" s="75" t="str">
        <f t="shared" si="55"/>
        <v/>
      </c>
      <c r="W1410" s="6" t="s">
        <v>33</v>
      </c>
      <c r="X1410" s="95">
        <v>50925</v>
      </c>
    </row>
    <row r="1411" spans="1:24" ht="14.25" customHeight="1" x14ac:dyDescent="0.25">
      <c r="A1411" s="6" t="s">
        <v>25</v>
      </c>
      <c r="B1411" s="94" t="s">
        <v>3155</v>
      </c>
      <c r="C1411" s="6" t="s">
        <v>4498</v>
      </c>
      <c r="D1411" s="140">
        <v>1127145</v>
      </c>
      <c r="E1411" s="6" t="s">
        <v>1443</v>
      </c>
      <c r="F1411" s="10" t="s">
        <v>293</v>
      </c>
      <c r="G1411" s="6">
        <v>172500</v>
      </c>
      <c r="H1411" s="8">
        <v>48815</v>
      </c>
      <c r="I1411" s="8">
        <v>43745</v>
      </c>
      <c r="J1411" s="8">
        <v>43747</v>
      </c>
      <c r="K1411" s="95">
        <v>43795</v>
      </c>
      <c r="L1411" s="95" t="s">
        <v>359</v>
      </c>
      <c r="R1411" s="97" t="str">
        <f t="shared" si="54"/>
        <v/>
      </c>
      <c r="S1411" s="75" t="str">
        <f t="shared" si="55"/>
        <v/>
      </c>
      <c r="W1411" s="6" t="s">
        <v>33</v>
      </c>
      <c r="X1411" s="95">
        <v>46557</v>
      </c>
    </row>
    <row r="1412" spans="1:24" x14ac:dyDescent="0.25">
      <c r="A1412" s="6" t="s">
        <v>25</v>
      </c>
      <c r="B1412" s="94" t="s">
        <v>4499</v>
      </c>
      <c r="C1412" s="6" t="s">
        <v>2684</v>
      </c>
      <c r="D1412" s="140">
        <v>11182098</v>
      </c>
      <c r="E1412" s="6" t="s">
        <v>1082</v>
      </c>
      <c r="F1412" s="10" t="s">
        <v>134</v>
      </c>
      <c r="G1412" s="6" t="s">
        <v>2686</v>
      </c>
      <c r="H1412" s="8">
        <v>48853</v>
      </c>
      <c r="I1412" s="8">
        <v>43745</v>
      </c>
      <c r="J1412" s="8">
        <v>43747</v>
      </c>
      <c r="K1412" s="95">
        <v>43795</v>
      </c>
      <c r="L1412" s="95" t="s">
        <v>31</v>
      </c>
      <c r="M1412" s="8">
        <v>43805</v>
      </c>
      <c r="N1412" s="108">
        <v>43825</v>
      </c>
      <c r="O1412" s="108">
        <v>43759</v>
      </c>
      <c r="P1412" s="107" t="s">
        <v>75</v>
      </c>
      <c r="Q1412" s="110"/>
      <c r="R1412" s="97" t="str">
        <f t="shared" si="54"/>
        <v/>
      </c>
      <c r="S1412" s="75" t="str">
        <f t="shared" si="55"/>
        <v/>
      </c>
      <c r="U1412" s="8">
        <v>44776</v>
      </c>
      <c r="W1412" s="6" t="s">
        <v>33</v>
      </c>
      <c r="X1412" s="95">
        <v>50021</v>
      </c>
    </row>
    <row r="1413" spans="1:24" x14ac:dyDescent="0.25">
      <c r="A1413" s="6" t="s">
        <v>25</v>
      </c>
      <c r="B1413" s="94" t="s">
        <v>250</v>
      </c>
      <c r="C1413" s="6" t="s">
        <v>4500</v>
      </c>
      <c r="D1413" s="140">
        <v>11373534</v>
      </c>
      <c r="E1413" s="6" t="s">
        <v>236</v>
      </c>
      <c r="F1413" s="10" t="s">
        <v>57</v>
      </c>
      <c r="G1413" s="6" t="s">
        <v>4501</v>
      </c>
      <c r="H1413" s="8">
        <v>48955</v>
      </c>
      <c r="I1413" s="8">
        <v>43745</v>
      </c>
      <c r="J1413" s="8">
        <v>43747</v>
      </c>
      <c r="K1413" s="95">
        <v>43795</v>
      </c>
      <c r="L1413" s="95" t="s">
        <v>31</v>
      </c>
      <c r="M1413" s="8">
        <v>43805</v>
      </c>
      <c r="N1413" s="8">
        <v>44805</v>
      </c>
      <c r="O1413" s="8">
        <v>44799</v>
      </c>
      <c r="P1413" s="107"/>
      <c r="Q1413" s="96">
        <v>6570</v>
      </c>
      <c r="R1413" s="97">
        <f t="shared" si="54"/>
        <v>18</v>
      </c>
      <c r="S1413" s="75">
        <f t="shared" si="55"/>
        <v>148662</v>
      </c>
      <c r="T1413" s="129"/>
      <c r="U1413" s="8">
        <v>44965</v>
      </c>
      <c r="W1413" s="6" t="s">
        <v>33</v>
      </c>
      <c r="X1413" s="95">
        <v>46357</v>
      </c>
    </row>
    <row r="1414" spans="1:24" x14ac:dyDescent="0.25">
      <c r="A1414" s="6" t="s">
        <v>25</v>
      </c>
      <c r="B1414" s="94" t="s">
        <v>4502</v>
      </c>
      <c r="C1414" s="6" t="s">
        <v>4503</v>
      </c>
      <c r="D1414" s="140">
        <v>11990303</v>
      </c>
      <c r="E1414" s="6" t="s">
        <v>1539</v>
      </c>
      <c r="F1414" s="10" t="s">
        <v>121</v>
      </c>
      <c r="G1414" s="6" t="s">
        <v>4504</v>
      </c>
      <c r="H1414" s="8">
        <v>48966</v>
      </c>
      <c r="I1414" s="8">
        <v>43745</v>
      </c>
      <c r="J1414" s="8">
        <v>43747</v>
      </c>
      <c r="K1414" s="95">
        <v>43795</v>
      </c>
      <c r="L1414" s="95" t="s">
        <v>31</v>
      </c>
      <c r="M1414" s="8">
        <v>43805</v>
      </c>
      <c r="N1414" s="8">
        <v>43839</v>
      </c>
      <c r="O1414" s="8">
        <v>43819</v>
      </c>
      <c r="P1414" s="6" t="s">
        <v>52</v>
      </c>
      <c r="R1414" s="97" t="str">
        <f t="shared" ref="R1414:R1477" si="56">IF(Q1414&gt;0, Q1414/365, "")</f>
        <v/>
      </c>
      <c r="S1414" s="75" t="str">
        <f t="shared" ref="S1414:S1477" si="57">IF(Q1414&gt;0, SUM(Q1414)*(8259/365), "")</f>
        <v/>
      </c>
      <c r="T1414" s="124" t="s">
        <v>4260</v>
      </c>
      <c r="U1414" s="8">
        <v>43839</v>
      </c>
      <c r="W1414" s="6" t="s">
        <v>33</v>
      </c>
      <c r="X1414" s="95">
        <v>44347</v>
      </c>
    </row>
    <row r="1415" spans="1:24" x14ac:dyDescent="0.25">
      <c r="A1415" s="6" t="s">
        <v>37</v>
      </c>
      <c r="B1415" s="94" t="s">
        <v>505</v>
      </c>
      <c r="C1415" s="6" t="s">
        <v>4505</v>
      </c>
      <c r="D1415" s="140">
        <v>11938041</v>
      </c>
      <c r="E1415" s="6" t="s">
        <v>4506</v>
      </c>
      <c r="F1415" s="10" t="s">
        <v>62</v>
      </c>
      <c r="G1415" s="6" t="s">
        <v>4507</v>
      </c>
      <c r="H1415" s="8">
        <v>50697</v>
      </c>
      <c r="I1415" s="8">
        <v>44047</v>
      </c>
      <c r="J1415" s="8">
        <v>44078</v>
      </c>
      <c r="K1415" s="95">
        <v>44082</v>
      </c>
      <c r="L1415" s="95" t="s">
        <v>31</v>
      </c>
      <c r="M1415" s="8">
        <v>44099</v>
      </c>
      <c r="R1415" s="97" t="str">
        <f t="shared" si="56"/>
        <v/>
      </c>
      <c r="S1415" s="75" t="str">
        <f t="shared" si="57"/>
        <v/>
      </c>
      <c r="W1415" s="6" t="s">
        <v>33</v>
      </c>
      <c r="X1415" s="135">
        <v>50305</v>
      </c>
    </row>
    <row r="1416" spans="1:24" x14ac:dyDescent="0.25">
      <c r="A1416" s="6" t="s">
        <v>117</v>
      </c>
      <c r="B1416" s="94" t="s">
        <v>723</v>
      </c>
      <c r="C1416" s="6" t="s">
        <v>4508</v>
      </c>
      <c r="D1416" s="140">
        <v>11630804</v>
      </c>
      <c r="E1416" s="6" t="s">
        <v>4509</v>
      </c>
      <c r="F1416" s="10" t="s">
        <v>148</v>
      </c>
      <c r="G1416" s="6" t="s">
        <v>4510</v>
      </c>
      <c r="H1416" s="8">
        <v>49376</v>
      </c>
      <c r="I1416" s="8">
        <v>43726</v>
      </c>
      <c r="J1416" s="8">
        <v>43728</v>
      </c>
      <c r="K1416" s="95">
        <v>43731</v>
      </c>
      <c r="L1416" s="95" t="s">
        <v>31</v>
      </c>
      <c r="M1416" s="8">
        <v>43909</v>
      </c>
      <c r="N1416" s="8">
        <v>44497</v>
      </c>
      <c r="O1416" s="8">
        <v>44368</v>
      </c>
      <c r="P1416" s="6" t="s">
        <v>35</v>
      </c>
      <c r="Q1416" s="96">
        <v>365.25</v>
      </c>
      <c r="R1416" s="97">
        <f t="shared" si="56"/>
        <v>1.0006849315068493</v>
      </c>
      <c r="S1416" s="75">
        <f t="shared" si="57"/>
        <v>8264.656849315068</v>
      </c>
      <c r="T1416" s="124" t="s">
        <v>4511</v>
      </c>
      <c r="U1416" s="8">
        <v>44497</v>
      </c>
      <c r="W1416" s="6" t="s">
        <v>33</v>
      </c>
      <c r="X1416" s="95">
        <v>42589</v>
      </c>
    </row>
    <row r="1417" spans="1:24" x14ac:dyDescent="0.25">
      <c r="A1417" s="6" t="s">
        <v>168</v>
      </c>
      <c r="B1417" s="94" t="s">
        <v>4512</v>
      </c>
      <c r="C1417" s="6" t="s">
        <v>4513</v>
      </c>
      <c r="D1417" s="140">
        <v>11038931</v>
      </c>
      <c r="E1417" s="6" t="s">
        <v>171</v>
      </c>
      <c r="F1417" s="10" t="s">
        <v>134</v>
      </c>
      <c r="G1417" s="6" t="s">
        <v>4514</v>
      </c>
      <c r="H1417" s="8">
        <v>46909</v>
      </c>
      <c r="I1417" s="8">
        <v>44474</v>
      </c>
      <c r="J1417" s="8">
        <v>44489</v>
      </c>
      <c r="K1417" s="95">
        <v>44495</v>
      </c>
      <c r="L1417" s="95" t="s">
        <v>359</v>
      </c>
      <c r="R1417" s="97" t="str">
        <f t="shared" si="56"/>
        <v/>
      </c>
      <c r="S1417" s="75" t="str">
        <f t="shared" si="57"/>
        <v/>
      </c>
    </row>
    <row r="1418" spans="1:24" x14ac:dyDescent="0.25">
      <c r="A1418" s="6" t="s">
        <v>37</v>
      </c>
      <c r="B1418" s="94" t="s">
        <v>183</v>
      </c>
      <c r="C1418" s="6" t="s">
        <v>4515</v>
      </c>
      <c r="D1418" s="140">
        <v>11603926</v>
      </c>
      <c r="E1418" s="6" t="s">
        <v>3671</v>
      </c>
      <c r="F1418" s="10" t="s">
        <v>44</v>
      </c>
      <c r="G1418" s="6" t="s">
        <v>4516</v>
      </c>
      <c r="H1418" s="8">
        <v>48956</v>
      </c>
      <c r="I1418" s="8">
        <v>43602</v>
      </c>
      <c r="J1418" s="8">
        <v>43614</v>
      </c>
      <c r="K1418" s="95">
        <v>43614</v>
      </c>
      <c r="L1418" s="95" t="s">
        <v>31</v>
      </c>
      <c r="M1418" s="8">
        <v>43619</v>
      </c>
      <c r="N1418" s="8">
        <v>43726</v>
      </c>
      <c r="O1418" s="8">
        <v>43699</v>
      </c>
      <c r="P1418" s="6" t="s">
        <v>52</v>
      </c>
      <c r="R1418" s="97" t="str">
        <f t="shared" si="56"/>
        <v/>
      </c>
      <c r="S1418" s="75" t="str">
        <f t="shared" si="57"/>
        <v/>
      </c>
      <c r="W1418" s="6" t="s">
        <v>33</v>
      </c>
      <c r="X1418" s="95">
        <v>47944</v>
      </c>
    </row>
    <row r="1419" spans="1:24" x14ac:dyDescent="0.25">
      <c r="A1419" s="6" t="s">
        <v>25</v>
      </c>
      <c r="B1419" s="94" t="s">
        <v>4517</v>
      </c>
      <c r="C1419" s="6" t="s">
        <v>4518</v>
      </c>
      <c r="D1419" s="140">
        <v>11261626</v>
      </c>
      <c r="E1419" s="6" t="s">
        <v>2195</v>
      </c>
      <c r="F1419" s="10" t="s">
        <v>44</v>
      </c>
      <c r="G1419" s="6" t="s">
        <v>4519</v>
      </c>
      <c r="H1419" s="8">
        <v>44503</v>
      </c>
      <c r="I1419" s="8">
        <v>43682</v>
      </c>
      <c r="J1419" s="8">
        <v>43682</v>
      </c>
      <c r="K1419" s="95">
        <v>43759</v>
      </c>
      <c r="L1419" s="95" t="s">
        <v>359</v>
      </c>
      <c r="R1419" s="97" t="str">
        <f t="shared" si="56"/>
        <v/>
      </c>
      <c r="S1419" s="75" t="str">
        <f t="shared" si="57"/>
        <v/>
      </c>
      <c r="W1419" s="6" t="s">
        <v>33</v>
      </c>
      <c r="X1419" s="95">
        <v>50246</v>
      </c>
    </row>
    <row r="1420" spans="1:24" x14ac:dyDescent="0.25">
      <c r="A1420" s="6" t="s">
        <v>25</v>
      </c>
      <c r="B1420" s="94" t="s">
        <v>4520</v>
      </c>
      <c r="C1420" s="6" t="s">
        <v>4521</v>
      </c>
      <c r="D1420" s="140">
        <v>11194075</v>
      </c>
      <c r="E1420" s="6" t="s">
        <v>1185</v>
      </c>
      <c r="F1420" s="10" t="s">
        <v>29</v>
      </c>
      <c r="G1420" s="6" t="s">
        <v>4522</v>
      </c>
      <c r="H1420" s="8">
        <v>45956</v>
      </c>
      <c r="I1420" s="8">
        <v>43749</v>
      </c>
      <c r="J1420" s="8">
        <v>43752</v>
      </c>
      <c r="K1420" s="95">
        <v>43788</v>
      </c>
      <c r="L1420" s="95" t="s">
        <v>31</v>
      </c>
      <c r="M1420" s="8">
        <v>43795</v>
      </c>
      <c r="N1420" s="8">
        <v>44342</v>
      </c>
      <c r="O1420" s="8">
        <v>44326</v>
      </c>
      <c r="P1420" s="6" t="s">
        <v>35</v>
      </c>
      <c r="Q1420" s="96">
        <v>1412</v>
      </c>
      <c r="R1420" s="97">
        <f t="shared" si="56"/>
        <v>3.8684931506849316</v>
      </c>
      <c r="S1420" s="75">
        <f t="shared" si="57"/>
        <v>31949.884931506851</v>
      </c>
      <c r="U1420" s="8">
        <v>44344</v>
      </c>
      <c r="W1420" s="6" t="s">
        <v>33</v>
      </c>
      <c r="X1420" s="95">
        <v>48915</v>
      </c>
    </row>
    <row r="1421" spans="1:24" x14ac:dyDescent="0.25">
      <c r="A1421" s="6" t="s">
        <v>25</v>
      </c>
      <c r="B1421" s="94" t="s">
        <v>86</v>
      </c>
      <c r="C1421" s="6" t="s">
        <v>4523</v>
      </c>
      <c r="D1421" s="140">
        <v>12114024</v>
      </c>
      <c r="E1421" s="6" t="s">
        <v>162</v>
      </c>
      <c r="F1421" s="10" t="s">
        <v>44</v>
      </c>
      <c r="G1421" s="6" t="s">
        <v>4524</v>
      </c>
      <c r="H1421" s="8">
        <v>45828</v>
      </c>
      <c r="I1421" s="8">
        <v>43749</v>
      </c>
      <c r="J1421" s="8">
        <v>43752</v>
      </c>
      <c r="K1421" s="95">
        <v>43788</v>
      </c>
      <c r="L1421" s="95" t="s">
        <v>31</v>
      </c>
      <c r="M1421" s="8">
        <v>43795</v>
      </c>
      <c r="R1421" s="97" t="str">
        <f t="shared" si="56"/>
        <v/>
      </c>
      <c r="S1421" s="75" t="str">
        <f t="shared" si="57"/>
        <v/>
      </c>
      <c r="T1421" s="129" t="s">
        <v>711</v>
      </c>
      <c r="U1421" s="8">
        <v>44783</v>
      </c>
      <c r="W1421" s="6" t="s">
        <v>33</v>
      </c>
      <c r="X1421" s="95">
        <v>55163</v>
      </c>
    </row>
    <row r="1422" spans="1:24" ht="30" x14ac:dyDescent="0.25">
      <c r="A1422" s="6" t="s">
        <v>25</v>
      </c>
      <c r="B1422" s="94" t="s">
        <v>4525</v>
      </c>
      <c r="C1422" s="6" t="s">
        <v>4526</v>
      </c>
      <c r="D1422" s="140">
        <v>11167831</v>
      </c>
      <c r="E1422" s="6" t="s">
        <v>783</v>
      </c>
      <c r="F1422" s="10" t="s">
        <v>44</v>
      </c>
      <c r="G1422" s="6" t="s">
        <v>4527</v>
      </c>
      <c r="H1422" s="8">
        <v>45967</v>
      </c>
      <c r="I1422" s="8">
        <v>43749</v>
      </c>
      <c r="J1422" s="8">
        <v>43752</v>
      </c>
      <c r="K1422" s="95">
        <v>43788</v>
      </c>
      <c r="L1422" s="95" t="s">
        <v>31</v>
      </c>
      <c r="M1422" s="8">
        <v>43795</v>
      </c>
      <c r="N1422" s="8">
        <v>43837</v>
      </c>
      <c r="O1422" s="8">
        <v>43804</v>
      </c>
      <c r="P1422" s="6" t="s">
        <v>52</v>
      </c>
      <c r="R1422" s="97" t="str">
        <f t="shared" si="56"/>
        <v/>
      </c>
      <c r="S1422" s="75" t="str">
        <f t="shared" si="57"/>
        <v/>
      </c>
      <c r="T1422" s="124" t="s">
        <v>4528</v>
      </c>
      <c r="U1422" s="8">
        <v>43837</v>
      </c>
      <c r="W1422" s="6" t="s">
        <v>33</v>
      </c>
      <c r="X1422" s="95">
        <v>50010</v>
      </c>
    </row>
    <row r="1423" spans="1:24" x14ac:dyDescent="0.25">
      <c r="A1423" s="6" t="s">
        <v>25</v>
      </c>
      <c r="B1423" s="94" t="s">
        <v>2245</v>
      </c>
      <c r="C1423" s="6" t="s">
        <v>4529</v>
      </c>
      <c r="D1423" s="140">
        <v>11106587</v>
      </c>
      <c r="E1423" s="6" t="s">
        <v>49</v>
      </c>
      <c r="F1423" s="10" t="s">
        <v>293</v>
      </c>
      <c r="G1423" s="6">
        <v>173104</v>
      </c>
      <c r="H1423" s="8">
        <v>45934</v>
      </c>
      <c r="I1423" s="8">
        <v>43749</v>
      </c>
      <c r="J1423" s="8">
        <v>43752</v>
      </c>
      <c r="K1423" s="95">
        <v>43788</v>
      </c>
      <c r="L1423" s="95" t="s">
        <v>31</v>
      </c>
      <c r="M1423" s="8">
        <v>43795</v>
      </c>
      <c r="N1423" s="8">
        <v>43886</v>
      </c>
      <c r="O1423" s="8">
        <v>43860</v>
      </c>
      <c r="P1423" s="6" t="s">
        <v>52</v>
      </c>
      <c r="R1423" s="97" t="str">
        <f t="shared" si="56"/>
        <v/>
      </c>
      <c r="S1423" s="75" t="str">
        <f t="shared" si="57"/>
        <v/>
      </c>
      <c r="U1423" s="8">
        <v>43887</v>
      </c>
      <c r="W1423" s="6" t="s">
        <v>33</v>
      </c>
      <c r="X1423" s="95">
        <v>50652</v>
      </c>
    </row>
    <row r="1424" spans="1:24" x14ac:dyDescent="0.25">
      <c r="A1424" s="6" t="s">
        <v>25</v>
      </c>
      <c r="B1424" s="94" t="s">
        <v>4530</v>
      </c>
      <c r="C1424" s="6" t="s">
        <v>4531</v>
      </c>
      <c r="D1424" s="140">
        <v>11315195</v>
      </c>
      <c r="E1424" s="6" t="s">
        <v>49</v>
      </c>
      <c r="F1424" s="10" t="s">
        <v>4532</v>
      </c>
      <c r="G1424" s="6" t="s">
        <v>4533</v>
      </c>
      <c r="H1424" s="8">
        <v>45955</v>
      </c>
      <c r="I1424" s="8">
        <v>43749</v>
      </c>
      <c r="J1424" s="8">
        <v>43752</v>
      </c>
      <c r="K1424" s="95">
        <v>43788</v>
      </c>
      <c r="L1424" s="95" t="s">
        <v>31</v>
      </c>
      <c r="M1424" s="8">
        <v>43795</v>
      </c>
      <c r="N1424" s="8">
        <v>43865</v>
      </c>
      <c r="O1424" s="8">
        <v>43844</v>
      </c>
      <c r="P1424" s="6" t="s">
        <v>35</v>
      </c>
      <c r="Q1424" s="96">
        <v>1826.25</v>
      </c>
      <c r="R1424" s="97">
        <f t="shared" si="56"/>
        <v>5.0034246575342465</v>
      </c>
      <c r="S1424" s="75">
        <f t="shared" si="57"/>
        <v>41323.284246575342</v>
      </c>
      <c r="U1424" s="8">
        <v>43865</v>
      </c>
      <c r="W1424" s="6" t="s">
        <v>33</v>
      </c>
      <c r="X1424" s="95">
        <v>44876</v>
      </c>
    </row>
    <row r="1425" spans="1:24" x14ac:dyDescent="0.25">
      <c r="A1425" s="6" t="s">
        <v>25</v>
      </c>
      <c r="B1425" s="94" t="s">
        <v>4534</v>
      </c>
      <c r="C1425" s="6" t="s">
        <v>4535</v>
      </c>
      <c r="D1425" s="140">
        <v>11093262</v>
      </c>
      <c r="E1425" s="6" t="s">
        <v>162</v>
      </c>
      <c r="F1425" s="10" t="s">
        <v>44</v>
      </c>
      <c r="G1425" s="6" t="s">
        <v>4536</v>
      </c>
      <c r="H1425" s="8">
        <v>45974</v>
      </c>
      <c r="I1425" s="8">
        <v>43749</v>
      </c>
      <c r="J1425" s="8">
        <v>43752</v>
      </c>
      <c r="K1425" s="95">
        <v>43788</v>
      </c>
      <c r="L1425" s="95" t="s">
        <v>31</v>
      </c>
      <c r="M1425" s="8">
        <v>43795</v>
      </c>
      <c r="N1425" s="8">
        <v>44748</v>
      </c>
      <c r="O1425" s="8">
        <v>44728</v>
      </c>
      <c r="P1425" s="6" t="s">
        <v>35</v>
      </c>
      <c r="Q1425" s="96">
        <v>482</v>
      </c>
      <c r="R1425" s="97">
        <f t="shared" si="56"/>
        <v>1.3205479452054794</v>
      </c>
      <c r="S1425" s="75">
        <f t="shared" si="57"/>
        <v>10906.405479452054</v>
      </c>
      <c r="U1425" s="8">
        <v>44748</v>
      </c>
      <c r="W1425" s="6" t="s">
        <v>33</v>
      </c>
      <c r="X1425" s="95">
        <v>50639</v>
      </c>
    </row>
    <row r="1426" spans="1:24" x14ac:dyDescent="0.25">
      <c r="A1426" s="6" t="s">
        <v>25</v>
      </c>
      <c r="B1426" s="94" t="s">
        <v>2789</v>
      </c>
      <c r="C1426" s="6" t="s">
        <v>4537</v>
      </c>
      <c r="D1426" s="140">
        <v>11203848</v>
      </c>
      <c r="E1426" s="6" t="s">
        <v>1539</v>
      </c>
      <c r="F1426" s="10" t="s">
        <v>44</v>
      </c>
      <c r="G1426" s="6" t="s">
        <v>4538</v>
      </c>
      <c r="H1426" s="8">
        <v>45978</v>
      </c>
      <c r="I1426" s="8">
        <v>43749</v>
      </c>
      <c r="J1426" s="8">
        <v>43752</v>
      </c>
      <c r="K1426" s="95">
        <v>43788</v>
      </c>
      <c r="L1426" s="95" t="s">
        <v>31</v>
      </c>
      <c r="M1426" s="8">
        <v>43795</v>
      </c>
      <c r="N1426" s="8">
        <v>43836</v>
      </c>
      <c r="O1426" s="8">
        <v>43811</v>
      </c>
      <c r="P1426" s="6" t="s">
        <v>52</v>
      </c>
      <c r="R1426" s="97" t="str">
        <f t="shared" si="56"/>
        <v/>
      </c>
      <c r="S1426" s="75" t="str">
        <f t="shared" si="57"/>
        <v/>
      </c>
      <c r="U1426" s="8">
        <v>43836</v>
      </c>
      <c r="W1426" s="6" t="s">
        <v>33</v>
      </c>
      <c r="X1426" s="95">
        <v>45978</v>
      </c>
    </row>
    <row r="1427" spans="1:24" ht="30" x14ac:dyDescent="0.25">
      <c r="A1427" s="6" t="s">
        <v>25</v>
      </c>
      <c r="B1427" s="94" t="s">
        <v>4539</v>
      </c>
      <c r="C1427" s="6" t="s">
        <v>4540</v>
      </c>
      <c r="D1427" s="140">
        <v>11061902</v>
      </c>
      <c r="E1427" s="6" t="s">
        <v>43</v>
      </c>
      <c r="F1427" s="10" t="s">
        <v>44</v>
      </c>
      <c r="G1427" s="6" t="s">
        <v>4541</v>
      </c>
      <c r="H1427" s="8">
        <v>45978</v>
      </c>
      <c r="I1427" s="8">
        <v>43749</v>
      </c>
      <c r="J1427" s="8">
        <v>43752</v>
      </c>
      <c r="K1427" s="95">
        <v>43788</v>
      </c>
      <c r="L1427" s="95" t="s">
        <v>31</v>
      </c>
      <c r="M1427" s="8">
        <v>43795</v>
      </c>
      <c r="N1427" s="8">
        <v>43816</v>
      </c>
      <c r="O1427" s="8">
        <v>43805</v>
      </c>
      <c r="P1427" s="6" t="s">
        <v>52</v>
      </c>
      <c r="R1427" s="97" t="str">
        <f t="shared" si="56"/>
        <v/>
      </c>
      <c r="S1427" s="75" t="str">
        <f t="shared" si="57"/>
        <v/>
      </c>
      <c r="T1427" s="124" t="s">
        <v>4542</v>
      </c>
      <c r="U1427" s="8">
        <v>43817</v>
      </c>
      <c r="W1427" s="6" t="s">
        <v>33</v>
      </c>
      <c r="X1427" s="95">
        <v>41585</v>
      </c>
    </row>
    <row r="1428" spans="1:24" x14ac:dyDescent="0.25">
      <c r="A1428" s="6" t="s">
        <v>25</v>
      </c>
      <c r="B1428" s="94" t="s">
        <v>884</v>
      </c>
      <c r="C1428" s="6" t="s">
        <v>4543</v>
      </c>
      <c r="D1428" s="140">
        <v>11660635</v>
      </c>
      <c r="E1428" s="6" t="s">
        <v>216</v>
      </c>
      <c r="F1428" s="10" t="s">
        <v>134</v>
      </c>
      <c r="G1428" s="6" t="s">
        <v>4544</v>
      </c>
      <c r="H1428" s="8">
        <v>45980</v>
      </c>
      <c r="I1428" s="8">
        <v>43749</v>
      </c>
      <c r="J1428" s="8">
        <v>43752</v>
      </c>
      <c r="K1428" s="95">
        <v>43788</v>
      </c>
      <c r="L1428" s="95" t="s">
        <v>31</v>
      </c>
      <c r="M1428" s="8">
        <v>43795</v>
      </c>
      <c r="N1428" s="8">
        <v>44854</v>
      </c>
      <c r="O1428" s="8">
        <v>44848</v>
      </c>
      <c r="P1428" s="6" t="s">
        <v>35</v>
      </c>
      <c r="Q1428" s="96">
        <v>922</v>
      </c>
      <c r="R1428" s="97">
        <f t="shared" si="56"/>
        <v>2.526027397260274</v>
      </c>
      <c r="S1428" s="75">
        <f t="shared" si="57"/>
        <v>20862.460273972603</v>
      </c>
      <c r="U1428" s="8">
        <v>44959</v>
      </c>
      <c r="V1428" s="6" t="s">
        <v>36</v>
      </c>
      <c r="W1428" s="6" t="s">
        <v>33</v>
      </c>
      <c r="X1428" s="95">
        <v>44867</v>
      </c>
    </row>
    <row r="1429" spans="1:24" x14ac:dyDescent="0.25">
      <c r="A1429" s="6" t="s">
        <v>25</v>
      </c>
      <c r="B1429" s="94" t="s">
        <v>4545</v>
      </c>
      <c r="C1429" s="6" t="s">
        <v>4546</v>
      </c>
      <c r="D1429" s="140">
        <v>11188354</v>
      </c>
      <c r="E1429" s="6" t="s">
        <v>2850</v>
      </c>
      <c r="F1429" s="10" t="s">
        <v>44</v>
      </c>
      <c r="G1429" s="6" t="s">
        <v>4547</v>
      </c>
      <c r="H1429" s="8">
        <v>45654</v>
      </c>
      <c r="I1429" s="8">
        <v>43756</v>
      </c>
      <c r="J1429" s="8">
        <v>43759</v>
      </c>
      <c r="K1429" s="95">
        <v>43801</v>
      </c>
      <c r="L1429" s="95" t="s">
        <v>359</v>
      </c>
      <c r="R1429" s="97" t="str">
        <f t="shared" si="56"/>
        <v/>
      </c>
      <c r="S1429" s="75" t="str">
        <f t="shared" si="57"/>
        <v/>
      </c>
      <c r="W1429" s="6" t="s">
        <v>33</v>
      </c>
      <c r="X1429" s="95">
        <v>50673</v>
      </c>
    </row>
    <row r="1430" spans="1:24" x14ac:dyDescent="0.25">
      <c r="A1430" s="6" t="s">
        <v>25</v>
      </c>
      <c r="B1430" s="94" t="s">
        <v>4545</v>
      </c>
      <c r="C1430" s="6" t="s">
        <v>4546</v>
      </c>
      <c r="D1430" s="140">
        <v>11188354</v>
      </c>
      <c r="E1430" s="6" t="s">
        <v>2850</v>
      </c>
      <c r="F1430" s="10" t="s">
        <v>44</v>
      </c>
      <c r="G1430" s="6" t="s">
        <v>4548</v>
      </c>
      <c r="H1430" s="8">
        <v>45654</v>
      </c>
      <c r="I1430" s="8">
        <v>43756</v>
      </c>
      <c r="J1430" s="8">
        <v>43759</v>
      </c>
      <c r="K1430" s="95">
        <v>43801</v>
      </c>
      <c r="L1430" s="95" t="s">
        <v>359</v>
      </c>
      <c r="R1430" s="97" t="str">
        <f t="shared" si="56"/>
        <v/>
      </c>
      <c r="S1430" s="75" t="str">
        <f t="shared" si="57"/>
        <v/>
      </c>
      <c r="W1430" s="6" t="s">
        <v>33</v>
      </c>
      <c r="X1430" s="95">
        <v>50673</v>
      </c>
    </row>
    <row r="1431" spans="1:24" x14ac:dyDescent="0.25">
      <c r="A1431" s="6" t="s">
        <v>25</v>
      </c>
      <c r="B1431" s="94" t="s">
        <v>4549</v>
      </c>
      <c r="C1431" s="6" t="s">
        <v>4550</v>
      </c>
      <c r="D1431" s="140">
        <v>12011238</v>
      </c>
      <c r="E1431" s="6" t="s">
        <v>185</v>
      </c>
      <c r="F1431" s="10" t="s">
        <v>44</v>
      </c>
      <c r="G1431" s="6" t="s">
        <v>4551</v>
      </c>
      <c r="H1431" s="8">
        <v>45824</v>
      </c>
      <c r="I1431" s="8">
        <v>43756</v>
      </c>
      <c r="J1431" s="8">
        <v>43759</v>
      </c>
      <c r="K1431" s="95">
        <v>43801</v>
      </c>
      <c r="L1431" s="95" t="s">
        <v>359</v>
      </c>
      <c r="R1431" s="97" t="str">
        <f t="shared" si="56"/>
        <v/>
      </c>
      <c r="S1431" s="75" t="str">
        <f t="shared" si="57"/>
        <v/>
      </c>
      <c r="W1431" s="6" t="s">
        <v>33</v>
      </c>
      <c r="X1431" s="95">
        <v>43500</v>
      </c>
    </row>
    <row r="1432" spans="1:24" x14ac:dyDescent="0.25">
      <c r="A1432" s="6" t="s">
        <v>25</v>
      </c>
      <c r="B1432" s="94" t="s">
        <v>4552</v>
      </c>
      <c r="C1432" s="6" t="s">
        <v>4553</v>
      </c>
      <c r="D1432" s="140">
        <v>11972940</v>
      </c>
      <c r="E1432" s="6" t="s">
        <v>409</v>
      </c>
      <c r="F1432" s="10" t="s">
        <v>44</v>
      </c>
      <c r="G1432" s="6" t="s">
        <v>4554</v>
      </c>
      <c r="H1432" s="8">
        <v>45729</v>
      </c>
      <c r="I1432" s="8">
        <v>43756</v>
      </c>
      <c r="J1432" s="8">
        <v>43759</v>
      </c>
      <c r="K1432" s="95">
        <v>43801</v>
      </c>
      <c r="L1432" s="95" t="s">
        <v>359</v>
      </c>
      <c r="R1432" s="97" t="str">
        <f t="shared" si="56"/>
        <v/>
      </c>
      <c r="S1432" s="75" t="str">
        <f t="shared" si="57"/>
        <v/>
      </c>
      <c r="W1432" s="6" t="s">
        <v>33</v>
      </c>
      <c r="X1432" s="95">
        <v>43651</v>
      </c>
    </row>
    <row r="1433" spans="1:24" x14ac:dyDescent="0.25">
      <c r="A1433" s="6" t="s">
        <v>25</v>
      </c>
      <c r="B1433" s="94" t="s">
        <v>1668</v>
      </c>
      <c r="C1433" s="6" t="s">
        <v>4555</v>
      </c>
      <c r="D1433" s="140">
        <v>11228214</v>
      </c>
      <c r="E1433" s="6" t="s">
        <v>3484</v>
      </c>
      <c r="F1433" s="10" t="s">
        <v>44</v>
      </c>
      <c r="G1433" s="6" t="s">
        <v>4556</v>
      </c>
      <c r="H1433" s="8">
        <v>45340</v>
      </c>
      <c r="I1433" s="8">
        <v>43756</v>
      </c>
      <c r="J1433" s="8">
        <v>43759</v>
      </c>
      <c r="K1433" s="95">
        <v>43801</v>
      </c>
      <c r="L1433" s="95" t="s">
        <v>31</v>
      </c>
      <c r="M1433" s="8">
        <v>43805</v>
      </c>
      <c r="R1433" s="97" t="str">
        <f t="shared" si="56"/>
        <v/>
      </c>
      <c r="S1433" s="75" t="str">
        <f t="shared" si="57"/>
        <v/>
      </c>
      <c r="T1433" s="129" t="s">
        <v>4557</v>
      </c>
      <c r="U1433" s="8">
        <v>44783</v>
      </c>
      <c r="W1433" s="6" t="s">
        <v>33</v>
      </c>
      <c r="X1433" s="95">
        <v>48734</v>
      </c>
    </row>
    <row r="1434" spans="1:24" x14ac:dyDescent="0.25">
      <c r="A1434" s="6" t="s">
        <v>25</v>
      </c>
      <c r="B1434" s="94" t="s">
        <v>4558</v>
      </c>
      <c r="C1434" s="6" t="s">
        <v>4559</v>
      </c>
      <c r="D1434" s="140">
        <v>11112557</v>
      </c>
      <c r="E1434" s="6" t="s">
        <v>1064</v>
      </c>
      <c r="F1434" s="10" t="s">
        <v>134</v>
      </c>
      <c r="G1434" s="6" t="s">
        <v>4560</v>
      </c>
      <c r="H1434" s="8">
        <v>45733</v>
      </c>
      <c r="I1434" s="8">
        <v>43756</v>
      </c>
      <c r="J1434" s="8">
        <v>43759</v>
      </c>
      <c r="K1434" s="95">
        <v>43801</v>
      </c>
      <c r="L1434" s="95" t="s">
        <v>31</v>
      </c>
      <c r="M1434" s="8">
        <v>43805</v>
      </c>
      <c r="N1434" s="8">
        <v>43823</v>
      </c>
      <c r="O1434" s="8">
        <v>43818</v>
      </c>
      <c r="P1434" s="6" t="s">
        <v>75</v>
      </c>
      <c r="R1434" s="97" t="str">
        <f t="shared" si="56"/>
        <v/>
      </c>
      <c r="S1434" s="75" t="str">
        <f t="shared" si="57"/>
        <v/>
      </c>
      <c r="U1434" s="8">
        <v>43833</v>
      </c>
      <c r="W1434" s="6" t="s">
        <v>33</v>
      </c>
      <c r="X1434" s="95">
        <v>50054</v>
      </c>
    </row>
    <row r="1435" spans="1:24" x14ac:dyDescent="0.25">
      <c r="A1435" s="6" t="s">
        <v>168</v>
      </c>
      <c r="B1435" s="94" t="s">
        <v>4561</v>
      </c>
      <c r="C1435" s="6" t="s">
        <v>4562</v>
      </c>
      <c r="D1435" s="140">
        <v>11939747</v>
      </c>
      <c r="E1435" s="6" t="s">
        <v>4563</v>
      </c>
      <c r="F1435" s="10" t="s">
        <v>134</v>
      </c>
      <c r="G1435" s="6" t="s">
        <v>4564</v>
      </c>
      <c r="H1435" s="8">
        <v>49948</v>
      </c>
      <c r="I1435" s="8">
        <v>43579</v>
      </c>
      <c r="J1435" s="8">
        <v>43593</v>
      </c>
      <c r="K1435" s="95">
        <v>43593</v>
      </c>
      <c r="L1435" s="95" t="s">
        <v>31</v>
      </c>
      <c r="M1435" s="8">
        <v>43607</v>
      </c>
      <c r="N1435" s="8">
        <v>43749</v>
      </c>
      <c r="O1435" s="8">
        <v>43728</v>
      </c>
      <c r="P1435" s="6" t="s">
        <v>35</v>
      </c>
      <c r="Q1435" s="96">
        <v>7670.25</v>
      </c>
      <c r="R1435" s="97">
        <f t="shared" si="56"/>
        <v>21.014383561643836</v>
      </c>
      <c r="S1435" s="75">
        <f t="shared" si="57"/>
        <v>173557.79383561644</v>
      </c>
      <c r="U1435" s="8">
        <v>43893</v>
      </c>
      <c r="W1435" s="6" t="s">
        <v>84</v>
      </c>
      <c r="X1435" s="95">
        <v>46338</v>
      </c>
    </row>
    <row r="1436" spans="1:24" x14ac:dyDescent="0.25">
      <c r="A1436" s="6" t="s">
        <v>25</v>
      </c>
      <c r="B1436" s="94" t="s">
        <v>4565</v>
      </c>
      <c r="C1436" s="6" t="s">
        <v>4566</v>
      </c>
      <c r="D1436" s="140">
        <v>11760965</v>
      </c>
      <c r="E1436" s="6" t="s">
        <v>958</v>
      </c>
      <c r="F1436" s="10" t="s">
        <v>57</v>
      </c>
      <c r="G1436" s="6" t="s">
        <v>4567</v>
      </c>
      <c r="H1436" s="8">
        <v>46002</v>
      </c>
      <c r="I1436" s="8">
        <v>43756</v>
      </c>
      <c r="J1436" s="8">
        <v>43759</v>
      </c>
      <c r="K1436" s="95">
        <v>43801</v>
      </c>
      <c r="L1436" s="95" t="s">
        <v>31</v>
      </c>
      <c r="M1436" s="8">
        <v>43805</v>
      </c>
      <c r="N1436" s="8">
        <v>43858</v>
      </c>
      <c r="O1436" s="8">
        <v>43816</v>
      </c>
      <c r="P1436" s="6" t="s">
        <v>75</v>
      </c>
      <c r="R1436" s="97" t="str">
        <f t="shared" si="56"/>
        <v/>
      </c>
      <c r="S1436" s="75" t="str">
        <f t="shared" si="57"/>
        <v/>
      </c>
      <c r="U1436" s="8">
        <v>43858</v>
      </c>
      <c r="W1436" s="6" t="s">
        <v>33</v>
      </c>
      <c r="X1436" s="95">
        <v>43515</v>
      </c>
    </row>
    <row r="1437" spans="1:24" x14ac:dyDescent="0.25">
      <c r="A1437" s="6" t="s">
        <v>25</v>
      </c>
      <c r="B1437" s="94" t="s">
        <v>4565</v>
      </c>
      <c r="C1437" s="6" t="s">
        <v>4566</v>
      </c>
      <c r="D1437" s="140">
        <v>11760965</v>
      </c>
      <c r="E1437" s="6" t="s">
        <v>958</v>
      </c>
      <c r="F1437" s="10" t="s">
        <v>134</v>
      </c>
      <c r="G1437" s="6" t="s">
        <v>4568</v>
      </c>
      <c r="H1437" s="8">
        <v>46002</v>
      </c>
      <c r="I1437" s="8">
        <v>43756</v>
      </c>
      <c r="J1437" s="8">
        <v>43759</v>
      </c>
      <c r="K1437" s="95">
        <v>43801</v>
      </c>
      <c r="L1437" s="95" t="s">
        <v>31</v>
      </c>
      <c r="M1437" s="8">
        <v>43805</v>
      </c>
      <c r="N1437" s="108"/>
      <c r="O1437" s="108"/>
      <c r="P1437" s="107"/>
      <c r="Q1437" s="110"/>
      <c r="R1437" s="97" t="str">
        <f t="shared" si="56"/>
        <v/>
      </c>
      <c r="S1437" s="75" t="str">
        <f t="shared" si="57"/>
        <v/>
      </c>
      <c r="W1437" s="6" t="s">
        <v>33</v>
      </c>
      <c r="X1437" s="95">
        <v>43515</v>
      </c>
    </row>
    <row r="1438" spans="1:24" x14ac:dyDescent="0.25">
      <c r="A1438" s="6" t="s">
        <v>25</v>
      </c>
      <c r="B1438" s="94" t="s">
        <v>598</v>
      </c>
      <c r="C1438" s="6" t="s">
        <v>4569</v>
      </c>
      <c r="D1438" s="140">
        <v>11636396</v>
      </c>
      <c r="E1438" s="6" t="s">
        <v>527</v>
      </c>
      <c r="F1438" s="10" t="s">
        <v>134</v>
      </c>
      <c r="G1438" s="6" t="s">
        <v>4570</v>
      </c>
      <c r="H1438" s="8">
        <v>45858</v>
      </c>
      <c r="I1438" s="8">
        <v>43756</v>
      </c>
      <c r="J1438" s="8">
        <v>43759</v>
      </c>
      <c r="K1438" s="95">
        <v>43801</v>
      </c>
      <c r="L1438" s="95" t="s">
        <v>31</v>
      </c>
      <c r="M1438" s="8">
        <v>43805</v>
      </c>
      <c r="N1438" s="8">
        <v>43893</v>
      </c>
      <c r="O1438" s="8">
        <v>43882</v>
      </c>
      <c r="P1438" s="6" t="s">
        <v>182</v>
      </c>
      <c r="R1438" s="97" t="str">
        <f t="shared" si="56"/>
        <v/>
      </c>
      <c r="S1438" s="75" t="str">
        <f t="shared" si="57"/>
        <v/>
      </c>
      <c r="U1438" s="8">
        <v>43901</v>
      </c>
      <c r="W1438" s="6" t="s">
        <v>33</v>
      </c>
      <c r="X1438" s="95">
        <v>43603</v>
      </c>
    </row>
    <row r="1439" spans="1:24" x14ac:dyDescent="0.25">
      <c r="A1439" s="6" t="s">
        <v>25</v>
      </c>
      <c r="B1439" s="94" t="s">
        <v>1668</v>
      </c>
      <c r="C1439" s="6" t="s">
        <v>4571</v>
      </c>
      <c r="D1439" s="140">
        <v>11218463</v>
      </c>
      <c r="E1439" s="6" t="s">
        <v>2160</v>
      </c>
      <c r="F1439" s="10" t="s">
        <v>44</v>
      </c>
      <c r="G1439" s="6" t="s">
        <v>4572</v>
      </c>
      <c r="H1439" s="8">
        <v>45686</v>
      </c>
      <c r="I1439" s="8">
        <v>43756</v>
      </c>
      <c r="J1439" s="8">
        <v>43759</v>
      </c>
      <c r="K1439" s="95">
        <v>43801</v>
      </c>
      <c r="L1439" s="95" t="s">
        <v>31</v>
      </c>
      <c r="M1439" s="8">
        <v>43805</v>
      </c>
      <c r="N1439" s="8">
        <v>44235</v>
      </c>
      <c r="O1439" s="8">
        <v>44228</v>
      </c>
      <c r="P1439" s="6" t="s">
        <v>35</v>
      </c>
      <c r="Q1439" s="96">
        <v>365.25</v>
      </c>
      <c r="R1439" s="97">
        <f t="shared" si="56"/>
        <v>1.0006849315068493</v>
      </c>
      <c r="S1439" s="75">
        <f t="shared" si="57"/>
        <v>8264.656849315068</v>
      </c>
      <c r="U1439" s="8">
        <v>44251</v>
      </c>
      <c r="W1439" s="6" t="s">
        <v>33</v>
      </c>
      <c r="X1439" s="95">
        <v>50052</v>
      </c>
    </row>
    <row r="1440" spans="1:24" x14ac:dyDescent="0.25">
      <c r="A1440" s="6" t="s">
        <v>25</v>
      </c>
      <c r="B1440" s="94" t="s">
        <v>1000</v>
      </c>
      <c r="C1440" s="6" t="s">
        <v>4573</v>
      </c>
      <c r="D1440" s="140">
        <v>11389820</v>
      </c>
      <c r="E1440" s="6" t="s">
        <v>3564</v>
      </c>
      <c r="F1440" s="10" t="s">
        <v>121</v>
      </c>
      <c r="G1440" s="6" t="s">
        <v>4574</v>
      </c>
      <c r="H1440" s="8">
        <v>56067</v>
      </c>
      <c r="I1440" s="8">
        <v>43759</v>
      </c>
      <c r="J1440" s="8">
        <v>43759</v>
      </c>
      <c r="K1440" s="95">
        <v>43811</v>
      </c>
      <c r="L1440" s="95" t="s">
        <v>359</v>
      </c>
      <c r="R1440" s="97" t="str">
        <f t="shared" si="56"/>
        <v/>
      </c>
      <c r="S1440" s="75" t="str">
        <f t="shared" si="57"/>
        <v/>
      </c>
      <c r="W1440" s="6" t="s">
        <v>33</v>
      </c>
      <c r="X1440" s="95">
        <v>42258</v>
      </c>
    </row>
    <row r="1441" spans="1:24" x14ac:dyDescent="0.25">
      <c r="A1441" s="6" t="s">
        <v>25</v>
      </c>
      <c r="B1441" s="94" t="s">
        <v>1000</v>
      </c>
      <c r="C1441" s="6" t="s">
        <v>4573</v>
      </c>
      <c r="D1441" s="140">
        <v>11389820</v>
      </c>
      <c r="E1441" s="6" t="s">
        <v>3564</v>
      </c>
      <c r="F1441" s="10" t="s">
        <v>143</v>
      </c>
      <c r="G1441" s="6">
        <v>92934</v>
      </c>
      <c r="H1441" s="8">
        <v>56067</v>
      </c>
      <c r="I1441" s="8">
        <v>43759</v>
      </c>
      <c r="J1441" s="8">
        <v>43759</v>
      </c>
      <c r="K1441" s="95">
        <v>43811</v>
      </c>
      <c r="L1441" s="95" t="s">
        <v>31</v>
      </c>
      <c r="M1441" s="8">
        <v>43822</v>
      </c>
      <c r="N1441" s="8">
        <v>44567</v>
      </c>
      <c r="O1441" s="8">
        <v>44463</v>
      </c>
      <c r="P1441" s="6" t="s">
        <v>52</v>
      </c>
      <c r="R1441" s="97" t="str">
        <f t="shared" si="56"/>
        <v/>
      </c>
      <c r="S1441" s="75" t="str">
        <f t="shared" si="57"/>
        <v/>
      </c>
      <c r="T1441" s="124" t="s">
        <v>4575</v>
      </c>
      <c r="U1441" s="8">
        <v>44567</v>
      </c>
      <c r="W1441" s="6" t="s">
        <v>33</v>
      </c>
      <c r="X1441" s="95">
        <v>42258</v>
      </c>
    </row>
    <row r="1442" spans="1:24" ht="14.25" customHeight="1" x14ac:dyDescent="0.25">
      <c r="A1442" s="6" t="s">
        <v>25</v>
      </c>
      <c r="B1442" s="94" t="s">
        <v>1000</v>
      </c>
      <c r="C1442" s="6" t="s">
        <v>4573</v>
      </c>
      <c r="D1442" s="140">
        <v>11389820</v>
      </c>
      <c r="E1442" s="6" t="s">
        <v>3564</v>
      </c>
      <c r="F1442" s="10" t="s">
        <v>44</v>
      </c>
      <c r="G1442" s="6" t="s">
        <v>4576</v>
      </c>
      <c r="H1442" s="8">
        <v>56067</v>
      </c>
      <c r="I1442" s="8">
        <v>43759</v>
      </c>
      <c r="J1442" s="8">
        <v>43759</v>
      </c>
      <c r="K1442" s="95">
        <v>43811</v>
      </c>
      <c r="L1442" s="95" t="s">
        <v>31</v>
      </c>
      <c r="M1442" s="8">
        <v>43822</v>
      </c>
      <c r="N1442" s="8">
        <v>43950</v>
      </c>
      <c r="O1442" s="8">
        <v>43931</v>
      </c>
      <c r="P1442" s="6" t="s">
        <v>52</v>
      </c>
      <c r="R1442" s="97" t="str">
        <f t="shared" si="56"/>
        <v/>
      </c>
      <c r="S1442" s="75" t="str">
        <f t="shared" si="57"/>
        <v/>
      </c>
      <c r="U1442" s="8">
        <v>43950</v>
      </c>
      <c r="W1442" s="6" t="s">
        <v>33</v>
      </c>
      <c r="X1442" s="95">
        <v>42258</v>
      </c>
    </row>
    <row r="1443" spans="1:24" x14ac:dyDescent="0.25">
      <c r="A1443" s="6" t="s">
        <v>25</v>
      </c>
      <c r="B1443" s="94" t="s">
        <v>449</v>
      </c>
      <c r="C1443" s="6" t="s">
        <v>4577</v>
      </c>
      <c r="D1443" s="140">
        <v>11920988</v>
      </c>
      <c r="E1443" s="6" t="s">
        <v>1156</v>
      </c>
      <c r="F1443" s="10" t="s">
        <v>29</v>
      </c>
      <c r="G1443" s="6" t="s">
        <v>4578</v>
      </c>
      <c r="H1443" s="8">
        <v>46684</v>
      </c>
      <c r="I1443" s="8">
        <v>43759</v>
      </c>
      <c r="J1443" s="8">
        <v>43759</v>
      </c>
      <c r="K1443" s="95">
        <v>43811</v>
      </c>
      <c r="L1443" s="95" t="s">
        <v>359</v>
      </c>
      <c r="R1443" s="97" t="str">
        <f t="shared" si="56"/>
        <v/>
      </c>
      <c r="S1443" s="75" t="str">
        <f t="shared" si="57"/>
        <v/>
      </c>
      <c r="W1443" s="6" t="s">
        <v>33</v>
      </c>
      <c r="X1443" s="95">
        <v>50651</v>
      </c>
    </row>
    <row r="1444" spans="1:24" x14ac:dyDescent="0.25">
      <c r="A1444" s="6" t="s">
        <v>25</v>
      </c>
      <c r="B1444" s="94" t="s">
        <v>4579</v>
      </c>
      <c r="C1444" s="6" t="s">
        <v>4580</v>
      </c>
      <c r="D1444" s="140">
        <v>11207970</v>
      </c>
      <c r="E1444" s="6" t="s">
        <v>216</v>
      </c>
      <c r="F1444" s="10" t="s">
        <v>2662</v>
      </c>
      <c r="G1444" s="6" t="s">
        <v>4581</v>
      </c>
      <c r="H1444" s="8">
        <v>45529</v>
      </c>
      <c r="I1444" s="8">
        <v>43759</v>
      </c>
      <c r="J1444" s="8">
        <v>43759</v>
      </c>
      <c r="K1444" s="95">
        <v>43811</v>
      </c>
      <c r="L1444" s="95" t="s">
        <v>359</v>
      </c>
      <c r="R1444" s="97" t="str">
        <f t="shared" si="56"/>
        <v/>
      </c>
      <c r="S1444" s="75" t="str">
        <f t="shared" si="57"/>
        <v/>
      </c>
      <c r="W1444" s="6" t="s">
        <v>33</v>
      </c>
      <c r="X1444" s="95">
        <v>50616</v>
      </c>
    </row>
    <row r="1445" spans="1:24" x14ac:dyDescent="0.25">
      <c r="A1445" s="6" t="s">
        <v>25</v>
      </c>
      <c r="B1445" s="94" t="s">
        <v>4582</v>
      </c>
      <c r="C1445" s="6" t="s">
        <v>4583</v>
      </c>
      <c r="D1445" s="140">
        <v>11093226</v>
      </c>
      <c r="E1445" s="6" t="s">
        <v>3484</v>
      </c>
      <c r="F1445" s="10" t="s">
        <v>139</v>
      </c>
      <c r="G1445" s="6" t="s">
        <v>4584</v>
      </c>
      <c r="H1445" s="8">
        <v>44482</v>
      </c>
      <c r="I1445" s="8">
        <v>43759</v>
      </c>
      <c r="J1445" s="8">
        <v>43759</v>
      </c>
      <c r="K1445" s="95">
        <v>43811</v>
      </c>
      <c r="L1445" s="95" t="s">
        <v>359</v>
      </c>
      <c r="R1445" s="97" t="str">
        <f t="shared" si="56"/>
        <v/>
      </c>
      <c r="S1445" s="75" t="str">
        <f t="shared" si="57"/>
        <v/>
      </c>
      <c r="W1445" s="6" t="s">
        <v>33</v>
      </c>
      <c r="X1445" s="95">
        <v>49770</v>
      </c>
    </row>
    <row r="1446" spans="1:24" x14ac:dyDescent="0.25">
      <c r="A1446" s="6" t="s">
        <v>25</v>
      </c>
      <c r="B1446" s="94" t="s">
        <v>1434</v>
      </c>
      <c r="C1446" s="6" t="s">
        <v>4585</v>
      </c>
      <c r="D1446" s="140">
        <v>11544988</v>
      </c>
      <c r="E1446" s="6" t="s">
        <v>130</v>
      </c>
      <c r="F1446" s="10" t="s">
        <v>44</v>
      </c>
      <c r="G1446" s="6" t="s">
        <v>4586</v>
      </c>
      <c r="H1446" s="8">
        <v>44389</v>
      </c>
      <c r="I1446" s="8">
        <v>43759</v>
      </c>
      <c r="J1446" s="8">
        <v>43759</v>
      </c>
      <c r="K1446" s="95">
        <v>43811</v>
      </c>
      <c r="L1446" s="95" t="s">
        <v>31</v>
      </c>
      <c r="M1446" s="8">
        <v>43822</v>
      </c>
      <c r="R1446" s="97" t="str">
        <f t="shared" si="56"/>
        <v/>
      </c>
      <c r="S1446" s="75" t="str">
        <f t="shared" si="57"/>
        <v/>
      </c>
      <c r="T1446" s="129" t="s">
        <v>4587</v>
      </c>
      <c r="U1446" s="8">
        <v>44783</v>
      </c>
      <c r="W1446" s="6" t="s">
        <v>33</v>
      </c>
      <c r="X1446" s="95">
        <v>50278</v>
      </c>
    </row>
    <row r="1447" spans="1:24" x14ac:dyDescent="0.25">
      <c r="A1447" s="6" t="s">
        <v>25</v>
      </c>
      <c r="B1447" s="94" t="s">
        <v>4588</v>
      </c>
      <c r="C1447" s="6" t="s">
        <v>4589</v>
      </c>
      <c r="D1447" s="140">
        <v>11207633</v>
      </c>
      <c r="E1447" s="6" t="s">
        <v>49</v>
      </c>
      <c r="F1447" s="10" t="s">
        <v>134</v>
      </c>
      <c r="G1447" s="6" t="s">
        <v>4590</v>
      </c>
      <c r="H1447" s="8">
        <v>45912</v>
      </c>
      <c r="I1447" s="8">
        <v>43759</v>
      </c>
      <c r="J1447" s="8">
        <v>43759</v>
      </c>
      <c r="K1447" s="95">
        <v>43811</v>
      </c>
      <c r="L1447" s="95" t="s">
        <v>359</v>
      </c>
      <c r="R1447" s="97" t="str">
        <f t="shared" si="56"/>
        <v/>
      </c>
      <c r="S1447" s="75" t="str">
        <f t="shared" si="57"/>
        <v/>
      </c>
      <c r="T1447" s="124" t="s">
        <v>4591</v>
      </c>
      <c r="U1447" s="8">
        <v>44783</v>
      </c>
      <c r="X1447" s="6"/>
    </row>
    <row r="1448" spans="1:24" x14ac:dyDescent="0.25">
      <c r="A1448" s="6" t="s">
        <v>25</v>
      </c>
      <c r="B1448" s="94" t="s">
        <v>4592</v>
      </c>
      <c r="C1448" s="6" t="s">
        <v>4593</v>
      </c>
      <c r="D1448" s="140">
        <v>11173046</v>
      </c>
      <c r="E1448" s="6" t="s">
        <v>2160</v>
      </c>
      <c r="F1448" s="10" t="s">
        <v>293</v>
      </c>
      <c r="G1448" s="6" t="s">
        <v>4594</v>
      </c>
      <c r="H1448" s="8">
        <v>44529</v>
      </c>
      <c r="I1448" s="8">
        <v>43759</v>
      </c>
      <c r="J1448" s="8">
        <v>43759</v>
      </c>
      <c r="K1448" s="95">
        <v>43811</v>
      </c>
      <c r="L1448" s="95" t="s">
        <v>359</v>
      </c>
      <c r="R1448" s="97" t="str">
        <f t="shared" si="56"/>
        <v/>
      </c>
      <c r="S1448" s="75" t="str">
        <f t="shared" si="57"/>
        <v/>
      </c>
      <c r="W1448" s="6" t="s">
        <v>33</v>
      </c>
      <c r="X1448" s="95">
        <v>50555</v>
      </c>
    </row>
    <row r="1449" spans="1:24" x14ac:dyDescent="0.25">
      <c r="A1449" s="6" t="s">
        <v>25</v>
      </c>
      <c r="B1449" s="94" t="s">
        <v>4595</v>
      </c>
      <c r="C1449" s="6" t="s">
        <v>4596</v>
      </c>
      <c r="D1449" s="140">
        <v>11886390</v>
      </c>
      <c r="E1449" s="6" t="s">
        <v>418</v>
      </c>
      <c r="F1449" s="10" t="s">
        <v>139</v>
      </c>
      <c r="G1449" s="6" t="s">
        <v>4597</v>
      </c>
      <c r="H1449" s="8">
        <v>46615</v>
      </c>
      <c r="I1449" s="8">
        <v>43759</v>
      </c>
      <c r="J1449" s="8">
        <v>43759</v>
      </c>
      <c r="K1449" s="95">
        <v>43811</v>
      </c>
      <c r="L1449" s="95" t="s">
        <v>359</v>
      </c>
      <c r="R1449" s="97" t="str">
        <f t="shared" si="56"/>
        <v/>
      </c>
      <c r="S1449" s="75" t="str">
        <f t="shared" si="57"/>
        <v/>
      </c>
      <c r="W1449" s="6" t="s">
        <v>33</v>
      </c>
      <c r="X1449" s="95">
        <v>50296</v>
      </c>
    </row>
    <row r="1450" spans="1:24" x14ac:dyDescent="0.25">
      <c r="A1450" s="6" t="s">
        <v>25</v>
      </c>
      <c r="B1450" s="94" t="s">
        <v>3051</v>
      </c>
      <c r="C1450" s="6" t="s">
        <v>4598</v>
      </c>
      <c r="D1450" s="140">
        <v>11105926</v>
      </c>
      <c r="E1450" s="6" t="s">
        <v>1443</v>
      </c>
      <c r="F1450" s="10" t="s">
        <v>205</v>
      </c>
      <c r="G1450" s="6" t="s">
        <v>4599</v>
      </c>
      <c r="H1450" s="8">
        <v>46985</v>
      </c>
      <c r="I1450" s="8">
        <v>43759</v>
      </c>
      <c r="J1450" s="8">
        <v>43759</v>
      </c>
      <c r="K1450" s="95">
        <v>43811</v>
      </c>
      <c r="L1450" s="95" t="s">
        <v>31</v>
      </c>
      <c r="M1450" s="8">
        <v>43822</v>
      </c>
      <c r="N1450" s="108">
        <v>44386</v>
      </c>
      <c r="O1450" s="108">
        <v>44343</v>
      </c>
      <c r="P1450" s="107" t="s">
        <v>75</v>
      </c>
      <c r="Q1450" s="110"/>
      <c r="R1450" s="97" t="str">
        <f t="shared" si="56"/>
        <v/>
      </c>
      <c r="S1450" s="75" t="str">
        <f t="shared" si="57"/>
        <v/>
      </c>
      <c r="U1450" s="8">
        <v>44776</v>
      </c>
      <c r="W1450" s="6" t="s">
        <v>33</v>
      </c>
      <c r="X1450" s="95">
        <v>49878</v>
      </c>
    </row>
    <row r="1451" spans="1:24" x14ac:dyDescent="0.25">
      <c r="A1451" s="6" t="s">
        <v>25</v>
      </c>
      <c r="B1451" s="94" t="s">
        <v>598</v>
      </c>
      <c r="C1451" s="6" t="s">
        <v>4600</v>
      </c>
      <c r="D1451" s="140">
        <v>11658435</v>
      </c>
      <c r="E1451" s="6" t="s">
        <v>261</v>
      </c>
      <c r="F1451" s="10" t="s">
        <v>44</v>
      </c>
      <c r="G1451" s="6" t="s">
        <v>4601</v>
      </c>
      <c r="H1451" s="8">
        <v>44495</v>
      </c>
      <c r="I1451" s="8">
        <v>43759</v>
      </c>
      <c r="J1451" s="8">
        <v>43759</v>
      </c>
      <c r="K1451" s="95">
        <v>43811</v>
      </c>
      <c r="L1451" s="95" t="s">
        <v>359</v>
      </c>
      <c r="R1451" s="97" t="str">
        <f t="shared" si="56"/>
        <v/>
      </c>
      <c r="S1451" s="75" t="str">
        <f t="shared" si="57"/>
        <v/>
      </c>
      <c r="W1451" s="6" t="s">
        <v>33</v>
      </c>
      <c r="X1451" s="95">
        <v>47790</v>
      </c>
    </row>
    <row r="1452" spans="1:24" x14ac:dyDescent="0.25">
      <c r="A1452" s="6" t="s">
        <v>25</v>
      </c>
      <c r="B1452" s="94" t="s">
        <v>4602</v>
      </c>
      <c r="C1452" s="6" t="s">
        <v>4603</v>
      </c>
      <c r="D1452" s="140">
        <v>11247916</v>
      </c>
      <c r="E1452" s="6" t="s">
        <v>527</v>
      </c>
      <c r="F1452" s="10" t="s">
        <v>44</v>
      </c>
      <c r="G1452" s="6" t="s">
        <v>4604</v>
      </c>
      <c r="H1452" s="8">
        <v>48953</v>
      </c>
      <c r="I1452" s="8">
        <v>43759</v>
      </c>
      <c r="J1452" s="8">
        <v>43761</v>
      </c>
      <c r="K1452" s="95">
        <v>43818</v>
      </c>
      <c r="L1452" s="95" t="s">
        <v>359</v>
      </c>
      <c r="R1452" s="97" t="str">
        <f t="shared" si="56"/>
        <v/>
      </c>
      <c r="S1452" s="75" t="str">
        <f t="shared" si="57"/>
        <v/>
      </c>
      <c r="W1452" s="6" t="s">
        <v>33</v>
      </c>
      <c r="X1452" s="95">
        <v>49017</v>
      </c>
    </row>
    <row r="1453" spans="1:24" x14ac:dyDescent="0.25">
      <c r="A1453" s="6" t="s">
        <v>25</v>
      </c>
      <c r="B1453" s="94" t="s">
        <v>4605</v>
      </c>
      <c r="C1453" s="6" t="s">
        <v>4606</v>
      </c>
      <c r="D1453" s="140">
        <v>11891349</v>
      </c>
      <c r="E1453" s="6" t="s">
        <v>1539</v>
      </c>
      <c r="F1453" s="10" t="s">
        <v>44</v>
      </c>
      <c r="G1453" s="6" t="s">
        <v>4607</v>
      </c>
      <c r="H1453" s="8">
        <v>48783</v>
      </c>
      <c r="I1453" s="8">
        <v>43759</v>
      </c>
      <c r="J1453" s="8">
        <v>43761</v>
      </c>
      <c r="K1453" s="95">
        <v>43818</v>
      </c>
      <c r="L1453" s="95" t="s">
        <v>359</v>
      </c>
      <c r="R1453" s="97" t="str">
        <f t="shared" si="56"/>
        <v/>
      </c>
      <c r="S1453" s="75" t="str">
        <f t="shared" si="57"/>
        <v/>
      </c>
      <c r="W1453" s="6" t="s">
        <v>33</v>
      </c>
      <c r="X1453" s="95">
        <v>50483</v>
      </c>
    </row>
    <row r="1454" spans="1:24" x14ac:dyDescent="0.25">
      <c r="A1454" s="6" t="s">
        <v>25</v>
      </c>
      <c r="B1454" s="94" t="s">
        <v>4608</v>
      </c>
      <c r="C1454" s="6" t="s">
        <v>4609</v>
      </c>
      <c r="D1454" s="140">
        <v>12123421</v>
      </c>
      <c r="E1454" s="6" t="s">
        <v>4610</v>
      </c>
      <c r="F1454" s="10" t="s">
        <v>205</v>
      </c>
      <c r="G1454" s="6" t="s">
        <v>4611</v>
      </c>
      <c r="H1454" s="8">
        <v>48843</v>
      </c>
      <c r="I1454" s="8">
        <v>43759</v>
      </c>
      <c r="J1454" s="8">
        <v>43761</v>
      </c>
      <c r="K1454" s="95">
        <v>43818</v>
      </c>
      <c r="L1454" s="95" t="s">
        <v>359</v>
      </c>
      <c r="R1454" s="97" t="str">
        <f t="shared" si="56"/>
        <v/>
      </c>
      <c r="S1454" s="75" t="str">
        <f t="shared" si="57"/>
        <v/>
      </c>
      <c r="W1454" s="6" t="s">
        <v>33</v>
      </c>
      <c r="X1454" s="95">
        <v>51243</v>
      </c>
    </row>
    <row r="1455" spans="1:24" x14ac:dyDescent="0.25">
      <c r="A1455" s="6" t="s">
        <v>25</v>
      </c>
      <c r="B1455" s="94" t="s">
        <v>4612</v>
      </c>
      <c r="C1455" s="6" t="s">
        <v>4613</v>
      </c>
      <c r="D1455" s="140">
        <v>11597663</v>
      </c>
      <c r="E1455" s="6" t="s">
        <v>480</v>
      </c>
      <c r="F1455" s="10" t="s">
        <v>29</v>
      </c>
      <c r="G1455" s="6" t="s">
        <v>4614</v>
      </c>
      <c r="H1455" s="8">
        <v>49088</v>
      </c>
      <c r="I1455" s="8">
        <v>43759</v>
      </c>
      <c r="J1455" s="8">
        <v>43761</v>
      </c>
      <c r="K1455" s="95">
        <v>43818</v>
      </c>
      <c r="L1455" s="95" t="s">
        <v>359</v>
      </c>
      <c r="R1455" s="97" t="str">
        <f t="shared" si="56"/>
        <v/>
      </c>
      <c r="S1455" s="75" t="str">
        <f t="shared" si="57"/>
        <v/>
      </c>
      <c r="W1455" s="6" t="s">
        <v>33</v>
      </c>
      <c r="X1455" s="95">
        <v>53544</v>
      </c>
    </row>
    <row r="1456" spans="1:24" x14ac:dyDescent="0.25">
      <c r="A1456" s="6" t="s">
        <v>25</v>
      </c>
      <c r="B1456" s="94" t="s">
        <v>4379</v>
      </c>
      <c r="C1456" s="6" t="s">
        <v>4380</v>
      </c>
      <c r="D1456" s="140">
        <v>11162726</v>
      </c>
      <c r="E1456" s="6" t="s">
        <v>578</v>
      </c>
      <c r="F1456" s="10" t="s">
        <v>44</v>
      </c>
      <c r="G1456" s="6" t="s">
        <v>4382</v>
      </c>
      <c r="H1456" s="8">
        <v>49113</v>
      </c>
      <c r="I1456" s="8">
        <v>43759</v>
      </c>
      <c r="J1456" s="8">
        <v>43761</v>
      </c>
      <c r="K1456" s="95">
        <v>43818</v>
      </c>
      <c r="L1456" s="95" t="s">
        <v>31</v>
      </c>
      <c r="M1456" s="8">
        <v>43823</v>
      </c>
      <c r="N1456" s="8">
        <v>44571</v>
      </c>
      <c r="O1456" s="8">
        <v>44552</v>
      </c>
      <c r="P1456" s="6" t="s">
        <v>35</v>
      </c>
      <c r="Q1456" s="96">
        <v>4443</v>
      </c>
      <c r="R1456" s="97">
        <f t="shared" si="56"/>
        <v>12.172602739726027</v>
      </c>
      <c r="S1456" s="75">
        <f t="shared" si="57"/>
        <v>100533.52602739727</v>
      </c>
      <c r="U1456" s="8">
        <v>44587</v>
      </c>
      <c r="W1456" s="6" t="s">
        <v>33</v>
      </c>
      <c r="X1456" s="95">
        <v>49240</v>
      </c>
    </row>
    <row r="1457" spans="1:24" x14ac:dyDescent="0.25">
      <c r="A1457" s="6" t="s">
        <v>25</v>
      </c>
      <c r="B1457" s="94" t="s">
        <v>1717</v>
      </c>
      <c r="C1457" s="6" t="s">
        <v>4615</v>
      </c>
      <c r="D1457" s="140">
        <v>11141910</v>
      </c>
      <c r="E1457" s="6" t="s">
        <v>49</v>
      </c>
      <c r="F1457" s="10" t="s">
        <v>252</v>
      </c>
      <c r="G1457" s="6" t="s">
        <v>4616</v>
      </c>
      <c r="H1457" s="8">
        <v>49177</v>
      </c>
      <c r="I1457" s="8">
        <v>43759</v>
      </c>
      <c r="J1457" s="8">
        <v>43761</v>
      </c>
      <c r="K1457" s="95">
        <v>43818</v>
      </c>
      <c r="L1457" s="95" t="s">
        <v>359</v>
      </c>
      <c r="R1457" s="97" t="str">
        <f t="shared" si="56"/>
        <v/>
      </c>
      <c r="S1457" s="75" t="str">
        <f t="shared" si="57"/>
        <v/>
      </c>
      <c r="W1457" s="6" t="s">
        <v>33</v>
      </c>
      <c r="X1457" s="95">
        <v>49585</v>
      </c>
    </row>
    <row r="1458" spans="1:24" x14ac:dyDescent="0.25">
      <c r="A1458" s="6" t="s">
        <v>25</v>
      </c>
      <c r="B1458" s="94" t="s">
        <v>4617</v>
      </c>
      <c r="C1458" s="6" t="s">
        <v>4618</v>
      </c>
      <c r="D1458" s="140">
        <v>11511085</v>
      </c>
      <c r="E1458" s="6" t="s">
        <v>3484</v>
      </c>
      <c r="F1458" s="10" t="s">
        <v>205</v>
      </c>
      <c r="G1458" s="6" t="s">
        <v>4619</v>
      </c>
      <c r="H1458" s="8">
        <v>49265</v>
      </c>
      <c r="I1458" s="8">
        <v>43759</v>
      </c>
      <c r="J1458" s="8">
        <v>43761</v>
      </c>
      <c r="K1458" s="95">
        <v>43818</v>
      </c>
      <c r="L1458" s="95" t="s">
        <v>359</v>
      </c>
      <c r="R1458" s="97" t="str">
        <f t="shared" si="56"/>
        <v/>
      </c>
      <c r="S1458" s="75" t="str">
        <f t="shared" si="57"/>
        <v/>
      </c>
      <c r="W1458" s="6" t="s">
        <v>33</v>
      </c>
      <c r="X1458" s="95">
        <v>49570</v>
      </c>
    </row>
    <row r="1459" spans="1:24" x14ac:dyDescent="0.25">
      <c r="A1459" s="6" t="s">
        <v>37</v>
      </c>
      <c r="B1459" s="94" t="s">
        <v>4620</v>
      </c>
      <c r="C1459" s="6" t="s">
        <v>4621</v>
      </c>
      <c r="D1459" s="140">
        <v>11311473</v>
      </c>
      <c r="E1459" s="6" t="s">
        <v>1109</v>
      </c>
      <c r="F1459" s="10" t="s">
        <v>143</v>
      </c>
      <c r="G1459" s="6" t="s">
        <v>3233</v>
      </c>
      <c r="H1459" s="8">
        <v>46079</v>
      </c>
      <c r="I1459" s="8">
        <v>44277</v>
      </c>
      <c r="J1459" s="8">
        <v>44279</v>
      </c>
      <c r="K1459" s="95">
        <v>44279</v>
      </c>
      <c r="L1459" s="95" t="s">
        <v>31</v>
      </c>
      <c r="M1459" s="8">
        <v>44292</v>
      </c>
      <c r="N1459" s="8">
        <v>44750</v>
      </c>
      <c r="O1459" s="8">
        <v>44715</v>
      </c>
      <c r="P1459" s="6" t="s">
        <v>35</v>
      </c>
      <c r="Q1459" s="96">
        <v>244</v>
      </c>
      <c r="R1459" s="97">
        <f t="shared" si="56"/>
        <v>0.66849315068493154</v>
      </c>
      <c r="S1459" s="75">
        <f t="shared" si="57"/>
        <v>5521.0849315068499</v>
      </c>
      <c r="U1459" s="8">
        <v>44750</v>
      </c>
      <c r="W1459" s="6" t="s">
        <v>33</v>
      </c>
      <c r="X1459" s="7">
        <v>45951</v>
      </c>
    </row>
    <row r="1460" spans="1:24" x14ac:dyDescent="0.25">
      <c r="A1460" s="6" t="s">
        <v>25</v>
      </c>
      <c r="B1460" s="94" t="s">
        <v>4622</v>
      </c>
      <c r="C1460" s="6" t="s">
        <v>4623</v>
      </c>
      <c r="D1460" s="140">
        <v>11055103</v>
      </c>
      <c r="E1460" s="6" t="s">
        <v>1539</v>
      </c>
      <c r="F1460" s="10" t="s">
        <v>44</v>
      </c>
      <c r="G1460" s="6" t="s">
        <v>4624</v>
      </c>
      <c r="H1460" s="8">
        <v>44805</v>
      </c>
      <c r="I1460" s="8">
        <v>43761</v>
      </c>
      <c r="J1460" s="8">
        <v>43766</v>
      </c>
      <c r="K1460" s="95">
        <v>43818</v>
      </c>
      <c r="L1460" s="95" t="s">
        <v>31</v>
      </c>
      <c r="M1460" s="8">
        <v>43822</v>
      </c>
      <c r="N1460" s="8">
        <v>43879</v>
      </c>
      <c r="O1460" s="8">
        <v>43861</v>
      </c>
      <c r="P1460" s="6" t="s">
        <v>75</v>
      </c>
      <c r="R1460" s="97" t="str">
        <f t="shared" si="56"/>
        <v/>
      </c>
      <c r="S1460" s="75" t="str">
        <f t="shared" si="57"/>
        <v/>
      </c>
      <c r="U1460" s="8">
        <v>43879</v>
      </c>
      <c r="W1460" s="6" t="s">
        <v>33</v>
      </c>
      <c r="X1460" s="95">
        <v>41724</v>
      </c>
    </row>
    <row r="1461" spans="1:24" x14ac:dyDescent="0.25">
      <c r="A1461" s="6" t="s">
        <v>25</v>
      </c>
      <c r="B1461" s="94" t="s">
        <v>770</v>
      </c>
      <c r="C1461" s="6" t="s">
        <v>4625</v>
      </c>
      <c r="D1461" s="140">
        <v>11074878</v>
      </c>
      <c r="E1461" s="6" t="s">
        <v>1927</v>
      </c>
      <c r="F1461" s="10" t="s">
        <v>44</v>
      </c>
      <c r="G1461" s="6" t="s">
        <v>4626</v>
      </c>
      <c r="H1461" s="8">
        <v>44728</v>
      </c>
      <c r="I1461" s="8">
        <v>43761</v>
      </c>
      <c r="J1461" s="8">
        <v>43766</v>
      </c>
      <c r="K1461" s="95">
        <v>43818</v>
      </c>
      <c r="L1461" s="95" t="s">
        <v>31</v>
      </c>
      <c r="M1461" s="8">
        <v>43822</v>
      </c>
      <c r="N1461" s="108">
        <v>44139</v>
      </c>
      <c r="O1461" s="108">
        <v>44119</v>
      </c>
      <c r="P1461" s="107" t="s">
        <v>75</v>
      </c>
      <c r="Q1461" s="110"/>
      <c r="R1461" s="97" t="str">
        <f t="shared" si="56"/>
        <v/>
      </c>
      <c r="S1461" s="75" t="str">
        <f t="shared" si="57"/>
        <v/>
      </c>
      <c r="U1461" s="8">
        <v>44776</v>
      </c>
      <c r="W1461" s="6" t="s">
        <v>33</v>
      </c>
      <c r="X1461" s="95">
        <v>41718</v>
      </c>
    </row>
    <row r="1462" spans="1:24" x14ac:dyDescent="0.25">
      <c r="A1462" s="6" t="s">
        <v>25</v>
      </c>
      <c r="B1462" s="94" t="s">
        <v>4627</v>
      </c>
      <c r="C1462" s="6" t="s">
        <v>4628</v>
      </c>
      <c r="D1462" s="140">
        <v>11113451</v>
      </c>
      <c r="E1462" s="6" t="s">
        <v>1960</v>
      </c>
      <c r="F1462" s="10" t="s">
        <v>44</v>
      </c>
      <c r="G1462" s="6" t="s">
        <v>4629</v>
      </c>
      <c r="H1462" s="8">
        <v>44427</v>
      </c>
      <c r="I1462" s="8">
        <v>43761</v>
      </c>
      <c r="J1462" s="8">
        <v>43766</v>
      </c>
      <c r="K1462" s="95">
        <v>43818</v>
      </c>
      <c r="L1462" s="95" t="s">
        <v>31</v>
      </c>
      <c r="M1462" s="8">
        <v>43822</v>
      </c>
      <c r="R1462" s="97" t="str">
        <f t="shared" si="56"/>
        <v/>
      </c>
      <c r="S1462" s="75" t="str">
        <f t="shared" si="57"/>
        <v/>
      </c>
      <c r="T1462" s="129" t="s">
        <v>4630</v>
      </c>
      <c r="U1462" s="8">
        <v>44783</v>
      </c>
      <c r="W1462" s="6" t="s">
        <v>33</v>
      </c>
      <c r="X1462" s="95">
        <v>41900</v>
      </c>
    </row>
    <row r="1463" spans="1:24" x14ac:dyDescent="0.25">
      <c r="A1463" s="6" t="s">
        <v>25</v>
      </c>
      <c r="B1463" s="94" t="s">
        <v>635</v>
      </c>
      <c r="C1463" s="6" t="s">
        <v>4631</v>
      </c>
      <c r="D1463" s="140">
        <v>11116001</v>
      </c>
      <c r="E1463" s="6" t="s">
        <v>1539</v>
      </c>
      <c r="F1463" s="10" t="s">
        <v>121</v>
      </c>
      <c r="G1463" s="6" t="s">
        <v>4632</v>
      </c>
      <c r="H1463" s="8">
        <v>46803</v>
      </c>
      <c r="I1463" s="8">
        <v>43761</v>
      </c>
      <c r="J1463" s="8">
        <v>43766</v>
      </c>
      <c r="K1463" s="95">
        <v>43818</v>
      </c>
      <c r="L1463" s="95" t="s">
        <v>31</v>
      </c>
      <c r="M1463" s="8">
        <v>43822</v>
      </c>
      <c r="N1463" s="8">
        <v>43899</v>
      </c>
      <c r="O1463" s="8">
        <v>43893</v>
      </c>
      <c r="P1463" s="6" t="s">
        <v>75</v>
      </c>
      <c r="R1463" s="97" t="str">
        <f t="shared" si="56"/>
        <v/>
      </c>
      <c r="S1463" s="75" t="str">
        <f t="shared" si="57"/>
        <v/>
      </c>
      <c r="U1463" s="8">
        <v>43901</v>
      </c>
      <c r="W1463" s="6" t="s">
        <v>33</v>
      </c>
      <c r="X1463" s="95">
        <v>43641</v>
      </c>
    </row>
    <row r="1464" spans="1:24" x14ac:dyDescent="0.25">
      <c r="A1464" s="6" t="s">
        <v>25</v>
      </c>
      <c r="B1464" s="94" t="s">
        <v>4633</v>
      </c>
      <c r="C1464" s="6" t="s">
        <v>4634</v>
      </c>
      <c r="D1464" s="140">
        <v>11125959</v>
      </c>
      <c r="E1464" s="6" t="s">
        <v>414</v>
      </c>
      <c r="F1464" s="10" t="s">
        <v>299</v>
      </c>
      <c r="G1464" s="6" t="s">
        <v>4635</v>
      </c>
      <c r="H1464" s="8">
        <v>46547</v>
      </c>
      <c r="I1464" s="8">
        <v>43761</v>
      </c>
      <c r="J1464" s="8">
        <v>43766</v>
      </c>
      <c r="K1464" s="95">
        <v>43818</v>
      </c>
      <c r="L1464" s="95" t="s">
        <v>31</v>
      </c>
      <c r="M1464" s="8">
        <v>43822</v>
      </c>
      <c r="R1464" s="97" t="str">
        <f t="shared" si="56"/>
        <v/>
      </c>
      <c r="S1464" s="75" t="str">
        <f t="shared" si="57"/>
        <v/>
      </c>
      <c r="T1464" s="129" t="s">
        <v>4636</v>
      </c>
      <c r="U1464" s="8">
        <v>44783</v>
      </c>
      <c r="W1464" s="6" t="s">
        <v>33</v>
      </c>
      <c r="X1464" s="95">
        <v>43501</v>
      </c>
    </row>
    <row r="1465" spans="1:24" x14ac:dyDescent="0.25">
      <c r="A1465" s="6" t="s">
        <v>25</v>
      </c>
      <c r="B1465" s="94" t="s">
        <v>4637</v>
      </c>
      <c r="C1465" s="6" t="s">
        <v>4638</v>
      </c>
      <c r="D1465" s="140">
        <v>11136221</v>
      </c>
      <c r="E1465" s="6" t="s">
        <v>783</v>
      </c>
      <c r="F1465" s="10" t="s">
        <v>44</v>
      </c>
      <c r="G1465" s="6" t="s">
        <v>4639</v>
      </c>
      <c r="H1465" s="8">
        <v>44469</v>
      </c>
      <c r="I1465" s="8">
        <v>43761</v>
      </c>
      <c r="J1465" s="8">
        <v>43766</v>
      </c>
      <c r="K1465" s="95">
        <v>43818</v>
      </c>
      <c r="L1465" s="95" t="s">
        <v>31</v>
      </c>
      <c r="M1465" s="8">
        <v>43823</v>
      </c>
      <c r="R1465" s="97" t="str">
        <f t="shared" si="56"/>
        <v/>
      </c>
      <c r="S1465" s="75" t="str">
        <f t="shared" si="57"/>
        <v/>
      </c>
      <c r="T1465" s="129" t="s">
        <v>4640</v>
      </c>
      <c r="U1465" s="8">
        <v>44783</v>
      </c>
      <c r="W1465" s="6" t="s">
        <v>33</v>
      </c>
      <c r="X1465" s="95">
        <v>38312</v>
      </c>
    </row>
    <row r="1466" spans="1:24" x14ac:dyDescent="0.25">
      <c r="A1466" s="6" t="s">
        <v>25</v>
      </c>
      <c r="B1466" s="94" t="s">
        <v>4641</v>
      </c>
      <c r="C1466" s="6" t="s">
        <v>4642</v>
      </c>
      <c r="D1466" s="140">
        <v>11137429</v>
      </c>
      <c r="E1466" s="6" t="s">
        <v>49</v>
      </c>
      <c r="F1466" s="10" t="s">
        <v>44</v>
      </c>
      <c r="G1466" s="6" t="s">
        <v>4643</v>
      </c>
      <c r="H1466" s="8">
        <v>45302</v>
      </c>
      <c r="I1466" s="8">
        <v>43761</v>
      </c>
      <c r="J1466" s="8">
        <v>43766</v>
      </c>
      <c r="K1466" s="95">
        <v>43818</v>
      </c>
      <c r="L1466" s="95" t="s">
        <v>31</v>
      </c>
      <c r="M1466" s="8">
        <v>43823</v>
      </c>
      <c r="N1466" s="8">
        <v>43899</v>
      </c>
      <c r="O1466" s="8">
        <v>43882</v>
      </c>
      <c r="P1466" s="6" t="s">
        <v>52</v>
      </c>
      <c r="R1466" s="97" t="str">
        <f t="shared" si="56"/>
        <v/>
      </c>
      <c r="S1466" s="75" t="str">
        <f t="shared" si="57"/>
        <v/>
      </c>
      <c r="U1466" s="8">
        <v>43901</v>
      </c>
      <c r="W1466" s="6" t="s">
        <v>33</v>
      </c>
      <c r="X1466" s="95">
        <v>43611</v>
      </c>
    </row>
    <row r="1467" spans="1:24" x14ac:dyDescent="0.25">
      <c r="A1467" s="6" t="s">
        <v>25</v>
      </c>
      <c r="B1467" s="94" t="s">
        <v>3629</v>
      </c>
      <c r="C1467" s="6" t="s">
        <v>4644</v>
      </c>
      <c r="D1467" s="140">
        <v>12002873</v>
      </c>
      <c r="E1467" s="6" t="s">
        <v>175</v>
      </c>
      <c r="F1467" s="10" t="s">
        <v>57</v>
      </c>
      <c r="G1467" s="6" t="s">
        <v>4645</v>
      </c>
      <c r="H1467" s="8">
        <v>44558</v>
      </c>
      <c r="I1467" s="8">
        <v>43763</v>
      </c>
      <c r="J1467" s="8">
        <v>43759</v>
      </c>
      <c r="K1467" s="95">
        <v>43818</v>
      </c>
      <c r="L1467" s="95" t="s">
        <v>359</v>
      </c>
      <c r="R1467" s="97" t="str">
        <f t="shared" si="56"/>
        <v/>
      </c>
      <c r="S1467" s="75" t="str">
        <f t="shared" si="57"/>
        <v/>
      </c>
      <c r="W1467" s="6" t="s">
        <v>33</v>
      </c>
      <c r="X1467" s="95">
        <v>41521</v>
      </c>
    </row>
    <row r="1468" spans="1:24" x14ac:dyDescent="0.25">
      <c r="A1468" s="6" t="s">
        <v>25</v>
      </c>
      <c r="B1468" s="94" t="s">
        <v>4646</v>
      </c>
      <c r="C1468" s="6" t="s">
        <v>4647</v>
      </c>
      <c r="D1468" s="140">
        <v>11750800</v>
      </c>
      <c r="E1468" s="6" t="s">
        <v>1271</v>
      </c>
      <c r="F1468" s="10" t="s">
        <v>44</v>
      </c>
      <c r="G1468" s="6" t="s">
        <v>4648</v>
      </c>
      <c r="H1468" s="8">
        <v>44705</v>
      </c>
      <c r="I1468" s="8">
        <v>43763</v>
      </c>
      <c r="J1468" s="8">
        <v>43759</v>
      </c>
      <c r="K1468" s="95">
        <v>43818</v>
      </c>
      <c r="L1468" s="95" t="s">
        <v>31</v>
      </c>
      <c r="M1468" s="8">
        <v>43823</v>
      </c>
      <c r="N1468" s="8">
        <v>43847</v>
      </c>
      <c r="O1468" s="8">
        <v>43839</v>
      </c>
      <c r="P1468" s="6" t="s">
        <v>75</v>
      </c>
      <c r="R1468" s="97" t="str">
        <f t="shared" si="56"/>
        <v/>
      </c>
      <c r="S1468" s="75" t="str">
        <f t="shared" si="57"/>
        <v/>
      </c>
      <c r="U1468" s="8">
        <v>43847</v>
      </c>
      <c r="W1468" s="6" t="s">
        <v>33</v>
      </c>
      <c r="X1468" s="95">
        <v>41335</v>
      </c>
    </row>
    <row r="1469" spans="1:24" x14ac:dyDescent="0.25">
      <c r="A1469" s="6" t="s">
        <v>25</v>
      </c>
      <c r="B1469" s="94" t="s">
        <v>2789</v>
      </c>
      <c r="C1469" s="6" t="s">
        <v>4649</v>
      </c>
      <c r="D1469" s="140">
        <v>12116836</v>
      </c>
      <c r="E1469" s="6" t="s">
        <v>3468</v>
      </c>
      <c r="F1469" s="10" t="s">
        <v>143</v>
      </c>
      <c r="G1469" s="6" t="s">
        <v>4650</v>
      </c>
      <c r="H1469" s="8">
        <v>44695</v>
      </c>
      <c r="I1469" s="8">
        <v>43763</v>
      </c>
      <c r="J1469" s="8">
        <v>43759</v>
      </c>
      <c r="K1469" s="95">
        <v>43818</v>
      </c>
      <c r="L1469" s="95" t="s">
        <v>31</v>
      </c>
      <c r="M1469" s="8">
        <v>43823</v>
      </c>
      <c r="N1469" s="8">
        <v>44314</v>
      </c>
      <c r="O1469" s="8">
        <v>44222</v>
      </c>
      <c r="P1469" s="6" t="s">
        <v>90</v>
      </c>
      <c r="Q1469" s="96">
        <v>473</v>
      </c>
      <c r="R1469" s="97">
        <f t="shared" si="56"/>
        <v>1.295890410958904</v>
      </c>
      <c r="S1469" s="75">
        <f t="shared" si="57"/>
        <v>10702.758904109589</v>
      </c>
      <c r="U1469" s="8">
        <v>44321</v>
      </c>
      <c r="V1469" s="6" t="s">
        <v>36</v>
      </c>
      <c r="W1469" s="6" t="s">
        <v>33</v>
      </c>
      <c r="X1469" s="95">
        <v>50482</v>
      </c>
    </row>
    <row r="1470" spans="1:24" x14ac:dyDescent="0.25">
      <c r="A1470" s="6" t="s">
        <v>25</v>
      </c>
      <c r="B1470" s="94" t="s">
        <v>3155</v>
      </c>
      <c r="C1470" s="6" t="s">
        <v>4651</v>
      </c>
      <c r="D1470" s="140">
        <v>11313421</v>
      </c>
      <c r="E1470" s="6" t="s">
        <v>2779</v>
      </c>
      <c r="F1470" s="10" t="s">
        <v>44</v>
      </c>
      <c r="G1470" s="6" t="s">
        <v>4652</v>
      </c>
      <c r="H1470" s="8">
        <v>44553</v>
      </c>
      <c r="I1470" s="8">
        <v>43763</v>
      </c>
      <c r="J1470" s="8">
        <v>43759</v>
      </c>
      <c r="K1470" s="95">
        <v>43818</v>
      </c>
      <c r="L1470" s="95" t="s">
        <v>31</v>
      </c>
      <c r="M1470" s="8">
        <v>43823</v>
      </c>
      <c r="N1470" s="8">
        <v>43844</v>
      </c>
      <c r="O1470" s="8">
        <v>43822</v>
      </c>
      <c r="P1470" s="6" t="s">
        <v>75</v>
      </c>
      <c r="R1470" s="97" t="str">
        <f t="shared" si="56"/>
        <v/>
      </c>
      <c r="S1470" s="75" t="str">
        <f t="shared" si="57"/>
        <v/>
      </c>
      <c r="U1470" s="8">
        <v>43845</v>
      </c>
      <c r="W1470" s="6" t="s">
        <v>33</v>
      </c>
      <c r="X1470" s="95">
        <v>50256</v>
      </c>
    </row>
    <row r="1471" spans="1:24" x14ac:dyDescent="0.25">
      <c r="A1471" s="6" t="s">
        <v>25</v>
      </c>
      <c r="B1471" s="94" t="s">
        <v>4653</v>
      </c>
      <c r="C1471" s="6" t="s">
        <v>4654</v>
      </c>
      <c r="D1471" s="140">
        <v>12102803</v>
      </c>
      <c r="E1471" s="6" t="s">
        <v>3163</v>
      </c>
      <c r="F1471" s="10" t="s">
        <v>148</v>
      </c>
      <c r="G1471" s="6" t="s">
        <v>4655</v>
      </c>
      <c r="H1471" s="8">
        <v>44687</v>
      </c>
      <c r="I1471" s="8">
        <v>43763</v>
      </c>
      <c r="J1471" s="8">
        <v>43759</v>
      </c>
      <c r="K1471" s="95">
        <v>43818</v>
      </c>
      <c r="L1471" s="95" t="s">
        <v>31</v>
      </c>
      <c r="M1471" s="8">
        <v>43823</v>
      </c>
      <c r="N1471" s="8">
        <v>43899</v>
      </c>
      <c r="O1471" s="8">
        <v>43886</v>
      </c>
      <c r="P1471" s="6" t="s">
        <v>75</v>
      </c>
      <c r="R1471" s="97" t="str">
        <f t="shared" si="56"/>
        <v/>
      </c>
      <c r="S1471" s="75" t="str">
        <f t="shared" si="57"/>
        <v/>
      </c>
      <c r="U1471" s="8">
        <v>43901</v>
      </c>
      <c r="W1471" s="6" t="s">
        <v>33</v>
      </c>
      <c r="X1471" s="95">
        <v>53217</v>
      </c>
    </row>
    <row r="1472" spans="1:24" x14ac:dyDescent="0.25">
      <c r="A1472" s="6" t="s">
        <v>25</v>
      </c>
      <c r="B1472" s="94" t="s">
        <v>3521</v>
      </c>
      <c r="C1472" s="6" t="s">
        <v>4656</v>
      </c>
      <c r="D1472" s="140">
        <v>11806736</v>
      </c>
      <c r="E1472" s="6" t="s">
        <v>199</v>
      </c>
      <c r="F1472" s="10" t="s">
        <v>44</v>
      </c>
      <c r="G1472" s="6" t="s">
        <v>4657</v>
      </c>
      <c r="H1472" s="8">
        <v>44933</v>
      </c>
      <c r="I1472" s="8">
        <v>43763</v>
      </c>
      <c r="J1472" s="8">
        <v>43759</v>
      </c>
      <c r="K1472" s="95">
        <v>43818</v>
      </c>
      <c r="L1472" s="95" t="s">
        <v>359</v>
      </c>
      <c r="R1472" s="97" t="str">
        <f t="shared" si="56"/>
        <v/>
      </c>
      <c r="S1472" s="75" t="str">
        <f t="shared" si="57"/>
        <v/>
      </c>
      <c r="W1472" s="6" t="s">
        <v>33</v>
      </c>
      <c r="X1472" s="95">
        <v>50455</v>
      </c>
    </row>
    <row r="1473" spans="1:24" x14ac:dyDescent="0.25">
      <c r="A1473" s="6" t="s">
        <v>168</v>
      </c>
      <c r="B1473" s="94" t="s">
        <v>4658</v>
      </c>
      <c r="C1473" s="3" t="s">
        <v>4659</v>
      </c>
      <c r="D1473" s="140">
        <v>11211537</v>
      </c>
      <c r="E1473" s="6" t="s">
        <v>2314</v>
      </c>
      <c r="F1473" s="10" t="s">
        <v>1466</v>
      </c>
      <c r="G1473" s="6" t="s">
        <v>4660</v>
      </c>
      <c r="H1473" s="8">
        <v>55078</v>
      </c>
      <c r="I1473" s="8">
        <v>44246</v>
      </c>
      <c r="R1473" s="97" t="str">
        <f t="shared" si="56"/>
        <v/>
      </c>
      <c r="S1473" s="75" t="str">
        <f t="shared" si="57"/>
        <v/>
      </c>
      <c r="T1473" s="124" t="s">
        <v>4661</v>
      </c>
      <c r="U1473" s="8">
        <v>45208</v>
      </c>
      <c r="W1473" s="6" t="s">
        <v>84</v>
      </c>
      <c r="X1473" s="7">
        <v>48333</v>
      </c>
    </row>
    <row r="1474" spans="1:24" x14ac:dyDescent="0.25">
      <c r="A1474" s="6" t="s">
        <v>37</v>
      </c>
      <c r="B1474" s="94" t="s">
        <v>188</v>
      </c>
      <c r="C1474" s="6" t="s">
        <v>4662</v>
      </c>
      <c r="D1474" s="140">
        <v>11373315</v>
      </c>
      <c r="E1474" s="6" t="s">
        <v>3201</v>
      </c>
      <c r="F1474" s="10" t="s">
        <v>134</v>
      </c>
      <c r="G1474" s="6" t="s">
        <v>4663</v>
      </c>
      <c r="H1474" s="8">
        <v>56967</v>
      </c>
      <c r="I1474" s="8">
        <v>44075</v>
      </c>
      <c r="J1474" s="8">
        <v>44091</v>
      </c>
      <c r="K1474" s="95">
        <v>44091</v>
      </c>
      <c r="L1474" s="95" t="s">
        <v>31</v>
      </c>
      <c r="M1474" s="8">
        <v>44099</v>
      </c>
      <c r="P1474" s="107" t="s">
        <v>628</v>
      </c>
      <c r="R1474" s="97" t="str">
        <f t="shared" si="56"/>
        <v/>
      </c>
      <c r="S1474" s="75" t="str">
        <f t="shared" si="57"/>
        <v/>
      </c>
      <c r="T1474" s="129" t="s">
        <v>4664</v>
      </c>
      <c r="W1474" s="6" t="s">
        <v>84</v>
      </c>
      <c r="X1474" s="135">
        <v>50547</v>
      </c>
    </row>
    <row r="1475" spans="1:24" x14ac:dyDescent="0.25">
      <c r="A1475" s="6" t="s">
        <v>168</v>
      </c>
      <c r="B1475" s="94" t="s">
        <v>4665</v>
      </c>
      <c r="C1475" s="6" t="s">
        <v>4666</v>
      </c>
      <c r="D1475" s="140">
        <v>11237016</v>
      </c>
      <c r="E1475" s="6" t="s">
        <v>4667</v>
      </c>
      <c r="F1475" s="10" t="s">
        <v>134</v>
      </c>
      <c r="G1475" s="6" t="s">
        <v>4668</v>
      </c>
      <c r="H1475" s="8">
        <v>44343</v>
      </c>
      <c r="I1475" s="8">
        <v>43636</v>
      </c>
      <c r="J1475" s="8">
        <v>43637</v>
      </c>
      <c r="K1475" s="95">
        <v>43637</v>
      </c>
      <c r="L1475" s="95" t="s">
        <v>31</v>
      </c>
      <c r="M1475" s="8">
        <v>43656</v>
      </c>
      <c r="N1475" s="8">
        <v>44141</v>
      </c>
      <c r="O1475" s="8">
        <v>44019</v>
      </c>
      <c r="P1475" s="6" t="s">
        <v>69</v>
      </c>
      <c r="R1475" s="97" t="str">
        <f t="shared" si="56"/>
        <v/>
      </c>
      <c r="S1475" s="75" t="str">
        <f t="shared" si="57"/>
        <v/>
      </c>
      <c r="T1475" s="124" t="s">
        <v>4669</v>
      </c>
      <c r="U1475" s="8">
        <v>44141</v>
      </c>
      <c r="W1475" s="6" t="s">
        <v>33</v>
      </c>
      <c r="X1475" s="95">
        <v>47496</v>
      </c>
    </row>
    <row r="1476" spans="1:24" x14ac:dyDescent="0.25">
      <c r="A1476" s="6" t="s">
        <v>25</v>
      </c>
      <c r="B1476" s="94" t="s">
        <v>4670</v>
      </c>
      <c r="C1476" s="6" t="s">
        <v>4671</v>
      </c>
      <c r="D1476" s="140">
        <v>12127269</v>
      </c>
      <c r="E1476" s="6" t="s">
        <v>80</v>
      </c>
      <c r="F1476" s="10" t="s">
        <v>139</v>
      </c>
      <c r="G1476" s="6" t="s">
        <v>4672</v>
      </c>
      <c r="H1476" s="8">
        <v>47552</v>
      </c>
      <c r="I1476" s="8">
        <v>43766</v>
      </c>
      <c r="J1476" s="8">
        <v>43767</v>
      </c>
      <c r="K1476" s="95">
        <v>43818</v>
      </c>
      <c r="L1476" s="95" t="s">
        <v>359</v>
      </c>
      <c r="R1476" s="97" t="str">
        <f t="shared" si="56"/>
        <v/>
      </c>
      <c r="S1476" s="75" t="str">
        <f t="shared" si="57"/>
        <v/>
      </c>
      <c r="W1476" s="6" t="s">
        <v>33</v>
      </c>
      <c r="X1476" s="95">
        <v>46858</v>
      </c>
    </row>
    <row r="1477" spans="1:24" x14ac:dyDescent="0.25">
      <c r="A1477" s="6" t="s">
        <v>25</v>
      </c>
      <c r="B1477" s="94" t="s">
        <v>594</v>
      </c>
      <c r="C1477" s="6" t="s">
        <v>4673</v>
      </c>
      <c r="D1477" s="140">
        <v>11589777</v>
      </c>
      <c r="E1477" s="6" t="s">
        <v>80</v>
      </c>
      <c r="F1477" s="10" t="s">
        <v>363</v>
      </c>
      <c r="G1477" s="6">
        <v>1428320</v>
      </c>
      <c r="H1477" s="8">
        <v>47999</v>
      </c>
      <c r="I1477" s="8">
        <v>43766</v>
      </c>
      <c r="J1477" s="8">
        <v>43767</v>
      </c>
      <c r="K1477" s="95">
        <v>43818</v>
      </c>
      <c r="L1477" s="95" t="s">
        <v>359</v>
      </c>
      <c r="R1477" s="97" t="str">
        <f t="shared" si="56"/>
        <v/>
      </c>
      <c r="S1477" s="75" t="str">
        <f t="shared" si="57"/>
        <v/>
      </c>
      <c r="W1477" s="6" t="s">
        <v>33</v>
      </c>
      <c r="X1477" s="95">
        <v>53300</v>
      </c>
    </row>
    <row r="1478" spans="1:24" x14ac:dyDescent="0.25">
      <c r="A1478" s="6" t="s">
        <v>25</v>
      </c>
      <c r="B1478" s="94" t="s">
        <v>4674</v>
      </c>
      <c r="C1478" s="6" t="s">
        <v>4675</v>
      </c>
      <c r="D1478" s="140">
        <v>11340034</v>
      </c>
      <c r="E1478" s="6" t="s">
        <v>49</v>
      </c>
      <c r="F1478" s="10" t="s">
        <v>148</v>
      </c>
      <c r="G1478" s="6" t="s">
        <v>4676</v>
      </c>
      <c r="H1478" s="8">
        <v>47555</v>
      </c>
      <c r="I1478" s="8">
        <v>43766</v>
      </c>
      <c r="J1478" s="8">
        <v>43767</v>
      </c>
      <c r="K1478" s="95">
        <v>43818</v>
      </c>
      <c r="L1478" s="95" t="s">
        <v>359</v>
      </c>
      <c r="R1478" s="97" t="str">
        <f t="shared" ref="R1478:R1541" si="58">IF(Q1478&gt;0, Q1478/365, "")</f>
        <v/>
      </c>
      <c r="S1478" s="75" t="str">
        <f t="shared" ref="S1478:S1541" si="59">IF(Q1478&gt;0, SUM(Q1478)*(8259/365), "")</f>
        <v/>
      </c>
      <c r="W1478" s="6" t="s">
        <v>33</v>
      </c>
      <c r="X1478" s="95">
        <v>50604</v>
      </c>
    </row>
    <row r="1479" spans="1:24" x14ac:dyDescent="0.25">
      <c r="A1479" s="6" t="s">
        <v>25</v>
      </c>
      <c r="B1479" s="94" t="s">
        <v>4677</v>
      </c>
      <c r="C1479" s="6" t="s">
        <v>4678</v>
      </c>
      <c r="D1479" s="140">
        <v>11849600</v>
      </c>
      <c r="E1479" s="6" t="s">
        <v>418</v>
      </c>
      <c r="F1479" s="10" t="s">
        <v>44</v>
      </c>
      <c r="G1479" s="6" t="s">
        <v>4679</v>
      </c>
      <c r="H1479" s="8">
        <v>44331</v>
      </c>
      <c r="I1479" s="8">
        <v>43766</v>
      </c>
      <c r="J1479" s="8">
        <v>43767</v>
      </c>
      <c r="K1479" s="95">
        <v>43818</v>
      </c>
      <c r="L1479" s="95" t="s">
        <v>31</v>
      </c>
      <c r="M1479" s="8">
        <v>43823</v>
      </c>
      <c r="N1479" s="8">
        <v>43872</v>
      </c>
      <c r="O1479" s="8">
        <v>43861</v>
      </c>
      <c r="P1479" s="6" t="s">
        <v>52</v>
      </c>
      <c r="R1479" s="97" t="str">
        <f t="shared" si="58"/>
        <v/>
      </c>
      <c r="S1479" s="75" t="str">
        <f t="shared" si="59"/>
        <v/>
      </c>
      <c r="U1479" s="8">
        <v>43873</v>
      </c>
      <c r="W1479" s="6" t="s">
        <v>33</v>
      </c>
      <c r="X1479" s="95">
        <v>42491</v>
      </c>
    </row>
    <row r="1480" spans="1:24" x14ac:dyDescent="0.25">
      <c r="A1480" s="6" t="s">
        <v>25</v>
      </c>
      <c r="B1480" s="94" t="s">
        <v>4680</v>
      </c>
      <c r="C1480" s="6" t="s">
        <v>4681</v>
      </c>
      <c r="D1480" s="140">
        <v>11536751</v>
      </c>
      <c r="E1480" s="6" t="s">
        <v>498</v>
      </c>
      <c r="F1480" s="10" t="s">
        <v>528</v>
      </c>
      <c r="G1480" s="6" t="s">
        <v>4682</v>
      </c>
      <c r="H1480" s="8">
        <v>49789</v>
      </c>
      <c r="I1480" s="8">
        <v>43766</v>
      </c>
      <c r="J1480" s="8">
        <v>43767</v>
      </c>
      <c r="K1480" s="95">
        <v>43818</v>
      </c>
      <c r="L1480" s="95" t="s">
        <v>31</v>
      </c>
      <c r="M1480" s="8">
        <v>43826</v>
      </c>
      <c r="R1480" s="97" t="str">
        <f t="shared" si="58"/>
        <v/>
      </c>
      <c r="S1480" s="75" t="str">
        <f t="shared" si="59"/>
        <v/>
      </c>
      <c r="T1480" s="129" t="s">
        <v>4683</v>
      </c>
      <c r="U1480" s="8">
        <v>44783</v>
      </c>
      <c r="W1480" s="6" t="s">
        <v>33</v>
      </c>
      <c r="X1480" s="95">
        <v>43675</v>
      </c>
    </row>
    <row r="1481" spans="1:24" x14ac:dyDescent="0.25">
      <c r="A1481" s="6" t="s">
        <v>25</v>
      </c>
      <c r="B1481" s="94" t="s">
        <v>4684</v>
      </c>
      <c r="C1481" s="6" t="s">
        <v>4685</v>
      </c>
      <c r="D1481" s="140">
        <v>11291152</v>
      </c>
      <c r="E1481" s="6" t="s">
        <v>2090</v>
      </c>
      <c r="F1481" s="10" t="s">
        <v>44</v>
      </c>
      <c r="G1481" s="6" t="s">
        <v>4686</v>
      </c>
      <c r="H1481" s="8">
        <v>44448</v>
      </c>
      <c r="I1481" s="8">
        <v>43766</v>
      </c>
      <c r="J1481" s="8">
        <v>43767</v>
      </c>
      <c r="K1481" s="95">
        <v>43818</v>
      </c>
      <c r="L1481" s="95" t="s">
        <v>31</v>
      </c>
      <c r="M1481" s="8">
        <v>43823</v>
      </c>
      <c r="N1481" s="8">
        <v>43847</v>
      </c>
      <c r="O1481" s="8">
        <v>43839</v>
      </c>
      <c r="P1481" s="6" t="s">
        <v>52</v>
      </c>
      <c r="R1481" s="97" t="str">
        <f t="shared" si="58"/>
        <v/>
      </c>
      <c r="S1481" s="75" t="str">
        <f t="shared" si="59"/>
        <v/>
      </c>
      <c r="U1481" s="8">
        <v>43847</v>
      </c>
      <c r="W1481" s="6" t="s">
        <v>33</v>
      </c>
      <c r="X1481" s="95">
        <v>41711</v>
      </c>
    </row>
    <row r="1482" spans="1:24" ht="45" x14ac:dyDescent="0.25">
      <c r="A1482" s="6" t="s">
        <v>168</v>
      </c>
      <c r="B1482" s="94" t="s">
        <v>4687</v>
      </c>
      <c r="C1482" s="6" t="s">
        <v>4688</v>
      </c>
      <c r="D1482" s="140">
        <v>11132372</v>
      </c>
      <c r="E1482" s="6" t="s">
        <v>4689</v>
      </c>
      <c r="F1482" s="10" t="s">
        <v>44</v>
      </c>
      <c r="G1482" s="6" t="s">
        <v>4690</v>
      </c>
      <c r="H1482" s="8">
        <v>46210</v>
      </c>
      <c r="I1482" s="8">
        <v>43615</v>
      </c>
      <c r="J1482" s="8">
        <v>43628</v>
      </c>
      <c r="K1482" s="95">
        <v>43628</v>
      </c>
      <c r="L1482" s="95" t="s">
        <v>31</v>
      </c>
      <c r="M1482" s="8">
        <v>43635</v>
      </c>
      <c r="N1482" s="8">
        <v>44488</v>
      </c>
      <c r="O1482" s="8">
        <v>44029</v>
      </c>
      <c r="P1482" s="6" t="s">
        <v>52</v>
      </c>
      <c r="R1482" s="97" t="str">
        <f t="shared" si="58"/>
        <v/>
      </c>
      <c r="S1482" s="75" t="str">
        <f t="shared" si="59"/>
        <v/>
      </c>
      <c r="T1482" s="124" t="s">
        <v>4691</v>
      </c>
      <c r="U1482" s="8">
        <v>44497</v>
      </c>
      <c r="W1482" s="6" t="s">
        <v>84</v>
      </c>
      <c r="X1482" s="95">
        <v>37107</v>
      </c>
    </row>
    <row r="1483" spans="1:24" x14ac:dyDescent="0.25">
      <c r="A1483" s="6" t="s">
        <v>25</v>
      </c>
      <c r="B1483" s="94" t="s">
        <v>4692</v>
      </c>
      <c r="C1483" s="6" t="s">
        <v>4693</v>
      </c>
      <c r="D1483" s="140">
        <v>12114224</v>
      </c>
      <c r="E1483" s="6" t="s">
        <v>80</v>
      </c>
      <c r="F1483" s="10" t="s">
        <v>139</v>
      </c>
      <c r="G1483" s="6" t="s">
        <v>4694</v>
      </c>
      <c r="H1483" s="8">
        <v>47264</v>
      </c>
      <c r="I1483" s="8">
        <v>43634</v>
      </c>
      <c r="J1483" s="8">
        <v>43634</v>
      </c>
      <c r="K1483" s="95">
        <v>43663</v>
      </c>
      <c r="L1483" s="95" t="s">
        <v>31</v>
      </c>
      <c r="M1483" s="8">
        <v>43668</v>
      </c>
      <c r="R1483" s="97" t="str">
        <f t="shared" si="58"/>
        <v/>
      </c>
      <c r="S1483" s="75" t="str">
        <f t="shared" si="59"/>
        <v/>
      </c>
      <c r="T1483" s="124" t="s">
        <v>4695</v>
      </c>
      <c r="U1483" s="8">
        <v>44256</v>
      </c>
      <c r="W1483" s="6" t="s">
        <v>33</v>
      </c>
      <c r="X1483" s="6"/>
    </row>
    <row r="1484" spans="1:24" x14ac:dyDescent="0.25">
      <c r="A1484" s="6" t="s">
        <v>37</v>
      </c>
      <c r="B1484" s="94" t="s">
        <v>4696</v>
      </c>
      <c r="C1484" s="6" t="s">
        <v>4697</v>
      </c>
      <c r="D1484" s="140">
        <v>11870536</v>
      </c>
      <c r="E1484" s="6" t="s">
        <v>2875</v>
      </c>
      <c r="F1484" s="10" t="s">
        <v>44</v>
      </c>
      <c r="G1484" s="6" t="s">
        <v>4698</v>
      </c>
      <c r="H1484" s="8">
        <v>45427</v>
      </c>
      <c r="I1484" s="8">
        <v>43768</v>
      </c>
      <c r="J1484" s="8">
        <v>43782</v>
      </c>
      <c r="K1484" s="95">
        <v>43795</v>
      </c>
      <c r="L1484" s="95" t="s">
        <v>359</v>
      </c>
      <c r="R1484" s="97" t="str">
        <f t="shared" si="58"/>
        <v/>
      </c>
      <c r="S1484" s="75" t="str">
        <f t="shared" si="59"/>
        <v/>
      </c>
      <c r="W1484" s="6" t="s">
        <v>33</v>
      </c>
      <c r="X1484" s="95">
        <v>43223</v>
      </c>
    </row>
    <row r="1485" spans="1:24" x14ac:dyDescent="0.25">
      <c r="A1485" s="6" t="s">
        <v>25</v>
      </c>
      <c r="B1485" s="94" t="s">
        <v>3708</v>
      </c>
      <c r="C1485" s="6" t="s">
        <v>4699</v>
      </c>
      <c r="D1485" s="140">
        <v>11162545</v>
      </c>
      <c r="E1485" s="6" t="s">
        <v>1082</v>
      </c>
      <c r="F1485" s="10" t="s">
        <v>134</v>
      </c>
      <c r="G1485" s="6" t="s">
        <v>4700</v>
      </c>
      <c r="H1485" s="8">
        <v>44434</v>
      </c>
      <c r="I1485" s="8">
        <v>43768</v>
      </c>
      <c r="J1485" s="8">
        <v>43768</v>
      </c>
      <c r="K1485" s="95">
        <v>43819</v>
      </c>
      <c r="L1485" s="95" t="s">
        <v>31</v>
      </c>
      <c r="M1485" s="8">
        <v>43829</v>
      </c>
      <c r="N1485" s="8">
        <v>43881</v>
      </c>
      <c r="O1485" s="8">
        <v>43865</v>
      </c>
      <c r="P1485" s="6" t="s">
        <v>75</v>
      </c>
      <c r="R1485" s="97" t="str">
        <f t="shared" si="58"/>
        <v/>
      </c>
      <c r="S1485" s="75" t="str">
        <f t="shared" si="59"/>
        <v/>
      </c>
      <c r="U1485" s="8">
        <v>43881</v>
      </c>
      <c r="W1485" s="6" t="s">
        <v>33</v>
      </c>
      <c r="X1485" s="95">
        <v>50204</v>
      </c>
    </row>
    <row r="1486" spans="1:24" x14ac:dyDescent="0.25">
      <c r="A1486" s="6" t="s">
        <v>25</v>
      </c>
      <c r="B1486" s="94" t="s">
        <v>4701</v>
      </c>
      <c r="C1486" s="6" t="s">
        <v>4702</v>
      </c>
      <c r="D1486" s="140">
        <v>11211748</v>
      </c>
      <c r="E1486" s="6" t="s">
        <v>1064</v>
      </c>
      <c r="F1486" s="10" t="s">
        <v>176</v>
      </c>
      <c r="G1486" s="6">
        <v>2006011575</v>
      </c>
      <c r="H1486" s="8">
        <v>44437</v>
      </c>
      <c r="I1486" s="8">
        <v>43768</v>
      </c>
      <c r="J1486" s="8">
        <v>43768</v>
      </c>
      <c r="K1486" s="95">
        <v>43819</v>
      </c>
      <c r="L1486" s="95" t="s">
        <v>31</v>
      </c>
      <c r="M1486" s="8">
        <v>43831</v>
      </c>
      <c r="N1486" s="8">
        <v>44301</v>
      </c>
      <c r="O1486" s="8">
        <v>44299</v>
      </c>
      <c r="P1486" s="6" t="s">
        <v>75</v>
      </c>
      <c r="R1486" s="97" t="str">
        <f t="shared" si="58"/>
        <v/>
      </c>
      <c r="S1486" s="75" t="str">
        <f t="shared" si="59"/>
        <v/>
      </c>
      <c r="U1486" s="8">
        <v>44302</v>
      </c>
      <c r="W1486" s="6" t="s">
        <v>33</v>
      </c>
      <c r="X1486" s="95">
        <v>49980</v>
      </c>
    </row>
    <row r="1487" spans="1:24" x14ac:dyDescent="0.25">
      <c r="A1487" s="6" t="s">
        <v>25</v>
      </c>
      <c r="B1487" s="94" t="s">
        <v>4703</v>
      </c>
      <c r="C1487" s="6" t="s">
        <v>4704</v>
      </c>
      <c r="D1487" s="140">
        <v>11117622</v>
      </c>
      <c r="E1487" s="6" t="s">
        <v>3484</v>
      </c>
      <c r="F1487" s="10" t="s">
        <v>3160</v>
      </c>
      <c r="G1487" s="6">
        <v>2132861</v>
      </c>
      <c r="H1487" s="8">
        <v>44453</v>
      </c>
      <c r="I1487" s="8">
        <v>43768</v>
      </c>
      <c r="J1487" s="8">
        <v>43768</v>
      </c>
      <c r="K1487" s="95">
        <v>43819</v>
      </c>
      <c r="L1487" s="95" t="s">
        <v>31</v>
      </c>
      <c r="M1487" s="8">
        <v>43831</v>
      </c>
      <c r="R1487" s="97" t="str">
        <f t="shared" si="58"/>
        <v/>
      </c>
      <c r="S1487" s="75" t="str">
        <f t="shared" si="59"/>
        <v/>
      </c>
      <c r="T1487" s="129" t="s">
        <v>4705</v>
      </c>
      <c r="U1487" s="8">
        <v>44783</v>
      </c>
      <c r="W1487" s="6" t="s">
        <v>33</v>
      </c>
      <c r="X1487" s="95">
        <v>47049</v>
      </c>
    </row>
    <row r="1488" spans="1:24" x14ac:dyDescent="0.25">
      <c r="A1488" s="6" t="s">
        <v>25</v>
      </c>
      <c r="B1488" s="94" t="s">
        <v>4706</v>
      </c>
      <c r="C1488" s="6" t="s">
        <v>4707</v>
      </c>
      <c r="D1488" s="140">
        <v>11253732</v>
      </c>
      <c r="E1488" s="6" t="s">
        <v>588</v>
      </c>
      <c r="F1488" s="10" t="s">
        <v>29</v>
      </c>
      <c r="G1488" s="6" t="s">
        <v>4708</v>
      </c>
      <c r="H1488" s="8">
        <v>44368</v>
      </c>
      <c r="I1488" s="8">
        <v>43768</v>
      </c>
      <c r="J1488" s="8">
        <v>43768</v>
      </c>
      <c r="K1488" s="95">
        <v>43819</v>
      </c>
      <c r="L1488" s="95" t="s">
        <v>359</v>
      </c>
      <c r="R1488" s="97" t="str">
        <f t="shared" si="58"/>
        <v/>
      </c>
      <c r="S1488" s="75" t="str">
        <f t="shared" si="59"/>
        <v/>
      </c>
      <c r="W1488" s="6" t="s">
        <v>33</v>
      </c>
      <c r="X1488" s="95">
        <v>50535</v>
      </c>
    </row>
    <row r="1489" spans="1:24" x14ac:dyDescent="0.25">
      <c r="A1489" s="6" t="s">
        <v>25</v>
      </c>
      <c r="B1489" s="94" t="s">
        <v>4709</v>
      </c>
      <c r="C1489" s="6" t="s">
        <v>4710</v>
      </c>
      <c r="D1489" s="140">
        <v>11923321</v>
      </c>
      <c r="E1489" s="6" t="s">
        <v>490</v>
      </c>
      <c r="F1489" s="10" t="s">
        <v>148</v>
      </c>
      <c r="G1489" s="6" t="s">
        <v>4711</v>
      </c>
      <c r="H1489" s="8">
        <v>44494</v>
      </c>
      <c r="I1489" s="8">
        <v>43769</v>
      </c>
      <c r="J1489" s="8">
        <v>43773</v>
      </c>
      <c r="K1489" s="95">
        <v>43823</v>
      </c>
      <c r="L1489" s="95" t="s">
        <v>359</v>
      </c>
      <c r="R1489" s="97" t="str">
        <f t="shared" si="58"/>
        <v/>
      </c>
      <c r="S1489" s="75" t="str">
        <f t="shared" si="59"/>
        <v/>
      </c>
      <c r="W1489" s="6" t="s">
        <v>33</v>
      </c>
      <c r="X1489" s="95">
        <v>41762</v>
      </c>
    </row>
    <row r="1490" spans="1:24" x14ac:dyDescent="0.25">
      <c r="A1490" s="6" t="s">
        <v>25</v>
      </c>
      <c r="B1490" s="94" t="s">
        <v>1337</v>
      </c>
      <c r="C1490" s="6" t="s">
        <v>4712</v>
      </c>
      <c r="D1490" s="140">
        <v>11886594</v>
      </c>
      <c r="E1490" s="6" t="s">
        <v>244</v>
      </c>
      <c r="F1490" s="10" t="s">
        <v>57</v>
      </c>
      <c r="G1490" s="6" t="s">
        <v>4713</v>
      </c>
      <c r="H1490" s="8">
        <v>44567</v>
      </c>
      <c r="I1490" s="8">
        <v>43769</v>
      </c>
      <c r="J1490" s="8">
        <v>43773</v>
      </c>
      <c r="K1490" s="95">
        <v>43788</v>
      </c>
      <c r="L1490" s="95" t="s">
        <v>31</v>
      </c>
      <c r="M1490" s="8">
        <v>43795</v>
      </c>
      <c r="N1490" s="8">
        <v>43847</v>
      </c>
      <c r="O1490" s="8">
        <v>44166</v>
      </c>
      <c r="P1490" s="6" t="s">
        <v>90</v>
      </c>
      <c r="Q1490" s="96">
        <v>330</v>
      </c>
      <c r="R1490" s="97">
        <f t="shared" si="58"/>
        <v>0.90410958904109584</v>
      </c>
      <c r="S1490" s="75">
        <f t="shared" si="59"/>
        <v>7467.0410958904113</v>
      </c>
      <c r="T1490" s="137" t="s">
        <v>4714</v>
      </c>
      <c r="U1490" s="8">
        <v>44246</v>
      </c>
      <c r="V1490" s="6" t="s">
        <v>36</v>
      </c>
      <c r="W1490" s="6" t="s">
        <v>33</v>
      </c>
      <c r="X1490" s="95">
        <v>49923</v>
      </c>
    </row>
    <row r="1491" spans="1:24" x14ac:dyDescent="0.25">
      <c r="A1491" s="6" t="s">
        <v>25</v>
      </c>
      <c r="B1491" s="94" t="s">
        <v>86</v>
      </c>
      <c r="C1491" s="6" t="s">
        <v>4715</v>
      </c>
      <c r="D1491" s="140">
        <v>12009859</v>
      </c>
      <c r="E1491" s="6" t="s">
        <v>1064</v>
      </c>
      <c r="F1491" s="10" t="s">
        <v>139</v>
      </c>
      <c r="G1491" s="6" t="s">
        <v>4716</v>
      </c>
      <c r="H1491" s="8">
        <v>44340</v>
      </c>
      <c r="I1491" s="8">
        <v>43769</v>
      </c>
      <c r="J1491" s="8">
        <v>43773</v>
      </c>
      <c r="K1491" s="95">
        <v>43788</v>
      </c>
      <c r="L1491" s="95" t="s">
        <v>359</v>
      </c>
      <c r="R1491" s="97" t="str">
        <f t="shared" si="58"/>
        <v/>
      </c>
      <c r="S1491" s="75" t="str">
        <f t="shared" si="59"/>
        <v/>
      </c>
      <c r="T1491" s="137"/>
      <c r="W1491" s="6" t="s">
        <v>33</v>
      </c>
      <c r="X1491" s="95">
        <v>50360</v>
      </c>
    </row>
    <row r="1492" spans="1:24" x14ac:dyDescent="0.25">
      <c r="A1492" s="6" t="s">
        <v>25</v>
      </c>
      <c r="B1492" s="94" t="s">
        <v>4717</v>
      </c>
      <c r="C1492" s="6" t="s">
        <v>4718</v>
      </c>
      <c r="D1492" s="140">
        <v>11116816</v>
      </c>
      <c r="E1492" s="6" t="s">
        <v>162</v>
      </c>
      <c r="F1492" s="10" t="s">
        <v>121</v>
      </c>
      <c r="G1492" s="6" t="s">
        <v>4719</v>
      </c>
      <c r="H1492" s="8">
        <v>44660</v>
      </c>
      <c r="I1492" s="8">
        <v>43769</v>
      </c>
      <c r="J1492" s="8">
        <v>43773</v>
      </c>
      <c r="K1492" s="95">
        <v>43788</v>
      </c>
      <c r="L1492" s="95" t="s">
        <v>31</v>
      </c>
      <c r="M1492" s="8">
        <v>43795</v>
      </c>
      <c r="R1492" s="97" t="str">
        <f t="shared" si="58"/>
        <v/>
      </c>
      <c r="S1492" s="75" t="str">
        <f t="shared" si="59"/>
        <v/>
      </c>
      <c r="T1492" s="129" t="s">
        <v>4720</v>
      </c>
      <c r="U1492" s="8">
        <v>44783</v>
      </c>
      <c r="W1492" s="6" t="s">
        <v>33</v>
      </c>
      <c r="X1492" s="95">
        <v>50176</v>
      </c>
    </row>
    <row r="1493" spans="1:24" x14ac:dyDescent="0.25">
      <c r="A1493" s="6" t="s">
        <v>25</v>
      </c>
      <c r="B1493" s="94" t="s">
        <v>635</v>
      </c>
      <c r="C1493" s="6" t="s">
        <v>4721</v>
      </c>
      <c r="D1493" s="140">
        <v>11131041</v>
      </c>
      <c r="E1493" s="6" t="s">
        <v>1650</v>
      </c>
      <c r="F1493" s="10" t="s">
        <v>3160</v>
      </c>
      <c r="G1493" s="6">
        <v>11012198</v>
      </c>
      <c r="H1493" s="8">
        <v>44633</v>
      </c>
      <c r="I1493" s="8">
        <v>43769</v>
      </c>
      <c r="J1493" s="8">
        <v>43773</v>
      </c>
      <c r="K1493" s="95">
        <v>43823</v>
      </c>
      <c r="L1493" s="95" t="s">
        <v>31</v>
      </c>
      <c r="M1493" s="8">
        <v>43844</v>
      </c>
      <c r="N1493" s="8">
        <v>43913</v>
      </c>
      <c r="O1493" s="8">
        <v>43908</v>
      </c>
      <c r="P1493" s="6" t="s">
        <v>90</v>
      </c>
      <c r="Q1493" s="96">
        <v>1826.25</v>
      </c>
      <c r="R1493" s="97">
        <f t="shared" si="58"/>
        <v>5.0034246575342465</v>
      </c>
      <c r="S1493" s="75">
        <f t="shared" si="59"/>
        <v>41323.284246575342</v>
      </c>
      <c r="T1493" s="124" t="s">
        <v>4722</v>
      </c>
      <c r="U1493" s="8">
        <v>43915</v>
      </c>
      <c r="V1493" s="6" t="s">
        <v>36</v>
      </c>
      <c r="W1493" s="6" t="s">
        <v>33</v>
      </c>
      <c r="X1493" s="95">
        <v>49799</v>
      </c>
    </row>
    <row r="1494" spans="1:24" x14ac:dyDescent="0.25">
      <c r="A1494" s="6" t="s">
        <v>25</v>
      </c>
      <c r="B1494" s="94" t="s">
        <v>4723</v>
      </c>
      <c r="C1494" s="6" t="s">
        <v>4724</v>
      </c>
      <c r="D1494" s="140">
        <v>11299185</v>
      </c>
      <c r="E1494" s="6" t="s">
        <v>2850</v>
      </c>
      <c r="F1494" s="10" t="s">
        <v>44</v>
      </c>
      <c r="G1494" s="6" t="s">
        <v>4725</v>
      </c>
      <c r="H1494" s="8">
        <v>44501</v>
      </c>
      <c r="I1494" s="8">
        <v>43769</v>
      </c>
      <c r="J1494" s="8">
        <v>43773</v>
      </c>
      <c r="K1494" s="95">
        <v>43823</v>
      </c>
      <c r="L1494" s="95" t="s">
        <v>31</v>
      </c>
      <c r="M1494" s="8">
        <v>43844</v>
      </c>
      <c r="N1494" s="8">
        <v>44180</v>
      </c>
      <c r="O1494" s="8">
        <v>44180</v>
      </c>
      <c r="P1494" s="6" t="s">
        <v>35</v>
      </c>
      <c r="Q1494" s="96">
        <v>164</v>
      </c>
      <c r="R1494" s="97">
        <f t="shared" si="58"/>
        <v>0.44931506849315067</v>
      </c>
      <c r="S1494" s="75">
        <f t="shared" si="59"/>
        <v>3710.8931506849317</v>
      </c>
      <c r="U1494" s="8">
        <v>44186</v>
      </c>
      <c r="W1494" s="6" t="s">
        <v>33</v>
      </c>
      <c r="X1494" s="95">
        <v>46177</v>
      </c>
    </row>
    <row r="1495" spans="1:24" x14ac:dyDescent="0.25">
      <c r="A1495" s="6" t="s">
        <v>25</v>
      </c>
      <c r="B1495" s="94" t="s">
        <v>3247</v>
      </c>
      <c r="C1495" s="6" t="s">
        <v>4726</v>
      </c>
      <c r="D1495" s="140">
        <v>11151357</v>
      </c>
      <c r="E1495" s="6" t="s">
        <v>3163</v>
      </c>
      <c r="F1495" s="10" t="s">
        <v>44</v>
      </c>
      <c r="G1495" s="6" t="s">
        <v>4727</v>
      </c>
      <c r="H1495" s="8">
        <v>44632</v>
      </c>
      <c r="I1495" s="8">
        <v>43769</v>
      </c>
      <c r="J1495" s="8">
        <v>43773</v>
      </c>
      <c r="K1495" s="95">
        <v>43823</v>
      </c>
      <c r="L1495" s="95" t="s">
        <v>31</v>
      </c>
      <c r="M1495" s="8">
        <v>43844</v>
      </c>
      <c r="N1495" s="8">
        <v>43881</v>
      </c>
      <c r="O1495" s="8">
        <v>43867</v>
      </c>
      <c r="P1495" s="6" t="s">
        <v>52</v>
      </c>
      <c r="R1495" s="97" t="str">
        <f t="shared" si="58"/>
        <v/>
      </c>
      <c r="S1495" s="75" t="str">
        <f t="shared" si="59"/>
        <v/>
      </c>
      <c r="U1495" s="8">
        <v>43881</v>
      </c>
      <c r="W1495" s="6" t="s">
        <v>33</v>
      </c>
      <c r="X1495" s="95">
        <v>50502</v>
      </c>
    </row>
    <row r="1496" spans="1:24" x14ac:dyDescent="0.25">
      <c r="A1496" s="6" t="s">
        <v>25</v>
      </c>
      <c r="B1496" s="94" t="s">
        <v>4728</v>
      </c>
      <c r="C1496" s="6" t="s">
        <v>4729</v>
      </c>
      <c r="D1496" s="140">
        <v>11930332</v>
      </c>
      <c r="E1496" s="6" t="s">
        <v>130</v>
      </c>
      <c r="F1496" s="10" t="s">
        <v>44</v>
      </c>
      <c r="G1496" s="6" t="s">
        <v>4730</v>
      </c>
      <c r="H1496" s="8">
        <v>44709</v>
      </c>
      <c r="I1496" s="8">
        <v>43769</v>
      </c>
      <c r="J1496" s="8">
        <v>43773</v>
      </c>
      <c r="K1496" s="95">
        <v>43823</v>
      </c>
      <c r="L1496" s="95" t="s">
        <v>31</v>
      </c>
      <c r="M1496" s="8">
        <v>43844</v>
      </c>
      <c r="N1496" s="8">
        <v>43880</v>
      </c>
      <c r="O1496" s="8">
        <v>43859</v>
      </c>
      <c r="P1496" s="6" t="s">
        <v>52</v>
      </c>
      <c r="R1496" s="97" t="str">
        <f t="shared" si="58"/>
        <v/>
      </c>
      <c r="S1496" s="75" t="str">
        <f t="shared" si="59"/>
        <v/>
      </c>
      <c r="T1496" s="124" t="s">
        <v>4260</v>
      </c>
      <c r="U1496" s="8">
        <v>43880</v>
      </c>
      <c r="W1496" s="6" t="s">
        <v>33</v>
      </c>
      <c r="X1496" s="95">
        <v>44709</v>
      </c>
    </row>
    <row r="1497" spans="1:24" x14ac:dyDescent="0.25">
      <c r="A1497" s="6" t="s">
        <v>25</v>
      </c>
      <c r="B1497" s="94" t="s">
        <v>4731</v>
      </c>
      <c r="C1497" s="6" t="s">
        <v>4732</v>
      </c>
      <c r="D1497" s="140">
        <v>11289747</v>
      </c>
      <c r="E1497" s="6" t="s">
        <v>878</v>
      </c>
      <c r="F1497" s="10" t="s">
        <v>44</v>
      </c>
      <c r="G1497" s="6" t="s">
        <v>4733</v>
      </c>
      <c r="H1497" s="8">
        <v>44350</v>
      </c>
      <c r="I1497" s="8">
        <v>43769</v>
      </c>
      <c r="J1497" s="8">
        <v>43773</v>
      </c>
      <c r="K1497" s="95">
        <v>43823</v>
      </c>
      <c r="L1497" s="95" t="s">
        <v>31</v>
      </c>
      <c r="M1497" s="8">
        <v>43844</v>
      </c>
      <c r="N1497" s="8">
        <v>43865</v>
      </c>
      <c r="O1497" s="8">
        <v>43852</v>
      </c>
      <c r="P1497" s="6" t="s">
        <v>52</v>
      </c>
      <c r="R1497" s="97" t="str">
        <f t="shared" si="58"/>
        <v/>
      </c>
      <c r="S1497" s="75" t="str">
        <f t="shared" si="59"/>
        <v/>
      </c>
      <c r="W1497" s="6" t="s">
        <v>33</v>
      </c>
      <c r="X1497" s="95">
        <v>44350</v>
      </c>
    </row>
    <row r="1498" spans="1:24" x14ac:dyDescent="0.25">
      <c r="A1498" s="6" t="s">
        <v>25</v>
      </c>
      <c r="B1498" s="94" t="s">
        <v>4734</v>
      </c>
      <c r="C1498" s="6" t="s">
        <v>4735</v>
      </c>
      <c r="D1498" s="140">
        <v>11577191</v>
      </c>
      <c r="E1498" s="6" t="s">
        <v>88</v>
      </c>
      <c r="F1498" s="10" t="s">
        <v>44</v>
      </c>
      <c r="G1498" s="6" t="s">
        <v>4736</v>
      </c>
      <c r="H1498" s="8">
        <v>44451</v>
      </c>
      <c r="I1498" s="8">
        <v>43769</v>
      </c>
      <c r="J1498" s="8">
        <v>43773</v>
      </c>
      <c r="K1498" s="95">
        <v>43823</v>
      </c>
      <c r="L1498" s="95" t="s">
        <v>31</v>
      </c>
      <c r="M1498" s="8">
        <v>43844</v>
      </c>
      <c r="N1498" s="8">
        <v>43965</v>
      </c>
      <c r="O1498" s="8">
        <v>43958</v>
      </c>
      <c r="P1498" s="6" t="s">
        <v>90</v>
      </c>
      <c r="Q1498" s="96">
        <v>2191.5</v>
      </c>
      <c r="R1498" s="97">
        <f t="shared" si="58"/>
        <v>6.0041095890410956</v>
      </c>
      <c r="S1498" s="75">
        <f t="shared" si="59"/>
        <v>49587.941095890412</v>
      </c>
      <c r="T1498" s="124" t="s">
        <v>4737</v>
      </c>
      <c r="U1498" s="8">
        <v>43966</v>
      </c>
      <c r="V1498" s="6" t="s">
        <v>36</v>
      </c>
      <c r="W1498" s="6" t="s">
        <v>33</v>
      </c>
      <c r="X1498" s="95">
        <v>53833</v>
      </c>
    </row>
    <row r="1499" spans="1:24" x14ac:dyDescent="0.25">
      <c r="A1499" s="6" t="s">
        <v>25</v>
      </c>
      <c r="B1499" s="94" t="s">
        <v>4738</v>
      </c>
      <c r="C1499" s="6" t="s">
        <v>4739</v>
      </c>
      <c r="D1499" s="140">
        <v>11044685</v>
      </c>
      <c r="E1499" s="6" t="s">
        <v>1443</v>
      </c>
      <c r="F1499" s="10" t="s">
        <v>4740</v>
      </c>
      <c r="G1499" s="6">
        <v>1643</v>
      </c>
      <c r="H1499" s="8">
        <v>58901</v>
      </c>
      <c r="I1499" s="8">
        <v>43773</v>
      </c>
      <c r="J1499" s="8">
        <v>43775</v>
      </c>
      <c r="K1499" s="95">
        <v>43822</v>
      </c>
      <c r="L1499" s="95" t="s">
        <v>31</v>
      </c>
      <c r="M1499" s="8">
        <v>43838</v>
      </c>
      <c r="N1499" s="8">
        <v>43888</v>
      </c>
      <c r="O1499" s="8">
        <v>43875</v>
      </c>
      <c r="P1499" s="6" t="s">
        <v>52</v>
      </c>
      <c r="R1499" s="97" t="str">
        <f t="shared" si="58"/>
        <v/>
      </c>
      <c r="S1499" s="75" t="str">
        <f t="shared" si="59"/>
        <v/>
      </c>
      <c r="U1499" s="8">
        <v>43888</v>
      </c>
      <c r="W1499" s="6" t="s">
        <v>84</v>
      </c>
      <c r="X1499" s="95">
        <v>44360</v>
      </c>
    </row>
    <row r="1500" spans="1:24" x14ac:dyDescent="0.25">
      <c r="A1500" s="6" t="s">
        <v>25</v>
      </c>
      <c r="B1500" s="94" t="s">
        <v>890</v>
      </c>
      <c r="C1500" s="6" t="s">
        <v>4741</v>
      </c>
      <c r="D1500" s="140">
        <v>11051748</v>
      </c>
      <c r="E1500" s="6" t="s">
        <v>409</v>
      </c>
      <c r="F1500" s="10" t="s">
        <v>57</v>
      </c>
      <c r="G1500" s="6" t="s">
        <v>4742</v>
      </c>
      <c r="H1500" s="8">
        <v>51429</v>
      </c>
      <c r="I1500" s="8">
        <v>43773</v>
      </c>
      <c r="J1500" s="8">
        <v>43775</v>
      </c>
      <c r="K1500" s="95">
        <v>43822</v>
      </c>
      <c r="L1500" s="95" t="s">
        <v>31</v>
      </c>
      <c r="M1500" s="8">
        <v>43838</v>
      </c>
      <c r="N1500" s="8">
        <v>44908</v>
      </c>
      <c r="O1500" s="8">
        <v>44901</v>
      </c>
      <c r="P1500" s="6" t="s">
        <v>35</v>
      </c>
      <c r="Q1500" s="96">
        <v>8395</v>
      </c>
      <c r="R1500" s="97">
        <f t="shared" si="58"/>
        <v>23</v>
      </c>
      <c r="S1500" s="75">
        <f t="shared" si="59"/>
        <v>189957</v>
      </c>
      <c r="U1500" s="8">
        <v>45021</v>
      </c>
      <c r="W1500" s="6" t="s">
        <v>84</v>
      </c>
      <c r="X1500" s="95">
        <v>40386</v>
      </c>
    </row>
    <row r="1501" spans="1:24" x14ac:dyDescent="0.25">
      <c r="A1501" s="6" t="s">
        <v>25</v>
      </c>
      <c r="B1501" s="94" t="s">
        <v>4743</v>
      </c>
      <c r="C1501" s="6" t="s">
        <v>4744</v>
      </c>
      <c r="D1501" s="140">
        <v>11060222</v>
      </c>
      <c r="E1501" s="6" t="s">
        <v>1200</v>
      </c>
      <c r="F1501" s="10" t="s">
        <v>44</v>
      </c>
      <c r="G1501" s="6" t="s">
        <v>4745</v>
      </c>
      <c r="H1501" s="8">
        <v>50900</v>
      </c>
      <c r="I1501" s="8">
        <v>43773</v>
      </c>
      <c r="J1501" s="8">
        <v>43775</v>
      </c>
      <c r="K1501" s="95">
        <v>43822</v>
      </c>
      <c r="L1501" s="95" t="s">
        <v>359</v>
      </c>
      <c r="R1501" s="97" t="str">
        <f t="shared" si="58"/>
        <v/>
      </c>
      <c r="S1501" s="75" t="str">
        <f t="shared" si="59"/>
        <v/>
      </c>
      <c r="W1501" s="6" t="s">
        <v>84</v>
      </c>
      <c r="X1501" s="95">
        <v>51248</v>
      </c>
    </row>
    <row r="1502" spans="1:24" x14ac:dyDescent="0.25">
      <c r="A1502" s="6" t="s">
        <v>25</v>
      </c>
      <c r="B1502" s="94" t="s">
        <v>4746</v>
      </c>
      <c r="C1502" s="6" t="s">
        <v>4747</v>
      </c>
      <c r="D1502" s="140">
        <v>11078046</v>
      </c>
      <c r="E1502" s="6" t="s">
        <v>714</v>
      </c>
      <c r="F1502" s="10" t="s">
        <v>44</v>
      </c>
      <c r="G1502" s="6" t="s">
        <v>4748</v>
      </c>
      <c r="H1502" s="8">
        <v>56751</v>
      </c>
      <c r="I1502" s="8">
        <v>43773</v>
      </c>
      <c r="J1502" s="8">
        <v>43775</v>
      </c>
      <c r="K1502" s="95">
        <v>43822</v>
      </c>
      <c r="L1502" s="95" t="s">
        <v>31</v>
      </c>
      <c r="M1502" s="8">
        <v>43838</v>
      </c>
      <c r="N1502" s="8">
        <v>43881</v>
      </c>
      <c r="O1502" s="8">
        <v>43861</v>
      </c>
      <c r="P1502" s="6" t="s">
        <v>52</v>
      </c>
      <c r="R1502" s="97" t="str">
        <f t="shared" si="58"/>
        <v/>
      </c>
      <c r="S1502" s="75" t="str">
        <f t="shared" si="59"/>
        <v/>
      </c>
      <c r="U1502" s="8">
        <v>43881</v>
      </c>
      <c r="W1502" s="6" t="s">
        <v>84</v>
      </c>
      <c r="X1502" s="95">
        <v>46347</v>
      </c>
    </row>
    <row r="1503" spans="1:24" x14ac:dyDescent="0.25">
      <c r="A1503" s="6" t="s">
        <v>25</v>
      </c>
      <c r="B1503" s="94" t="s">
        <v>3352</v>
      </c>
      <c r="C1503" s="6" t="s">
        <v>4749</v>
      </c>
      <c r="D1503" s="140">
        <v>11081875</v>
      </c>
      <c r="E1503" s="6" t="s">
        <v>714</v>
      </c>
      <c r="F1503" s="10" t="s">
        <v>2009</v>
      </c>
      <c r="G1503" s="6" t="s">
        <v>4750</v>
      </c>
      <c r="H1503" s="8">
        <v>45717</v>
      </c>
      <c r="I1503" s="8">
        <v>43773</v>
      </c>
      <c r="J1503" s="8">
        <v>43775</v>
      </c>
      <c r="K1503" s="95">
        <v>43822</v>
      </c>
      <c r="L1503" s="95" t="s">
        <v>31</v>
      </c>
      <c r="M1503" s="8">
        <v>43838</v>
      </c>
      <c r="R1503" s="97" t="str">
        <f t="shared" si="58"/>
        <v/>
      </c>
      <c r="S1503" s="75" t="str">
        <f t="shared" si="59"/>
        <v/>
      </c>
      <c r="T1503" s="129" t="s">
        <v>4751</v>
      </c>
      <c r="U1503" s="8">
        <v>44783</v>
      </c>
      <c r="W1503" s="6" t="s">
        <v>84</v>
      </c>
      <c r="X1503" s="95">
        <v>37189</v>
      </c>
    </row>
    <row r="1504" spans="1:24" x14ac:dyDescent="0.25">
      <c r="A1504" s="6" t="s">
        <v>25</v>
      </c>
      <c r="B1504" s="94" t="s">
        <v>3844</v>
      </c>
      <c r="C1504" s="6" t="s">
        <v>4752</v>
      </c>
      <c r="D1504" s="140">
        <v>11094670</v>
      </c>
      <c r="E1504" s="6" t="s">
        <v>460</v>
      </c>
      <c r="F1504" s="10" t="s">
        <v>95</v>
      </c>
      <c r="G1504" s="6" t="s">
        <v>4753</v>
      </c>
      <c r="H1504" s="8">
        <v>47334</v>
      </c>
      <c r="I1504" s="8">
        <v>43773</v>
      </c>
      <c r="J1504" s="8">
        <v>43775</v>
      </c>
      <c r="K1504" s="95">
        <v>43822</v>
      </c>
      <c r="L1504" s="95" t="s">
        <v>359</v>
      </c>
      <c r="R1504" s="97" t="str">
        <f t="shared" si="58"/>
        <v/>
      </c>
      <c r="S1504" s="75" t="str">
        <f t="shared" si="59"/>
        <v/>
      </c>
      <c r="W1504" s="6" t="s">
        <v>84</v>
      </c>
      <c r="X1504" s="95">
        <v>47074</v>
      </c>
    </row>
    <row r="1505" spans="1:24" x14ac:dyDescent="0.25">
      <c r="A1505" s="6" t="s">
        <v>25</v>
      </c>
      <c r="B1505" s="94" t="s">
        <v>4754</v>
      </c>
      <c r="C1505" s="6" t="s">
        <v>4755</v>
      </c>
      <c r="D1505" s="140">
        <v>11097543</v>
      </c>
      <c r="E1505" s="6" t="s">
        <v>1960</v>
      </c>
      <c r="F1505" s="10" t="s">
        <v>143</v>
      </c>
      <c r="G1505" s="6">
        <v>189590</v>
      </c>
      <c r="H1505" s="8">
        <v>46793</v>
      </c>
      <c r="I1505" s="8">
        <v>43773</v>
      </c>
      <c r="J1505" s="8">
        <v>43775</v>
      </c>
      <c r="K1505" s="95">
        <v>43822</v>
      </c>
      <c r="L1505" s="95" t="s">
        <v>31</v>
      </c>
      <c r="M1505" s="8">
        <v>43838</v>
      </c>
      <c r="N1505" s="8">
        <v>44567</v>
      </c>
      <c r="O1505" s="8">
        <v>44463</v>
      </c>
      <c r="P1505" s="6" t="s">
        <v>52</v>
      </c>
      <c r="R1505" s="97" t="str">
        <f t="shared" si="58"/>
        <v/>
      </c>
      <c r="S1505" s="75" t="str">
        <f t="shared" si="59"/>
        <v/>
      </c>
      <c r="U1505" s="8">
        <v>44567</v>
      </c>
      <c r="W1505" s="6" t="s">
        <v>84</v>
      </c>
      <c r="X1505" s="95">
        <v>37746</v>
      </c>
    </row>
    <row r="1506" spans="1:24" x14ac:dyDescent="0.25">
      <c r="A1506" s="6" t="s">
        <v>25</v>
      </c>
      <c r="B1506" s="94" t="s">
        <v>86</v>
      </c>
      <c r="C1506" s="6" t="s">
        <v>4756</v>
      </c>
      <c r="D1506" s="140">
        <v>11099383</v>
      </c>
      <c r="E1506" s="6" t="s">
        <v>1443</v>
      </c>
      <c r="F1506" s="10" t="s">
        <v>205</v>
      </c>
      <c r="G1506" s="6" t="s">
        <v>4757</v>
      </c>
      <c r="H1506" s="8">
        <v>47211</v>
      </c>
      <c r="I1506" s="8">
        <v>43773</v>
      </c>
      <c r="J1506" s="8">
        <v>43775</v>
      </c>
      <c r="K1506" s="95">
        <v>43822</v>
      </c>
      <c r="L1506" s="95" t="s">
        <v>359</v>
      </c>
      <c r="R1506" s="97" t="str">
        <f t="shared" si="58"/>
        <v/>
      </c>
      <c r="S1506" s="75" t="str">
        <f t="shared" si="59"/>
        <v/>
      </c>
      <c r="W1506" s="6" t="s">
        <v>84</v>
      </c>
      <c r="X1506" s="95">
        <v>38972</v>
      </c>
    </row>
    <row r="1507" spans="1:24" x14ac:dyDescent="0.25">
      <c r="A1507" s="6" t="s">
        <v>25</v>
      </c>
      <c r="B1507" s="94" t="s">
        <v>4328</v>
      </c>
      <c r="C1507" s="6" t="s">
        <v>4758</v>
      </c>
      <c r="D1507" s="140">
        <v>11099602</v>
      </c>
      <c r="E1507" s="6" t="s">
        <v>3484</v>
      </c>
      <c r="F1507" s="10" t="s">
        <v>143</v>
      </c>
      <c r="G1507" s="6" t="s">
        <v>4759</v>
      </c>
      <c r="H1507" s="8">
        <v>100915</v>
      </c>
      <c r="I1507" s="8">
        <v>43773</v>
      </c>
      <c r="J1507" s="8">
        <v>43775</v>
      </c>
      <c r="K1507" s="95">
        <v>43822</v>
      </c>
      <c r="L1507" s="95" t="s">
        <v>31</v>
      </c>
      <c r="M1507" s="8">
        <v>43838</v>
      </c>
      <c r="N1507" s="8">
        <v>43873</v>
      </c>
      <c r="O1507" s="8">
        <v>43867</v>
      </c>
      <c r="P1507" s="6" t="s">
        <v>75</v>
      </c>
      <c r="R1507" s="97" t="str">
        <f t="shared" si="58"/>
        <v/>
      </c>
      <c r="S1507" s="75" t="str">
        <f t="shared" si="59"/>
        <v/>
      </c>
      <c r="U1507" s="8">
        <v>43873</v>
      </c>
      <c r="W1507" s="6" t="s">
        <v>84</v>
      </c>
      <c r="X1507" s="95">
        <v>47432</v>
      </c>
    </row>
    <row r="1508" spans="1:24" x14ac:dyDescent="0.25">
      <c r="A1508" s="6" t="s">
        <v>25</v>
      </c>
      <c r="B1508" s="94" t="s">
        <v>4760</v>
      </c>
      <c r="C1508" s="6" t="s">
        <v>4761</v>
      </c>
      <c r="D1508" s="140">
        <v>11107401</v>
      </c>
      <c r="E1508" s="6" t="s">
        <v>1082</v>
      </c>
      <c r="F1508" s="10" t="s">
        <v>293</v>
      </c>
      <c r="G1508" s="6" t="s">
        <v>4762</v>
      </c>
      <c r="H1508" s="8">
        <v>48028</v>
      </c>
      <c r="I1508" s="8">
        <v>43773</v>
      </c>
      <c r="J1508" s="8">
        <v>43775</v>
      </c>
      <c r="K1508" s="95">
        <v>43822</v>
      </c>
      <c r="L1508" s="95" t="s">
        <v>31</v>
      </c>
      <c r="M1508" s="8">
        <v>43838</v>
      </c>
      <c r="N1508" s="8">
        <v>43962</v>
      </c>
      <c r="O1508" s="8">
        <v>43957</v>
      </c>
      <c r="P1508" s="6" t="s">
        <v>90</v>
      </c>
      <c r="Q1508" s="96">
        <v>4068</v>
      </c>
      <c r="R1508" s="97">
        <f t="shared" si="58"/>
        <v>11.145205479452056</v>
      </c>
      <c r="S1508" s="75">
        <f t="shared" si="59"/>
        <v>92048.252054794517</v>
      </c>
      <c r="T1508" s="124" t="s">
        <v>4763</v>
      </c>
      <c r="U1508" s="8">
        <v>43962</v>
      </c>
      <c r="V1508" s="6" t="s">
        <v>36</v>
      </c>
      <c r="W1508" s="6" t="s">
        <v>84</v>
      </c>
      <c r="X1508" s="95">
        <v>44488</v>
      </c>
    </row>
    <row r="1509" spans="1:24" x14ac:dyDescent="0.25">
      <c r="A1509" s="6" t="s">
        <v>25</v>
      </c>
      <c r="B1509" s="94" t="s">
        <v>4665</v>
      </c>
      <c r="C1509" s="6" t="s">
        <v>4764</v>
      </c>
      <c r="D1509" s="140">
        <v>11196561</v>
      </c>
      <c r="E1509" s="6" t="s">
        <v>714</v>
      </c>
      <c r="F1509" s="10" t="s">
        <v>363</v>
      </c>
      <c r="G1509" s="6">
        <v>1420849</v>
      </c>
      <c r="H1509" s="8">
        <v>44556</v>
      </c>
      <c r="I1509" s="8">
        <v>43775</v>
      </c>
      <c r="J1509" s="8">
        <v>43782</v>
      </c>
      <c r="K1509" s="95">
        <v>43836</v>
      </c>
      <c r="L1509" s="95" t="s">
        <v>359</v>
      </c>
      <c r="R1509" s="97" t="str">
        <f t="shared" si="58"/>
        <v/>
      </c>
      <c r="S1509" s="75" t="str">
        <f t="shared" si="59"/>
        <v/>
      </c>
      <c r="W1509" s="6" t="s">
        <v>33</v>
      </c>
      <c r="X1509" s="95">
        <v>50028</v>
      </c>
    </row>
    <row r="1510" spans="1:24" x14ac:dyDescent="0.25">
      <c r="A1510" s="6" t="s">
        <v>25</v>
      </c>
      <c r="B1510" s="94" t="s">
        <v>4765</v>
      </c>
      <c r="C1510" s="6" t="s">
        <v>4766</v>
      </c>
      <c r="D1510" s="140">
        <v>11659910</v>
      </c>
      <c r="E1510" s="6" t="s">
        <v>4767</v>
      </c>
      <c r="F1510" s="10" t="s">
        <v>252</v>
      </c>
      <c r="G1510" s="6">
        <v>951183</v>
      </c>
      <c r="H1510" s="8">
        <v>44741</v>
      </c>
      <c r="I1510" s="8">
        <v>43775</v>
      </c>
      <c r="J1510" s="8">
        <v>43782</v>
      </c>
      <c r="K1510" s="95">
        <v>43836</v>
      </c>
      <c r="L1510" s="95" t="s">
        <v>359</v>
      </c>
      <c r="R1510" s="97" t="str">
        <f t="shared" si="58"/>
        <v/>
      </c>
      <c r="S1510" s="75" t="str">
        <f t="shared" si="59"/>
        <v/>
      </c>
      <c r="W1510" s="6" t="s">
        <v>33</v>
      </c>
      <c r="X1510" s="95">
        <v>45251</v>
      </c>
    </row>
    <row r="1511" spans="1:24" x14ac:dyDescent="0.25">
      <c r="A1511" s="6" t="s">
        <v>25</v>
      </c>
      <c r="B1511" s="94" t="s">
        <v>250</v>
      </c>
      <c r="C1511" s="6" t="s">
        <v>4768</v>
      </c>
      <c r="D1511" s="140">
        <v>11365212</v>
      </c>
      <c r="E1511" s="6" t="s">
        <v>1659</v>
      </c>
      <c r="F1511" s="10" t="s">
        <v>57</v>
      </c>
      <c r="G1511" s="6" t="s">
        <v>4769</v>
      </c>
      <c r="H1511" s="8">
        <v>44640</v>
      </c>
      <c r="I1511" s="8">
        <v>43775</v>
      </c>
      <c r="J1511" s="8">
        <v>43782</v>
      </c>
      <c r="K1511" s="95">
        <v>43836</v>
      </c>
      <c r="L1511" s="95" t="s">
        <v>31</v>
      </c>
      <c r="M1511" s="8">
        <v>43844</v>
      </c>
      <c r="R1511" s="97" t="str">
        <f t="shared" si="58"/>
        <v/>
      </c>
      <c r="S1511" s="75" t="str">
        <f t="shared" si="59"/>
        <v/>
      </c>
      <c r="T1511" s="129" t="s">
        <v>4770</v>
      </c>
      <c r="U1511" s="8">
        <v>44783</v>
      </c>
      <c r="W1511" s="6" t="s">
        <v>33</v>
      </c>
      <c r="X1511" s="95">
        <v>51375</v>
      </c>
    </row>
    <row r="1512" spans="1:24" x14ac:dyDescent="0.25">
      <c r="A1512" s="6" t="s">
        <v>25</v>
      </c>
      <c r="B1512" s="94" t="s">
        <v>4771</v>
      </c>
      <c r="C1512" s="6" t="s">
        <v>4772</v>
      </c>
      <c r="D1512" s="140">
        <v>11219943</v>
      </c>
      <c r="E1512" s="6" t="s">
        <v>49</v>
      </c>
      <c r="F1512" s="10" t="s">
        <v>29</v>
      </c>
      <c r="G1512" s="6" t="s">
        <v>4773</v>
      </c>
      <c r="H1512" s="8">
        <v>44765</v>
      </c>
      <c r="I1512" s="8">
        <v>43775</v>
      </c>
      <c r="J1512" s="8">
        <v>43782</v>
      </c>
      <c r="K1512" s="95">
        <v>43836</v>
      </c>
      <c r="L1512" s="95" t="s">
        <v>31</v>
      </c>
      <c r="M1512" s="8">
        <v>43844</v>
      </c>
      <c r="N1512" s="8">
        <v>44050</v>
      </c>
      <c r="O1512" s="8">
        <v>44036</v>
      </c>
      <c r="P1512" s="6" t="s">
        <v>52</v>
      </c>
      <c r="R1512" s="97" t="str">
        <f t="shared" si="58"/>
        <v/>
      </c>
      <c r="S1512" s="75" t="str">
        <f t="shared" si="59"/>
        <v/>
      </c>
      <c r="U1512" s="8">
        <v>44050</v>
      </c>
      <c r="W1512" s="6" t="s">
        <v>33</v>
      </c>
      <c r="X1512" s="95">
        <v>50272</v>
      </c>
    </row>
    <row r="1513" spans="1:24" x14ac:dyDescent="0.25">
      <c r="A1513" s="6" t="s">
        <v>168</v>
      </c>
      <c r="B1513" s="94" t="s">
        <v>4774</v>
      </c>
      <c r="C1513" s="6" t="s">
        <v>4775</v>
      </c>
      <c r="D1513" s="140">
        <v>11022763</v>
      </c>
      <c r="E1513" s="6" t="s">
        <v>4776</v>
      </c>
      <c r="F1513" s="10" t="s">
        <v>979</v>
      </c>
      <c r="G1513" s="6" t="s">
        <v>4777</v>
      </c>
      <c r="H1513" s="8">
        <v>44415</v>
      </c>
      <c r="I1513" s="8">
        <v>43629</v>
      </c>
      <c r="J1513" s="8">
        <v>43635</v>
      </c>
      <c r="K1513" s="95">
        <v>43635</v>
      </c>
      <c r="L1513" s="95" t="s">
        <v>31</v>
      </c>
      <c r="M1513" s="8">
        <v>43643</v>
      </c>
      <c r="N1513" s="8">
        <v>43874</v>
      </c>
      <c r="O1513" s="8">
        <v>43864</v>
      </c>
      <c r="P1513" s="6" t="s">
        <v>35</v>
      </c>
      <c r="Q1513" s="96">
        <v>1461</v>
      </c>
      <c r="R1513" s="97">
        <f t="shared" si="58"/>
        <v>4.0027397260273974</v>
      </c>
      <c r="S1513" s="75">
        <f t="shared" si="59"/>
        <v>33058.627397260272</v>
      </c>
      <c r="T1513" s="124" t="s">
        <v>1007</v>
      </c>
      <c r="U1513" s="8">
        <v>43882</v>
      </c>
      <c r="W1513" s="6" t="s">
        <v>33</v>
      </c>
      <c r="X1513" s="95">
        <v>49684</v>
      </c>
    </row>
    <row r="1514" spans="1:24" x14ac:dyDescent="0.25">
      <c r="A1514" s="6" t="s">
        <v>25</v>
      </c>
      <c r="B1514" s="94" t="s">
        <v>1187</v>
      </c>
      <c r="C1514" s="6" t="s">
        <v>4778</v>
      </c>
      <c r="D1514" s="140">
        <v>11134708</v>
      </c>
      <c r="E1514" s="6" t="s">
        <v>43</v>
      </c>
      <c r="F1514" s="10" t="s">
        <v>148</v>
      </c>
      <c r="G1514" s="6" t="s">
        <v>4779</v>
      </c>
      <c r="H1514" s="8">
        <v>44749</v>
      </c>
      <c r="I1514" s="8">
        <v>43775</v>
      </c>
      <c r="J1514" s="8">
        <v>43782</v>
      </c>
      <c r="K1514" s="95">
        <v>43836</v>
      </c>
      <c r="L1514" s="95" t="s">
        <v>31</v>
      </c>
      <c r="M1514" s="8">
        <v>43844</v>
      </c>
      <c r="N1514" s="8">
        <v>43880</v>
      </c>
      <c r="O1514" s="8">
        <v>43853</v>
      </c>
      <c r="P1514" s="6" t="s">
        <v>52</v>
      </c>
      <c r="R1514" s="97" t="str">
        <f t="shared" si="58"/>
        <v/>
      </c>
      <c r="S1514" s="75" t="str">
        <f t="shared" si="59"/>
        <v/>
      </c>
      <c r="U1514" s="8">
        <v>43880</v>
      </c>
      <c r="W1514" s="6" t="s">
        <v>33</v>
      </c>
      <c r="X1514" s="95">
        <v>44749</v>
      </c>
    </row>
    <row r="1515" spans="1:24" x14ac:dyDescent="0.25">
      <c r="A1515" s="6" t="s">
        <v>25</v>
      </c>
      <c r="B1515" s="94" t="s">
        <v>4780</v>
      </c>
      <c r="C1515" s="6" t="s">
        <v>4781</v>
      </c>
      <c r="D1515" s="140">
        <v>11259350</v>
      </c>
      <c r="E1515" s="6" t="s">
        <v>2195</v>
      </c>
      <c r="F1515" s="10" t="s">
        <v>100</v>
      </c>
      <c r="G1515" s="6" t="s">
        <v>4782</v>
      </c>
      <c r="H1515" s="8">
        <v>44759</v>
      </c>
      <c r="I1515" s="8">
        <v>43775</v>
      </c>
      <c r="J1515" s="8">
        <v>43782</v>
      </c>
      <c r="K1515" s="95">
        <v>43836</v>
      </c>
      <c r="L1515" s="95" t="s">
        <v>31</v>
      </c>
      <c r="M1515" s="8">
        <v>43844</v>
      </c>
      <c r="R1515" s="97" t="str">
        <f t="shared" si="58"/>
        <v/>
      </c>
      <c r="S1515" s="75" t="str">
        <f t="shared" si="59"/>
        <v/>
      </c>
      <c r="T1515" s="129" t="s">
        <v>4783</v>
      </c>
      <c r="U1515" s="8">
        <v>44783</v>
      </c>
      <c r="W1515" s="6" t="s">
        <v>33</v>
      </c>
      <c r="X1515" s="95">
        <v>50330</v>
      </c>
    </row>
    <row r="1516" spans="1:24" x14ac:dyDescent="0.25">
      <c r="A1516" s="6" t="s">
        <v>25</v>
      </c>
      <c r="B1516" s="94" t="s">
        <v>4784</v>
      </c>
      <c r="C1516" s="6" t="s">
        <v>4785</v>
      </c>
      <c r="D1516" s="140">
        <v>11982163</v>
      </c>
      <c r="E1516" s="6" t="s">
        <v>3163</v>
      </c>
      <c r="F1516" s="10" t="s">
        <v>121</v>
      </c>
      <c r="G1516" s="6" t="s">
        <v>4786</v>
      </c>
      <c r="H1516" s="8">
        <v>44856</v>
      </c>
      <c r="I1516" s="8">
        <v>43775</v>
      </c>
      <c r="J1516" s="8">
        <v>43782</v>
      </c>
      <c r="K1516" s="95">
        <v>43836</v>
      </c>
      <c r="L1516" s="95" t="s">
        <v>31</v>
      </c>
      <c r="M1516" s="8">
        <v>43844</v>
      </c>
      <c r="N1516" s="8">
        <v>43873</v>
      </c>
      <c r="O1516" s="8">
        <v>43857</v>
      </c>
      <c r="P1516" s="6" t="s">
        <v>52</v>
      </c>
      <c r="R1516" s="97" t="str">
        <f t="shared" si="58"/>
        <v/>
      </c>
      <c r="S1516" s="75" t="str">
        <f t="shared" si="59"/>
        <v/>
      </c>
      <c r="U1516" s="8">
        <v>43873</v>
      </c>
      <c r="W1516" s="6" t="s">
        <v>33</v>
      </c>
      <c r="X1516" s="95">
        <v>44856</v>
      </c>
    </row>
    <row r="1517" spans="1:24" x14ac:dyDescent="0.25">
      <c r="A1517" s="6" t="s">
        <v>25</v>
      </c>
      <c r="B1517" s="94" t="s">
        <v>449</v>
      </c>
      <c r="C1517" s="6" t="s">
        <v>4787</v>
      </c>
      <c r="D1517" s="140">
        <v>11110575</v>
      </c>
      <c r="E1517" s="6" t="s">
        <v>3163</v>
      </c>
      <c r="F1517" s="10" t="s">
        <v>44</v>
      </c>
      <c r="G1517" s="6" t="s">
        <v>4788</v>
      </c>
      <c r="H1517" s="8">
        <v>44570</v>
      </c>
      <c r="I1517" s="8">
        <v>43775</v>
      </c>
      <c r="J1517" s="8">
        <v>43782</v>
      </c>
      <c r="K1517" s="95">
        <v>43836</v>
      </c>
      <c r="L1517" s="95" t="s">
        <v>359</v>
      </c>
      <c r="R1517" s="97" t="str">
        <f t="shared" si="58"/>
        <v/>
      </c>
      <c r="S1517" s="75" t="str">
        <f t="shared" si="59"/>
        <v/>
      </c>
      <c r="W1517" s="6" t="s">
        <v>33</v>
      </c>
      <c r="X1517" s="95">
        <v>47630</v>
      </c>
    </row>
    <row r="1518" spans="1:24" x14ac:dyDescent="0.25">
      <c r="A1518" s="6" t="s">
        <v>25</v>
      </c>
      <c r="B1518" s="94" t="s">
        <v>3016</v>
      </c>
      <c r="C1518" s="6" t="s">
        <v>4789</v>
      </c>
      <c r="D1518" s="140">
        <v>11292761</v>
      </c>
      <c r="E1518" s="6" t="s">
        <v>49</v>
      </c>
      <c r="F1518" s="10" t="s">
        <v>44</v>
      </c>
      <c r="G1518" s="6" t="s">
        <v>4790</v>
      </c>
      <c r="H1518" s="8">
        <v>44763</v>
      </c>
      <c r="I1518" s="8">
        <v>43775</v>
      </c>
      <c r="J1518" s="8">
        <v>43782</v>
      </c>
      <c r="K1518" s="95">
        <v>43836</v>
      </c>
      <c r="L1518" s="95" t="s">
        <v>31</v>
      </c>
      <c r="M1518" s="8">
        <v>43844</v>
      </c>
      <c r="N1518" s="8">
        <v>43881</v>
      </c>
      <c r="O1518" s="8">
        <v>43875</v>
      </c>
      <c r="P1518" s="6" t="s">
        <v>52</v>
      </c>
      <c r="R1518" s="97" t="str">
        <f t="shared" si="58"/>
        <v/>
      </c>
      <c r="S1518" s="75" t="str">
        <f t="shared" si="59"/>
        <v/>
      </c>
      <c r="U1518" s="8">
        <v>43881</v>
      </c>
      <c r="W1518" s="6" t="s">
        <v>33</v>
      </c>
      <c r="X1518" s="95">
        <v>44763</v>
      </c>
    </row>
    <row r="1519" spans="1:24" x14ac:dyDescent="0.25">
      <c r="A1519" s="6" t="s">
        <v>37</v>
      </c>
      <c r="B1519" s="94" t="s">
        <v>4791</v>
      </c>
      <c r="C1519" s="6" t="s">
        <v>4792</v>
      </c>
      <c r="D1519" s="140">
        <v>11854572</v>
      </c>
      <c r="E1519" s="6" t="s">
        <v>3008</v>
      </c>
      <c r="F1519" s="10" t="s">
        <v>293</v>
      </c>
      <c r="G1519" s="6">
        <v>1339980</v>
      </c>
      <c r="H1519" s="8">
        <v>49555</v>
      </c>
      <c r="I1519" s="8">
        <v>44099</v>
      </c>
      <c r="J1519" s="8">
        <v>44111</v>
      </c>
      <c r="K1519" s="95">
        <v>44112</v>
      </c>
      <c r="L1519" s="95" t="s">
        <v>31</v>
      </c>
      <c r="M1519" s="8">
        <v>44141</v>
      </c>
      <c r="N1519" s="8">
        <v>44708</v>
      </c>
      <c r="O1519" s="8">
        <v>44411</v>
      </c>
      <c r="P1519" s="6" t="s">
        <v>35</v>
      </c>
      <c r="Q1519" s="96">
        <v>4366</v>
      </c>
      <c r="R1519" s="97">
        <f t="shared" si="58"/>
        <v>11.961643835616439</v>
      </c>
      <c r="S1519" s="75">
        <f t="shared" si="59"/>
        <v>98791.216438356161</v>
      </c>
      <c r="U1519" s="8">
        <v>44792</v>
      </c>
      <c r="W1519" s="6" t="s">
        <v>33</v>
      </c>
      <c r="X1519" s="135">
        <v>46823</v>
      </c>
    </row>
    <row r="1520" spans="1:24" x14ac:dyDescent="0.25">
      <c r="A1520" s="6" t="s">
        <v>25</v>
      </c>
      <c r="B1520" s="94" t="s">
        <v>4793</v>
      </c>
      <c r="C1520" s="6" t="s">
        <v>4794</v>
      </c>
      <c r="D1520" s="140">
        <v>11341125</v>
      </c>
      <c r="E1520" s="6" t="s">
        <v>1756</v>
      </c>
      <c r="F1520" s="10" t="s">
        <v>44</v>
      </c>
      <c r="G1520" s="6" t="s">
        <v>4795</v>
      </c>
      <c r="H1520" s="8">
        <v>44601</v>
      </c>
      <c r="I1520" s="8">
        <v>43773</v>
      </c>
      <c r="J1520" s="8">
        <v>43781</v>
      </c>
      <c r="K1520" s="95">
        <v>43788</v>
      </c>
      <c r="L1520" s="95" t="s">
        <v>359</v>
      </c>
      <c r="R1520" s="97" t="str">
        <f t="shared" si="58"/>
        <v/>
      </c>
      <c r="S1520" s="75" t="str">
        <f t="shared" si="59"/>
        <v/>
      </c>
      <c r="W1520" s="6" t="s">
        <v>33</v>
      </c>
      <c r="X1520" s="95">
        <v>46657</v>
      </c>
    </row>
    <row r="1521" spans="1:24" x14ac:dyDescent="0.25">
      <c r="A1521" s="6" t="s">
        <v>25</v>
      </c>
      <c r="B1521" s="94" t="s">
        <v>4796</v>
      </c>
      <c r="C1521" s="6" t="s">
        <v>4797</v>
      </c>
      <c r="D1521" s="140">
        <v>12004252</v>
      </c>
      <c r="E1521" s="6" t="s">
        <v>651</v>
      </c>
      <c r="F1521" s="10" t="s">
        <v>44</v>
      </c>
      <c r="G1521" s="6" t="s">
        <v>4798</v>
      </c>
      <c r="H1521" s="8">
        <v>44588</v>
      </c>
      <c r="I1521" s="8">
        <v>43773</v>
      </c>
      <c r="J1521" s="8">
        <v>43781</v>
      </c>
      <c r="K1521" s="95">
        <v>43788</v>
      </c>
      <c r="L1521" s="95" t="s">
        <v>359</v>
      </c>
      <c r="R1521" s="97" t="str">
        <f t="shared" si="58"/>
        <v/>
      </c>
      <c r="S1521" s="75" t="str">
        <f t="shared" si="59"/>
        <v/>
      </c>
      <c r="W1521" s="6" t="s">
        <v>33</v>
      </c>
      <c r="X1521" s="95">
        <v>52478</v>
      </c>
    </row>
    <row r="1522" spans="1:24" x14ac:dyDescent="0.25">
      <c r="A1522" s="6" t="s">
        <v>25</v>
      </c>
      <c r="B1522" s="94" t="s">
        <v>4799</v>
      </c>
      <c r="C1522" s="6" t="s">
        <v>4800</v>
      </c>
      <c r="D1522" s="140">
        <v>11191153</v>
      </c>
      <c r="E1522" s="6" t="s">
        <v>4801</v>
      </c>
      <c r="F1522" s="10" t="s">
        <v>3160</v>
      </c>
      <c r="G1522" s="6">
        <v>221055</v>
      </c>
      <c r="H1522" s="8">
        <v>44754</v>
      </c>
      <c r="I1522" s="8">
        <v>43773</v>
      </c>
      <c r="J1522" s="8">
        <v>43781</v>
      </c>
      <c r="K1522" s="95">
        <v>43839</v>
      </c>
      <c r="L1522" s="95" t="s">
        <v>31</v>
      </c>
      <c r="M1522" s="8">
        <v>43860</v>
      </c>
      <c r="N1522" s="8">
        <v>44085</v>
      </c>
      <c r="O1522" s="8">
        <v>44074</v>
      </c>
      <c r="P1522" s="6" t="s">
        <v>90</v>
      </c>
      <c r="Q1522" s="96">
        <v>1826</v>
      </c>
      <c r="R1522" s="97">
        <f t="shared" si="58"/>
        <v>5.0027397260273974</v>
      </c>
      <c r="S1522" s="75">
        <f t="shared" si="59"/>
        <v>41317.627397260272</v>
      </c>
      <c r="T1522" s="124" t="s">
        <v>4802</v>
      </c>
      <c r="U1522" s="8">
        <v>44077</v>
      </c>
      <c r="V1522" s="6" t="s">
        <v>36</v>
      </c>
      <c r="W1522" s="6" t="s">
        <v>33</v>
      </c>
      <c r="X1522" s="95">
        <v>50342</v>
      </c>
    </row>
    <row r="1523" spans="1:24" x14ac:dyDescent="0.25">
      <c r="A1523" s="6" t="s">
        <v>25</v>
      </c>
      <c r="B1523" s="94" t="s">
        <v>4803</v>
      </c>
      <c r="C1523" s="6" t="s">
        <v>4804</v>
      </c>
      <c r="D1523" s="140">
        <v>12111011</v>
      </c>
      <c r="E1523" s="6" t="s">
        <v>1156</v>
      </c>
      <c r="F1523" s="10" t="s">
        <v>29</v>
      </c>
      <c r="G1523" s="6" t="s">
        <v>4805</v>
      </c>
      <c r="H1523" s="8">
        <v>44760</v>
      </c>
      <c r="I1523" s="8">
        <v>43773</v>
      </c>
      <c r="J1523" s="8">
        <v>43781</v>
      </c>
      <c r="K1523" s="95">
        <v>43839</v>
      </c>
      <c r="L1523" s="95" t="s">
        <v>31</v>
      </c>
      <c r="M1523" s="8">
        <v>43860</v>
      </c>
      <c r="N1523" s="8">
        <v>44175</v>
      </c>
      <c r="O1523" s="8">
        <v>44140</v>
      </c>
      <c r="P1523" s="6" t="s">
        <v>75</v>
      </c>
      <c r="R1523" s="97" t="str">
        <f t="shared" si="58"/>
        <v/>
      </c>
      <c r="S1523" s="75" t="str">
        <f t="shared" si="59"/>
        <v/>
      </c>
      <c r="U1523" s="8">
        <v>44175</v>
      </c>
      <c r="W1523" s="6" t="s">
        <v>33</v>
      </c>
      <c r="X1523" s="95">
        <v>50030</v>
      </c>
    </row>
    <row r="1524" spans="1:24" x14ac:dyDescent="0.25">
      <c r="A1524" s="6" t="s">
        <v>25</v>
      </c>
      <c r="B1524" s="94" t="s">
        <v>108</v>
      </c>
      <c r="C1524" s="6" t="s">
        <v>4806</v>
      </c>
      <c r="D1524" s="140">
        <v>11209658</v>
      </c>
      <c r="E1524" s="6" t="s">
        <v>261</v>
      </c>
      <c r="F1524" s="10" t="s">
        <v>57</v>
      </c>
      <c r="G1524" s="6" t="s">
        <v>4807</v>
      </c>
      <c r="H1524" s="8">
        <v>44815</v>
      </c>
      <c r="I1524" s="8">
        <v>43773</v>
      </c>
      <c r="J1524" s="8">
        <v>43781</v>
      </c>
      <c r="K1524" s="95">
        <v>43839</v>
      </c>
      <c r="L1524" s="95" t="s">
        <v>359</v>
      </c>
      <c r="R1524" s="97" t="str">
        <f t="shared" si="58"/>
        <v/>
      </c>
      <c r="S1524" s="75" t="str">
        <f t="shared" si="59"/>
        <v/>
      </c>
      <c r="W1524" s="6" t="s">
        <v>33</v>
      </c>
      <c r="X1524" s="95">
        <v>50520</v>
      </c>
    </row>
    <row r="1525" spans="1:24" x14ac:dyDescent="0.25">
      <c r="A1525" s="6" t="s">
        <v>25</v>
      </c>
      <c r="B1525" s="94" t="s">
        <v>500</v>
      </c>
      <c r="C1525" s="6" t="s">
        <v>4808</v>
      </c>
      <c r="D1525" s="140">
        <v>11543194</v>
      </c>
      <c r="E1525" s="6" t="s">
        <v>1082</v>
      </c>
      <c r="F1525" s="10" t="s">
        <v>134</v>
      </c>
      <c r="G1525" s="6" t="s">
        <v>4809</v>
      </c>
      <c r="H1525" s="8">
        <v>44794</v>
      </c>
      <c r="I1525" s="8">
        <v>43773</v>
      </c>
      <c r="J1525" s="8">
        <v>43781</v>
      </c>
      <c r="K1525" s="95">
        <v>43839</v>
      </c>
      <c r="L1525" s="95" t="s">
        <v>31</v>
      </c>
      <c r="M1525" s="8">
        <v>43860</v>
      </c>
      <c r="N1525" s="8">
        <v>44018</v>
      </c>
      <c r="P1525" s="6" t="s">
        <v>75</v>
      </c>
      <c r="R1525" s="97" t="str">
        <f t="shared" si="58"/>
        <v/>
      </c>
      <c r="S1525" s="75" t="str">
        <f t="shared" si="59"/>
        <v/>
      </c>
      <c r="U1525" s="8">
        <v>44018</v>
      </c>
      <c r="W1525" s="6" t="s">
        <v>33</v>
      </c>
      <c r="X1525" s="95">
        <v>50410</v>
      </c>
    </row>
    <row r="1526" spans="1:24" x14ac:dyDescent="0.25">
      <c r="A1526" s="6" t="s">
        <v>25</v>
      </c>
      <c r="B1526" s="94" t="s">
        <v>2405</v>
      </c>
      <c r="C1526" s="6" t="s">
        <v>4810</v>
      </c>
      <c r="D1526" s="140">
        <v>11131555</v>
      </c>
      <c r="E1526" s="6" t="s">
        <v>2160</v>
      </c>
      <c r="F1526" s="10" t="s">
        <v>44</v>
      </c>
      <c r="G1526" s="6" t="s">
        <v>4811</v>
      </c>
      <c r="H1526" s="8">
        <v>44849</v>
      </c>
      <c r="I1526" s="8">
        <v>43773</v>
      </c>
      <c r="J1526" s="8">
        <v>43781</v>
      </c>
      <c r="K1526" s="95">
        <v>43839</v>
      </c>
      <c r="L1526" s="95" t="s">
        <v>31</v>
      </c>
      <c r="M1526" s="8">
        <v>43860</v>
      </c>
      <c r="R1526" s="97" t="str">
        <f t="shared" si="58"/>
        <v/>
      </c>
      <c r="S1526" s="75" t="str">
        <f t="shared" si="59"/>
        <v/>
      </c>
      <c r="W1526" s="6" t="s">
        <v>84</v>
      </c>
      <c r="X1526" s="95">
        <v>44401</v>
      </c>
    </row>
    <row r="1527" spans="1:24" x14ac:dyDescent="0.25">
      <c r="A1527" s="6" t="s">
        <v>25</v>
      </c>
      <c r="B1527" s="94" t="s">
        <v>4478</v>
      </c>
      <c r="C1527" s="6" t="s">
        <v>4812</v>
      </c>
      <c r="D1527" s="140">
        <v>11157775</v>
      </c>
      <c r="E1527" s="6" t="s">
        <v>1443</v>
      </c>
      <c r="F1527" s="10" t="s">
        <v>44</v>
      </c>
      <c r="G1527" s="6" t="s">
        <v>4813</v>
      </c>
      <c r="H1527" s="8">
        <v>44936</v>
      </c>
      <c r="I1527" s="8">
        <v>43773</v>
      </c>
      <c r="J1527" s="8">
        <v>43781</v>
      </c>
      <c r="K1527" s="95">
        <v>43839</v>
      </c>
      <c r="L1527" s="95" t="s">
        <v>31</v>
      </c>
      <c r="M1527" s="8">
        <v>43860</v>
      </c>
      <c r="R1527" s="97" t="str">
        <f t="shared" si="58"/>
        <v/>
      </c>
      <c r="S1527" s="75" t="str">
        <f t="shared" si="59"/>
        <v/>
      </c>
      <c r="T1527" s="129" t="s">
        <v>4814</v>
      </c>
      <c r="U1527" s="8">
        <v>44783</v>
      </c>
      <c r="W1527" s="6" t="s">
        <v>33</v>
      </c>
      <c r="X1527" s="95">
        <v>50143</v>
      </c>
    </row>
    <row r="1528" spans="1:24" x14ac:dyDescent="0.25">
      <c r="A1528" s="6" t="s">
        <v>25</v>
      </c>
      <c r="B1528" s="94" t="s">
        <v>646</v>
      </c>
      <c r="C1528" s="6" t="s">
        <v>4815</v>
      </c>
      <c r="D1528" s="140">
        <v>11352164</v>
      </c>
      <c r="E1528" s="6" t="s">
        <v>1018</v>
      </c>
      <c r="F1528" s="10" t="s">
        <v>44</v>
      </c>
      <c r="G1528" s="6" t="s">
        <v>4816</v>
      </c>
      <c r="H1528" s="8">
        <v>44920</v>
      </c>
      <c r="I1528" s="8">
        <v>43773</v>
      </c>
      <c r="J1528" s="8">
        <v>43781</v>
      </c>
      <c r="K1528" s="95">
        <v>43839</v>
      </c>
      <c r="L1528" s="95" t="s">
        <v>31</v>
      </c>
      <c r="M1528" s="8">
        <v>43844</v>
      </c>
      <c r="N1528" s="8">
        <v>43885</v>
      </c>
      <c r="O1528" s="8">
        <v>43868</v>
      </c>
      <c r="P1528" s="6" t="s">
        <v>182</v>
      </c>
      <c r="R1528" s="97" t="str">
        <f t="shared" si="58"/>
        <v/>
      </c>
      <c r="S1528" s="75" t="str">
        <f t="shared" si="59"/>
        <v/>
      </c>
      <c r="U1528" s="8">
        <v>43885</v>
      </c>
      <c r="W1528" s="6" t="s">
        <v>33</v>
      </c>
      <c r="X1528" s="95">
        <v>55559</v>
      </c>
    </row>
    <row r="1529" spans="1:24" x14ac:dyDescent="0.25">
      <c r="A1529" s="6" t="s">
        <v>37</v>
      </c>
      <c r="B1529" s="94" t="s">
        <v>4817</v>
      </c>
      <c r="C1529" s="6" t="s">
        <v>4818</v>
      </c>
      <c r="D1529" s="140">
        <v>11595150</v>
      </c>
      <c r="E1529" s="6" t="s">
        <v>4011</v>
      </c>
      <c r="F1529" s="10" t="s">
        <v>143</v>
      </c>
      <c r="G1529" s="6" t="s">
        <v>4819</v>
      </c>
      <c r="H1529" s="8">
        <v>51018</v>
      </c>
      <c r="I1529" s="8">
        <v>44279</v>
      </c>
      <c r="J1529" s="8">
        <v>44306</v>
      </c>
      <c r="K1529" s="95">
        <v>44307</v>
      </c>
      <c r="L1529" s="95" t="s">
        <v>31</v>
      </c>
      <c r="M1529" s="8">
        <v>44309</v>
      </c>
      <c r="N1529" s="8">
        <v>44685</v>
      </c>
      <c r="O1529" s="8">
        <v>44644</v>
      </c>
      <c r="P1529" s="6" t="s">
        <v>35</v>
      </c>
      <c r="Q1529" s="96">
        <v>5257</v>
      </c>
      <c r="R1529" s="97">
        <f t="shared" si="58"/>
        <v>14.402739726027397</v>
      </c>
      <c r="S1529" s="75">
        <f t="shared" si="59"/>
        <v>118952.22739726027</v>
      </c>
      <c r="U1529" s="8">
        <v>44690</v>
      </c>
      <c r="W1529" s="6" t="s">
        <v>33</v>
      </c>
      <c r="X1529" s="7">
        <v>49031</v>
      </c>
    </row>
    <row r="1530" spans="1:24" x14ac:dyDescent="0.25">
      <c r="A1530" s="6" t="s">
        <v>25</v>
      </c>
      <c r="B1530" s="94" t="s">
        <v>1412</v>
      </c>
      <c r="C1530" s="6" t="s">
        <v>4820</v>
      </c>
      <c r="D1530" s="140">
        <v>11763923</v>
      </c>
      <c r="E1530" s="6" t="s">
        <v>578</v>
      </c>
      <c r="F1530" s="10" t="s">
        <v>44</v>
      </c>
      <c r="G1530" s="6" t="s">
        <v>4821</v>
      </c>
      <c r="H1530" s="8">
        <v>52129</v>
      </c>
      <c r="I1530" s="8">
        <v>43480</v>
      </c>
      <c r="J1530" s="8">
        <v>43593</v>
      </c>
      <c r="K1530" s="95">
        <v>43602</v>
      </c>
      <c r="L1530" s="95" t="s">
        <v>31</v>
      </c>
      <c r="M1530" s="8">
        <v>43629</v>
      </c>
      <c r="N1530" s="8">
        <v>44256</v>
      </c>
      <c r="O1530" s="8">
        <v>44034</v>
      </c>
      <c r="P1530" s="6" t="s">
        <v>35</v>
      </c>
      <c r="Q1530" s="96">
        <v>2922</v>
      </c>
      <c r="R1530" s="97">
        <f t="shared" si="58"/>
        <v>8.0054794520547947</v>
      </c>
      <c r="S1530" s="75">
        <f t="shared" si="59"/>
        <v>66117.254794520544</v>
      </c>
      <c r="T1530" s="124" t="s">
        <v>4822</v>
      </c>
      <c r="U1530" s="8">
        <v>44256</v>
      </c>
      <c r="W1530" s="6" t="s">
        <v>33</v>
      </c>
      <c r="X1530" s="95">
        <v>50543</v>
      </c>
    </row>
    <row r="1531" spans="1:24" x14ac:dyDescent="0.25">
      <c r="A1531" s="6" t="s">
        <v>25</v>
      </c>
      <c r="B1531" s="94" t="s">
        <v>4823</v>
      </c>
      <c r="C1531" s="6" t="s">
        <v>4824</v>
      </c>
      <c r="D1531" s="140">
        <v>11489003</v>
      </c>
      <c r="E1531" s="6" t="s">
        <v>3564</v>
      </c>
      <c r="F1531" s="10" t="s">
        <v>57</v>
      </c>
      <c r="G1531" s="6" t="s">
        <v>4825</v>
      </c>
      <c r="H1531" s="8">
        <v>44884</v>
      </c>
      <c r="I1531" s="8">
        <v>43784</v>
      </c>
      <c r="J1531" s="8">
        <v>43788</v>
      </c>
      <c r="K1531" s="95">
        <v>43836</v>
      </c>
      <c r="L1531" s="95" t="s">
        <v>31</v>
      </c>
      <c r="M1531" s="8">
        <v>43844</v>
      </c>
      <c r="R1531" s="97" t="str">
        <f t="shared" si="58"/>
        <v/>
      </c>
      <c r="S1531" s="75" t="str">
        <f t="shared" si="59"/>
        <v/>
      </c>
      <c r="T1531" s="129" t="s">
        <v>4826</v>
      </c>
      <c r="U1531" s="8">
        <v>44783</v>
      </c>
      <c r="W1531" s="6" t="s">
        <v>33</v>
      </c>
      <c r="X1531" s="95">
        <v>49752</v>
      </c>
    </row>
    <row r="1532" spans="1:24" x14ac:dyDescent="0.25">
      <c r="A1532" s="6" t="s">
        <v>25</v>
      </c>
      <c r="B1532" s="94" t="s">
        <v>4827</v>
      </c>
      <c r="C1532" s="6" t="s">
        <v>4828</v>
      </c>
      <c r="D1532" s="140">
        <v>11941586</v>
      </c>
      <c r="E1532" s="6" t="s">
        <v>4829</v>
      </c>
      <c r="F1532" s="10" t="s">
        <v>134</v>
      </c>
      <c r="G1532" s="6" t="s">
        <v>4830</v>
      </c>
      <c r="H1532" s="8">
        <v>44936</v>
      </c>
      <c r="I1532" s="8">
        <v>43784</v>
      </c>
      <c r="J1532" s="8">
        <v>43788</v>
      </c>
      <c r="K1532" s="95">
        <v>43836</v>
      </c>
      <c r="L1532" s="95" t="s">
        <v>31</v>
      </c>
      <c r="M1532" s="8">
        <v>43844</v>
      </c>
      <c r="N1532" s="8">
        <v>43887</v>
      </c>
      <c r="O1532" s="8">
        <v>43874</v>
      </c>
      <c r="P1532" s="6" t="s">
        <v>75</v>
      </c>
      <c r="R1532" s="97" t="str">
        <f t="shared" si="58"/>
        <v/>
      </c>
      <c r="S1532" s="75" t="str">
        <f t="shared" si="59"/>
        <v/>
      </c>
      <c r="U1532" s="8">
        <v>43887</v>
      </c>
      <c r="W1532" s="6" t="s">
        <v>33</v>
      </c>
      <c r="X1532" s="95">
        <v>46445</v>
      </c>
    </row>
    <row r="1533" spans="1:24" x14ac:dyDescent="0.25">
      <c r="A1533" s="6" t="s">
        <v>25</v>
      </c>
      <c r="B1533" s="94" t="s">
        <v>178</v>
      </c>
      <c r="C1533" s="6" t="s">
        <v>4831</v>
      </c>
      <c r="D1533" s="140">
        <v>11895791</v>
      </c>
      <c r="E1533" s="6" t="s">
        <v>199</v>
      </c>
      <c r="F1533" s="10" t="s">
        <v>44</v>
      </c>
      <c r="G1533" s="6" t="s">
        <v>4832</v>
      </c>
      <c r="H1533" s="8">
        <v>44941</v>
      </c>
      <c r="I1533" s="8">
        <v>43784</v>
      </c>
      <c r="J1533" s="8">
        <v>43788</v>
      </c>
      <c r="K1533" s="95">
        <v>43836</v>
      </c>
      <c r="L1533" s="95" t="s">
        <v>359</v>
      </c>
      <c r="R1533" s="97" t="str">
        <f t="shared" si="58"/>
        <v/>
      </c>
      <c r="S1533" s="75" t="str">
        <f t="shared" si="59"/>
        <v/>
      </c>
      <c r="W1533" s="6" t="s">
        <v>33</v>
      </c>
      <c r="X1533" s="95">
        <v>51097</v>
      </c>
    </row>
    <row r="1534" spans="1:24" x14ac:dyDescent="0.25">
      <c r="A1534" s="6" t="s">
        <v>25</v>
      </c>
      <c r="B1534" s="94" t="s">
        <v>590</v>
      </c>
      <c r="C1534" s="6" t="s">
        <v>4833</v>
      </c>
      <c r="D1534" s="140">
        <v>11518829</v>
      </c>
      <c r="E1534" s="6" t="s">
        <v>344</v>
      </c>
      <c r="F1534" s="10" t="s">
        <v>44</v>
      </c>
      <c r="G1534" s="6" t="s">
        <v>4834</v>
      </c>
      <c r="H1534" s="8">
        <v>44913</v>
      </c>
      <c r="I1534" s="8">
        <v>43784</v>
      </c>
      <c r="J1534" s="8">
        <v>43788</v>
      </c>
      <c r="K1534" s="95">
        <v>43836</v>
      </c>
      <c r="L1534" s="95" t="s">
        <v>31</v>
      </c>
      <c r="M1534" s="8">
        <v>43844</v>
      </c>
      <c r="N1534" s="8">
        <v>44074</v>
      </c>
      <c r="O1534" s="8">
        <v>44068</v>
      </c>
      <c r="P1534" s="6" t="s">
        <v>52</v>
      </c>
      <c r="R1534" s="97" t="str">
        <f t="shared" si="58"/>
        <v/>
      </c>
      <c r="S1534" s="75" t="str">
        <f t="shared" si="59"/>
        <v/>
      </c>
      <c r="U1534" s="8">
        <v>44074</v>
      </c>
      <c r="W1534" s="6" t="s">
        <v>33</v>
      </c>
      <c r="X1534" s="95">
        <v>50129</v>
      </c>
    </row>
    <row r="1535" spans="1:24" x14ac:dyDescent="0.25">
      <c r="A1535" s="6" t="s">
        <v>25</v>
      </c>
      <c r="B1535" s="94" t="s">
        <v>666</v>
      </c>
      <c r="C1535" s="6" t="s">
        <v>4835</v>
      </c>
      <c r="D1535" s="140">
        <v>11998961</v>
      </c>
      <c r="E1535" s="6" t="s">
        <v>584</v>
      </c>
      <c r="F1535" s="10" t="s">
        <v>44</v>
      </c>
      <c r="G1535" s="6" t="s">
        <v>4836</v>
      </c>
      <c r="H1535" s="8">
        <v>44913</v>
      </c>
      <c r="I1535" s="8">
        <v>43784</v>
      </c>
      <c r="J1535" s="8">
        <v>43788</v>
      </c>
      <c r="K1535" s="95">
        <v>43836</v>
      </c>
      <c r="L1535" s="95" t="s">
        <v>359</v>
      </c>
      <c r="R1535" s="97" t="str">
        <f t="shared" si="58"/>
        <v/>
      </c>
      <c r="S1535" s="75" t="str">
        <f t="shared" si="59"/>
        <v/>
      </c>
      <c r="W1535" s="6" t="s">
        <v>33</v>
      </c>
      <c r="X1535" s="95">
        <v>51290</v>
      </c>
    </row>
    <row r="1536" spans="1:24" x14ac:dyDescent="0.25">
      <c r="A1536" s="6" t="s">
        <v>25</v>
      </c>
      <c r="B1536" s="94" t="s">
        <v>4837</v>
      </c>
      <c r="C1536" s="6" t="s">
        <v>4838</v>
      </c>
      <c r="D1536" s="140">
        <v>11661356</v>
      </c>
      <c r="E1536" s="6" t="s">
        <v>2086</v>
      </c>
      <c r="F1536" s="10" t="s">
        <v>44</v>
      </c>
      <c r="G1536" s="6" t="s">
        <v>4839</v>
      </c>
      <c r="H1536" s="8">
        <v>45048</v>
      </c>
      <c r="I1536" s="8">
        <v>43784</v>
      </c>
      <c r="J1536" s="8">
        <v>43788</v>
      </c>
      <c r="K1536" s="95">
        <v>43836</v>
      </c>
      <c r="L1536" s="95" t="s">
        <v>359</v>
      </c>
      <c r="R1536" s="97" t="str">
        <f t="shared" si="58"/>
        <v/>
      </c>
      <c r="S1536" s="75" t="str">
        <f t="shared" si="59"/>
        <v/>
      </c>
      <c r="W1536" s="6" t="s">
        <v>33</v>
      </c>
      <c r="X1536" s="95">
        <v>50588</v>
      </c>
    </row>
    <row r="1537" spans="1:24" x14ac:dyDescent="0.25">
      <c r="A1537" s="6" t="s">
        <v>25</v>
      </c>
      <c r="B1537" s="94" t="s">
        <v>4840</v>
      </c>
      <c r="C1537" s="6" t="s">
        <v>4841</v>
      </c>
      <c r="D1537" s="140">
        <v>11630334</v>
      </c>
      <c r="E1537" s="6" t="s">
        <v>1960</v>
      </c>
      <c r="F1537" s="10" t="s">
        <v>143</v>
      </c>
      <c r="G1537" s="6" t="s">
        <v>4842</v>
      </c>
      <c r="H1537" s="8">
        <v>44934</v>
      </c>
      <c r="I1537" s="8">
        <v>43784</v>
      </c>
      <c r="J1537" s="8">
        <v>43788</v>
      </c>
      <c r="K1537" s="95">
        <v>43836</v>
      </c>
      <c r="L1537" s="95" t="s">
        <v>359</v>
      </c>
      <c r="R1537" s="97" t="str">
        <f t="shared" si="58"/>
        <v/>
      </c>
      <c r="S1537" s="75" t="str">
        <f t="shared" si="59"/>
        <v/>
      </c>
      <c r="W1537" s="6" t="s">
        <v>33</v>
      </c>
      <c r="X1537" s="95">
        <v>52359</v>
      </c>
    </row>
    <row r="1538" spans="1:24" x14ac:dyDescent="0.25">
      <c r="A1538" s="6" t="s">
        <v>25</v>
      </c>
      <c r="B1538" s="94" t="s">
        <v>635</v>
      </c>
      <c r="C1538" s="6" t="s">
        <v>4843</v>
      </c>
      <c r="D1538" s="140">
        <v>11510626</v>
      </c>
      <c r="E1538" s="6" t="s">
        <v>2850</v>
      </c>
      <c r="F1538" s="10" t="s">
        <v>44</v>
      </c>
      <c r="G1538" s="6" t="s">
        <v>4844</v>
      </c>
      <c r="H1538" s="8">
        <v>45063</v>
      </c>
      <c r="I1538" s="8">
        <v>43784</v>
      </c>
      <c r="J1538" s="8">
        <v>43788</v>
      </c>
      <c r="K1538" s="95">
        <v>43836</v>
      </c>
      <c r="L1538" s="95" t="s">
        <v>359</v>
      </c>
      <c r="R1538" s="97" t="str">
        <f t="shared" si="58"/>
        <v/>
      </c>
      <c r="S1538" s="75" t="str">
        <f t="shared" si="59"/>
        <v/>
      </c>
      <c r="W1538" s="6" t="s">
        <v>33</v>
      </c>
      <c r="X1538" s="95">
        <v>50515</v>
      </c>
    </row>
    <row r="1539" spans="1:24" x14ac:dyDescent="0.25">
      <c r="A1539" s="6" t="s">
        <v>25</v>
      </c>
      <c r="B1539" s="94" t="s">
        <v>1552</v>
      </c>
      <c r="C1539" s="6" t="s">
        <v>4845</v>
      </c>
      <c r="D1539" s="140">
        <v>11250514</v>
      </c>
      <c r="E1539" s="6" t="s">
        <v>1650</v>
      </c>
      <c r="F1539" s="10" t="s">
        <v>252</v>
      </c>
      <c r="G1539" s="6" t="s">
        <v>4846</v>
      </c>
      <c r="H1539" s="8">
        <v>44640</v>
      </c>
      <c r="I1539" s="8">
        <v>43747</v>
      </c>
      <c r="J1539" s="8">
        <v>43747</v>
      </c>
      <c r="K1539" s="95">
        <v>43788</v>
      </c>
      <c r="L1539" s="95" t="s">
        <v>31</v>
      </c>
      <c r="M1539" s="8">
        <v>43795</v>
      </c>
      <c r="N1539" s="108">
        <v>44466</v>
      </c>
      <c r="O1539" s="108">
        <v>44462</v>
      </c>
      <c r="P1539" s="107" t="s">
        <v>75</v>
      </c>
      <c r="Q1539" s="110"/>
      <c r="R1539" s="97" t="str">
        <f t="shared" si="58"/>
        <v/>
      </c>
      <c r="S1539" s="75" t="str">
        <f t="shared" si="59"/>
        <v/>
      </c>
      <c r="U1539" s="8">
        <v>44776</v>
      </c>
      <c r="W1539" s="6" t="s">
        <v>33</v>
      </c>
      <c r="X1539" s="95">
        <v>50453</v>
      </c>
    </row>
    <row r="1540" spans="1:24" x14ac:dyDescent="0.25">
      <c r="A1540" s="6" t="s">
        <v>25</v>
      </c>
      <c r="B1540" s="94" t="s">
        <v>250</v>
      </c>
      <c r="C1540" s="6" t="s">
        <v>4847</v>
      </c>
      <c r="D1540" s="140">
        <v>11057453</v>
      </c>
      <c r="E1540" s="6" t="s">
        <v>4848</v>
      </c>
      <c r="F1540" s="10" t="s">
        <v>143</v>
      </c>
      <c r="G1540" s="6" t="s">
        <v>4849</v>
      </c>
      <c r="H1540" s="8">
        <v>44574</v>
      </c>
      <c r="I1540" s="8">
        <v>43747</v>
      </c>
      <c r="J1540" s="8">
        <v>43747</v>
      </c>
      <c r="K1540" s="95">
        <v>43788</v>
      </c>
      <c r="L1540" s="95" t="s">
        <v>31</v>
      </c>
      <c r="M1540" s="8">
        <v>43795</v>
      </c>
      <c r="N1540" s="8">
        <v>43858</v>
      </c>
      <c r="O1540" s="8">
        <v>43838</v>
      </c>
      <c r="P1540" s="6" t="s">
        <v>52</v>
      </c>
      <c r="R1540" s="97" t="str">
        <f t="shared" si="58"/>
        <v/>
      </c>
      <c r="S1540" s="75" t="str">
        <f t="shared" si="59"/>
        <v/>
      </c>
      <c r="U1540" s="8">
        <v>43858</v>
      </c>
      <c r="W1540" s="6" t="s">
        <v>33</v>
      </c>
      <c r="X1540" s="95">
        <v>44574</v>
      </c>
    </row>
    <row r="1541" spans="1:24" x14ac:dyDescent="0.25">
      <c r="A1541" s="6" t="s">
        <v>25</v>
      </c>
      <c r="B1541" s="94" t="s">
        <v>4850</v>
      </c>
      <c r="C1541" s="6" t="s">
        <v>4851</v>
      </c>
      <c r="D1541" s="140">
        <v>11107844</v>
      </c>
      <c r="E1541" s="6" t="s">
        <v>4829</v>
      </c>
      <c r="F1541" s="10" t="s">
        <v>95</v>
      </c>
      <c r="G1541" s="6" t="s">
        <v>4852</v>
      </c>
      <c r="H1541" s="8">
        <v>44543</v>
      </c>
      <c r="I1541" s="8">
        <v>43780</v>
      </c>
      <c r="J1541" s="8">
        <v>43782</v>
      </c>
      <c r="K1541" s="95">
        <v>43837</v>
      </c>
      <c r="L1541" s="95" t="s">
        <v>31</v>
      </c>
      <c r="M1541" s="8">
        <v>43845</v>
      </c>
      <c r="R1541" s="97" t="str">
        <f t="shared" si="58"/>
        <v/>
      </c>
      <c r="S1541" s="75" t="str">
        <f t="shared" si="59"/>
        <v/>
      </c>
      <c r="T1541" s="129" t="s">
        <v>4853</v>
      </c>
      <c r="U1541" s="8">
        <v>44783</v>
      </c>
      <c r="W1541" s="6" t="s">
        <v>33</v>
      </c>
      <c r="X1541" s="95">
        <v>44596</v>
      </c>
    </row>
    <row r="1542" spans="1:24" x14ac:dyDescent="0.25">
      <c r="A1542" s="6" t="s">
        <v>25</v>
      </c>
      <c r="B1542" s="94" t="s">
        <v>890</v>
      </c>
      <c r="C1542" s="6" t="s">
        <v>4854</v>
      </c>
      <c r="D1542" s="140">
        <v>11118045</v>
      </c>
      <c r="E1542" s="6" t="s">
        <v>142</v>
      </c>
      <c r="F1542" s="10" t="s">
        <v>143</v>
      </c>
      <c r="G1542" s="6" t="s">
        <v>4855</v>
      </c>
      <c r="H1542" s="8">
        <v>61061</v>
      </c>
      <c r="I1542" s="8">
        <v>43780</v>
      </c>
      <c r="J1542" s="8">
        <v>43782</v>
      </c>
      <c r="K1542" s="95">
        <v>43837</v>
      </c>
      <c r="L1542" s="95" t="s">
        <v>31</v>
      </c>
      <c r="M1542" s="8">
        <v>43844</v>
      </c>
      <c r="N1542" s="8">
        <v>43886</v>
      </c>
      <c r="O1542" s="8">
        <v>43877</v>
      </c>
      <c r="P1542" s="6" t="s">
        <v>75</v>
      </c>
      <c r="R1542" s="97" t="str">
        <f t="shared" ref="R1542:R1605" si="60">IF(Q1542&gt;0, Q1542/365, "")</f>
        <v/>
      </c>
      <c r="S1542" s="75" t="str">
        <f t="shared" ref="S1542:S1605" si="61">IF(Q1542&gt;0, SUM(Q1542)*(8259/365), "")</f>
        <v/>
      </c>
      <c r="U1542" s="8">
        <v>43886</v>
      </c>
      <c r="W1542" s="6" t="s">
        <v>84</v>
      </c>
      <c r="X1542" s="95">
        <v>46414</v>
      </c>
    </row>
    <row r="1543" spans="1:24" x14ac:dyDescent="0.25">
      <c r="A1543" s="6" t="s">
        <v>25</v>
      </c>
      <c r="B1543" s="94" t="s">
        <v>4856</v>
      </c>
      <c r="C1543" s="6" t="s">
        <v>4857</v>
      </c>
      <c r="D1543" s="140">
        <v>11118186</v>
      </c>
      <c r="E1543" s="6" t="s">
        <v>232</v>
      </c>
      <c r="F1543" s="10" t="s">
        <v>44</v>
      </c>
      <c r="G1543" s="6" t="s">
        <v>4858</v>
      </c>
      <c r="H1543" s="8">
        <v>48137</v>
      </c>
      <c r="I1543" s="8">
        <v>43780</v>
      </c>
      <c r="J1543" s="8">
        <v>43782</v>
      </c>
      <c r="K1543" s="95">
        <v>43837</v>
      </c>
      <c r="L1543" s="95" t="s">
        <v>31</v>
      </c>
      <c r="M1543" s="8">
        <v>43845</v>
      </c>
      <c r="N1543" s="8">
        <v>43888</v>
      </c>
      <c r="O1543" s="8">
        <v>43868</v>
      </c>
      <c r="P1543" s="6" t="s">
        <v>52</v>
      </c>
      <c r="R1543" s="97" t="str">
        <f t="shared" si="60"/>
        <v/>
      </c>
      <c r="S1543" s="75" t="str">
        <f t="shared" si="61"/>
        <v/>
      </c>
      <c r="U1543" s="8">
        <v>43888</v>
      </c>
      <c r="W1543" s="6" t="s">
        <v>84</v>
      </c>
      <c r="X1543" s="95">
        <v>37687</v>
      </c>
    </row>
    <row r="1544" spans="1:24" x14ac:dyDescent="0.25">
      <c r="A1544" s="6" t="s">
        <v>25</v>
      </c>
      <c r="B1544" s="94" t="s">
        <v>145</v>
      </c>
      <c r="C1544" s="6" t="s">
        <v>4859</v>
      </c>
      <c r="D1544" s="140">
        <v>11124668</v>
      </c>
      <c r="E1544" s="6" t="s">
        <v>318</v>
      </c>
      <c r="F1544" s="10" t="s">
        <v>44</v>
      </c>
      <c r="G1544" s="6" t="s">
        <v>4860</v>
      </c>
      <c r="H1544" s="8">
        <v>49153</v>
      </c>
      <c r="I1544" s="8">
        <v>43780</v>
      </c>
      <c r="J1544" s="8">
        <v>43782</v>
      </c>
      <c r="K1544" s="95">
        <v>43837</v>
      </c>
      <c r="L1544" s="95" t="s">
        <v>31</v>
      </c>
      <c r="M1544" s="8">
        <v>43845</v>
      </c>
      <c r="N1544" s="8">
        <v>43865</v>
      </c>
      <c r="O1544" s="8">
        <v>43852</v>
      </c>
      <c r="P1544" s="6" t="s">
        <v>52</v>
      </c>
      <c r="R1544" s="97" t="str">
        <f t="shared" si="60"/>
        <v/>
      </c>
      <c r="S1544" s="75" t="str">
        <f t="shared" si="61"/>
        <v/>
      </c>
      <c r="U1544" s="8">
        <v>43865</v>
      </c>
      <c r="W1544" s="6" t="s">
        <v>84</v>
      </c>
      <c r="X1544" s="95">
        <v>39415</v>
      </c>
    </row>
    <row r="1545" spans="1:24" x14ac:dyDescent="0.25">
      <c r="A1545" s="6" t="s">
        <v>25</v>
      </c>
      <c r="B1545" s="94" t="s">
        <v>944</v>
      </c>
      <c r="C1545" s="6" t="s">
        <v>4861</v>
      </c>
      <c r="D1545" s="140">
        <v>11124827</v>
      </c>
      <c r="E1545" s="6" t="s">
        <v>409</v>
      </c>
      <c r="F1545" s="10" t="s">
        <v>44</v>
      </c>
      <c r="G1545" s="6" t="s">
        <v>4862</v>
      </c>
      <c r="H1545" s="8">
        <v>47229</v>
      </c>
      <c r="I1545" s="8">
        <v>43780</v>
      </c>
      <c r="J1545" s="8">
        <v>43782</v>
      </c>
      <c r="K1545" s="95">
        <v>43837</v>
      </c>
      <c r="L1545" s="95" t="s">
        <v>31</v>
      </c>
      <c r="M1545" s="8">
        <v>43845</v>
      </c>
      <c r="N1545" s="8">
        <v>44140</v>
      </c>
      <c r="O1545" s="8">
        <v>44118</v>
      </c>
      <c r="P1545" s="6" t="s">
        <v>35</v>
      </c>
      <c r="Q1545" s="96">
        <v>2114</v>
      </c>
      <c r="R1545" s="97">
        <f t="shared" si="60"/>
        <v>5.7917808219178086</v>
      </c>
      <c r="S1545" s="75">
        <f t="shared" si="61"/>
        <v>47834.317808219181</v>
      </c>
      <c r="T1545" s="124" t="s">
        <v>35</v>
      </c>
      <c r="U1545" s="8">
        <v>44141</v>
      </c>
      <c r="W1545" s="6" t="s">
        <v>84</v>
      </c>
      <c r="X1545" s="95">
        <v>46417</v>
      </c>
    </row>
    <row r="1546" spans="1:24" x14ac:dyDescent="0.25">
      <c r="A1546" s="6" t="s">
        <v>25</v>
      </c>
      <c r="B1546" s="94" t="s">
        <v>4863</v>
      </c>
      <c r="C1546" s="6" t="s">
        <v>4864</v>
      </c>
      <c r="D1546" s="140">
        <v>11125516</v>
      </c>
      <c r="E1546" s="6" t="s">
        <v>1960</v>
      </c>
      <c r="F1546" s="10" t="s">
        <v>293</v>
      </c>
      <c r="G1546" s="6">
        <v>158259</v>
      </c>
      <c r="H1546" s="8">
        <v>45117</v>
      </c>
      <c r="I1546" s="8">
        <v>43780</v>
      </c>
      <c r="J1546" s="8">
        <v>43782</v>
      </c>
      <c r="K1546" s="95">
        <v>43495</v>
      </c>
      <c r="L1546" s="95" t="s">
        <v>31</v>
      </c>
      <c r="M1546" s="8">
        <v>43867</v>
      </c>
      <c r="N1546" s="108">
        <v>44342</v>
      </c>
      <c r="O1546" s="108">
        <v>44321</v>
      </c>
      <c r="P1546" s="107" t="s">
        <v>35</v>
      </c>
      <c r="Q1546" s="110">
        <v>714</v>
      </c>
      <c r="R1546" s="97">
        <f t="shared" si="60"/>
        <v>1.9561643835616438</v>
      </c>
      <c r="S1546" s="75">
        <f t="shared" si="61"/>
        <v>16155.961643835617</v>
      </c>
      <c r="U1546" s="8">
        <v>44776</v>
      </c>
      <c r="W1546" s="6" t="s">
        <v>33</v>
      </c>
      <c r="X1546" s="95">
        <v>48419</v>
      </c>
    </row>
    <row r="1547" spans="1:24" x14ac:dyDescent="0.25">
      <c r="A1547" s="6" t="s">
        <v>25</v>
      </c>
      <c r="B1547" s="94" t="s">
        <v>4865</v>
      </c>
      <c r="C1547" s="6" t="s">
        <v>4866</v>
      </c>
      <c r="D1547" s="140">
        <v>11169711</v>
      </c>
      <c r="E1547" s="6" t="s">
        <v>714</v>
      </c>
      <c r="F1547" s="10" t="s">
        <v>44</v>
      </c>
      <c r="G1547" s="6" t="s">
        <v>4867</v>
      </c>
      <c r="H1547" s="8">
        <v>50036</v>
      </c>
      <c r="I1547" s="8">
        <v>43780</v>
      </c>
      <c r="J1547" s="8">
        <v>43782</v>
      </c>
      <c r="K1547" s="95">
        <v>43837</v>
      </c>
      <c r="L1547" s="95" t="s">
        <v>359</v>
      </c>
      <c r="R1547" s="97" t="str">
        <f t="shared" si="60"/>
        <v/>
      </c>
      <c r="S1547" s="75" t="str">
        <f t="shared" si="61"/>
        <v/>
      </c>
      <c r="W1547" s="6" t="s">
        <v>84</v>
      </c>
      <c r="X1547" s="95">
        <v>47604</v>
      </c>
    </row>
    <row r="1548" spans="1:24" x14ac:dyDescent="0.25">
      <c r="A1548" s="6" t="s">
        <v>25</v>
      </c>
      <c r="B1548" s="94" t="s">
        <v>3844</v>
      </c>
      <c r="C1548" s="6" t="s">
        <v>4868</v>
      </c>
      <c r="D1548" s="140">
        <v>11142747</v>
      </c>
      <c r="E1548" s="6" t="s">
        <v>2086</v>
      </c>
      <c r="F1548" s="10" t="s">
        <v>44</v>
      </c>
      <c r="G1548" s="6" t="s">
        <v>4869</v>
      </c>
      <c r="H1548" s="8">
        <v>45676</v>
      </c>
      <c r="I1548" s="8">
        <v>43780</v>
      </c>
      <c r="J1548" s="8">
        <v>43782</v>
      </c>
      <c r="K1548" s="95">
        <v>43837</v>
      </c>
      <c r="L1548" s="95" t="s">
        <v>359</v>
      </c>
      <c r="R1548" s="97" t="str">
        <f t="shared" si="60"/>
        <v/>
      </c>
      <c r="S1548" s="75" t="str">
        <f t="shared" si="61"/>
        <v/>
      </c>
      <c r="W1548" s="6" t="s">
        <v>33</v>
      </c>
      <c r="X1548" s="95">
        <v>46173</v>
      </c>
    </row>
    <row r="1549" spans="1:24" x14ac:dyDescent="0.25">
      <c r="A1549" s="6" t="s">
        <v>25</v>
      </c>
      <c r="B1549" s="94" t="s">
        <v>4870</v>
      </c>
      <c r="C1549" s="6" t="s">
        <v>4871</v>
      </c>
      <c r="D1549" s="140">
        <v>11157157</v>
      </c>
      <c r="E1549" s="6" t="s">
        <v>4872</v>
      </c>
      <c r="F1549" s="10" t="s">
        <v>44</v>
      </c>
      <c r="G1549" s="6" t="s">
        <v>4873</v>
      </c>
      <c r="H1549" s="8">
        <v>46673</v>
      </c>
      <c r="I1549" s="8">
        <v>43780</v>
      </c>
      <c r="J1549" s="8">
        <v>43782</v>
      </c>
      <c r="K1549" s="95">
        <v>43837</v>
      </c>
      <c r="L1549" s="95" t="s">
        <v>359</v>
      </c>
      <c r="R1549" s="97" t="str">
        <f t="shared" si="60"/>
        <v/>
      </c>
      <c r="S1549" s="75" t="str">
        <f t="shared" si="61"/>
        <v/>
      </c>
      <c r="W1549" s="6" t="s">
        <v>84</v>
      </c>
      <c r="X1549" s="95">
        <v>36831</v>
      </c>
    </row>
    <row r="1550" spans="1:24" x14ac:dyDescent="0.25">
      <c r="A1550" s="6" t="s">
        <v>25</v>
      </c>
      <c r="B1550" s="94" t="s">
        <v>4874</v>
      </c>
      <c r="C1550" s="6" t="s">
        <v>4875</v>
      </c>
      <c r="D1550" s="140">
        <v>11182892</v>
      </c>
      <c r="E1550" s="6" t="s">
        <v>540</v>
      </c>
      <c r="F1550" s="10" t="s">
        <v>44</v>
      </c>
      <c r="G1550" s="6" t="s">
        <v>4876</v>
      </c>
      <c r="H1550" s="8">
        <v>52297</v>
      </c>
      <c r="I1550" s="8">
        <v>43789</v>
      </c>
      <c r="J1550" s="8">
        <v>43791</v>
      </c>
      <c r="K1550" s="95">
        <v>43852</v>
      </c>
      <c r="L1550" s="95" t="s">
        <v>359</v>
      </c>
      <c r="R1550" s="97" t="str">
        <f t="shared" si="60"/>
        <v/>
      </c>
      <c r="S1550" s="75" t="str">
        <f t="shared" si="61"/>
        <v/>
      </c>
      <c r="W1550" s="6" t="s">
        <v>84</v>
      </c>
      <c r="X1550" s="95">
        <v>46849</v>
      </c>
    </row>
    <row r="1551" spans="1:24" x14ac:dyDescent="0.25">
      <c r="A1551" s="6" t="s">
        <v>25</v>
      </c>
      <c r="B1551" s="94" t="s">
        <v>554</v>
      </c>
      <c r="C1551" s="6" t="s">
        <v>4877</v>
      </c>
      <c r="D1551" s="140">
        <v>11217032</v>
      </c>
      <c r="E1551" s="6" t="s">
        <v>3163</v>
      </c>
      <c r="F1551" s="10" t="s">
        <v>44</v>
      </c>
      <c r="G1551" s="6" t="s">
        <v>4878</v>
      </c>
      <c r="H1551" s="8">
        <v>55775</v>
      </c>
      <c r="I1551" s="8">
        <v>43789</v>
      </c>
      <c r="J1551" s="8">
        <v>43791</v>
      </c>
      <c r="K1551" s="95">
        <v>43852</v>
      </c>
      <c r="L1551" s="95" t="s">
        <v>31</v>
      </c>
      <c r="M1551" s="8">
        <v>43859</v>
      </c>
      <c r="N1551" s="8">
        <v>43885</v>
      </c>
      <c r="O1551" s="8">
        <v>43872</v>
      </c>
      <c r="P1551" s="6" t="s">
        <v>75</v>
      </c>
      <c r="R1551" s="97" t="str">
        <f t="shared" si="60"/>
        <v/>
      </c>
      <c r="S1551" s="75" t="str">
        <f t="shared" si="61"/>
        <v/>
      </c>
      <c r="U1551" s="8">
        <v>43887</v>
      </c>
      <c r="W1551" s="6" t="s">
        <v>84</v>
      </c>
      <c r="X1551" s="95">
        <v>48117</v>
      </c>
    </row>
    <row r="1552" spans="1:24" x14ac:dyDescent="0.25">
      <c r="A1552" s="6" t="s">
        <v>25</v>
      </c>
      <c r="B1552" s="94" t="s">
        <v>173</v>
      </c>
      <c r="C1552" s="6" t="s">
        <v>4879</v>
      </c>
      <c r="D1552" s="140">
        <v>11217180</v>
      </c>
      <c r="E1552" s="6" t="s">
        <v>946</v>
      </c>
      <c r="F1552" s="10" t="s">
        <v>205</v>
      </c>
      <c r="G1552" s="6" t="s">
        <v>4880</v>
      </c>
      <c r="H1552" s="8">
        <v>132355</v>
      </c>
      <c r="I1552" s="8">
        <v>43789</v>
      </c>
      <c r="J1552" s="8">
        <v>43791</v>
      </c>
      <c r="K1552" s="95">
        <v>43852</v>
      </c>
      <c r="L1552" s="95" t="s">
        <v>31</v>
      </c>
      <c r="M1552" s="8">
        <v>43859</v>
      </c>
      <c r="N1552" s="8">
        <v>45139</v>
      </c>
      <c r="O1552" s="8">
        <v>45124</v>
      </c>
      <c r="P1552" s="6" t="s">
        <v>75</v>
      </c>
      <c r="R1552" s="97" t="str">
        <f t="shared" si="60"/>
        <v/>
      </c>
      <c r="S1552" s="75" t="str">
        <f t="shared" si="61"/>
        <v/>
      </c>
      <c r="T1552" s="124" t="s">
        <v>4881</v>
      </c>
      <c r="U1552" s="8">
        <v>45149</v>
      </c>
      <c r="W1552" s="6" t="s">
        <v>84</v>
      </c>
      <c r="X1552" s="95">
        <v>47711</v>
      </c>
    </row>
    <row r="1553" spans="1:24" x14ac:dyDescent="0.25">
      <c r="A1553" s="6" t="s">
        <v>25</v>
      </c>
      <c r="B1553" s="94" t="s">
        <v>183</v>
      </c>
      <c r="C1553" s="6" t="s">
        <v>4882</v>
      </c>
      <c r="D1553" s="140">
        <v>11221906</v>
      </c>
      <c r="E1553" s="6" t="s">
        <v>540</v>
      </c>
      <c r="F1553" s="10" t="s">
        <v>44</v>
      </c>
      <c r="G1553" s="6" t="s">
        <v>4883</v>
      </c>
      <c r="H1553" s="8">
        <v>47204</v>
      </c>
      <c r="I1553" s="8">
        <v>43789</v>
      </c>
      <c r="J1553" s="8">
        <v>43791</v>
      </c>
      <c r="K1553" s="95">
        <v>43852</v>
      </c>
      <c r="L1553" s="95" t="s">
        <v>359</v>
      </c>
      <c r="R1553" s="97" t="str">
        <f t="shared" si="60"/>
        <v/>
      </c>
      <c r="S1553" s="75" t="str">
        <f t="shared" si="61"/>
        <v/>
      </c>
      <c r="W1553" s="6" t="s">
        <v>33</v>
      </c>
      <c r="X1553" s="95">
        <v>48537</v>
      </c>
    </row>
    <row r="1554" spans="1:24" x14ac:dyDescent="0.25">
      <c r="A1554" s="6" t="s">
        <v>25</v>
      </c>
      <c r="B1554" s="94" t="s">
        <v>594</v>
      </c>
      <c r="C1554" s="6" t="s">
        <v>4884</v>
      </c>
      <c r="D1554" s="140">
        <v>11259476</v>
      </c>
      <c r="E1554" s="6" t="s">
        <v>3644</v>
      </c>
      <c r="F1554" s="10" t="s">
        <v>143</v>
      </c>
      <c r="G1554" s="6" t="s">
        <v>4885</v>
      </c>
      <c r="H1554" s="8">
        <v>44603</v>
      </c>
      <c r="I1554" s="8">
        <v>43789</v>
      </c>
      <c r="J1554" s="8">
        <v>43791</v>
      </c>
      <c r="K1554" s="95">
        <v>43852</v>
      </c>
      <c r="L1554" s="95" t="s">
        <v>31</v>
      </c>
      <c r="M1554" s="8">
        <v>43859</v>
      </c>
      <c r="N1554" s="8">
        <v>43892</v>
      </c>
      <c r="O1554" s="8">
        <v>43877</v>
      </c>
      <c r="P1554" s="6" t="s">
        <v>52</v>
      </c>
      <c r="R1554" s="97" t="str">
        <f t="shared" si="60"/>
        <v/>
      </c>
      <c r="S1554" s="75" t="str">
        <f t="shared" si="61"/>
        <v/>
      </c>
      <c r="U1554" s="8">
        <v>43892</v>
      </c>
      <c r="W1554" s="6" t="s">
        <v>33</v>
      </c>
      <c r="X1554" s="95">
        <v>49313</v>
      </c>
    </row>
    <row r="1555" spans="1:24" x14ac:dyDescent="0.25">
      <c r="A1555" s="6" t="s">
        <v>25</v>
      </c>
      <c r="B1555" s="94" t="s">
        <v>86</v>
      </c>
      <c r="C1555" s="6" t="s">
        <v>4886</v>
      </c>
      <c r="D1555" s="140">
        <v>11520318</v>
      </c>
      <c r="E1555" s="6" t="s">
        <v>714</v>
      </c>
      <c r="F1555" s="10" t="s">
        <v>143</v>
      </c>
      <c r="G1555" s="6">
        <v>203073</v>
      </c>
      <c r="H1555" s="8">
        <v>67889</v>
      </c>
      <c r="I1555" s="8">
        <v>43789</v>
      </c>
      <c r="J1555" s="8">
        <v>43791</v>
      </c>
      <c r="K1555" s="95">
        <v>43852</v>
      </c>
      <c r="L1555" s="95" t="s">
        <v>31</v>
      </c>
      <c r="M1555" s="8">
        <v>43859</v>
      </c>
      <c r="N1555" s="8">
        <v>44908</v>
      </c>
      <c r="O1555" s="8">
        <v>44463</v>
      </c>
      <c r="P1555" s="6" t="s">
        <v>52</v>
      </c>
      <c r="R1555" s="97" t="str">
        <f t="shared" si="60"/>
        <v/>
      </c>
      <c r="S1555" s="75" t="str">
        <f t="shared" si="61"/>
        <v/>
      </c>
      <c r="U1555" s="8">
        <v>44908</v>
      </c>
      <c r="W1555" s="6" t="s">
        <v>84</v>
      </c>
      <c r="X1555" s="95">
        <v>45088</v>
      </c>
    </row>
    <row r="1556" spans="1:24" ht="14.25" customHeight="1" x14ac:dyDescent="0.25">
      <c r="A1556" s="6" t="s">
        <v>25</v>
      </c>
      <c r="B1556" s="94" t="s">
        <v>4887</v>
      </c>
      <c r="C1556" s="6" t="s">
        <v>4888</v>
      </c>
      <c r="D1556" s="140">
        <v>11658863</v>
      </c>
      <c r="E1556" s="6" t="s">
        <v>1400</v>
      </c>
      <c r="F1556" s="10" t="s">
        <v>44</v>
      </c>
      <c r="G1556" s="6" t="s">
        <v>4889</v>
      </c>
      <c r="H1556" s="8">
        <v>70012</v>
      </c>
      <c r="I1556" s="8">
        <v>43789</v>
      </c>
      <c r="J1556" s="8">
        <v>43791</v>
      </c>
      <c r="K1556" s="95">
        <v>43852</v>
      </c>
      <c r="L1556" s="95" t="s">
        <v>31</v>
      </c>
      <c r="M1556" s="8">
        <v>43859</v>
      </c>
      <c r="N1556" s="8">
        <v>43888</v>
      </c>
      <c r="O1556" s="8">
        <v>43874</v>
      </c>
      <c r="P1556" s="6" t="s">
        <v>75</v>
      </c>
      <c r="R1556" s="97" t="str">
        <f t="shared" si="60"/>
        <v/>
      </c>
      <c r="S1556" s="75" t="str">
        <f t="shared" si="61"/>
        <v/>
      </c>
      <c r="U1556" s="8">
        <v>43888</v>
      </c>
      <c r="W1556" s="6" t="s">
        <v>84</v>
      </c>
      <c r="X1556" s="95">
        <v>48114</v>
      </c>
    </row>
    <row r="1557" spans="1:24" x14ac:dyDescent="0.25">
      <c r="A1557" s="6" t="s">
        <v>25</v>
      </c>
      <c r="B1557" s="94" t="s">
        <v>4890</v>
      </c>
      <c r="C1557" s="6" t="s">
        <v>4891</v>
      </c>
      <c r="D1557" s="140">
        <v>11669766</v>
      </c>
      <c r="E1557" s="6" t="s">
        <v>1960</v>
      </c>
      <c r="F1557" s="10" t="s">
        <v>205</v>
      </c>
      <c r="G1557" s="6" t="s">
        <v>4892</v>
      </c>
      <c r="H1557" s="8">
        <v>76221</v>
      </c>
      <c r="I1557" s="8">
        <v>43789</v>
      </c>
      <c r="J1557" s="8">
        <v>43791</v>
      </c>
      <c r="K1557" s="95">
        <v>43852</v>
      </c>
      <c r="L1557" s="95" t="s">
        <v>31</v>
      </c>
      <c r="M1557" s="8">
        <v>43859</v>
      </c>
      <c r="N1557" s="8">
        <v>43924</v>
      </c>
      <c r="O1557" s="8">
        <v>43907</v>
      </c>
      <c r="P1557" s="6" t="s">
        <v>52</v>
      </c>
      <c r="R1557" s="97" t="str">
        <f t="shared" si="60"/>
        <v/>
      </c>
      <c r="S1557" s="75" t="str">
        <f t="shared" si="61"/>
        <v/>
      </c>
      <c r="U1557" s="8">
        <v>43936</v>
      </c>
      <c r="W1557" s="6" t="s">
        <v>84</v>
      </c>
      <c r="X1557" s="95">
        <v>47759</v>
      </c>
    </row>
    <row r="1558" spans="1:24" x14ac:dyDescent="0.25">
      <c r="A1558" s="6" t="s">
        <v>25</v>
      </c>
      <c r="B1558" s="94" t="s">
        <v>4893</v>
      </c>
      <c r="C1558" s="6" t="s">
        <v>4894</v>
      </c>
      <c r="D1558" s="140">
        <v>11935553</v>
      </c>
      <c r="E1558" s="6" t="s">
        <v>3163</v>
      </c>
      <c r="F1558" s="10" t="s">
        <v>134</v>
      </c>
      <c r="G1558" s="6" t="s">
        <v>4895</v>
      </c>
      <c r="H1558" s="8">
        <v>45940</v>
      </c>
      <c r="I1558" s="8">
        <v>43789</v>
      </c>
      <c r="J1558" s="8">
        <v>43791</v>
      </c>
      <c r="K1558" s="95">
        <v>43852</v>
      </c>
      <c r="L1558" s="95" t="s">
        <v>31</v>
      </c>
      <c r="M1558" s="8">
        <v>43859</v>
      </c>
      <c r="N1558" s="8">
        <v>44585</v>
      </c>
      <c r="O1558" s="8">
        <v>44582</v>
      </c>
      <c r="P1558" s="6" t="s">
        <v>35</v>
      </c>
      <c r="Q1558" s="96">
        <v>990</v>
      </c>
      <c r="R1558" s="97">
        <f t="shared" si="60"/>
        <v>2.7123287671232879</v>
      </c>
      <c r="S1558" s="75">
        <f t="shared" si="61"/>
        <v>22401.123287671235</v>
      </c>
      <c r="U1558" s="8">
        <v>44586</v>
      </c>
      <c r="W1558" s="6" t="s">
        <v>33</v>
      </c>
      <c r="X1558" s="95">
        <v>49375</v>
      </c>
    </row>
    <row r="1559" spans="1:24" x14ac:dyDescent="0.25">
      <c r="A1559" s="6" t="s">
        <v>37</v>
      </c>
      <c r="B1559" s="94" t="s">
        <v>4896</v>
      </c>
      <c r="C1559" s="6" t="s">
        <v>4897</v>
      </c>
      <c r="D1559" s="140">
        <v>12131937</v>
      </c>
      <c r="E1559" s="6" t="s">
        <v>3665</v>
      </c>
      <c r="F1559" s="10" t="s">
        <v>143</v>
      </c>
      <c r="G1559" s="6" t="s">
        <v>4898</v>
      </c>
      <c r="H1559" s="8">
        <v>45969</v>
      </c>
      <c r="I1559" s="8">
        <v>44277</v>
      </c>
      <c r="J1559" s="8">
        <v>44279</v>
      </c>
      <c r="K1559" s="95">
        <v>44279</v>
      </c>
      <c r="L1559" s="95" t="s">
        <v>31</v>
      </c>
      <c r="M1559" s="8">
        <v>44292</v>
      </c>
      <c r="N1559" s="8">
        <v>44747</v>
      </c>
      <c r="O1559" s="8">
        <v>44701</v>
      </c>
      <c r="P1559" s="6" t="s">
        <v>35</v>
      </c>
      <c r="Q1559" s="96">
        <v>143</v>
      </c>
      <c r="R1559" s="97">
        <f t="shared" si="60"/>
        <v>0.39178082191780822</v>
      </c>
      <c r="S1559" s="75">
        <f t="shared" si="61"/>
        <v>3235.7178082191781</v>
      </c>
      <c r="U1559" s="8">
        <v>44782</v>
      </c>
      <c r="W1559" s="6" t="s">
        <v>33</v>
      </c>
      <c r="X1559" s="7">
        <v>45943</v>
      </c>
    </row>
    <row r="1560" spans="1:24" x14ac:dyDescent="0.25">
      <c r="A1560" s="6" t="s">
        <v>168</v>
      </c>
      <c r="B1560" s="94" t="s">
        <v>242</v>
      </c>
      <c r="C1560" s="6" t="s">
        <v>4899</v>
      </c>
      <c r="D1560" s="140">
        <v>11034288</v>
      </c>
      <c r="E1560" s="6" t="s">
        <v>4900</v>
      </c>
      <c r="F1560" s="10" t="s">
        <v>57</v>
      </c>
      <c r="G1560" s="6" t="s">
        <v>4901</v>
      </c>
      <c r="H1560" s="8">
        <v>46633</v>
      </c>
      <c r="I1560" s="8">
        <v>43584</v>
      </c>
      <c r="J1560" s="8">
        <v>43592</v>
      </c>
      <c r="K1560" s="95">
        <v>43592</v>
      </c>
      <c r="L1560" s="95" t="s">
        <v>31</v>
      </c>
      <c r="M1560" s="8">
        <v>43607</v>
      </c>
      <c r="N1560" s="8">
        <v>44004</v>
      </c>
      <c r="O1560" s="8">
        <v>44001</v>
      </c>
      <c r="P1560" s="6" t="s">
        <v>35</v>
      </c>
      <c r="Q1560" s="96">
        <v>1614</v>
      </c>
      <c r="R1560" s="97">
        <f t="shared" si="60"/>
        <v>4.4219178082191783</v>
      </c>
      <c r="S1560" s="75">
        <f t="shared" si="61"/>
        <v>36520.61917808219</v>
      </c>
      <c r="T1560" s="124" t="s">
        <v>35</v>
      </c>
      <c r="U1560" s="8">
        <v>44005</v>
      </c>
      <c r="W1560" s="6" t="s">
        <v>84</v>
      </c>
      <c r="X1560" s="95">
        <v>45495</v>
      </c>
    </row>
    <row r="1561" spans="1:24" x14ac:dyDescent="0.25">
      <c r="A1561" s="6" t="s">
        <v>168</v>
      </c>
      <c r="B1561" s="94" t="s">
        <v>242</v>
      </c>
      <c r="C1561" s="6" t="s">
        <v>4902</v>
      </c>
      <c r="D1561" s="140">
        <v>11102163</v>
      </c>
      <c r="E1561" s="6" t="s">
        <v>2872</v>
      </c>
      <c r="F1561" s="10" t="s">
        <v>134</v>
      </c>
      <c r="G1561" s="6" t="s">
        <v>4903</v>
      </c>
      <c r="H1561" s="8">
        <v>45917</v>
      </c>
      <c r="I1561" s="8">
        <v>43622</v>
      </c>
      <c r="J1561" s="8">
        <v>43622</v>
      </c>
      <c r="K1561" s="95">
        <v>43622</v>
      </c>
      <c r="L1561" s="95" t="s">
        <v>31</v>
      </c>
      <c r="M1561" s="8">
        <v>43627</v>
      </c>
      <c r="N1561" s="8">
        <v>43794</v>
      </c>
      <c r="O1561" s="8">
        <v>43790</v>
      </c>
      <c r="P1561" s="6" t="s">
        <v>90</v>
      </c>
      <c r="Q1561" s="96">
        <v>4200</v>
      </c>
      <c r="R1561" s="97">
        <f t="shared" si="60"/>
        <v>11.506849315068493</v>
      </c>
      <c r="S1561" s="75">
        <f t="shared" si="61"/>
        <v>95035.068493150684</v>
      </c>
      <c r="T1561" s="124" t="s">
        <v>4904</v>
      </c>
      <c r="U1561" s="8">
        <v>43794</v>
      </c>
      <c r="V1561" s="6" t="s">
        <v>36</v>
      </c>
      <c r="W1561" s="6" t="s">
        <v>84</v>
      </c>
      <c r="X1561" s="6"/>
    </row>
    <row r="1562" spans="1:24" ht="30" x14ac:dyDescent="0.25">
      <c r="A1562" s="6" t="s">
        <v>25</v>
      </c>
      <c r="B1562" s="94" t="s">
        <v>145</v>
      </c>
      <c r="C1562" s="6" t="s">
        <v>404</v>
      </c>
      <c r="D1562" s="140">
        <v>11769978</v>
      </c>
      <c r="E1562" s="6" t="s">
        <v>236</v>
      </c>
      <c r="F1562" s="10" t="s">
        <v>528</v>
      </c>
      <c r="G1562" s="6" t="s">
        <v>4905</v>
      </c>
      <c r="H1562" s="8">
        <v>44845</v>
      </c>
      <c r="I1562" s="8">
        <v>43787</v>
      </c>
      <c r="J1562" s="8">
        <v>43787</v>
      </c>
      <c r="K1562" s="95">
        <v>43495</v>
      </c>
      <c r="L1562" s="95" t="s">
        <v>31</v>
      </c>
      <c r="M1562" s="8">
        <v>43874</v>
      </c>
      <c r="R1562" s="97" t="str">
        <f t="shared" si="60"/>
        <v/>
      </c>
      <c r="S1562" s="75" t="str">
        <f t="shared" si="61"/>
        <v/>
      </c>
      <c r="T1562" s="124" t="s">
        <v>620</v>
      </c>
      <c r="W1562" s="6" t="s">
        <v>84</v>
      </c>
      <c r="X1562" s="95">
        <v>50298</v>
      </c>
    </row>
    <row r="1563" spans="1:24" x14ac:dyDescent="0.25">
      <c r="A1563" s="6" t="s">
        <v>25</v>
      </c>
      <c r="B1563" s="94" t="s">
        <v>202</v>
      </c>
      <c r="C1563" s="6" t="s">
        <v>4906</v>
      </c>
      <c r="D1563" s="140">
        <v>12123312</v>
      </c>
      <c r="E1563" s="6" t="s">
        <v>835</v>
      </c>
      <c r="F1563" s="10" t="s">
        <v>143</v>
      </c>
      <c r="G1563" s="6" t="s">
        <v>4907</v>
      </c>
      <c r="H1563" s="8">
        <v>44949</v>
      </c>
      <c r="I1563" s="8">
        <v>43787</v>
      </c>
      <c r="J1563" s="8">
        <v>43787</v>
      </c>
      <c r="K1563" s="95">
        <v>43495</v>
      </c>
      <c r="L1563" s="95" t="s">
        <v>31</v>
      </c>
      <c r="M1563" s="8">
        <v>43874</v>
      </c>
      <c r="N1563" s="8">
        <v>43971</v>
      </c>
      <c r="O1563" s="8">
        <v>43965</v>
      </c>
      <c r="P1563" s="6" t="s">
        <v>52</v>
      </c>
      <c r="R1563" s="97" t="str">
        <f t="shared" si="60"/>
        <v/>
      </c>
      <c r="S1563" s="75" t="str">
        <f t="shared" si="61"/>
        <v/>
      </c>
      <c r="T1563" s="124" t="s">
        <v>4908</v>
      </c>
      <c r="U1563" s="8">
        <v>43972</v>
      </c>
      <c r="W1563" s="6" t="s">
        <v>33</v>
      </c>
      <c r="X1563" s="95">
        <v>46088</v>
      </c>
    </row>
    <row r="1564" spans="1:24" x14ac:dyDescent="0.25">
      <c r="A1564" s="6" t="s">
        <v>25</v>
      </c>
      <c r="B1564" s="94" t="s">
        <v>173</v>
      </c>
      <c r="C1564" s="6" t="s">
        <v>4909</v>
      </c>
      <c r="D1564" s="140">
        <v>11921533</v>
      </c>
      <c r="E1564" s="6" t="s">
        <v>418</v>
      </c>
      <c r="F1564" s="10" t="s">
        <v>29</v>
      </c>
      <c r="G1564" s="6" t="s">
        <v>4910</v>
      </c>
      <c r="H1564" s="8">
        <v>45008</v>
      </c>
      <c r="I1564" s="8">
        <v>43787</v>
      </c>
      <c r="J1564" s="8">
        <v>43787</v>
      </c>
      <c r="K1564" s="95">
        <v>43495</v>
      </c>
      <c r="L1564" s="95" t="s">
        <v>31</v>
      </c>
      <c r="M1564" s="8">
        <v>43874</v>
      </c>
      <c r="N1564" s="8">
        <v>44062</v>
      </c>
      <c r="O1564" s="8">
        <v>44054</v>
      </c>
      <c r="P1564" s="6" t="s">
        <v>35</v>
      </c>
      <c r="Q1564" s="96">
        <v>1461</v>
      </c>
      <c r="R1564" s="97">
        <f t="shared" si="60"/>
        <v>4.0027397260273974</v>
      </c>
      <c r="S1564" s="75">
        <f t="shared" si="61"/>
        <v>33058.627397260272</v>
      </c>
      <c r="U1564" s="8">
        <v>44062</v>
      </c>
      <c r="W1564" s="6" t="s">
        <v>33</v>
      </c>
      <c r="X1564" s="95">
        <v>50069</v>
      </c>
    </row>
    <row r="1565" spans="1:24" x14ac:dyDescent="0.25">
      <c r="A1565" s="6" t="s">
        <v>25</v>
      </c>
      <c r="B1565" s="94" t="s">
        <v>108</v>
      </c>
      <c r="C1565" s="6" t="s">
        <v>4911</v>
      </c>
      <c r="D1565" s="140">
        <v>11305424</v>
      </c>
      <c r="E1565" s="6" t="s">
        <v>4912</v>
      </c>
      <c r="F1565" s="10" t="s">
        <v>139</v>
      </c>
      <c r="G1565" s="6" t="s">
        <v>4913</v>
      </c>
      <c r="H1565" s="8">
        <v>44730</v>
      </c>
      <c r="I1565" s="8">
        <v>43787</v>
      </c>
      <c r="J1565" s="8">
        <v>43787</v>
      </c>
      <c r="K1565" s="95">
        <v>43495</v>
      </c>
      <c r="L1565" s="95" t="s">
        <v>31</v>
      </c>
      <c r="M1565" s="8">
        <v>43874</v>
      </c>
      <c r="R1565" s="97" t="str">
        <f t="shared" si="60"/>
        <v/>
      </c>
      <c r="S1565" s="75" t="str">
        <f t="shared" si="61"/>
        <v/>
      </c>
      <c r="T1565" s="129" t="s">
        <v>4914</v>
      </c>
      <c r="U1565" s="8">
        <v>44783</v>
      </c>
      <c r="W1565" s="6" t="s">
        <v>33</v>
      </c>
      <c r="X1565" s="95">
        <v>54639</v>
      </c>
    </row>
    <row r="1566" spans="1:24" x14ac:dyDescent="0.25">
      <c r="A1566" s="6" t="s">
        <v>25</v>
      </c>
      <c r="B1566" s="94" t="s">
        <v>522</v>
      </c>
      <c r="C1566" s="6" t="s">
        <v>4915</v>
      </c>
      <c r="D1566" s="140">
        <v>11352353</v>
      </c>
      <c r="E1566" s="6" t="s">
        <v>514</v>
      </c>
      <c r="F1566" s="10" t="s">
        <v>44</v>
      </c>
      <c r="G1566" s="6" t="s">
        <v>4916</v>
      </c>
      <c r="H1566" s="8">
        <v>45091</v>
      </c>
      <c r="I1566" s="8">
        <v>43787</v>
      </c>
      <c r="J1566" s="8">
        <v>43787</v>
      </c>
      <c r="K1566" s="95">
        <v>43495</v>
      </c>
      <c r="L1566" s="95" t="s">
        <v>31</v>
      </c>
      <c r="M1566" s="8">
        <v>43874</v>
      </c>
      <c r="N1566" s="8">
        <v>43924</v>
      </c>
      <c r="O1566" s="8">
        <v>43906</v>
      </c>
      <c r="P1566" s="6" t="s">
        <v>75</v>
      </c>
      <c r="R1566" s="97" t="str">
        <f t="shared" si="60"/>
        <v/>
      </c>
      <c r="S1566" s="75" t="str">
        <f t="shared" si="61"/>
        <v/>
      </c>
      <c r="U1566" s="8">
        <v>43936</v>
      </c>
      <c r="W1566" s="6" t="s">
        <v>33</v>
      </c>
      <c r="X1566" s="95">
        <v>55657</v>
      </c>
    </row>
    <row r="1567" spans="1:24" x14ac:dyDescent="0.25">
      <c r="A1567" s="6" t="s">
        <v>25</v>
      </c>
      <c r="B1567" s="94" t="s">
        <v>3673</v>
      </c>
      <c r="C1567" s="6" t="s">
        <v>4917</v>
      </c>
      <c r="D1567" s="140">
        <v>12114362</v>
      </c>
      <c r="E1567" s="6" t="s">
        <v>588</v>
      </c>
      <c r="F1567" s="10" t="s">
        <v>205</v>
      </c>
      <c r="G1567" s="6" t="s">
        <v>4918</v>
      </c>
      <c r="H1567" s="8">
        <v>45142</v>
      </c>
      <c r="I1567" s="8">
        <v>43787</v>
      </c>
      <c r="J1567" s="8">
        <v>43787</v>
      </c>
      <c r="K1567" s="95">
        <v>43495</v>
      </c>
      <c r="L1567" s="95" t="s">
        <v>31</v>
      </c>
      <c r="M1567" s="8">
        <v>43874</v>
      </c>
      <c r="R1567" s="97" t="str">
        <f t="shared" si="60"/>
        <v/>
      </c>
      <c r="S1567" s="75" t="str">
        <f t="shared" si="61"/>
        <v/>
      </c>
      <c r="T1567" s="129" t="s">
        <v>2942</v>
      </c>
      <c r="U1567" s="8">
        <v>44783</v>
      </c>
      <c r="W1567" s="6" t="s">
        <v>33</v>
      </c>
      <c r="X1567" s="95">
        <v>50535</v>
      </c>
    </row>
    <row r="1568" spans="1:24" x14ac:dyDescent="0.25">
      <c r="A1568" s="6" t="s">
        <v>25</v>
      </c>
      <c r="B1568" s="94" t="s">
        <v>4919</v>
      </c>
      <c r="C1568" s="6" t="s">
        <v>4920</v>
      </c>
      <c r="D1568" s="140">
        <v>12001586</v>
      </c>
      <c r="E1568" s="6" t="s">
        <v>49</v>
      </c>
      <c r="F1568" s="10" t="s">
        <v>121</v>
      </c>
      <c r="G1568" s="6" t="s">
        <v>4921</v>
      </c>
      <c r="H1568" s="8">
        <v>45152</v>
      </c>
      <c r="I1568" s="8">
        <v>43787</v>
      </c>
      <c r="J1568" s="8">
        <v>43787</v>
      </c>
      <c r="K1568" s="95">
        <v>43495</v>
      </c>
      <c r="L1568" s="95" t="s">
        <v>31</v>
      </c>
      <c r="M1568" s="8">
        <v>43874</v>
      </c>
      <c r="N1568" s="108">
        <v>44770</v>
      </c>
      <c r="O1568" s="108">
        <v>44656</v>
      </c>
      <c r="P1568" s="107" t="s">
        <v>35</v>
      </c>
      <c r="Q1568" s="110">
        <v>0</v>
      </c>
      <c r="R1568" s="97" t="str">
        <f t="shared" si="60"/>
        <v/>
      </c>
      <c r="S1568" s="75" t="str">
        <f t="shared" si="61"/>
        <v/>
      </c>
      <c r="U1568" s="8">
        <v>44776</v>
      </c>
      <c r="W1568" s="6" t="s">
        <v>33</v>
      </c>
      <c r="X1568" s="95">
        <v>53773</v>
      </c>
    </row>
    <row r="1569" spans="1:24" x14ac:dyDescent="0.25">
      <c r="A1569" s="6" t="s">
        <v>25</v>
      </c>
      <c r="B1569" s="94" t="s">
        <v>1234</v>
      </c>
      <c r="C1569" s="6" t="s">
        <v>4922</v>
      </c>
      <c r="D1569" s="140">
        <v>11947639</v>
      </c>
      <c r="E1569" s="6" t="s">
        <v>3484</v>
      </c>
      <c r="F1569" s="10" t="s">
        <v>143</v>
      </c>
      <c r="G1569" s="6" t="s">
        <v>4923</v>
      </c>
      <c r="H1569" s="8">
        <v>45133</v>
      </c>
      <c r="I1569" s="8">
        <v>43787</v>
      </c>
      <c r="J1569" s="8">
        <v>43787</v>
      </c>
      <c r="K1569" s="95">
        <v>43495</v>
      </c>
      <c r="L1569" s="95" t="s">
        <v>31</v>
      </c>
      <c r="M1569" s="8">
        <v>43874</v>
      </c>
      <c r="N1569" s="8">
        <v>43901</v>
      </c>
      <c r="O1569" s="8">
        <v>43889</v>
      </c>
      <c r="P1569" s="6" t="s">
        <v>52</v>
      </c>
      <c r="R1569" s="97" t="str">
        <f t="shared" si="60"/>
        <v/>
      </c>
      <c r="S1569" s="75" t="str">
        <f t="shared" si="61"/>
        <v/>
      </c>
      <c r="U1569" s="8">
        <v>43903</v>
      </c>
      <c r="W1569" s="6" t="s">
        <v>33</v>
      </c>
      <c r="X1569" s="95">
        <v>50448</v>
      </c>
    </row>
    <row r="1570" spans="1:24" x14ac:dyDescent="0.25">
      <c r="A1570" s="6" t="s">
        <v>25</v>
      </c>
      <c r="B1570" s="94" t="s">
        <v>4924</v>
      </c>
      <c r="C1570" s="6" t="s">
        <v>4925</v>
      </c>
      <c r="D1570" s="140">
        <v>11795567</v>
      </c>
      <c r="E1570" s="6" t="s">
        <v>3971</v>
      </c>
      <c r="F1570" s="10" t="s">
        <v>134</v>
      </c>
      <c r="G1570" s="6" t="s">
        <v>4926</v>
      </c>
      <c r="H1570" s="8">
        <v>45114</v>
      </c>
      <c r="I1570" s="8">
        <v>43787</v>
      </c>
      <c r="J1570" s="8">
        <v>43787</v>
      </c>
      <c r="K1570" s="95">
        <v>43495</v>
      </c>
      <c r="L1570" s="95" t="s">
        <v>31</v>
      </c>
      <c r="M1570" s="8">
        <v>43874</v>
      </c>
      <c r="N1570" s="8">
        <v>44050</v>
      </c>
      <c r="O1570" s="8">
        <v>44020</v>
      </c>
      <c r="P1570" s="6" t="s">
        <v>52</v>
      </c>
      <c r="R1570" s="97" t="str">
        <f t="shared" si="60"/>
        <v/>
      </c>
      <c r="S1570" s="75" t="str">
        <f t="shared" si="61"/>
        <v/>
      </c>
      <c r="U1570" s="8">
        <v>44050</v>
      </c>
      <c r="W1570" s="6" t="s">
        <v>33</v>
      </c>
      <c r="X1570" s="95">
        <v>50030</v>
      </c>
    </row>
    <row r="1571" spans="1:24" x14ac:dyDescent="0.25">
      <c r="A1571" s="6" t="s">
        <v>37</v>
      </c>
      <c r="B1571" s="94" t="s">
        <v>4927</v>
      </c>
      <c r="C1571" s="6" t="s">
        <v>4928</v>
      </c>
      <c r="D1571" s="140">
        <v>11963234</v>
      </c>
      <c r="E1571" s="6" t="s">
        <v>839</v>
      </c>
      <c r="F1571" s="10" t="s">
        <v>134</v>
      </c>
      <c r="G1571" s="6" t="s">
        <v>4929</v>
      </c>
      <c r="H1571" s="8">
        <v>45415</v>
      </c>
      <c r="I1571" s="8">
        <v>43773</v>
      </c>
      <c r="J1571" s="8">
        <v>43802</v>
      </c>
      <c r="K1571" s="95">
        <v>43803</v>
      </c>
      <c r="L1571" s="95" t="s">
        <v>359</v>
      </c>
      <c r="R1571" s="97" t="str">
        <f t="shared" si="60"/>
        <v/>
      </c>
      <c r="S1571" s="75" t="str">
        <f t="shared" si="61"/>
        <v/>
      </c>
      <c r="W1571" s="6" t="s">
        <v>33</v>
      </c>
      <c r="X1571" s="95">
        <v>49872</v>
      </c>
    </row>
    <row r="1572" spans="1:24" ht="30" x14ac:dyDescent="0.25">
      <c r="A1572" s="6" t="s">
        <v>37</v>
      </c>
      <c r="B1572" s="94" t="s">
        <v>4930</v>
      </c>
      <c r="C1572" s="6" t="s">
        <v>4931</v>
      </c>
      <c r="D1572" s="140">
        <v>11690057</v>
      </c>
      <c r="E1572" s="6" t="s">
        <v>4932</v>
      </c>
      <c r="F1572" s="10" t="s">
        <v>121</v>
      </c>
      <c r="G1572" s="6" t="s">
        <v>4933</v>
      </c>
      <c r="H1572" s="8">
        <v>46581</v>
      </c>
      <c r="I1572" s="8">
        <v>43670</v>
      </c>
      <c r="J1572" s="8">
        <v>43677</v>
      </c>
      <c r="K1572" s="95">
        <v>43677</v>
      </c>
      <c r="L1572" s="95" t="s">
        <v>31</v>
      </c>
      <c r="M1572" s="8">
        <v>43678</v>
      </c>
      <c r="N1572" s="8">
        <v>44039</v>
      </c>
      <c r="O1572" s="8">
        <v>44028</v>
      </c>
      <c r="P1572" s="6" t="s">
        <v>35</v>
      </c>
      <c r="Q1572" s="96">
        <v>5478</v>
      </c>
      <c r="R1572" s="97">
        <f t="shared" si="60"/>
        <v>15.008219178082191</v>
      </c>
      <c r="S1572" s="75">
        <f t="shared" si="61"/>
        <v>123952.88219178082</v>
      </c>
      <c r="T1572" s="124" t="s">
        <v>4934</v>
      </c>
      <c r="U1572" s="8">
        <v>44039</v>
      </c>
      <c r="V1572" s="6" t="s">
        <v>581</v>
      </c>
      <c r="W1572" s="6" t="s">
        <v>84</v>
      </c>
      <c r="X1572" s="95">
        <v>38252</v>
      </c>
    </row>
    <row r="1573" spans="1:24" x14ac:dyDescent="0.25">
      <c r="A1573" s="6" t="s">
        <v>168</v>
      </c>
      <c r="B1573" s="94" t="s">
        <v>242</v>
      </c>
      <c r="C1573" s="6" t="s">
        <v>4935</v>
      </c>
      <c r="D1573" s="140">
        <v>11007195</v>
      </c>
      <c r="E1573" s="6" t="s">
        <v>4776</v>
      </c>
      <c r="F1573" s="10" t="s">
        <v>44</v>
      </c>
      <c r="G1573" s="6" t="s">
        <v>4936</v>
      </c>
      <c r="H1573" s="8">
        <v>44318</v>
      </c>
      <c r="I1573" s="8">
        <v>43670</v>
      </c>
      <c r="J1573" s="8">
        <v>43670</v>
      </c>
      <c r="K1573" s="95">
        <v>43683</v>
      </c>
      <c r="L1573" s="95" t="s">
        <v>31</v>
      </c>
      <c r="M1573" s="8">
        <v>43683</v>
      </c>
      <c r="N1573" s="8">
        <v>43796</v>
      </c>
      <c r="O1573" s="8">
        <v>43790</v>
      </c>
      <c r="P1573" s="6" t="s">
        <v>90</v>
      </c>
      <c r="Q1573" s="96">
        <v>1826</v>
      </c>
      <c r="R1573" s="97">
        <f t="shared" si="60"/>
        <v>5.0027397260273974</v>
      </c>
      <c r="S1573" s="75">
        <f t="shared" si="61"/>
        <v>41317.627397260272</v>
      </c>
      <c r="T1573" s="124" t="s">
        <v>4937</v>
      </c>
      <c r="U1573" s="8">
        <v>43796</v>
      </c>
      <c r="V1573" s="6" t="s">
        <v>36</v>
      </c>
      <c r="W1573" s="6" t="s">
        <v>33</v>
      </c>
      <c r="X1573" s="6"/>
    </row>
    <row r="1574" spans="1:24" x14ac:dyDescent="0.25">
      <c r="A1574" s="6" t="s">
        <v>25</v>
      </c>
      <c r="B1574" s="94" t="s">
        <v>4938</v>
      </c>
      <c r="C1574" s="6" t="s">
        <v>4939</v>
      </c>
      <c r="D1574" s="140">
        <v>11174508</v>
      </c>
      <c r="E1574" s="6" t="s">
        <v>409</v>
      </c>
      <c r="F1574" s="10" t="s">
        <v>44</v>
      </c>
      <c r="G1574" s="6" t="s">
        <v>4940</v>
      </c>
      <c r="H1574" s="8">
        <v>47528</v>
      </c>
      <c r="I1574" s="8">
        <v>43794</v>
      </c>
      <c r="J1574" s="8">
        <v>43796</v>
      </c>
      <c r="K1574" s="95">
        <v>43852</v>
      </c>
      <c r="L1574" s="95" t="s">
        <v>359</v>
      </c>
      <c r="R1574" s="97" t="str">
        <f t="shared" si="60"/>
        <v/>
      </c>
      <c r="S1574" s="75" t="str">
        <f t="shared" si="61"/>
        <v/>
      </c>
      <c r="W1574" s="6" t="s">
        <v>33</v>
      </c>
      <c r="X1574" s="95">
        <v>50662</v>
      </c>
    </row>
    <row r="1575" spans="1:24" x14ac:dyDescent="0.25">
      <c r="A1575" s="6" t="s">
        <v>25</v>
      </c>
      <c r="B1575" s="94" t="s">
        <v>4941</v>
      </c>
      <c r="C1575" s="6" t="s">
        <v>4942</v>
      </c>
      <c r="D1575" s="140">
        <v>11122520</v>
      </c>
      <c r="E1575" s="6" t="s">
        <v>4829</v>
      </c>
      <c r="F1575" s="10" t="s">
        <v>2600</v>
      </c>
      <c r="G1575" s="6">
        <v>1176446</v>
      </c>
      <c r="H1575" s="8">
        <v>66300</v>
      </c>
      <c r="I1575" s="8">
        <v>43794</v>
      </c>
      <c r="J1575" s="8">
        <v>43796</v>
      </c>
      <c r="K1575" s="95">
        <v>43852</v>
      </c>
      <c r="L1575" s="95" t="s">
        <v>31</v>
      </c>
      <c r="M1575" s="8">
        <v>43858</v>
      </c>
      <c r="R1575" s="97" t="str">
        <f t="shared" si="60"/>
        <v/>
      </c>
      <c r="S1575" s="75" t="str">
        <f t="shared" si="61"/>
        <v/>
      </c>
      <c r="W1575" s="6" t="s">
        <v>84</v>
      </c>
      <c r="X1575" s="95">
        <v>48023</v>
      </c>
    </row>
    <row r="1576" spans="1:24" x14ac:dyDescent="0.25">
      <c r="A1576" s="6" t="s">
        <v>25</v>
      </c>
      <c r="B1576" s="94" t="s">
        <v>4943</v>
      </c>
      <c r="C1576" s="6" t="s">
        <v>4944</v>
      </c>
      <c r="D1576" s="140">
        <v>11546133</v>
      </c>
      <c r="E1576" s="6" t="s">
        <v>4945</v>
      </c>
      <c r="F1576" s="10" t="s">
        <v>44</v>
      </c>
      <c r="G1576" s="6" t="s">
        <v>4946</v>
      </c>
      <c r="H1576" s="8">
        <v>95593</v>
      </c>
      <c r="I1576" s="8">
        <v>43794</v>
      </c>
      <c r="J1576" s="8">
        <v>43796</v>
      </c>
      <c r="K1576" s="95">
        <v>43852</v>
      </c>
      <c r="L1576" s="95" t="s">
        <v>31</v>
      </c>
      <c r="M1576" s="8">
        <v>43858</v>
      </c>
      <c r="R1576" s="97" t="str">
        <f t="shared" si="60"/>
        <v/>
      </c>
      <c r="S1576" s="75" t="str">
        <f t="shared" si="61"/>
        <v/>
      </c>
      <c r="W1576" s="6" t="s">
        <v>84</v>
      </c>
      <c r="X1576" s="95">
        <v>47330</v>
      </c>
    </row>
    <row r="1577" spans="1:24" x14ac:dyDescent="0.25">
      <c r="A1577" s="6" t="s">
        <v>25</v>
      </c>
      <c r="B1577" s="94" t="s">
        <v>598</v>
      </c>
      <c r="C1577" s="6" t="s">
        <v>4947</v>
      </c>
      <c r="D1577" s="140">
        <v>11147796</v>
      </c>
      <c r="E1577" s="6" t="s">
        <v>686</v>
      </c>
      <c r="F1577" s="10" t="s">
        <v>293</v>
      </c>
      <c r="G1577" s="6">
        <v>157187</v>
      </c>
      <c r="H1577" s="8">
        <v>44877</v>
      </c>
      <c r="I1577" s="8">
        <v>43794</v>
      </c>
      <c r="J1577" s="8">
        <v>43796</v>
      </c>
      <c r="K1577" s="95">
        <v>43852</v>
      </c>
      <c r="L1577" s="95" t="s">
        <v>359</v>
      </c>
      <c r="R1577" s="97" t="str">
        <f t="shared" si="60"/>
        <v/>
      </c>
      <c r="S1577" s="75" t="str">
        <f t="shared" si="61"/>
        <v/>
      </c>
      <c r="W1577" s="6" t="s">
        <v>33</v>
      </c>
      <c r="X1577" s="95">
        <v>48205</v>
      </c>
    </row>
    <row r="1578" spans="1:24" x14ac:dyDescent="0.25">
      <c r="A1578" s="6" t="s">
        <v>25</v>
      </c>
      <c r="B1578" s="94" t="s">
        <v>4948</v>
      </c>
      <c r="C1578" s="6" t="s">
        <v>4949</v>
      </c>
      <c r="D1578" s="140">
        <v>11452366</v>
      </c>
      <c r="E1578" s="6" t="s">
        <v>3644</v>
      </c>
      <c r="F1578" s="10" t="s">
        <v>44</v>
      </c>
      <c r="G1578" s="6" t="s">
        <v>4950</v>
      </c>
      <c r="H1578" s="8">
        <v>52654</v>
      </c>
      <c r="I1578" s="8">
        <v>43794</v>
      </c>
      <c r="J1578" s="8">
        <v>43796</v>
      </c>
      <c r="K1578" s="95">
        <v>43852</v>
      </c>
      <c r="L1578" s="95" t="s">
        <v>31</v>
      </c>
      <c r="M1578" s="8">
        <v>43858</v>
      </c>
      <c r="N1578" s="8">
        <v>44705</v>
      </c>
      <c r="O1578" s="8">
        <v>44677</v>
      </c>
      <c r="P1578" s="6" t="s">
        <v>35</v>
      </c>
      <c r="Q1578" s="96">
        <v>3675</v>
      </c>
      <c r="R1578" s="97">
        <f t="shared" si="60"/>
        <v>10.068493150684931</v>
      </c>
      <c r="S1578" s="75">
        <f t="shared" si="61"/>
        <v>83155.684931506854</v>
      </c>
      <c r="U1578" s="8">
        <v>44706</v>
      </c>
      <c r="W1578" s="6" t="s">
        <v>84</v>
      </c>
      <c r="X1578" s="95">
        <v>49983</v>
      </c>
    </row>
    <row r="1579" spans="1:24" x14ac:dyDescent="0.25">
      <c r="A1579" s="6" t="s">
        <v>25</v>
      </c>
      <c r="B1579" s="94" t="s">
        <v>1021</v>
      </c>
      <c r="C1579" s="6" t="s">
        <v>4951</v>
      </c>
      <c r="D1579" s="140">
        <v>11725849</v>
      </c>
      <c r="E1579" s="6" t="s">
        <v>409</v>
      </c>
      <c r="F1579" s="10" t="s">
        <v>44</v>
      </c>
      <c r="G1579" s="6" t="s">
        <v>4952</v>
      </c>
      <c r="H1579" s="8">
        <v>53988</v>
      </c>
      <c r="I1579" s="8">
        <v>43794</v>
      </c>
      <c r="J1579" s="8">
        <v>43796</v>
      </c>
      <c r="K1579" s="95">
        <v>43852</v>
      </c>
      <c r="L1579" s="95" t="s">
        <v>359</v>
      </c>
      <c r="R1579" s="97" t="str">
        <f t="shared" si="60"/>
        <v/>
      </c>
      <c r="S1579" s="75" t="str">
        <f t="shared" si="61"/>
        <v/>
      </c>
      <c r="W1579" s="6" t="s">
        <v>84</v>
      </c>
      <c r="X1579" s="95">
        <v>47305</v>
      </c>
    </row>
    <row r="1580" spans="1:24" x14ac:dyDescent="0.25">
      <c r="A1580" s="6" t="s">
        <v>25</v>
      </c>
      <c r="B1580" s="94" t="s">
        <v>4953</v>
      </c>
      <c r="C1580" s="6" t="s">
        <v>4954</v>
      </c>
      <c r="D1580" s="140">
        <v>11226190</v>
      </c>
      <c r="E1580" s="6" t="s">
        <v>318</v>
      </c>
      <c r="F1580" s="10" t="s">
        <v>121</v>
      </c>
      <c r="G1580" s="6" t="s">
        <v>4955</v>
      </c>
      <c r="H1580" s="8">
        <v>64350</v>
      </c>
      <c r="I1580" s="8">
        <v>43794</v>
      </c>
      <c r="J1580" s="8">
        <v>43796</v>
      </c>
      <c r="K1580" s="95">
        <v>43852</v>
      </c>
      <c r="L1580" s="95" t="s">
        <v>31</v>
      </c>
      <c r="M1580" s="8">
        <v>43858</v>
      </c>
      <c r="N1580" s="8">
        <v>43899</v>
      </c>
      <c r="O1580" s="8">
        <v>43888</v>
      </c>
      <c r="P1580" s="6" t="s">
        <v>75</v>
      </c>
      <c r="R1580" s="97" t="str">
        <f t="shared" si="60"/>
        <v/>
      </c>
      <c r="S1580" s="75" t="str">
        <f t="shared" si="61"/>
        <v/>
      </c>
      <c r="U1580" s="8">
        <v>43899</v>
      </c>
      <c r="W1580" s="6" t="s">
        <v>84</v>
      </c>
      <c r="X1580" s="95">
        <v>48999</v>
      </c>
    </row>
    <row r="1581" spans="1:24" x14ac:dyDescent="0.25">
      <c r="A1581" s="6" t="s">
        <v>37</v>
      </c>
      <c r="B1581" s="94" t="s">
        <v>4956</v>
      </c>
      <c r="C1581" s="6" t="s">
        <v>4957</v>
      </c>
      <c r="D1581" s="140">
        <v>11210505</v>
      </c>
      <c r="E1581" s="6" t="s">
        <v>4958</v>
      </c>
      <c r="F1581" s="10" t="s">
        <v>44</v>
      </c>
      <c r="G1581" s="6" t="s">
        <v>4959</v>
      </c>
      <c r="H1581" s="8">
        <v>46977</v>
      </c>
      <c r="I1581" s="8">
        <v>43909</v>
      </c>
      <c r="J1581" s="8">
        <v>44082</v>
      </c>
      <c r="K1581" s="95">
        <v>44082</v>
      </c>
      <c r="L1581" s="95" t="s">
        <v>31</v>
      </c>
      <c r="M1581" s="8">
        <v>44099</v>
      </c>
      <c r="N1581" s="108">
        <v>44532</v>
      </c>
      <c r="O1581" s="108">
        <v>44448</v>
      </c>
      <c r="P1581" s="107" t="s">
        <v>35</v>
      </c>
      <c r="Q1581" s="110">
        <v>1778</v>
      </c>
      <c r="R1581" s="97">
        <f t="shared" si="60"/>
        <v>4.8712328767123285</v>
      </c>
      <c r="S1581" s="75">
        <f t="shared" si="61"/>
        <v>40231.512328767123</v>
      </c>
      <c r="U1581" s="8">
        <v>44776</v>
      </c>
      <c r="W1581" s="6" t="s">
        <v>33</v>
      </c>
      <c r="X1581" s="135">
        <v>51135</v>
      </c>
    </row>
    <row r="1582" spans="1:24" x14ac:dyDescent="0.25">
      <c r="A1582" s="6" t="s">
        <v>37</v>
      </c>
      <c r="B1582" s="94" t="s">
        <v>4960</v>
      </c>
      <c r="C1582" s="6" t="s">
        <v>4961</v>
      </c>
      <c r="D1582" s="140">
        <v>11297534</v>
      </c>
      <c r="E1582" s="6" t="s">
        <v>4962</v>
      </c>
      <c r="F1582" s="10" t="s">
        <v>143</v>
      </c>
      <c r="G1582" s="6" t="s">
        <v>4963</v>
      </c>
      <c r="H1582" s="8">
        <v>44890</v>
      </c>
      <c r="I1582" s="8">
        <v>44277</v>
      </c>
      <c r="J1582" s="8">
        <v>44279</v>
      </c>
      <c r="K1582" s="95">
        <v>44279</v>
      </c>
      <c r="L1582" s="95" t="s">
        <v>31</v>
      </c>
      <c r="M1582" s="8">
        <v>44295</v>
      </c>
      <c r="R1582" s="97" t="str">
        <f t="shared" si="60"/>
        <v/>
      </c>
      <c r="S1582" s="75" t="str">
        <f t="shared" si="61"/>
        <v/>
      </c>
      <c r="T1582" s="129" t="s">
        <v>4964</v>
      </c>
      <c r="U1582" s="8">
        <v>44783</v>
      </c>
      <c r="W1582" s="6" t="s">
        <v>33</v>
      </c>
      <c r="X1582" s="7">
        <v>45912</v>
      </c>
    </row>
    <row r="1583" spans="1:24" x14ac:dyDescent="0.25">
      <c r="A1583" s="6" t="s">
        <v>25</v>
      </c>
      <c r="B1583" s="94" t="s">
        <v>197</v>
      </c>
      <c r="C1583" s="6" t="s">
        <v>4965</v>
      </c>
      <c r="D1583" s="140">
        <v>12008856</v>
      </c>
      <c r="E1583" s="6" t="s">
        <v>4966</v>
      </c>
      <c r="F1583" s="10" t="s">
        <v>29</v>
      </c>
      <c r="G1583" s="6" t="s">
        <v>4967</v>
      </c>
      <c r="H1583" s="8">
        <v>44506</v>
      </c>
      <c r="I1583" s="8">
        <v>43754</v>
      </c>
      <c r="J1583" s="8">
        <v>43754</v>
      </c>
      <c r="K1583" s="95">
        <v>43788</v>
      </c>
      <c r="L1583" s="95" t="s">
        <v>31</v>
      </c>
      <c r="M1583" s="8">
        <v>43795</v>
      </c>
      <c r="N1583" s="8">
        <v>43837</v>
      </c>
      <c r="O1583" s="8">
        <v>43472</v>
      </c>
      <c r="P1583" s="6" t="s">
        <v>75</v>
      </c>
      <c r="R1583" s="97" t="str">
        <f t="shared" si="60"/>
        <v/>
      </c>
      <c r="S1583" s="75" t="str">
        <f t="shared" si="61"/>
        <v/>
      </c>
      <c r="U1583" s="8">
        <v>43837</v>
      </c>
      <c r="W1583" s="6" t="s">
        <v>33</v>
      </c>
      <c r="X1583" s="95">
        <v>42890</v>
      </c>
    </row>
    <row r="1584" spans="1:24" x14ac:dyDescent="0.25">
      <c r="A1584" s="6" t="s">
        <v>25</v>
      </c>
      <c r="B1584" s="94" t="s">
        <v>4968</v>
      </c>
      <c r="C1584" s="6" t="s">
        <v>4969</v>
      </c>
      <c r="D1584" s="140">
        <v>12136278</v>
      </c>
      <c r="E1584" s="6" t="s">
        <v>418</v>
      </c>
      <c r="F1584" s="10" t="s">
        <v>205</v>
      </c>
      <c r="G1584" s="6" t="s">
        <v>4970</v>
      </c>
      <c r="H1584" s="8">
        <v>45043</v>
      </c>
      <c r="I1584" s="8">
        <v>43794</v>
      </c>
      <c r="J1584" s="8">
        <v>43795</v>
      </c>
      <c r="K1584" s="95">
        <v>43837</v>
      </c>
      <c r="L1584" s="95" t="s">
        <v>31</v>
      </c>
      <c r="M1584" s="8">
        <v>43844</v>
      </c>
      <c r="R1584" s="97" t="str">
        <f t="shared" si="60"/>
        <v/>
      </c>
      <c r="S1584" s="75" t="str">
        <f t="shared" si="61"/>
        <v/>
      </c>
      <c r="T1584" s="129" t="s">
        <v>4971</v>
      </c>
      <c r="U1584" s="8">
        <v>44783</v>
      </c>
      <c r="W1584" s="6" t="s">
        <v>33</v>
      </c>
      <c r="X1584" s="95">
        <v>54507</v>
      </c>
    </row>
    <row r="1585" spans="1:24" x14ac:dyDescent="0.25">
      <c r="A1585" s="6" t="s">
        <v>25</v>
      </c>
      <c r="B1585" s="94" t="s">
        <v>2050</v>
      </c>
      <c r="C1585" s="6" t="s">
        <v>4972</v>
      </c>
      <c r="D1585" s="140">
        <v>11047041</v>
      </c>
      <c r="E1585" s="6" t="s">
        <v>588</v>
      </c>
      <c r="F1585" s="10" t="s">
        <v>293</v>
      </c>
      <c r="G1585" s="6">
        <v>156851</v>
      </c>
      <c r="H1585" s="8">
        <v>45317</v>
      </c>
      <c r="I1585" s="8">
        <v>43794</v>
      </c>
      <c r="J1585" s="8">
        <v>43795</v>
      </c>
      <c r="K1585" s="95">
        <v>43837</v>
      </c>
      <c r="L1585" s="95" t="s">
        <v>31</v>
      </c>
      <c r="M1585" s="8">
        <v>43844</v>
      </c>
      <c r="N1585" s="108">
        <v>44368</v>
      </c>
      <c r="O1585" s="108">
        <v>44358</v>
      </c>
      <c r="P1585" s="107" t="s">
        <v>52</v>
      </c>
      <c r="Q1585" s="110"/>
      <c r="R1585" s="97" t="str">
        <f t="shared" si="60"/>
        <v/>
      </c>
      <c r="S1585" s="75" t="str">
        <f t="shared" si="61"/>
        <v/>
      </c>
      <c r="T1585" s="129" t="s">
        <v>4973</v>
      </c>
      <c r="U1585" s="8">
        <v>44776</v>
      </c>
      <c r="W1585" s="6" t="s">
        <v>33</v>
      </c>
      <c r="X1585" s="95">
        <v>49995</v>
      </c>
    </row>
    <row r="1586" spans="1:24" x14ac:dyDescent="0.25">
      <c r="A1586" s="6" t="s">
        <v>25</v>
      </c>
      <c r="B1586" s="94" t="s">
        <v>4974</v>
      </c>
      <c r="C1586" s="6" t="s">
        <v>4975</v>
      </c>
      <c r="D1586" s="140">
        <v>11323096</v>
      </c>
      <c r="E1586" s="6" t="s">
        <v>175</v>
      </c>
      <c r="F1586" s="10" t="s">
        <v>134</v>
      </c>
      <c r="G1586" s="6" t="s">
        <v>4976</v>
      </c>
      <c r="H1586" s="8">
        <v>45600</v>
      </c>
      <c r="I1586" s="8">
        <v>43794</v>
      </c>
      <c r="J1586" s="8">
        <v>43795</v>
      </c>
      <c r="K1586" s="95">
        <v>43837</v>
      </c>
      <c r="L1586" s="95" t="s">
        <v>31</v>
      </c>
      <c r="M1586" s="8">
        <v>43844</v>
      </c>
      <c r="N1586" s="8">
        <v>45121</v>
      </c>
      <c r="O1586" s="8">
        <v>45114</v>
      </c>
      <c r="P1586" s="6" t="s">
        <v>90</v>
      </c>
      <c r="Q1586" s="96">
        <v>1825</v>
      </c>
      <c r="R1586" s="97">
        <f t="shared" si="60"/>
        <v>5</v>
      </c>
      <c r="S1586" s="75">
        <f t="shared" si="61"/>
        <v>41295</v>
      </c>
      <c r="T1586" s="124" t="s">
        <v>4977</v>
      </c>
      <c r="U1586" s="8">
        <v>45205</v>
      </c>
      <c r="V1586" s="6" t="s">
        <v>36</v>
      </c>
      <c r="W1586" s="6" t="s">
        <v>33</v>
      </c>
      <c r="X1586" s="95">
        <v>52454</v>
      </c>
    </row>
    <row r="1587" spans="1:24" x14ac:dyDescent="0.25">
      <c r="A1587" s="6" t="s">
        <v>25</v>
      </c>
      <c r="B1587" s="94" t="s">
        <v>3629</v>
      </c>
      <c r="C1587" s="6" t="s">
        <v>4978</v>
      </c>
      <c r="D1587" s="140">
        <v>12141053</v>
      </c>
      <c r="E1587" s="6" t="s">
        <v>826</v>
      </c>
      <c r="F1587" s="10" t="s">
        <v>29</v>
      </c>
      <c r="G1587" s="6" t="s">
        <v>4979</v>
      </c>
      <c r="H1587" s="8">
        <v>45888</v>
      </c>
      <c r="I1587" s="8">
        <v>43794</v>
      </c>
      <c r="J1587" s="8">
        <v>43795</v>
      </c>
      <c r="K1587" s="95">
        <v>43837</v>
      </c>
      <c r="L1587" s="95" t="s">
        <v>359</v>
      </c>
      <c r="R1587" s="97" t="str">
        <f t="shared" si="60"/>
        <v/>
      </c>
      <c r="S1587" s="75" t="str">
        <f t="shared" si="61"/>
        <v/>
      </c>
      <c r="W1587" s="6" t="s">
        <v>33</v>
      </c>
      <c r="X1587" s="95">
        <v>46582</v>
      </c>
    </row>
    <row r="1588" spans="1:24" x14ac:dyDescent="0.25">
      <c r="A1588" s="6" t="s">
        <v>25</v>
      </c>
      <c r="B1588" s="94" t="s">
        <v>4980</v>
      </c>
      <c r="C1588" s="6" t="s">
        <v>4981</v>
      </c>
      <c r="D1588" s="140">
        <v>12146907</v>
      </c>
      <c r="E1588" s="6" t="s">
        <v>783</v>
      </c>
      <c r="F1588" s="10" t="s">
        <v>57</v>
      </c>
      <c r="G1588" s="6" t="s">
        <v>4982</v>
      </c>
      <c r="H1588" s="8">
        <v>45400</v>
      </c>
      <c r="I1588" s="8">
        <v>43794</v>
      </c>
      <c r="J1588" s="8">
        <v>43795</v>
      </c>
      <c r="K1588" s="95">
        <v>43837</v>
      </c>
      <c r="L1588" s="95" t="s">
        <v>31</v>
      </c>
      <c r="M1588" s="8">
        <v>43844</v>
      </c>
      <c r="R1588" s="97" t="str">
        <f t="shared" si="60"/>
        <v/>
      </c>
      <c r="S1588" s="75" t="str">
        <f t="shared" si="61"/>
        <v/>
      </c>
      <c r="T1588" s="124" t="s">
        <v>4983</v>
      </c>
      <c r="U1588" s="8">
        <v>44958</v>
      </c>
      <c r="W1588" s="6" t="s">
        <v>33</v>
      </c>
      <c r="X1588" s="95">
        <v>50241</v>
      </c>
    </row>
    <row r="1589" spans="1:24" x14ac:dyDescent="0.25">
      <c r="A1589" s="6" t="s">
        <v>168</v>
      </c>
      <c r="B1589" s="94" t="s">
        <v>4984</v>
      </c>
      <c r="C1589" s="6" t="s">
        <v>4985</v>
      </c>
      <c r="D1589" s="140">
        <v>11767182</v>
      </c>
      <c r="E1589" s="6" t="s">
        <v>4044</v>
      </c>
      <c r="F1589" s="10" t="s">
        <v>57</v>
      </c>
      <c r="G1589" s="6" t="s">
        <v>4986</v>
      </c>
      <c r="H1589" s="8">
        <v>82548</v>
      </c>
      <c r="I1589" s="8">
        <v>44208</v>
      </c>
      <c r="J1589" s="8">
        <v>44242</v>
      </c>
      <c r="K1589" s="95">
        <v>44258</v>
      </c>
      <c r="L1589" s="95" t="s">
        <v>31</v>
      </c>
      <c r="M1589" s="8">
        <v>44295</v>
      </c>
      <c r="N1589" s="8">
        <v>44375</v>
      </c>
      <c r="O1589" s="8">
        <v>44320</v>
      </c>
      <c r="P1589" s="6" t="s">
        <v>75</v>
      </c>
      <c r="R1589" s="97" t="str">
        <f t="shared" si="60"/>
        <v/>
      </c>
      <c r="S1589" s="75" t="str">
        <f t="shared" si="61"/>
        <v/>
      </c>
      <c r="U1589" s="8">
        <v>44375</v>
      </c>
      <c r="W1589" s="6" t="s">
        <v>84</v>
      </c>
      <c r="X1589" s="95">
        <v>45671</v>
      </c>
    </row>
    <row r="1590" spans="1:24" x14ac:dyDescent="0.25">
      <c r="A1590" s="6" t="s">
        <v>25</v>
      </c>
      <c r="B1590" s="94" t="s">
        <v>4987</v>
      </c>
      <c r="C1590" s="6" t="s">
        <v>4988</v>
      </c>
      <c r="D1590" s="140">
        <v>11977221</v>
      </c>
      <c r="E1590" s="6" t="s">
        <v>268</v>
      </c>
      <c r="F1590" s="10" t="s">
        <v>44</v>
      </c>
      <c r="G1590" s="6" t="s">
        <v>4989</v>
      </c>
      <c r="H1590" s="8">
        <v>45085</v>
      </c>
      <c r="I1590" s="8">
        <v>43794</v>
      </c>
      <c r="J1590" s="8">
        <v>43795</v>
      </c>
      <c r="K1590" s="95">
        <v>43837</v>
      </c>
      <c r="L1590" s="95" t="s">
        <v>31</v>
      </c>
      <c r="M1590" s="8">
        <v>43844</v>
      </c>
      <c r="N1590" s="8">
        <v>43950</v>
      </c>
      <c r="O1590" s="8">
        <v>43931</v>
      </c>
      <c r="P1590" s="6" t="s">
        <v>182</v>
      </c>
      <c r="R1590" s="97" t="str">
        <f t="shared" si="60"/>
        <v/>
      </c>
      <c r="S1590" s="75" t="str">
        <f t="shared" si="61"/>
        <v/>
      </c>
      <c r="U1590" s="8">
        <v>43950</v>
      </c>
      <c r="W1590" s="6" t="s">
        <v>33</v>
      </c>
      <c r="X1590" s="95">
        <v>53267</v>
      </c>
    </row>
    <row r="1591" spans="1:24" x14ac:dyDescent="0.25">
      <c r="A1591" s="6" t="s">
        <v>25</v>
      </c>
      <c r="B1591" s="94" t="s">
        <v>4990</v>
      </c>
      <c r="C1591" s="6" t="s">
        <v>4991</v>
      </c>
      <c r="D1591" s="140">
        <v>11175882</v>
      </c>
      <c r="E1591" s="6" t="s">
        <v>268</v>
      </c>
      <c r="F1591" s="10" t="s">
        <v>44</v>
      </c>
      <c r="G1591" s="6" t="s">
        <v>4992</v>
      </c>
      <c r="H1591" s="8">
        <v>45098</v>
      </c>
      <c r="I1591" s="8">
        <v>43794</v>
      </c>
      <c r="J1591" s="8">
        <v>43795</v>
      </c>
      <c r="K1591" s="95">
        <v>43837</v>
      </c>
      <c r="L1591" s="95" t="s">
        <v>31</v>
      </c>
      <c r="M1591" s="8">
        <v>43844</v>
      </c>
      <c r="N1591" s="8">
        <v>43929</v>
      </c>
      <c r="O1591" s="8">
        <v>43917</v>
      </c>
      <c r="P1591" s="6" t="s">
        <v>52</v>
      </c>
      <c r="R1591" s="97" t="str">
        <f t="shared" si="60"/>
        <v/>
      </c>
      <c r="S1591" s="75" t="str">
        <f t="shared" si="61"/>
        <v/>
      </c>
      <c r="U1591" s="8">
        <v>43929</v>
      </c>
      <c r="W1591" s="6" t="s">
        <v>33</v>
      </c>
      <c r="X1591" s="95">
        <v>47913</v>
      </c>
    </row>
    <row r="1592" spans="1:24" x14ac:dyDescent="0.25">
      <c r="A1592" s="6" t="s">
        <v>25</v>
      </c>
      <c r="B1592" s="94" t="s">
        <v>4993</v>
      </c>
      <c r="C1592" s="6" t="s">
        <v>4994</v>
      </c>
      <c r="D1592" s="140">
        <v>11487447</v>
      </c>
      <c r="E1592" s="6" t="s">
        <v>578</v>
      </c>
      <c r="F1592" s="10" t="s">
        <v>44</v>
      </c>
      <c r="G1592" s="6" t="s">
        <v>4995</v>
      </c>
      <c r="H1592" s="8">
        <v>46650</v>
      </c>
      <c r="I1592" s="8">
        <v>43794</v>
      </c>
      <c r="J1592" s="8">
        <v>43795</v>
      </c>
      <c r="K1592" s="95">
        <v>43837</v>
      </c>
      <c r="L1592" s="95" t="s">
        <v>31</v>
      </c>
      <c r="M1592" s="8">
        <v>43844</v>
      </c>
      <c r="N1592" s="108">
        <v>44264</v>
      </c>
      <c r="O1592" s="108">
        <v>44246</v>
      </c>
      <c r="P1592" s="107" t="s">
        <v>35</v>
      </c>
      <c r="Q1592" s="110">
        <v>2396</v>
      </c>
      <c r="R1592" s="97">
        <f t="shared" si="60"/>
        <v>6.5643835616438357</v>
      </c>
      <c r="S1592" s="75">
        <f t="shared" si="61"/>
        <v>54215.243835616442</v>
      </c>
      <c r="U1592" s="8">
        <v>44776</v>
      </c>
      <c r="W1592" s="6" t="s">
        <v>33</v>
      </c>
      <c r="X1592" s="95">
        <v>50149</v>
      </c>
    </row>
    <row r="1593" spans="1:24" x14ac:dyDescent="0.25">
      <c r="A1593" s="6" t="s">
        <v>37</v>
      </c>
      <c r="B1593" s="94" t="s">
        <v>145</v>
      </c>
      <c r="C1593" s="6" t="s">
        <v>4996</v>
      </c>
      <c r="D1593" s="140">
        <v>11341118</v>
      </c>
      <c r="E1593" s="6" t="s">
        <v>783</v>
      </c>
      <c r="F1593" s="10" t="s">
        <v>44</v>
      </c>
      <c r="G1593" s="6" t="s">
        <v>4997</v>
      </c>
      <c r="H1593" s="8">
        <v>44617</v>
      </c>
      <c r="I1593" s="8">
        <v>43474</v>
      </c>
      <c r="J1593" s="8">
        <v>43487</v>
      </c>
      <c r="K1593" s="95">
        <v>43488</v>
      </c>
      <c r="L1593" s="95" t="s">
        <v>31</v>
      </c>
      <c r="M1593" s="8">
        <v>43493</v>
      </c>
      <c r="N1593" s="8">
        <v>43553</v>
      </c>
      <c r="O1593" s="8">
        <v>43535</v>
      </c>
      <c r="P1593" s="6" t="s">
        <v>75</v>
      </c>
      <c r="R1593" s="97" t="str">
        <f t="shared" si="60"/>
        <v/>
      </c>
      <c r="S1593" s="75" t="str">
        <f t="shared" si="61"/>
        <v/>
      </c>
      <c r="U1593" s="8">
        <v>43553</v>
      </c>
      <c r="W1593" s="6" t="s">
        <v>33</v>
      </c>
      <c r="X1593" s="95">
        <v>49197</v>
      </c>
    </row>
    <row r="1594" spans="1:24" x14ac:dyDescent="0.25">
      <c r="A1594" s="6" t="s">
        <v>37</v>
      </c>
      <c r="B1594" s="94" t="s">
        <v>145</v>
      </c>
      <c r="C1594" s="6" t="s">
        <v>4998</v>
      </c>
      <c r="D1594" s="140">
        <v>11581375</v>
      </c>
      <c r="E1594" s="6" t="s">
        <v>4848</v>
      </c>
      <c r="F1594" s="10" t="s">
        <v>57</v>
      </c>
      <c r="G1594" s="6" t="s">
        <v>4999</v>
      </c>
      <c r="H1594" s="8">
        <v>45799</v>
      </c>
      <c r="I1594" s="8">
        <v>43844</v>
      </c>
      <c r="J1594" s="8">
        <v>43879</v>
      </c>
      <c r="K1594" s="95">
        <v>43879</v>
      </c>
      <c r="L1594" s="95" t="s">
        <v>31</v>
      </c>
      <c r="M1594" s="8">
        <v>43895</v>
      </c>
      <c r="N1594" s="8">
        <v>44628</v>
      </c>
      <c r="O1594" s="8">
        <v>44624</v>
      </c>
      <c r="P1594" s="6" t="s">
        <v>35</v>
      </c>
      <c r="Q1594" s="96">
        <v>265</v>
      </c>
      <c r="R1594" s="97">
        <f t="shared" si="60"/>
        <v>0.72602739726027399</v>
      </c>
      <c r="S1594" s="75">
        <f t="shared" si="61"/>
        <v>5996.2602739726026</v>
      </c>
      <c r="U1594" s="8">
        <v>44634</v>
      </c>
      <c r="W1594" s="6" t="s">
        <v>33</v>
      </c>
      <c r="X1594" s="95">
        <v>53018</v>
      </c>
    </row>
    <row r="1595" spans="1:24" ht="30" x14ac:dyDescent="0.25">
      <c r="A1595" s="6" t="s">
        <v>168</v>
      </c>
      <c r="B1595" s="94" t="s">
        <v>5000</v>
      </c>
      <c r="C1595" s="6" t="s">
        <v>5001</v>
      </c>
      <c r="D1595" s="140">
        <v>11116672</v>
      </c>
      <c r="E1595" s="6" t="s">
        <v>4236</v>
      </c>
      <c r="F1595" s="10" t="s">
        <v>143</v>
      </c>
      <c r="G1595" s="6">
        <v>204279</v>
      </c>
      <c r="H1595" s="8">
        <v>53169</v>
      </c>
      <c r="I1595" s="8">
        <v>43747</v>
      </c>
      <c r="J1595" s="8">
        <v>43783</v>
      </c>
      <c r="K1595" s="95">
        <v>43783</v>
      </c>
      <c r="L1595" s="95" t="s">
        <v>31</v>
      </c>
      <c r="M1595" s="8">
        <v>43794</v>
      </c>
      <c r="N1595" s="8">
        <v>43838</v>
      </c>
      <c r="O1595" s="8">
        <v>43829</v>
      </c>
      <c r="P1595" s="6" t="s">
        <v>52</v>
      </c>
      <c r="R1595" s="97" t="str">
        <f t="shared" si="60"/>
        <v/>
      </c>
      <c r="S1595" s="75" t="str">
        <f t="shared" si="61"/>
        <v/>
      </c>
      <c r="T1595" s="124" t="s">
        <v>5002</v>
      </c>
      <c r="U1595" s="8">
        <v>43838</v>
      </c>
      <c r="W1595" s="6" t="s">
        <v>84</v>
      </c>
      <c r="X1595" s="95">
        <v>37950</v>
      </c>
    </row>
    <row r="1596" spans="1:24" x14ac:dyDescent="0.25">
      <c r="A1596" s="6" t="s">
        <v>168</v>
      </c>
      <c r="B1596" s="94" t="s">
        <v>5003</v>
      </c>
      <c r="C1596" s="6" t="s">
        <v>5004</v>
      </c>
      <c r="D1596" s="140">
        <v>11925723</v>
      </c>
      <c r="E1596" s="6" t="s">
        <v>5005</v>
      </c>
      <c r="F1596" s="10" t="s">
        <v>44</v>
      </c>
      <c r="G1596" s="6" t="s">
        <v>5006</v>
      </c>
      <c r="H1596" s="8">
        <v>45784</v>
      </c>
      <c r="I1596" s="8">
        <v>43515</v>
      </c>
      <c r="J1596" s="8">
        <v>43544</v>
      </c>
      <c r="K1596" s="95">
        <v>43546</v>
      </c>
      <c r="L1596" s="95" t="s">
        <v>359</v>
      </c>
      <c r="R1596" s="97" t="str">
        <f t="shared" si="60"/>
        <v/>
      </c>
      <c r="S1596" s="75" t="str">
        <f t="shared" si="61"/>
        <v/>
      </c>
      <c r="W1596" s="6" t="s">
        <v>84</v>
      </c>
      <c r="X1596" s="95">
        <v>45627</v>
      </c>
    </row>
    <row r="1597" spans="1:24" x14ac:dyDescent="0.25">
      <c r="A1597" s="6" t="s">
        <v>37</v>
      </c>
      <c r="B1597" s="94" t="s">
        <v>145</v>
      </c>
      <c r="C1597" s="6" t="s">
        <v>5007</v>
      </c>
      <c r="D1597" s="140">
        <v>12128524</v>
      </c>
      <c r="E1597" s="6" t="s">
        <v>759</v>
      </c>
      <c r="F1597" s="10" t="s">
        <v>143</v>
      </c>
      <c r="G1597" s="6" t="s">
        <v>5008</v>
      </c>
      <c r="H1597" s="8">
        <v>46573</v>
      </c>
      <c r="I1597" s="8">
        <v>44277</v>
      </c>
      <c r="J1597" s="8">
        <v>44279</v>
      </c>
      <c r="K1597" s="95">
        <v>44279</v>
      </c>
      <c r="L1597" s="95" t="s">
        <v>31</v>
      </c>
      <c r="M1597" s="8">
        <v>44295</v>
      </c>
      <c r="N1597" s="8">
        <v>44567</v>
      </c>
      <c r="O1597" s="8">
        <v>44489</v>
      </c>
      <c r="P1597" s="6" t="s">
        <v>52</v>
      </c>
      <c r="R1597" s="97" t="str">
        <f t="shared" si="60"/>
        <v/>
      </c>
      <c r="S1597" s="75" t="str">
        <f t="shared" si="61"/>
        <v/>
      </c>
      <c r="U1597" s="8">
        <v>44567</v>
      </c>
      <c r="W1597" s="6" t="s">
        <v>33</v>
      </c>
      <c r="X1597" s="7">
        <v>46077</v>
      </c>
    </row>
    <row r="1598" spans="1:24" x14ac:dyDescent="0.25">
      <c r="A1598" s="6" t="s">
        <v>168</v>
      </c>
      <c r="B1598" s="94" t="s">
        <v>5009</v>
      </c>
      <c r="C1598" s="6" t="s">
        <v>5010</v>
      </c>
      <c r="D1598" s="140">
        <v>11982781</v>
      </c>
      <c r="E1598" s="6" t="s">
        <v>3410</v>
      </c>
      <c r="F1598" s="10" t="s">
        <v>2296</v>
      </c>
      <c r="G1598" s="6">
        <v>62118259</v>
      </c>
      <c r="H1598" s="8">
        <v>44556</v>
      </c>
      <c r="I1598" s="8">
        <v>43760</v>
      </c>
      <c r="J1598" s="8">
        <v>43788</v>
      </c>
      <c r="K1598" s="95">
        <v>43788</v>
      </c>
      <c r="L1598" s="95" t="s">
        <v>31</v>
      </c>
      <c r="M1598" s="8">
        <v>43794</v>
      </c>
      <c r="N1598" s="8">
        <v>44141</v>
      </c>
      <c r="O1598" s="8">
        <v>43980</v>
      </c>
      <c r="P1598" s="6" t="s">
        <v>90</v>
      </c>
      <c r="Q1598" s="96">
        <v>464</v>
      </c>
      <c r="R1598" s="97">
        <f t="shared" si="60"/>
        <v>1.2712328767123289</v>
      </c>
      <c r="S1598" s="75">
        <f t="shared" si="61"/>
        <v>10499.112328767123</v>
      </c>
      <c r="T1598" s="124" t="s">
        <v>5011</v>
      </c>
      <c r="U1598" s="8">
        <v>44141</v>
      </c>
      <c r="V1598" s="6" t="s">
        <v>36</v>
      </c>
      <c r="W1598" s="6" t="s">
        <v>33</v>
      </c>
      <c r="X1598" s="95">
        <v>50370</v>
      </c>
    </row>
    <row r="1599" spans="1:24" x14ac:dyDescent="0.25">
      <c r="A1599" s="6" t="s">
        <v>37</v>
      </c>
      <c r="B1599" s="94" t="s">
        <v>5012</v>
      </c>
      <c r="C1599" s="6" t="s">
        <v>5013</v>
      </c>
      <c r="D1599" s="140">
        <v>11068622</v>
      </c>
      <c r="E1599" s="6" t="s">
        <v>4202</v>
      </c>
      <c r="F1599" s="10" t="s">
        <v>293</v>
      </c>
      <c r="G1599" s="6">
        <v>164361</v>
      </c>
      <c r="H1599" s="8">
        <v>45752</v>
      </c>
      <c r="I1599" s="8">
        <v>43636</v>
      </c>
      <c r="J1599" s="8">
        <v>43640</v>
      </c>
      <c r="K1599" s="95">
        <v>43647</v>
      </c>
      <c r="L1599" s="95" t="s">
        <v>31</v>
      </c>
      <c r="M1599" s="8">
        <v>43647</v>
      </c>
      <c r="N1599" s="8">
        <v>44267</v>
      </c>
      <c r="O1599" s="8">
        <v>44139</v>
      </c>
      <c r="P1599" s="6" t="s">
        <v>90</v>
      </c>
      <c r="Q1599" s="96">
        <v>1542</v>
      </c>
      <c r="R1599" s="97">
        <f t="shared" si="60"/>
        <v>4.2246575342465755</v>
      </c>
      <c r="S1599" s="75">
        <f t="shared" si="61"/>
        <v>34891.446575342467</v>
      </c>
      <c r="T1599" s="124" t="s">
        <v>5014</v>
      </c>
      <c r="U1599" s="8">
        <v>44267</v>
      </c>
      <c r="V1599" s="6" t="s">
        <v>36</v>
      </c>
      <c r="W1599" s="6" t="s">
        <v>33</v>
      </c>
      <c r="X1599" s="95">
        <v>49286</v>
      </c>
    </row>
    <row r="1600" spans="1:24" x14ac:dyDescent="0.25">
      <c r="A1600" s="6" t="s">
        <v>37</v>
      </c>
      <c r="B1600" s="94" t="s">
        <v>5015</v>
      </c>
      <c r="C1600" s="6" t="s">
        <v>5016</v>
      </c>
      <c r="D1600" s="140">
        <v>12129665</v>
      </c>
      <c r="E1600" s="6" t="s">
        <v>5017</v>
      </c>
      <c r="F1600" s="10" t="s">
        <v>44</v>
      </c>
      <c r="G1600" s="6" t="s">
        <v>5018</v>
      </c>
      <c r="H1600" s="8">
        <v>49447</v>
      </c>
      <c r="I1600" s="8">
        <v>44173</v>
      </c>
      <c r="J1600" s="8">
        <v>44180</v>
      </c>
      <c r="K1600" s="95">
        <v>44173</v>
      </c>
      <c r="L1600" s="95" t="s">
        <v>31</v>
      </c>
      <c r="M1600" s="8">
        <v>44218</v>
      </c>
      <c r="R1600" s="97" t="str">
        <f t="shared" si="60"/>
        <v/>
      </c>
      <c r="S1600" s="75" t="str">
        <f t="shared" si="61"/>
        <v/>
      </c>
      <c r="W1600" s="6" t="s">
        <v>33</v>
      </c>
      <c r="X1600" s="95">
        <v>45305</v>
      </c>
    </row>
    <row r="1601" spans="1:24" x14ac:dyDescent="0.25">
      <c r="A1601" s="6" t="s">
        <v>25</v>
      </c>
      <c r="B1601" s="94" t="s">
        <v>5019</v>
      </c>
      <c r="C1601" s="6" t="s">
        <v>5020</v>
      </c>
      <c r="D1601" s="140">
        <v>11213785</v>
      </c>
      <c r="E1601" s="6" t="s">
        <v>3971</v>
      </c>
      <c r="F1601" s="10" t="s">
        <v>95</v>
      </c>
      <c r="G1601" s="6" t="s">
        <v>5021</v>
      </c>
      <c r="H1601" s="8">
        <v>44588</v>
      </c>
      <c r="I1601" s="8">
        <v>43776</v>
      </c>
      <c r="J1601" s="8">
        <v>43776</v>
      </c>
      <c r="K1601" s="95">
        <v>43839</v>
      </c>
      <c r="L1601" s="95" t="s">
        <v>31</v>
      </c>
      <c r="M1601" s="8">
        <v>43860</v>
      </c>
      <c r="R1601" s="97" t="str">
        <f t="shared" si="60"/>
        <v/>
      </c>
      <c r="S1601" s="75" t="str">
        <f t="shared" si="61"/>
        <v/>
      </c>
      <c r="T1601" s="129" t="s">
        <v>5022</v>
      </c>
      <c r="U1601" s="8">
        <v>44783</v>
      </c>
      <c r="W1601" s="6" t="s">
        <v>84</v>
      </c>
      <c r="X1601" s="95">
        <v>53023</v>
      </c>
    </row>
    <row r="1602" spans="1:24" x14ac:dyDescent="0.25">
      <c r="A1602" s="6" t="s">
        <v>25</v>
      </c>
      <c r="B1602" s="94" t="s">
        <v>635</v>
      </c>
      <c r="C1602" s="6" t="s">
        <v>5023</v>
      </c>
      <c r="D1602" s="140">
        <v>12127049</v>
      </c>
      <c r="E1602" s="6" t="s">
        <v>99</v>
      </c>
      <c r="F1602" s="10" t="s">
        <v>363</v>
      </c>
      <c r="G1602" s="6">
        <v>1468807</v>
      </c>
      <c r="H1602" s="8">
        <v>46110</v>
      </c>
      <c r="I1602" s="8">
        <v>43803</v>
      </c>
      <c r="J1602" s="8">
        <v>43804</v>
      </c>
      <c r="K1602" s="95">
        <v>43839</v>
      </c>
      <c r="L1602" s="95" t="s">
        <v>31</v>
      </c>
      <c r="M1602" s="8">
        <v>43851</v>
      </c>
      <c r="R1602" s="97" t="str">
        <f t="shared" si="60"/>
        <v/>
      </c>
      <c r="S1602" s="75" t="str">
        <f t="shared" si="61"/>
        <v/>
      </c>
      <c r="T1602" s="124" t="s">
        <v>5024</v>
      </c>
      <c r="U1602" s="8">
        <v>45065</v>
      </c>
      <c r="W1602" s="6" t="s">
        <v>33</v>
      </c>
      <c r="X1602" s="95">
        <v>54919</v>
      </c>
    </row>
    <row r="1603" spans="1:24" x14ac:dyDescent="0.25">
      <c r="A1603" s="6" t="s">
        <v>25</v>
      </c>
      <c r="B1603" s="94" t="s">
        <v>5025</v>
      </c>
      <c r="C1603" s="6" t="s">
        <v>5026</v>
      </c>
      <c r="D1603" s="140">
        <v>11117321</v>
      </c>
      <c r="E1603" s="6" t="s">
        <v>318</v>
      </c>
      <c r="F1603" s="10" t="s">
        <v>1334</v>
      </c>
      <c r="G1603" s="6" t="s">
        <v>5027</v>
      </c>
      <c r="H1603" s="8">
        <v>46788</v>
      </c>
      <c r="I1603" s="8">
        <v>43803</v>
      </c>
      <c r="J1603" s="8">
        <v>43804</v>
      </c>
      <c r="K1603" s="95">
        <v>43839</v>
      </c>
      <c r="L1603" s="95" t="s">
        <v>31</v>
      </c>
      <c r="M1603" s="8">
        <v>43851</v>
      </c>
      <c r="N1603" s="8">
        <v>43881</v>
      </c>
      <c r="O1603" s="8">
        <v>43860</v>
      </c>
      <c r="P1603" s="6" t="s">
        <v>52</v>
      </c>
      <c r="R1603" s="97" t="str">
        <f t="shared" si="60"/>
        <v/>
      </c>
      <c r="S1603" s="75" t="str">
        <f t="shared" si="61"/>
        <v/>
      </c>
      <c r="U1603" s="8">
        <v>43881</v>
      </c>
      <c r="W1603" s="6" t="s">
        <v>33</v>
      </c>
      <c r="X1603" s="95">
        <v>50438</v>
      </c>
    </row>
    <row r="1604" spans="1:24" x14ac:dyDescent="0.25">
      <c r="A1604" s="6" t="s">
        <v>25</v>
      </c>
      <c r="B1604" s="94" t="s">
        <v>26</v>
      </c>
      <c r="C1604" s="6" t="s">
        <v>5028</v>
      </c>
      <c r="D1604" s="140">
        <v>11210792</v>
      </c>
      <c r="E1604" s="6" t="s">
        <v>2086</v>
      </c>
      <c r="F1604" s="10" t="s">
        <v>121</v>
      </c>
      <c r="G1604" s="6" t="s">
        <v>5029</v>
      </c>
      <c r="H1604" s="8">
        <v>46741</v>
      </c>
      <c r="I1604" s="8">
        <v>43803</v>
      </c>
      <c r="J1604" s="8">
        <v>43804</v>
      </c>
      <c r="K1604" s="95">
        <v>43839</v>
      </c>
      <c r="L1604" s="95" t="s">
        <v>31</v>
      </c>
      <c r="M1604" s="8">
        <v>43851</v>
      </c>
      <c r="N1604" s="108">
        <v>44271</v>
      </c>
      <c r="O1604" s="108">
        <v>44253</v>
      </c>
      <c r="P1604" s="107" t="s">
        <v>52</v>
      </c>
      <c r="Q1604" s="110"/>
      <c r="R1604" s="97" t="str">
        <f t="shared" si="60"/>
        <v/>
      </c>
      <c r="S1604" s="75" t="str">
        <f t="shared" si="61"/>
        <v/>
      </c>
      <c r="U1604" s="8">
        <v>44776</v>
      </c>
      <c r="W1604" s="6" t="s">
        <v>33</v>
      </c>
      <c r="X1604" s="95">
        <v>50202</v>
      </c>
    </row>
    <row r="1605" spans="1:24" x14ac:dyDescent="0.25">
      <c r="A1605" s="6" t="s">
        <v>25</v>
      </c>
      <c r="B1605" s="94" t="s">
        <v>5030</v>
      </c>
      <c r="C1605" s="6" t="s">
        <v>5031</v>
      </c>
      <c r="D1605" s="140">
        <v>11060977</v>
      </c>
      <c r="E1605" s="6" t="s">
        <v>1773</v>
      </c>
      <c r="F1605" s="10" t="s">
        <v>44</v>
      </c>
      <c r="G1605" s="6" t="s">
        <v>1955</v>
      </c>
      <c r="H1605" s="8">
        <v>46063</v>
      </c>
      <c r="I1605" s="8">
        <v>43803</v>
      </c>
      <c r="J1605" s="8">
        <v>43804</v>
      </c>
      <c r="K1605" s="95">
        <v>43839</v>
      </c>
      <c r="L1605" s="95" t="s">
        <v>31</v>
      </c>
      <c r="M1605" s="8">
        <v>43851</v>
      </c>
      <c r="N1605" s="8">
        <v>43899</v>
      </c>
      <c r="O1605" s="8">
        <v>43879</v>
      </c>
      <c r="P1605" s="6" t="s">
        <v>52</v>
      </c>
      <c r="R1605" s="97" t="str">
        <f t="shared" si="60"/>
        <v/>
      </c>
      <c r="S1605" s="75" t="str">
        <f t="shared" si="61"/>
        <v/>
      </c>
      <c r="U1605" s="8">
        <v>43901</v>
      </c>
      <c r="W1605" s="6" t="s">
        <v>33</v>
      </c>
      <c r="X1605" s="95">
        <v>50317</v>
      </c>
    </row>
    <row r="1606" spans="1:24" x14ac:dyDescent="0.25">
      <c r="A1606" s="6" t="s">
        <v>25</v>
      </c>
      <c r="B1606" s="94" t="s">
        <v>5032</v>
      </c>
      <c r="C1606" s="6" t="s">
        <v>5033</v>
      </c>
      <c r="D1606" s="140">
        <v>11416283</v>
      </c>
      <c r="E1606" s="6" t="s">
        <v>166</v>
      </c>
      <c r="F1606" s="10" t="s">
        <v>44</v>
      </c>
      <c r="G1606" s="6" t="s">
        <v>5034</v>
      </c>
      <c r="H1606" s="8">
        <v>46292</v>
      </c>
      <c r="I1606" s="8">
        <v>43803</v>
      </c>
      <c r="J1606" s="8">
        <v>43804</v>
      </c>
      <c r="K1606" s="95">
        <v>43839</v>
      </c>
      <c r="L1606" s="95" t="s">
        <v>31</v>
      </c>
      <c r="M1606" s="8">
        <v>43851</v>
      </c>
      <c r="N1606" s="108">
        <v>44295</v>
      </c>
      <c r="O1606" s="108">
        <v>44193</v>
      </c>
      <c r="P1606" s="107" t="s">
        <v>633</v>
      </c>
      <c r="Q1606" s="110"/>
      <c r="R1606" s="97" t="str">
        <f t="shared" ref="R1606:R1669" si="62">IF(Q1606&gt;0, Q1606/365, "")</f>
        <v/>
      </c>
      <c r="S1606" s="75" t="str">
        <f t="shared" ref="S1606:S1669" si="63">IF(Q1606&gt;0, SUM(Q1606)*(8259/365), "")</f>
        <v/>
      </c>
      <c r="U1606" s="8">
        <v>44776</v>
      </c>
      <c r="W1606" s="6" t="s">
        <v>84</v>
      </c>
      <c r="X1606" s="95">
        <v>44835</v>
      </c>
    </row>
    <row r="1607" spans="1:24" x14ac:dyDescent="0.25">
      <c r="A1607" s="6" t="s">
        <v>37</v>
      </c>
      <c r="B1607" s="94" t="s">
        <v>5035</v>
      </c>
      <c r="C1607" s="6" t="s">
        <v>5036</v>
      </c>
      <c r="D1607" s="140">
        <v>11373164</v>
      </c>
      <c r="E1607" s="6" t="s">
        <v>783</v>
      </c>
      <c r="F1607" s="10" t="s">
        <v>134</v>
      </c>
      <c r="G1607" s="6" t="s">
        <v>5037</v>
      </c>
      <c r="H1607" s="8">
        <v>45161</v>
      </c>
      <c r="I1607" s="8">
        <v>43524</v>
      </c>
      <c r="J1607" s="8">
        <v>43560</v>
      </c>
      <c r="K1607" s="95">
        <v>43563</v>
      </c>
      <c r="L1607" s="95" t="s">
        <v>31</v>
      </c>
      <c r="M1607" s="8">
        <v>43570</v>
      </c>
      <c r="N1607" s="8">
        <v>44267</v>
      </c>
      <c r="O1607" s="8">
        <v>44192</v>
      </c>
      <c r="P1607" s="6" t="s">
        <v>90</v>
      </c>
      <c r="Q1607" s="96">
        <v>969</v>
      </c>
      <c r="R1607" s="97">
        <f t="shared" si="62"/>
        <v>2.6547945205479451</v>
      </c>
      <c r="S1607" s="75">
        <f t="shared" si="63"/>
        <v>21925.94794520548</v>
      </c>
      <c r="T1607" s="124" t="s">
        <v>5038</v>
      </c>
      <c r="U1607" s="8">
        <v>44267</v>
      </c>
      <c r="V1607" s="6" t="s">
        <v>36</v>
      </c>
      <c r="W1607" s="6" t="s">
        <v>33</v>
      </c>
      <c r="X1607" s="7">
        <v>51702</v>
      </c>
    </row>
    <row r="1608" spans="1:24" x14ac:dyDescent="0.25">
      <c r="A1608" s="6" t="s">
        <v>25</v>
      </c>
      <c r="B1608" s="94" t="s">
        <v>5039</v>
      </c>
      <c r="C1608" s="6" t="s">
        <v>5040</v>
      </c>
      <c r="D1608" s="140">
        <v>11703387</v>
      </c>
      <c r="E1608" s="6" t="s">
        <v>588</v>
      </c>
      <c r="F1608" s="10" t="s">
        <v>143</v>
      </c>
      <c r="G1608" s="6" t="s">
        <v>5041</v>
      </c>
      <c r="H1608" s="8">
        <v>45238</v>
      </c>
      <c r="I1608" s="8">
        <v>43804</v>
      </c>
      <c r="J1608" s="8">
        <v>43805</v>
      </c>
      <c r="K1608" s="95">
        <v>43875</v>
      </c>
      <c r="L1608" s="95" t="s">
        <v>31</v>
      </c>
      <c r="M1608" s="8">
        <v>43885</v>
      </c>
      <c r="N1608" s="8">
        <v>44593</v>
      </c>
      <c r="O1608" s="8">
        <v>44571</v>
      </c>
      <c r="P1608" s="6" t="s">
        <v>35</v>
      </c>
      <c r="Q1608" s="96">
        <v>102</v>
      </c>
      <c r="R1608" s="97">
        <f t="shared" si="62"/>
        <v>0.27945205479452057</v>
      </c>
      <c r="S1608" s="75">
        <f t="shared" si="63"/>
        <v>2307.9945205479453</v>
      </c>
      <c r="U1608" s="8">
        <v>44636</v>
      </c>
      <c r="W1608" s="6" t="s">
        <v>33</v>
      </c>
      <c r="X1608" s="95">
        <v>50500</v>
      </c>
    </row>
    <row r="1609" spans="1:24" x14ac:dyDescent="0.25">
      <c r="A1609" s="6" t="s">
        <v>25</v>
      </c>
      <c r="B1609" s="94" t="s">
        <v>5042</v>
      </c>
      <c r="C1609" s="6" t="s">
        <v>5043</v>
      </c>
      <c r="D1609" s="140">
        <v>11190761</v>
      </c>
      <c r="E1609" s="6" t="s">
        <v>1185</v>
      </c>
      <c r="F1609" s="10" t="s">
        <v>29</v>
      </c>
      <c r="G1609" s="6" t="s">
        <v>5044</v>
      </c>
      <c r="H1609" s="8">
        <v>44813</v>
      </c>
      <c r="I1609" s="8">
        <v>43804</v>
      </c>
      <c r="J1609" s="8">
        <v>43805</v>
      </c>
      <c r="K1609" s="95">
        <v>43875</v>
      </c>
      <c r="L1609" s="95" t="s">
        <v>31</v>
      </c>
      <c r="M1609" s="8">
        <v>43885</v>
      </c>
      <c r="N1609" s="8">
        <v>44099</v>
      </c>
      <c r="O1609" s="8">
        <v>44089</v>
      </c>
      <c r="P1609" s="6" t="s">
        <v>90</v>
      </c>
      <c r="Q1609" s="96">
        <v>636</v>
      </c>
      <c r="R1609" s="97">
        <f t="shared" si="62"/>
        <v>1.7424657534246575</v>
      </c>
      <c r="S1609" s="75">
        <f t="shared" si="63"/>
        <v>14391.024657534246</v>
      </c>
      <c r="T1609" s="124" t="s">
        <v>5045</v>
      </c>
      <c r="U1609" s="8">
        <v>44145</v>
      </c>
      <c r="V1609" s="6" t="s">
        <v>36</v>
      </c>
      <c r="W1609" s="6" t="s">
        <v>33</v>
      </c>
      <c r="X1609" s="95">
        <v>48520</v>
      </c>
    </row>
    <row r="1610" spans="1:24" x14ac:dyDescent="0.25">
      <c r="A1610" s="6" t="s">
        <v>37</v>
      </c>
      <c r="B1610" s="94" t="s">
        <v>5046</v>
      </c>
      <c r="C1610" s="6" t="s">
        <v>5047</v>
      </c>
      <c r="D1610" s="140">
        <v>11875103</v>
      </c>
      <c r="E1610" s="6" t="s">
        <v>5048</v>
      </c>
      <c r="F1610" s="10" t="s">
        <v>143</v>
      </c>
      <c r="G1610" s="6" t="s">
        <v>5049</v>
      </c>
      <c r="H1610" s="8">
        <v>47164</v>
      </c>
      <c r="I1610" s="8">
        <v>44291</v>
      </c>
      <c r="J1610" s="8">
        <v>44306</v>
      </c>
      <c r="K1610" s="95">
        <v>44307</v>
      </c>
      <c r="L1610" s="95" t="s">
        <v>31</v>
      </c>
      <c r="M1610" s="8">
        <v>44309</v>
      </c>
      <c r="N1610" s="8">
        <v>44868</v>
      </c>
      <c r="O1610" s="8">
        <v>44866</v>
      </c>
      <c r="P1610" s="6" t="s">
        <v>35</v>
      </c>
      <c r="Q1610" s="96">
        <v>1481</v>
      </c>
      <c r="R1610" s="97">
        <f t="shared" si="62"/>
        <v>4.0575342465753428</v>
      </c>
      <c r="S1610" s="75">
        <f t="shared" si="63"/>
        <v>33511.175342465751</v>
      </c>
      <c r="U1610" s="8">
        <v>44908</v>
      </c>
      <c r="W1610" s="6" t="s">
        <v>33</v>
      </c>
      <c r="X1610" s="7">
        <v>51058</v>
      </c>
    </row>
    <row r="1611" spans="1:24" x14ac:dyDescent="0.25">
      <c r="A1611" s="6" t="s">
        <v>25</v>
      </c>
      <c r="B1611" s="94" t="s">
        <v>5050</v>
      </c>
      <c r="C1611" s="6" t="s">
        <v>5051</v>
      </c>
      <c r="D1611" s="140">
        <v>11535418</v>
      </c>
      <c r="E1611" s="6" t="s">
        <v>3468</v>
      </c>
      <c r="F1611" s="10" t="s">
        <v>62</v>
      </c>
      <c r="G1611" s="6" t="s">
        <v>5052</v>
      </c>
      <c r="H1611" s="8">
        <v>45294</v>
      </c>
      <c r="I1611" s="8">
        <v>43804</v>
      </c>
      <c r="J1611" s="8">
        <v>43805</v>
      </c>
      <c r="K1611" s="95">
        <v>43875</v>
      </c>
      <c r="L1611" s="95" t="s">
        <v>31</v>
      </c>
      <c r="M1611" s="8">
        <v>43885</v>
      </c>
      <c r="R1611" s="97" t="str">
        <f t="shared" si="62"/>
        <v/>
      </c>
      <c r="S1611" s="75" t="str">
        <f t="shared" si="63"/>
        <v/>
      </c>
      <c r="T1611" s="124" t="s">
        <v>5053</v>
      </c>
      <c r="U1611" s="8">
        <v>45065</v>
      </c>
      <c r="W1611" s="6" t="s">
        <v>33</v>
      </c>
      <c r="X1611" s="95">
        <v>50330</v>
      </c>
    </row>
    <row r="1612" spans="1:24" x14ac:dyDescent="0.25">
      <c r="A1612" s="6" t="s">
        <v>25</v>
      </c>
      <c r="B1612" s="94" t="s">
        <v>5054</v>
      </c>
      <c r="C1612" s="6" t="s">
        <v>5055</v>
      </c>
      <c r="D1612" s="140">
        <v>11585556</v>
      </c>
      <c r="E1612" s="6" t="s">
        <v>5056</v>
      </c>
      <c r="F1612" s="10" t="s">
        <v>44</v>
      </c>
      <c r="G1612" s="6" t="s">
        <v>5057</v>
      </c>
      <c r="H1612" s="8">
        <v>44564</v>
      </c>
      <c r="I1612" s="8">
        <v>43804</v>
      </c>
      <c r="J1612" s="8">
        <v>43805</v>
      </c>
      <c r="K1612" s="95">
        <v>43875</v>
      </c>
      <c r="L1612" s="95" t="s">
        <v>31</v>
      </c>
      <c r="M1612" s="8">
        <v>43885</v>
      </c>
      <c r="N1612" s="8">
        <v>43936</v>
      </c>
      <c r="O1612" s="8">
        <v>43930</v>
      </c>
      <c r="P1612" s="6" t="s">
        <v>182</v>
      </c>
      <c r="R1612" s="97" t="str">
        <f t="shared" si="62"/>
        <v/>
      </c>
      <c r="S1612" s="75" t="str">
        <f t="shared" si="63"/>
        <v/>
      </c>
      <c r="T1612" s="124" t="s">
        <v>5058</v>
      </c>
      <c r="U1612" s="8">
        <v>43936</v>
      </c>
      <c r="W1612" s="6" t="s">
        <v>33</v>
      </c>
      <c r="X1612" s="95">
        <v>53584</v>
      </c>
    </row>
    <row r="1613" spans="1:24" x14ac:dyDescent="0.25">
      <c r="A1613" s="6" t="s">
        <v>25</v>
      </c>
      <c r="B1613" s="94" t="s">
        <v>5059</v>
      </c>
      <c r="C1613" s="6" t="s">
        <v>5060</v>
      </c>
      <c r="D1613" s="140">
        <v>11950363</v>
      </c>
      <c r="E1613" s="6" t="s">
        <v>1960</v>
      </c>
      <c r="F1613" s="10" t="s">
        <v>134</v>
      </c>
      <c r="G1613" s="6" t="s">
        <v>5061</v>
      </c>
      <c r="H1613" s="8">
        <v>45396</v>
      </c>
      <c r="I1613" s="8">
        <v>43804</v>
      </c>
      <c r="J1613" s="8">
        <v>43805</v>
      </c>
      <c r="K1613" s="95">
        <v>43875</v>
      </c>
      <c r="L1613" s="95" t="s">
        <v>31</v>
      </c>
      <c r="M1613" s="8">
        <v>43885</v>
      </c>
      <c r="R1613" s="97" t="str">
        <f t="shared" si="62"/>
        <v/>
      </c>
      <c r="S1613" s="75" t="str">
        <f t="shared" si="63"/>
        <v/>
      </c>
      <c r="T1613" s="124" t="s">
        <v>5062</v>
      </c>
      <c r="U1613" s="8">
        <v>45121</v>
      </c>
      <c r="W1613" s="6" t="s">
        <v>33</v>
      </c>
      <c r="X1613" s="95">
        <v>49919</v>
      </c>
    </row>
    <row r="1614" spans="1:24" x14ac:dyDescent="0.25">
      <c r="A1614" s="6" t="s">
        <v>25</v>
      </c>
      <c r="B1614" s="94" t="s">
        <v>5063</v>
      </c>
      <c r="C1614" s="6" t="s">
        <v>5064</v>
      </c>
      <c r="D1614" s="140">
        <v>11200584</v>
      </c>
      <c r="E1614" s="6" t="s">
        <v>5065</v>
      </c>
      <c r="F1614" s="10" t="s">
        <v>205</v>
      </c>
      <c r="G1614" s="6" t="s">
        <v>5066</v>
      </c>
      <c r="H1614" s="8">
        <v>45443</v>
      </c>
      <c r="I1614" s="8">
        <v>43804</v>
      </c>
      <c r="J1614" s="8">
        <v>43805</v>
      </c>
      <c r="K1614" s="95">
        <v>43875</v>
      </c>
      <c r="L1614" s="95" t="s">
        <v>31</v>
      </c>
      <c r="M1614" s="8">
        <v>43885</v>
      </c>
      <c r="N1614" s="8">
        <v>44256</v>
      </c>
      <c r="O1614" s="8">
        <v>44246</v>
      </c>
      <c r="P1614" s="6" t="s">
        <v>35</v>
      </c>
      <c r="Q1614" s="96">
        <v>730</v>
      </c>
      <c r="R1614" s="97">
        <f t="shared" si="62"/>
        <v>2</v>
      </c>
      <c r="S1614" s="75">
        <f t="shared" si="63"/>
        <v>16518</v>
      </c>
      <c r="T1614" s="124" t="s">
        <v>320</v>
      </c>
      <c r="U1614" s="8">
        <v>44258</v>
      </c>
      <c r="W1614" s="6" t="s">
        <v>33</v>
      </c>
      <c r="X1614" s="95">
        <v>49113</v>
      </c>
    </row>
    <row r="1615" spans="1:24" x14ac:dyDescent="0.25">
      <c r="A1615" s="6" t="s">
        <v>25</v>
      </c>
      <c r="B1615" s="94" t="s">
        <v>2701</v>
      </c>
      <c r="C1615" s="6" t="s">
        <v>5067</v>
      </c>
      <c r="D1615" s="140">
        <v>12120795</v>
      </c>
      <c r="E1615" s="6" t="s">
        <v>588</v>
      </c>
      <c r="F1615" s="10" t="s">
        <v>3160</v>
      </c>
      <c r="G1615" s="6">
        <v>213138</v>
      </c>
      <c r="H1615" s="8">
        <v>45559</v>
      </c>
      <c r="I1615" s="8">
        <v>43804</v>
      </c>
      <c r="J1615" s="8">
        <v>43805</v>
      </c>
      <c r="K1615" s="95">
        <v>43875</v>
      </c>
      <c r="L1615" s="95" t="s">
        <v>31</v>
      </c>
      <c r="M1615" s="8">
        <v>43885</v>
      </c>
      <c r="R1615" s="97" t="str">
        <f t="shared" si="62"/>
        <v/>
      </c>
      <c r="S1615" s="75" t="str">
        <f t="shared" si="63"/>
        <v/>
      </c>
      <c r="T1615" s="124" t="s">
        <v>5068</v>
      </c>
      <c r="W1615" s="6" t="s">
        <v>33</v>
      </c>
      <c r="X1615" s="95">
        <v>49497</v>
      </c>
    </row>
    <row r="1616" spans="1:24" x14ac:dyDescent="0.25">
      <c r="A1616" s="6" t="s">
        <v>37</v>
      </c>
      <c r="B1616" s="94" t="s">
        <v>1094</v>
      </c>
      <c r="C1616" s="6" t="s">
        <v>5069</v>
      </c>
      <c r="D1616" s="140">
        <v>11050919</v>
      </c>
      <c r="E1616" s="6" t="s">
        <v>5070</v>
      </c>
      <c r="F1616" s="10" t="s">
        <v>143</v>
      </c>
      <c r="G1616" s="6" t="s">
        <v>5071</v>
      </c>
      <c r="H1616" s="8">
        <v>45864</v>
      </c>
      <c r="I1616" s="8">
        <v>44256</v>
      </c>
      <c r="J1616" s="8">
        <v>44267</v>
      </c>
      <c r="K1616" s="95">
        <v>44271</v>
      </c>
      <c r="L1616" s="95" t="s">
        <v>31</v>
      </c>
      <c r="M1616" s="8">
        <v>44281</v>
      </c>
      <c r="N1616" s="8">
        <v>44567</v>
      </c>
      <c r="O1616" s="8">
        <v>44377</v>
      </c>
      <c r="P1616" s="6" t="s">
        <v>52</v>
      </c>
      <c r="R1616" s="97" t="str">
        <f t="shared" si="62"/>
        <v/>
      </c>
      <c r="S1616" s="75" t="str">
        <f t="shared" si="63"/>
        <v/>
      </c>
      <c r="U1616" s="8">
        <v>44567</v>
      </c>
      <c r="W1616" s="6" t="s">
        <v>33</v>
      </c>
      <c r="X1616" s="7">
        <v>46101</v>
      </c>
    </row>
    <row r="1617" spans="1:24" x14ac:dyDescent="0.25">
      <c r="A1617" s="6" t="s">
        <v>37</v>
      </c>
      <c r="B1617" s="94" t="s">
        <v>1094</v>
      </c>
      <c r="C1617" s="6" t="s">
        <v>5072</v>
      </c>
      <c r="D1617" s="140">
        <v>12110387</v>
      </c>
      <c r="E1617" s="6" t="s">
        <v>61</v>
      </c>
      <c r="F1617" s="10" t="s">
        <v>143</v>
      </c>
      <c r="G1617" s="6" t="s">
        <v>5073</v>
      </c>
      <c r="H1617" s="8">
        <v>50703</v>
      </c>
      <c r="I1617" s="8">
        <v>44277</v>
      </c>
      <c r="J1617" s="8">
        <v>44279</v>
      </c>
      <c r="K1617" s="95">
        <v>44279</v>
      </c>
      <c r="L1617" s="95" t="s">
        <v>31</v>
      </c>
      <c r="M1617" s="8">
        <v>44314</v>
      </c>
      <c r="N1617" s="8">
        <v>44322</v>
      </c>
      <c r="O1617" s="8">
        <v>44312</v>
      </c>
      <c r="P1617" s="6" t="s">
        <v>52</v>
      </c>
      <c r="R1617" s="97" t="str">
        <f t="shared" si="62"/>
        <v/>
      </c>
      <c r="S1617" s="75" t="str">
        <f t="shared" si="63"/>
        <v/>
      </c>
      <c r="T1617" s="124" t="s">
        <v>5074</v>
      </c>
      <c r="U1617" s="8">
        <v>44322</v>
      </c>
      <c r="W1617" s="6" t="s">
        <v>33</v>
      </c>
      <c r="X1617" s="7">
        <v>44820</v>
      </c>
    </row>
    <row r="1618" spans="1:24" x14ac:dyDescent="0.25">
      <c r="A1618" s="6" t="s">
        <v>85</v>
      </c>
      <c r="B1618" s="94" t="s">
        <v>5075</v>
      </c>
      <c r="C1618" s="6" t="s">
        <v>5076</v>
      </c>
      <c r="D1618" s="140">
        <v>11651732</v>
      </c>
      <c r="E1618" s="6" t="s">
        <v>162</v>
      </c>
      <c r="F1618" s="10" t="s">
        <v>205</v>
      </c>
      <c r="G1618" s="6" t="s">
        <v>5077</v>
      </c>
      <c r="H1618" s="8">
        <v>49661</v>
      </c>
      <c r="I1618" s="8">
        <v>43304</v>
      </c>
      <c r="J1618" s="8">
        <v>43304</v>
      </c>
      <c r="K1618" s="95">
        <v>43306</v>
      </c>
      <c r="L1618" s="95" t="s">
        <v>31</v>
      </c>
      <c r="M1618" s="8">
        <v>43312</v>
      </c>
      <c r="N1618" s="8">
        <v>44342</v>
      </c>
      <c r="O1618" s="8">
        <v>44274</v>
      </c>
      <c r="P1618" s="6" t="s">
        <v>35</v>
      </c>
      <c r="Q1618" s="96">
        <v>1216</v>
      </c>
      <c r="R1618" s="97">
        <f t="shared" si="62"/>
        <v>3.3315068493150686</v>
      </c>
      <c r="S1618" s="75">
        <f t="shared" si="63"/>
        <v>27514.915068493152</v>
      </c>
      <c r="U1618" s="8">
        <v>44342</v>
      </c>
      <c r="W1618" s="6" t="s">
        <v>33</v>
      </c>
      <c r="X1618" s="95">
        <v>44062</v>
      </c>
    </row>
    <row r="1619" spans="1:24" x14ac:dyDescent="0.25">
      <c r="A1619" s="6" t="s">
        <v>25</v>
      </c>
      <c r="B1619" s="94" t="s">
        <v>5078</v>
      </c>
      <c r="C1619" s="6" t="s">
        <v>5079</v>
      </c>
      <c r="D1619" s="140">
        <v>12113018</v>
      </c>
      <c r="E1619" s="6" t="s">
        <v>5080</v>
      </c>
      <c r="F1619" s="10" t="s">
        <v>100</v>
      </c>
      <c r="G1619" s="6" t="s">
        <v>5081</v>
      </c>
      <c r="H1619" s="8">
        <v>46566</v>
      </c>
      <c r="I1619" s="8">
        <v>43803</v>
      </c>
      <c r="J1619" s="8">
        <v>43808</v>
      </c>
      <c r="K1619" s="95">
        <v>43852</v>
      </c>
      <c r="L1619" s="95" t="s">
        <v>31</v>
      </c>
      <c r="M1619" s="8">
        <v>43858</v>
      </c>
      <c r="R1619" s="97" t="str">
        <f t="shared" si="62"/>
        <v/>
      </c>
      <c r="S1619" s="75" t="str">
        <f t="shared" si="63"/>
        <v/>
      </c>
      <c r="W1619" s="6" t="s">
        <v>33</v>
      </c>
      <c r="X1619" s="95">
        <v>50623</v>
      </c>
    </row>
    <row r="1620" spans="1:24" x14ac:dyDescent="0.25">
      <c r="A1620" s="6" t="s">
        <v>25</v>
      </c>
      <c r="B1620" s="94" t="s">
        <v>5082</v>
      </c>
      <c r="C1620" s="6" t="s">
        <v>5083</v>
      </c>
      <c r="D1620" s="140">
        <v>11054302</v>
      </c>
      <c r="E1620" s="6" t="s">
        <v>318</v>
      </c>
      <c r="F1620" s="10" t="s">
        <v>29</v>
      </c>
      <c r="G1620" s="6" t="s">
        <v>5084</v>
      </c>
      <c r="H1620" s="8">
        <v>61753</v>
      </c>
      <c r="I1620" s="8">
        <v>43803</v>
      </c>
      <c r="J1620" s="8">
        <v>43808</v>
      </c>
      <c r="K1620" s="95">
        <v>43852</v>
      </c>
      <c r="L1620" s="95" t="s">
        <v>31</v>
      </c>
      <c r="M1620" s="8">
        <v>43858</v>
      </c>
      <c r="R1620" s="97" t="str">
        <f t="shared" si="62"/>
        <v/>
      </c>
      <c r="S1620" s="75" t="str">
        <f t="shared" si="63"/>
        <v/>
      </c>
      <c r="T1620" s="124" t="s">
        <v>2810</v>
      </c>
      <c r="W1620" s="6" t="s">
        <v>84</v>
      </c>
      <c r="X1620" s="95">
        <v>51145</v>
      </c>
    </row>
    <row r="1621" spans="1:24" x14ac:dyDescent="0.25">
      <c r="A1621" s="6" t="s">
        <v>25</v>
      </c>
      <c r="B1621" s="94" t="s">
        <v>5085</v>
      </c>
      <c r="C1621" s="6" t="s">
        <v>5086</v>
      </c>
      <c r="D1621" s="140">
        <v>12116965</v>
      </c>
      <c r="E1621" s="6" t="s">
        <v>318</v>
      </c>
      <c r="F1621" s="10" t="s">
        <v>100</v>
      </c>
      <c r="G1621" s="6" t="s">
        <v>5087</v>
      </c>
      <c r="H1621" s="8">
        <v>53402</v>
      </c>
      <c r="I1621" s="8">
        <v>43803</v>
      </c>
      <c r="J1621" s="8">
        <v>43808</v>
      </c>
      <c r="K1621" s="95">
        <v>43852</v>
      </c>
      <c r="L1621" s="95" t="s">
        <v>31</v>
      </c>
      <c r="M1621" s="8">
        <v>43858</v>
      </c>
      <c r="R1621" s="97" t="str">
        <f t="shared" si="62"/>
        <v/>
      </c>
      <c r="S1621" s="75" t="str">
        <f t="shared" si="63"/>
        <v/>
      </c>
      <c r="W1621" s="6" t="s">
        <v>84</v>
      </c>
      <c r="X1621" s="95">
        <v>50518</v>
      </c>
    </row>
    <row r="1622" spans="1:24" x14ac:dyDescent="0.25">
      <c r="A1622" s="6" t="s">
        <v>25</v>
      </c>
      <c r="B1622" s="94" t="s">
        <v>4470</v>
      </c>
      <c r="C1622" s="6" t="s">
        <v>4471</v>
      </c>
      <c r="D1622" s="140">
        <v>11492218</v>
      </c>
      <c r="E1622" s="6" t="s">
        <v>209</v>
      </c>
      <c r="F1622" s="10" t="s">
        <v>143</v>
      </c>
      <c r="G1622" s="6" t="s">
        <v>4472</v>
      </c>
      <c r="H1622" s="8">
        <v>51440</v>
      </c>
      <c r="I1622" s="8">
        <v>43803</v>
      </c>
      <c r="J1622" s="8">
        <v>43808</v>
      </c>
      <c r="K1622" s="95">
        <v>43852</v>
      </c>
      <c r="L1622" s="95" t="s">
        <v>359</v>
      </c>
      <c r="W1622" s="6" t="s">
        <v>33</v>
      </c>
      <c r="X1622" s="95">
        <v>46610</v>
      </c>
    </row>
    <row r="1623" spans="1:24" x14ac:dyDescent="0.25">
      <c r="A1623" s="6" t="s">
        <v>25</v>
      </c>
      <c r="B1623" s="94" t="s">
        <v>5088</v>
      </c>
      <c r="C1623" s="6" t="s">
        <v>5089</v>
      </c>
      <c r="D1623" s="140">
        <v>11194169</v>
      </c>
      <c r="E1623" s="6" t="s">
        <v>318</v>
      </c>
      <c r="F1623" s="10" t="s">
        <v>44</v>
      </c>
      <c r="G1623" s="6" t="s">
        <v>5090</v>
      </c>
      <c r="H1623" s="8">
        <v>63515</v>
      </c>
      <c r="I1623" s="8">
        <v>43803</v>
      </c>
      <c r="J1623" s="8">
        <v>43808</v>
      </c>
      <c r="K1623" s="95">
        <v>43852</v>
      </c>
      <c r="L1623" s="95" t="s">
        <v>31</v>
      </c>
      <c r="M1623" s="8">
        <v>43858</v>
      </c>
      <c r="N1623" s="8">
        <v>43892</v>
      </c>
      <c r="O1623" s="8">
        <v>43872</v>
      </c>
      <c r="P1623" s="6" t="s">
        <v>52</v>
      </c>
      <c r="R1623" s="97" t="str">
        <f t="shared" si="62"/>
        <v/>
      </c>
      <c r="S1623" s="75" t="str">
        <f t="shared" si="63"/>
        <v/>
      </c>
      <c r="U1623" s="8">
        <v>43901</v>
      </c>
      <c r="W1623" s="6" t="s">
        <v>84</v>
      </c>
      <c r="X1623" s="95">
        <v>49414</v>
      </c>
    </row>
    <row r="1624" spans="1:24" x14ac:dyDescent="0.25">
      <c r="A1624" s="6" t="s">
        <v>25</v>
      </c>
      <c r="B1624" s="94" t="s">
        <v>5091</v>
      </c>
      <c r="C1624" s="6" t="s">
        <v>5092</v>
      </c>
      <c r="D1624" s="140">
        <v>12002159</v>
      </c>
      <c r="E1624" s="6" t="s">
        <v>928</v>
      </c>
      <c r="F1624" s="10" t="s">
        <v>57</v>
      </c>
      <c r="G1624" s="6" t="s">
        <v>5093</v>
      </c>
      <c r="H1624" s="8">
        <v>76948</v>
      </c>
      <c r="I1624" s="8">
        <v>43803</v>
      </c>
      <c r="J1624" s="8">
        <v>43808</v>
      </c>
      <c r="K1624" s="95">
        <v>43852</v>
      </c>
      <c r="L1624" s="95" t="s">
        <v>31</v>
      </c>
      <c r="M1624" s="8">
        <v>43858</v>
      </c>
      <c r="N1624" s="8">
        <v>43888</v>
      </c>
      <c r="O1624" s="8">
        <v>43865</v>
      </c>
      <c r="P1624" s="6" t="s">
        <v>75</v>
      </c>
      <c r="R1624" s="97" t="str">
        <f t="shared" si="62"/>
        <v/>
      </c>
      <c r="S1624" s="75" t="str">
        <f t="shared" si="63"/>
        <v/>
      </c>
      <c r="U1624" s="8">
        <v>43888</v>
      </c>
      <c r="W1624" s="6" t="s">
        <v>84</v>
      </c>
      <c r="X1624" s="95">
        <v>51550</v>
      </c>
    </row>
    <row r="1625" spans="1:24" x14ac:dyDescent="0.25">
      <c r="A1625" s="6" t="s">
        <v>25</v>
      </c>
      <c r="B1625" s="94" t="s">
        <v>5094</v>
      </c>
      <c r="C1625" s="6" t="s">
        <v>5095</v>
      </c>
      <c r="D1625" s="140">
        <v>11864228</v>
      </c>
      <c r="E1625" s="6" t="s">
        <v>714</v>
      </c>
      <c r="F1625" s="10" t="s">
        <v>44</v>
      </c>
      <c r="G1625" s="6" t="s">
        <v>5096</v>
      </c>
      <c r="H1625" s="8">
        <v>58940</v>
      </c>
      <c r="I1625" s="8">
        <v>43803</v>
      </c>
      <c r="J1625" s="8">
        <v>43808</v>
      </c>
      <c r="K1625" s="95">
        <v>43852</v>
      </c>
      <c r="L1625" s="95" t="s">
        <v>31</v>
      </c>
      <c r="M1625" s="8">
        <v>43858</v>
      </c>
      <c r="N1625" s="8">
        <v>43893</v>
      </c>
      <c r="O1625" s="8">
        <v>43885</v>
      </c>
      <c r="P1625" s="6" t="s">
        <v>75</v>
      </c>
      <c r="R1625" s="97" t="str">
        <f t="shared" si="62"/>
        <v/>
      </c>
      <c r="S1625" s="75" t="str">
        <f t="shared" si="63"/>
        <v/>
      </c>
      <c r="U1625" s="8">
        <v>43901</v>
      </c>
      <c r="W1625" s="6" t="s">
        <v>84</v>
      </c>
      <c r="X1625" s="95">
        <v>50891</v>
      </c>
    </row>
    <row r="1626" spans="1:24" x14ac:dyDescent="0.25">
      <c r="A1626" s="6" t="s">
        <v>25</v>
      </c>
      <c r="B1626" s="94" t="s">
        <v>944</v>
      </c>
      <c r="C1626" s="6" t="s">
        <v>5097</v>
      </c>
      <c r="D1626" s="140">
        <v>11779750</v>
      </c>
      <c r="E1626" s="6" t="s">
        <v>3163</v>
      </c>
      <c r="F1626" s="10" t="s">
        <v>44</v>
      </c>
      <c r="G1626" s="6" t="s">
        <v>5098</v>
      </c>
      <c r="H1626" s="8">
        <v>47840</v>
      </c>
      <c r="I1626" s="8">
        <v>43803</v>
      </c>
      <c r="J1626" s="8">
        <v>43808</v>
      </c>
      <c r="K1626" s="95">
        <v>43852</v>
      </c>
      <c r="L1626" s="95" t="s">
        <v>31</v>
      </c>
      <c r="M1626" s="8">
        <v>43858</v>
      </c>
      <c r="N1626" s="8">
        <v>43903</v>
      </c>
      <c r="O1626" s="8">
        <v>43888</v>
      </c>
      <c r="P1626" s="6" t="s">
        <v>75</v>
      </c>
      <c r="R1626" s="97" t="str">
        <f t="shared" si="62"/>
        <v/>
      </c>
      <c r="S1626" s="75" t="str">
        <f t="shared" si="63"/>
        <v/>
      </c>
      <c r="U1626" s="8">
        <v>43908</v>
      </c>
      <c r="W1626" s="6" t="s">
        <v>33</v>
      </c>
      <c r="X1626" s="95">
        <v>49840</v>
      </c>
    </row>
    <row r="1627" spans="1:24" x14ac:dyDescent="0.25">
      <c r="A1627" s="6" t="s">
        <v>25</v>
      </c>
      <c r="B1627" s="94" t="s">
        <v>5099</v>
      </c>
      <c r="C1627" s="6" t="s">
        <v>5100</v>
      </c>
      <c r="D1627" s="140">
        <v>11428126</v>
      </c>
      <c r="E1627" s="6" t="s">
        <v>1960</v>
      </c>
      <c r="F1627" s="10" t="s">
        <v>299</v>
      </c>
      <c r="G1627" s="6" t="s">
        <v>5101</v>
      </c>
      <c r="H1627" s="8">
        <v>48684</v>
      </c>
      <c r="I1627" s="8">
        <v>43803</v>
      </c>
      <c r="J1627" s="8">
        <v>43808</v>
      </c>
      <c r="K1627" s="95">
        <v>43852</v>
      </c>
      <c r="L1627" s="95" t="s">
        <v>31</v>
      </c>
      <c r="M1627" s="8">
        <v>43858</v>
      </c>
      <c r="N1627" s="108">
        <v>44147</v>
      </c>
      <c r="O1627" s="108">
        <v>43906</v>
      </c>
      <c r="P1627" s="107" t="s">
        <v>75</v>
      </c>
      <c r="Q1627" s="110"/>
      <c r="R1627" s="97" t="str">
        <f t="shared" si="62"/>
        <v/>
      </c>
      <c r="S1627" s="75" t="str">
        <f t="shared" si="63"/>
        <v/>
      </c>
      <c r="U1627" s="8">
        <v>44776</v>
      </c>
      <c r="W1627" s="6" t="s">
        <v>84</v>
      </c>
      <c r="X1627" s="95">
        <v>46965</v>
      </c>
    </row>
    <row r="1628" spans="1:24" x14ac:dyDescent="0.25">
      <c r="A1628" s="6" t="s">
        <v>25</v>
      </c>
      <c r="B1628" s="94" t="s">
        <v>5102</v>
      </c>
      <c r="C1628" s="6" t="s">
        <v>5103</v>
      </c>
      <c r="D1628" s="140">
        <v>11355353</v>
      </c>
      <c r="E1628" s="6" t="s">
        <v>1650</v>
      </c>
      <c r="F1628" s="10" t="s">
        <v>252</v>
      </c>
      <c r="G1628" s="6" t="s">
        <v>5104</v>
      </c>
      <c r="H1628" s="8">
        <v>51087</v>
      </c>
      <c r="I1628" s="8">
        <v>43803</v>
      </c>
      <c r="J1628" s="8">
        <v>43808</v>
      </c>
      <c r="K1628" s="95">
        <v>43852</v>
      </c>
      <c r="L1628" s="95" t="s">
        <v>359</v>
      </c>
      <c r="R1628" s="97" t="str">
        <f t="shared" si="62"/>
        <v/>
      </c>
      <c r="S1628" s="75" t="str">
        <f t="shared" si="63"/>
        <v/>
      </c>
      <c r="W1628" s="6" t="s">
        <v>84</v>
      </c>
      <c r="X1628" s="95">
        <v>49008</v>
      </c>
    </row>
    <row r="1629" spans="1:24" x14ac:dyDescent="0.25">
      <c r="A1629" s="6" t="s">
        <v>168</v>
      </c>
      <c r="B1629" s="94" t="s">
        <v>488</v>
      </c>
      <c r="C1629" s="6" t="s">
        <v>5105</v>
      </c>
      <c r="D1629" s="140">
        <v>11041165</v>
      </c>
      <c r="E1629" s="6" t="s">
        <v>5106</v>
      </c>
      <c r="F1629" s="10" t="s">
        <v>299</v>
      </c>
      <c r="G1629" s="6" t="s">
        <v>5107</v>
      </c>
      <c r="H1629" s="8">
        <v>44937</v>
      </c>
      <c r="I1629" s="8">
        <v>43733</v>
      </c>
      <c r="J1629" s="8">
        <v>43752</v>
      </c>
      <c r="K1629" s="95">
        <v>43753</v>
      </c>
      <c r="L1629" s="95" t="s">
        <v>31</v>
      </c>
      <c r="M1629" s="8">
        <v>43755</v>
      </c>
      <c r="N1629" s="8">
        <v>43847</v>
      </c>
      <c r="O1629" s="8">
        <v>43839</v>
      </c>
      <c r="P1629" s="6" t="s">
        <v>52</v>
      </c>
      <c r="R1629" s="97" t="str">
        <f t="shared" si="62"/>
        <v/>
      </c>
      <c r="S1629" s="75" t="str">
        <f t="shared" si="63"/>
        <v/>
      </c>
      <c r="U1629" s="8">
        <v>43847</v>
      </c>
      <c r="W1629" s="6" t="s">
        <v>84</v>
      </c>
      <c r="X1629" s="95">
        <v>49502</v>
      </c>
    </row>
    <row r="1630" spans="1:24" x14ac:dyDescent="0.25">
      <c r="A1630" s="6" t="s">
        <v>25</v>
      </c>
      <c r="B1630" s="94" t="s">
        <v>5108</v>
      </c>
      <c r="C1630" s="6" t="s">
        <v>5109</v>
      </c>
      <c r="D1630" s="140">
        <v>11192032</v>
      </c>
      <c r="E1630" s="6" t="s">
        <v>1185</v>
      </c>
      <c r="F1630" s="10" t="s">
        <v>57</v>
      </c>
      <c r="G1630" s="6" t="s">
        <v>5110</v>
      </c>
      <c r="H1630" s="8">
        <v>46875</v>
      </c>
      <c r="I1630" s="8">
        <v>43810</v>
      </c>
      <c r="J1630" s="8">
        <v>43811</v>
      </c>
      <c r="K1630" s="95">
        <v>43875</v>
      </c>
      <c r="L1630" s="95" t="s">
        <v>31</v>
      </c>
      <c r="M1630" s="8">
        <v>43888</v>
      </c>
      <c r="N1630" s="8">
        <v>44813</v>
      </c>
      <c r="O1630" s="8">
        <v>44803</v>
      </c>
      <c r="P1630" s="6" t="s">
        <v>35</v>
      </c>
      <c r="Q1630" s="96">
        <v>1825</v>
      </c>
      <c r="R1630" s="97">
        <f t="shared" si="62"/>
        <v>5</v>
      </c>
      <c r="S1630" s="75">
        <f t="shared" si="63"/>
        <v>41295</v>
      </c>
      <c r="U1630" s="8">
        <v>44980</v>
      </c>
      <c r="W1630" s="6" t="s">
        <v>33</v>
      </c>
      <c r="X1630" s="95">
        <v>45105</v>
      </c>
    </row>
    <row r="1631" spans="1:24" x14ac:dyDescent="0.25">
      <c r="A1631" s="6" t="s">
        <v>25</v>
      </c>
      <c r="B1631" s="94" t="s">
        <v>5111</v>
      </c>
      <c r="C1631" s="6" t="s">
        <v>5112</v>
      </c>
      <c r="D1631" s="140">
        <v>11313996</v>
      </c>
      <c r="E1631" s="6" t="s">
        <v>162</v>
      </c>
      <c r="F1631" s="10" t="s">
        <v>134</v>
      </c>
      <c r="G1631" s="6" t="s">
        <v>5113</v>
      </c>
      <c r="H1631" s="8">
        <v>46761</v>
      </c>
      <c r="I1631" s="8">
        <v>43810</v>
      </c>
      <c r="J1631" s="8">
        <v>43811</v>
      </c>
      <c r="K1631" s="95">
        <v>43875</v>
      </c>
      <c r="L1631" s="95" t="s">
        <v>31</v>
      </c>
      <c r="M1631" s="8">
        <v>43888</v>
      </c>
      <c r="N1631" s="8">
        <v>44826</v>
      </c>
      <c r="O1631" s="8">
        <v>44820</v>
      </c>
      <c r="P1631" s="6" t="s">
        <v>35</v>
      </c>
      <c r="Q1631" s="96">
        <v>1460</v>
      </c>
      <c r="R1631" s="97">
        <f t="shared" si="62"/>
        <v>4</v>
      </c>
      <c r="S1631" s="75">
        <f t="shared" si="63"/>
        <v>33036</v>
      </c>
      <c r="U1631" s="8">
        <v>45044</v>
      </c>
      <c r="V1631" s="6" t="s">
        <v>36</v>
      </c>
      <c r="W1631" s="6" t="s">
        <v>33</v>
      </c>
      <c r="X1631" s="95">
        <v>49929</v>
      </c>
    </row>
    <row r="1632" spans="1:24" x14ac:dyDescent="0.25">
      <c r="A1632" s="6" t="s">
        <v>25</v>
      </c>
      <c r="B1632" s="94" t="s">
        <v>2509</v>
      </c>
      <c r="C1632" s="6" t="s">
        <v>5114</v>
      </c>
      <c r="D1632" s="140">
        <v>11157989</v>
      </c>
      <c r="E1632" s="6" t="s">
        <v>1443</v>
      </c>
      <c r="F1632" s="10" t="s">
        <v>44</v>
      </c>
      <c r="G1632" s="6" t="s">
        <v>5115</v>
      </c>
      <c r="H1632" s="8">
        <v>47299</v>
      </c>
      <c r="I1632" s="8">
        <v>43810</v>
      </c>
      <c r="J1632" s="8">
        <v>43811</v>
      </c>
      <c r="K1632" s="95">
        <v>43875</v>
      </c>
      <c r="L1632" s="95" t="s">
        <v>31</v>
      </c>
      <c r="M1632" s="8">
        <v>43888</v>
      </c>
      <c r="N1632" s="8">
        <v>43906</v>
      </c>
      <c r="O1632" s="8">
        <v>43903</v>
      </c>
      <c r="P1632" s="6" t="s">
        <v>75</v>
      </c>
      <c r="R1632" s="97" t="str">
        <f t="shared" si="62"/>
        <v/>
      </c>
      <c r="S1632" s="75" t="str">
        <f t="shared" si="63"/>
        <v/>
      </c>
      <c r="U1632" s="8">
        <v>43922</v>
      </c>
      <c r="W1632" s="6" t="s">
        <v>33</v>
      </c>
      <c r="X1632" s="95">
        <v>46215</v>
      </c>
    </row>
    <row r="1633" spans="1:24" x14ac:dyDescent="0.25">
      <c r="A1633" s="6" t="s">
        <v>25</v>
      </c>
      <c r="B1633" s="94" t="s">
        <v>5116</v>
      </c>
      <c r="C1633" s="6" t="s">
        <v>5117</v>
      </c>
      <c r="D1633" s="140">
        <v>11066385</v>
      </c>
      <c r="E1633" s="6" t="s">
        <v>706</v>
      </c>
      <c r="F1633" s="10" t="s">
        <v>44</v>
      </c>
      <c r="G1633" s="6" t="s">
        <v>5118</v>
      </c>
      <c r="H1633" s="8">
        <v>47320</v>
      </c>
      <c r="I1633" s="8">
        <v>43810</v>
      </c>
      <c r="J1633" s="8">
        <v>43811</v>
      </c>
      <c r="K1633" s="95">
        <v>43875</v>
      </c>
      <c r="L1633" s="95" t="s">
        <v>359</v>
      </c>
      <c r="R1633" s="97" t="str">
        <f t="shared" si="62"/>
        <v/>
      </c>
      <c r="S1633" s="75" t="str">
        <f t="shared" si="63"/>
        <v/>
      </c>
      <c r="W1633" s="6" t="s">
        <v>84</v>
      </c>
      <c r="X1633" s="95">
        <v>47320</v>
      </c>
    </row>
    <row r="1634" spans="1:24" x14ac:dyDescent="0.25">
      <c r="A1634" s="6" t="s">
        <v>25</v>
      </c>
      <c r="B1634" s="94" t="s">
        <v>5119</v>
      </c>
      <c r="C1634" s="6" t="s">
        <v>5120</v>
      </c>
      <c r="D1634" s="140">
        <v>11680145</v>
      </c>
      <c r="E1634" s="6" t="s">
        <v>962</v>
      </c>
      <c r="F1634" s="10" t="s">
        <v>2600</v>
      </c>
      <c r="G1634" s="6">
        <v>1294110</v>
      </c>
      <c r="H1634" s="8">
        <v>47770</v>
      </c>
      <c r="I1634" s="8">
        <v>43810</v>
      </c>
      <c r="J1634" s="8">
        <v>43811</v>
      </c>
      <c r="K1634" s="95">
        <v>43875</v>
      </c>
      <c r="L1634" s="95" t="s">
        <v>31</v>
      </c>
      <c r="M1634" s="8">
        <v>43888</v>
      </c>
      <c r="R1634" s="97" t="str">
        <f t="shared" si="62"/>
        <v/>
      </c>
      <c r="S1634" s="75" t="str">
        <f t="shared" si="63"/>
        <v/>
      </c>
      <c r="W1634" s="6" t="s">
        <v>84</v>
      </c>
      <c r="X1634" s="95">
        <v>47770</v>
      </c>
    </row>
    <row r="1635" spans="1:24" x14ac:dyDescent="0.25">
      <c r="A1635" s="6" t="s">
        <v>25</v>
      </c>
      <c r="B1635" s="94" t="s">
        <v>5121</v>
      </c>
      <c r="C1635" s="6" t="s">
        <v>5122</v>
      </c>
      <c r="D1635" s="140">
        <v>11448400</v>
      </c>
      <c r="E1635" s="6" t="s">
        <v>2090</v>
      </c>
      <c r="F1635" s="10" t="s">
        <v>44</v>
      </c>
      <c r="G1635" s="6" t="s">
        <v>5123</v>
      </c>
      <c r="H1635" s="8">
        <v>47816</v>
      </c>
      <c r="I1635" s="8">
        <v>43810</v>
      </c>
      <c r="J1635" s="8">
        <v>43811</v>
      </c>
      <c r="K1635" s="95">
        <v>43875</v>
      </c>
      <c r="L1635" s="95" t="s">
        <v>31</v>
      </c>
      <c r="M1635" s="8">
        <v>43888</v>
      </c>
      <c r="N1635" s="8">
        <v>44637</v>
      </c>
      <c r="O1635" s="8">
        <v>44623</v>
      </c>
      <c r="P1635" s="6" t="s">
        <v>52</v>
      </c>
      <c r="R1635" s="97" t="str">
        <f t="shared" si="62"/>
        <v/>
      </c>
      <c r="S1635" s="75" t="str">
        <f t="shared" si="63"/>
        <v/>
      </c>
      <c r="T1635" s="124" t="s">
        <v>5124</v>
      </c>
      <c r="U1635" s="8">
        <v>45344</v>
      </c>
      <c r="W1635" s="6" t="s">
        <v>33</v>
      </c>
      <c r="X1635" s="95">
        <v>50110</v>
      </c>
    </row>
    <row r="1636" spans="1:24" x14ac:dyDescent="0.25">
      <c r="A1636" s="6" t="s">
        <v>25</v>
      </c>
      <c r="B1636" s="94" t="s">
        <v>5125</v>
      </c>
      <c r="C1636" s="6" t="s">
        <v>5126</v>
      </c>
      <c r="D1636" s="140">
        <v>11260765</v>
      </c>
      <c r="E1636" s="6" t="s">
        <v>2090</v>
      </c>
      <c r="F1636" s="10" t="s">
        <v>29</v>
      </c>
      <c r="G1636" s="6" t="s">
        <v>5127</v>
      </c>
      <c r="H1636" s="8">
        <v>47998</v>
      </c>
      <c r="I1636" s="8">
        <v>43810</v>
      </c>
      <c r="J1636" s="8">
        <v>43811</v>
      </c>
      <c r="K1636" s="95">
        <v>43875</v>
      </c>
      <c r="L1636" s="95" t="s">
        <v>31</v>
      </c>
      <c r="M1636" s="8">
        <v>43888</v>
      </c>
      <c r="P1636" s="6" t="s">
        <v>628</v>
      </c>
      <c r="R1636" s="97" t="str">
        <f t="shared" si="62"/>
        <v/>
      </c>
      <c r="S1636" s="75" t="str">
        <f t="shared" si="63"/>
        <v/>
      </c>
      <c r="T1636" s="124" t="s">
        <v>5128</v>
      </c>
      <c r="W1636" s="6" t="s">
        <v>33</v>
      </c>
      <c r="X1636" s="95">
        <v>50225</v>
      </c>
    </row>
    <row r="1637" spans="1:24" x14ac:dyDescent="0.25">
      <c r="A1637" s="6" t="s">
        <v>25</v>
      </c>
      <c r="B1637" s="94" t="s">
        <v>723</v>
      </c>
      <c r="C1637" s="6" t="s">
        <v>5129</v>
      </c>
      <c r="D1637" s="140">
        <v>12107672</v>
      </c>
      <c r="E1637" s="6" t="s">
        <v>1271</v>
      </c>
      <c r="F1637" s="10" t="s">
        <v>44</v>
      </c>
      <c r="G1637" s="6" t="s">
        <v>5130</v>
      </c>
      <c r="H1637" s="8">
        <v>49424</v>
      </c>
      <c r="I1637" s="8">
        <v>43810</v>
      </c>
      <c r="J1637" s="8">
        <v>43811</v>
      </c>
      <c r="K1637" s="95">
        <v>43875</v>
      </c>
      <c r="L1637" s="95" t="s">
        <v>31</v>
      </c>
      <c r="M1637" s="8">
        <v>43888</v>
      </c>
      <c r="N1637" s="8">
        <v>43924</v>
      </c>
      <c r="O1637" s="8">
        <v>43909</v>
      </c>
      <c r="P1637" s="6" t="s">
        <v>52</v>
      </c>
      <c r="R1637" s="97" t="str">
        <f t="shared" si="62"/>
        <v/>
      </c>
      <c r="S1637" s="75" t="str">
        <f t="shared" si="63"/>
        <v/>
      </c>
      <c r="U1637" s="8">
        <v>43936</v>
      </c>
      <c r="W1637" s="6" t="s">
        <v>33</v>
      </c>
      <c r="X1637" s="95">
        <v>51823</v>
      </c>
    </row>
    <row r="1638" spans="1:24" x14ac:dyDescent="0.25">
      <c r="A1638" s="6" t="s">
        <v>25</v>
      </c>
      <c r="B1638" s="94" t="s">
        <v>522</v>
      </c>
      <c r="C1638" s="6" t="s">
        <v>5131</v>
      </c>
      <c r="D1638" s="140">
        <v>11896284</v>
      </c>
      <c r="E1638" s="6" t="s">
        <v>714</v>
      </c>
      <c r="F1638" s="10" t="s">
        <v>934</v>
      </c>
      <c r="G1638" s="6" t="s">
        <v>5132</v>
      </c>
      <c r="H1638" s="8">
        <v>49668</v>
      </c>
      <c r="I1638" s="8">
        <v>43810</v>
      </c>
      <c r="J1638" s="8">
        <v>43811</v>
      </c>
      <c r="K1638" s="95">
        <v>43875</v>
      </c>
      <c r="L1638" s="95" t="s">
        <v>31</v>
      </c>
      <c r="M1638" s="8">
        <v>43888</v>
      </c>
      <c r="N1638" s="108">
        <v>44232</v>
      </c>
      <c r="O1638" s="108">
        <v>44200</v>
      </c>
      <c r="P1638" s="107" t="s">
        <v>35</v>
      </c>
      <c r="Q1638" s="110">
        <v>0</v>
      </c>
      <c r="R1638" s="97" t="str">
        <f t="shared" si="62"/>
        <v/>
      </c>
      <c r="S1638" s="75" t="str">
        <f t="shared" si="63"/>
        <v/>
      </c>
      <c r="U1638" s="8">
        <v>44776</v>
      </c>
      <c r="W1638" s="6" t="s">
        <v>84</v>
      </c>
      <c r="X1638" s="95">
        <v>44658</v>
      </c>
    </row>
    <row r="1639" spans="1:24" x14ac:dyDescent="0.25">
      <c r="A1639" s="6" t="s">
        <v>117</v>
      </c>
      <c r="B1639" s="94" t="s">
        <v>2635</v>
      </c>
      <c r="C1639" s="6" t="s">
        <v>5133</v>
      </c>
      <c r="D1639" s="140">
        <v>11509635</v>
      </c>
      <c r="E1639" s="6" t="s">
        <v>714</v>
      </c>
      <c r="F1639" s="10" t="s">
        <v>29</v>
      </c>
      <c r="G1639" s="6" t="s">
        <v>5134</v>
      </c>
      <c r="H1639" s="8">
        <v>37104</v>
      </c>
      <c r="I1639" s="8">
        <v>43815</v>
      </c>
      <c r="J1639" s="8">
        <v>43815</v>
      </c>
      <c r="K1639" s="95">
        <v>43815</v>
      </c>
      <c r="L1639" s="95" t="s">
        <v>31</v>
      </c>
      <c r="M1639" s="8">
        <v>43819</v>
      </c>
      <c r="N1639" s="108">
        <v>44309</v>
      </c>
      <c r="O1639" s="108">
        <v>44294</v>
      </c>
      <c r="P1639" s="107" t="s">
        <v>35</v>
      </c>
      <c r="Q1639" s="110">
        <v>0</v>
      </c>
      <c r="R1639" s="97" t="str">
        <f t="shared" si="62"/>
        <v/>
      </c>
      <c r="S1639" s="75" t="str">
        <f t="shared" si="63"/>
        <v/>
      </c>
      <c r="U1639" s="8">
        <v>44776</v>
      </c>
      <c r="W1639" s="6" t="s">
        <v>84</v>
      </c>
      <c r="X1639" s="95">
        <v>39202</v>
      </c>
    </row>
    <row r="1640" spans="1:24" x14ac:dyDescent="0.25">
      <c r="A1640" s="6" t="s">
        <v>25</v>
      </c>
      <c r="B1640" s="94" t="s">
        <v>4953</v>
      </c>
      <c r="C1640" s="6" t="s">
        <v>5135</v>
      </c>
      <c r="D1640" s="140">
        <v>11871617</v>
      </c>
      <c r="E1640" s="6" t="s">
        <v>527</v>
      </c>
      <c r="F1640" s="10" t="s">
        <v>44</v>
      </c>
      <c r="G1640" s="6" t="s">
        <v>5136</v>
      </c>
      <c r="H1640" s="8">
        <v>48693</v>
      </c>
      <c r="I1640" s="8">
        <v>43812</v>
      </c>
      <c r="J1640" s="8">
        <v>43836</v>
      </c>
      <c r="K1640" s="95">
        <v>43894</v>
      </c>
      <c r="L1640" s="95" t="s">
        <v>359</v>
      </c>
      <c r="R1640" s="97" t="str">
        <f t="shared" si="62"/>
        <v/>
      </c>
      <c r="S1640" s="75" t="str">
        <f t="shared" si="63"/>
        <v/>
      </c>
      <c r="W1640" s="6" t="s">
        <v>84</v>
      </c>
      <c r="X1640" s="95">
        <v>48827</v>
      </c>
    </row>
    <row r="1641" spans="1:24" x14ac:dyDescent="0.25">
      <c r="A1641" s="6" t="s">
        <v>25</v>
      </c>
      <c r="B1641" s="94" t="s">
        <v>5137</v>
      </c>
      <c r="C1641" s="6" t="s">
        <v>5138</v>
      </c>
      <c r="D1641" s="140">
        <v>11231512</v>
      </c>
      <c r="E1641" s="6" t="s">
        <v>344</v>
      </c>
      <c r="F1641" s="10" t="s">
        <v>148</v>
      </c>
      <c r="G1641" s="6" t="s">
        <v>5139</v>
      </c>
      <c r="H1641" s="8">
        <v>59422</v>
      </c>
      <c r="I1641" s="8">
        <v>43812</v>
      </c>
      <c r="J1641" s="8">
        <v>43836</v>
      </c>
      <c r="K1641" s="95">
        <v>43894</v>
      </c>
      <c r="L1641" s="95" t="s">
        <v>359</v>
      </c>
      <c r="R1641" s="97" t="str">
        <f t="shared" si="62"/>
        <v/>
      </c>
      <c r="S1641" s="75" t="str">
        <f t="shared" si="63"/>
        <v/>
      </c>
      <c r="W1641" s="6" t="s">
        <v>84</v>
      </c>
      <c r="X1641" s="95">
        <v>47271</v>
      </c>
    </row>
    <row r="1642" spans="1:24" x14ac:dyDescent="0.25">
      <c r="A1642" s="6" t="s">
        <v>25</v>
      </c>
      <c r="B1642" s="94" t="s">
        <v>5140</v>
      </c>
      <c r="C1642" s="6" t="s">
        <v>5141</v>
      </c>
      <c r="D1642" s="140">
        <v>11250440</v>
      </c>
      <c r="E1642" s="6" t="s">
        <v>142</v>
      </c>
      <c r="F1642" s="10" t="s">
        <v>121</v>
      </c>
      <c r="G1642" s="6" t="s">
        <v>5142</v>
      </c>
      <c r="H1642" s="8">
        <v>258115</v>
      </c>
      <c r="I1642" s="8">
        <v>43812</v>
      </c>
      <c r="J1642" s="8">
        <v>43836</v>
      </c>
      <c r="K1642" s="95">
        <v>43894</v>
      </c>
      <c r="L1642" s="95" t="s">
        <v>359</v>
      </c>
      <c r="R1642" s="97" t="str">
        <f t="shared" si="62"/>
        <v/>
      </c>
      <c r="S1642" s="75" t="str">
        <f t="shared" si="63"/>
        <v/>
      </c>
      <c r="W1642" s="6" t="s">
        <v>84</v>
      </c>
      <c r="X1642" s="95">
        <v>46287</v>
      </c>
    </row>
    <row r="1643" spans="1:24" x14ac:dyDescent="0.25">
      <c r="A1643" s="6" t="s">
        <v>168</v>
      </c>
      <c r="B1643" s="94" t="s">
        <v>488</v>
      </c>
      <c r="C1643" s="6" t="s">
        <v>5143</v>
      </c>
      <c r="D1643" s="140">
        <v>11951630</v>
      </c>
      <c r="E1643" s="6" t="s">
        <v>5144</v>
      </c>
      <c r="F1643" s="10" t="s">
        <v>62</v>
      </c>
      <c r="G1643" s="6">
        <v>6711477</v>
      </c>
      <c r="H1643" s="8">
        <v>52619</v>
      </c>
      <c r="I1643" s="8">
        <v>44089</v>
      </c>
      <c r="J1643" s="8">
        <v>44144</v>
      </c>
      <c r="K1643" s="95">
        <v>44148</v>
      </c>
      <c r="L1643" s="95" t="s">
        <v>359</v>
      </c>
      <c r="R1643" s="97" t="str">
        <f t="shared" si="62"/>
        <v/>
      </c>
      <c r="S1643" s="75" t="str">
        <f t="shared" si="63"/>
        <v/>
      </c>
      <c r="W1643" s="6" t="s">
        <v>84</v>
      </c>
      <c r="X1643" s="135">
        <v>46455</v>
      </c>
    </row>
    <row r="1644" spans="1:24" x14ac:dyDescent="0.25">
      <c r="A1644" s="6" t="s">
        <v>37</v>
      </c>
      <c r="B1644" s="94" t="s">
        <v>5145</v>
      </c>
      <c r="C1644" s="6" t="s">
        <v>5146</v>
      </c>
      <c r="D1644" s="140">
        <v>121107935</v>
      </c>
      <c r="E1644" s="6" t="s">
        <v>5147</v>
      </c>
      <c r="F1644" s="10" t="s">
        <v>2662</v>
      </c>
      <c r="G1644" s="6" t="s">
        <v>5148</v>
      </c>
      <c r="H1644" s="8">
        <v>46193</v>
      </c>
      <c r="I1644" s="8">
        <v>44033</v>
      </c>
      <c r="J1644" s="8">
        <v>44064</v>
      </c>
      <c r="K1644" s="95">
        <v>44070</v>
      </c>
      <c r="L1644" s="95" t="s">
        <v>31</v>
      </c>
      <c r="M1644" s="8">
        <v>44099</v>
      </c>
      <c r="N1644" s="108">
        <v>44315</v>
      </c>
      <c r="O1644" s="108">
        <v>44308</v>
      </c>
      <c r="P1644" s="107" t="s">
        <v>35</v>
      </c>
      <c r="Q1644" s="110">
        <v>1767</v>
      </c>
      <c r="R1644" s="97">
        <f t="shared" si="62"/>
        <v>4.8410958904109593</v>
      </c>
      <c r="S1644" s="75">
        <f t="shared" si="63"/>
        <v>39982.610958904108</v>
      </c>
      <c r="U1644" s="8">
        <v>44776</v>
      </c>
      <c r="W1644" s="6" t="s">
        <v>33</v>
      </c>
      <c r="X1644" s="135">
        <v>46425</v>
      </c>
    </row>
    <row r="1645" spans="1:24" x14ac:dyDescent="0.25">
      <c r="A1645" s="6" t="s">
        <v>37</v>
      </c>
      <c r="B1645" s="94" t="s">
        <v>5145</v>
      </c>
      <c r="C1645" s="6" t="s">
        <v>5149</v>
      </c>
      <c r="D1645" s="140">
        <v>11297256</v>
      </c>
      <c r="E1645" s="6" t="s">
        <v>5150</v>
      </c>
      <c r="F1645" s="10" t="s">
        <v>44</v>
      </c>
      <c r="G1645" s="6" t="s">
        <v>5151</v>
      </c>
      <c r="H1645" s="8">
        <v>45520</v>
      </c>
      <c r="I1645" s="8">
        <v>44026</v>
      </c>
      <c r="J1645" s="8">
        <v>44064</v>
      </c>
      <c r="K1645" s="95">
        <v>44070</v>
      </c>
      <c r="L1645" s="95" t="s">
        <v>31</v>
      </c>
      <c r="M1645" s="8">
        <v>44099</v>
      </c>
      <c r="R1645" s="97" t="str">
        <f t="shared" si="62"/>
        <v/>
      </c>
      <c r="S1645" s="75" t="str">
        <f t="shared" si="63"/>
        <v/>
      </c>
      <c r="T1645" s="124" t="s">
        <v>5152</v>
      </c>
      <c r="U1645" s="8">
        <v>45205</v>
      </c>
      <c r="W1645" s="6" t="s">
        <v>33</v>
      </c>
      <c r="X1645" s="135">
        <v>45944</v>
      </c>
    </row>
    <row r="1646" spans="1:24" x14ac:dyDescent="0.25">
      <c r="A1646" s="6" t="s">
        <v>25</v>
      </c>
      <c r="B1646" s="94" t="s">
        <v>291</v>
      </c>
      <c r="C1646" s="6" t="s">
        <v>5153</v>
      </c>
      <c r="D1646" s="140">
        <v>11208117</v>
      </c>
      <c r="E1646" s="6" t="s">
        <v>2090</v>
      </c>
      <c r="F1646" s="10" t="s">
        <v>44</v>
      </c>
      <c r="G1646" s="6" t="s">
        <v>5154</v>
      </c>
      <c r="H1646" s="8">
        <v>45854</v>
      </c>
      <c r="I1646" s="8">
        <v>43816</v>
      </c>
      <c r="J1646" s="8">
        <v>43808</v>
      </c>
      <c r="K1646" s="95">
        <v>43899</v>
      </c>
      <c r="L1646" s="95" t="s">
        <v>31</v>
      </c>
      <c r="M1646" s="8">
        <v>43909</v>
      </c>
      <c r="N1646" s="8">
        <v>44018</v>
      </c>
      <c r="O1646" s="8">
        <v>43941</v>
      </c>
      <c r="P1646" s="6" t="s">
        <v>75</v>
      </c>
      <c r="R1646" s="97" t="str">
        <f t="shared" si="62"/>
        <v/>
      </c>
      <c r="S1646" s="75" t="str">
        <f t="shared" si="63"/>
        <v/>
      </c>
      <c r="U1646" s="8">
        <v>44018</v>
      </c>
      <c r="W1646" s="6" t="s">
        <v>33</v>
      </c>
      <c r="X1646" s="95">
        <v>47813</v>
      </c>
    </row>
    <row r="1647" spans="1:24" x14ac:dyDescent="0.25">
      <c r="A1647" s="6" t="s">
        <v>25</v>
      </c>
      <c r="B1647" s="94" t="s">
        <v>430</v>
      </c>
      <c r="C1647" s="6" t="s">
        <v>5155</v>
      </c>
      <c r="D1647" s="140">
        <v>112111262</v>
      </c>
      <c r="E1647" s="6" t="s">
        <v>3644</v>
      </c>
      <c r="F1647" s="10" t="s">
        <v>44</v>
      </c>
      <c r="G1647" s="6" t="s">
        <v>5156</v>
      </c>
      <c r="H1647" s="8">
        <v>46073</v>
      </c>
      <c r="I1647" s="8">
        <v>43816</v>
      </c>
      <c r="J1647" s="8">
        <v>43808</v>
      </c>
      <c r="K1647" s="95">
        <v>43899</v>
      </c>
      <c r="L1647" s="95" t="s">
        <v>31</v>
      </c>
      <c r="M1647" s="8">
        <v>43909</v>
      </c>
      <c r="R1647" s="97" t="str">
        <f t="shared" si="62"/>
        <v/>
      </c>
      <c r="S1647" s="75" t="str">
        <f t="shared" si="63"/>
        <v/>
      </c>
      <c r="W1647" s="6" t="s">
        <v>84</v>
      </c>
      <c r="X1647" s="95">
        <v>49427</v>
      </c>
    </row>
    <row r="1648" spans="1:24" ht="45" x14ac:dyDescent="0.25">
      <c r="A1648" s="6" t="s">
        <v>25</v>
      </c>
      <c r="B1648" s="94" t="s">
        <v>5157</v>
      </c>
      <c r="C1648" s="6" t="s">
        <v>5158</v>
      </c>
      <c r="D1648" s="140">
        <v>11457350</v>
      </c>
      <c r="E1648" s="6" t="s">
        <v>2160</v>
      </c>
      <c r="F1648" s="10" t="s">
        <v>44</v>
      </c>
      <c r="G1648" s="6" t="s">
        <v>5159</v>
      </c>
      <c r="H1648" s="8">
        <v>46007</v>
      </c>
      <c r="I1648" s="8">
        <v>43816</v>
      </c>
      <c r="J1648" s="8">
        <v>43808</v>
      </c>
      <c r="K1648" s="95">
        <v>43899</v>
      </c>
      <c r="L1648" s="95" t="s">
        <v>31</v>
      </c>
      <c r="M1648" s="8">
        <v>43909</v>
      </c>
      <c r="N1648" s="8">
        <v>44013</v>
      </c>
      <c r="O1648" s="8">
        <v>44000</v>
      </c>
      <c r="P1648" s="6" t="s">
        <v>52</v>
      </c>
      <c r="R1648" s="97" t="str">
        <f t="shared" si="62"/>
        <v/>
      </c>
      <c r="S1648" s="75" t="str">
        <f t="shared" si="63"/>
        <v/>
      </c>
      <c r="T1648" s="124" t="s">
        <v>5160</v>
      </c>
      <c r="U1648" s="8">
        <v>44013</v>
      </c>
      <c r="W1648" s="6" t="s">
        <v>33</v>
      </c>
      <c r="X1648" s="95">
        <v>50418</v>
      </c>
    </row>
    <row r="1649" spans="1:24" x14ac:dyDescent="0.25">
      <c r="A1649" s="6" t="s">
        <v>25</v>
      </c>
      <c r="B1649" s="94" t="s">
        <v>1113</v>
      </c>
      <c r="C1649" s="6" t="s">
        <v>5161</v>
      </c>
      <c r="D1649" s="140">
        <v>11341195</v>
      </c>
      <c r="E1649" s="6" t="s">
        <v>1525</v>
      </c>
      <c r="F1649" s="10" t="s">
        <v>44</v>
      </c>
      <c r="G1649" s="6" t="s">
        <v>5162</v>
      </c>
      <c r="H1649" s="8">
        <v>45985</v>
      </c>
      <c r="I1649" s="8">
        <v>43816</v>
      </c>
      <c r="J1649" s="8">
        <v>43808</v>
      </c>
      <c r="K1649" s="95">
        <v>43899</v>
      </c>
      <c r="L1649" s="95" t="s">
        <v>359</v>
      </c>
      <c r="R1649" s="97" t="str">
        <f t="shared" si="62"/>
        <v/>
      </c>
      <c r="S1649" s="75" t="str">
        <f t="shared" si="63"/>
        <v/>
      </c>
      <c r="W1649" s="6" t="s">
        <v>33</v>
      </c>
      <c r="X1649" s="95">
        <v>54422</v>
      </c>
    </row>
    <row r="1650" spans="1:24" x14ac:dyDescent="0.25">
      <c r="A1650" s="6" t="s">
        <v>25</v>
      </c>
      <c r="B1650" s="94" t="s">
        <v>5163</v>
      </c>
      <c r="C1650" s="6" t="s">
        <v>5164</v>
      </c>
      <c r="D1650" s="140">
        <v>11199436</v>
      </c>
      <c r="E1650" s="6" t="s">
        <v>588</v>
      </c>
      <c r="F1650" s="10" t="s">
        <v>3160</v>
      </c>
      <c r="G1650" s="6">
        <v>2413057</v>
      </c>
      <c r="H1650" s="8">
        <v>45748</v>
      </c>
      <c r="I1650" s="8">
        <v>43816</v>
      </c>
      <c r="J1650" s="8">
        <v>43808</v>
      </c>
      <c r="K1650" s="95">
        <v>43899</v>
      </c>
      <c r="L1650" s="95" t="s">
        <v>31</v>
      </c>
      <c r="M1650" s="8">
        <v>43909</v>
      </c>
      <c r="N1650" s="8">
        <v>44151</v>
      </c>
      <c r="O1650" s="8">
        <v>44141</v>
      </c>
      <c r="P1650" s="6" t="s">
        <v>35</v>
      </c>
      <c r="Q1650" s="96">
        <v>1553</v>
      </c>
      <c r="R1650" s="97">
        <f t="shared" si="62"/>
        <v>4.2547945205479456</v>
      </c>
      <c r="S1650" s="75">
        <f t="shared" si="63"/>
        <v>35140.347945205482</v>
      </c>
      <c r="T1650" s="124" t="s">
        <v>5165</v>
      </c>
      <c r="U1650" s="8">
        <v>44155</v>
      </c>
      <c r="V1650" s="6" t="s">
        <v>36</v>
      </c>
      <c r="W1650" s="6" t="s">
        <v>33</v>
      </c>
      <c r="X1650" s="95">
        <v>49026</v>
      </c>
    </row>
    <row r="1651" spans="1:24" x14ac:dyDescent="0.25">
      <c r="A1651" s="6" t="s">
        <v>25</v>
      </c>
      <c r="B1651" s="94" t="s">
        <v>250</v>
      </c>
      <c r="C1651" s="6" t="s">
        <v>5166</v>
      </c>
      <c r="D1651" s="140">
        <v>11506633</v>
      </c>
      <c r="E1651" s="6" t="s">
        <v>1151</v>
      </c>
      <c r="F1651" s="10" t="s">
        <v>44</v>
      </c>
      <c r="G1651" s="6" t="s">
        <v>5167</v>
      </c>
      <c r="H1651" s="8">
        <v>45691</v>
      </c>
      <c r="I1651" s="8">
        <v>43816</v>
      </c>
      <c r="J1651" s="8">
        <v>43808</v>
      </c>
      <c r="K1651" s="95">
        <v>43899</v>
      </c>
      <c r="L1651" s="95" t="s">
        <v>31</v>
      </c>
      <c r="M1651" s="8">
        <v>43909</v>
      </c>
      <c r="N1651" s="8">
        <v>44019</v>
      </c>
      <c r="O1651" s="8">
        <v>44004</v>
      </c>
      <c r="P1651" s="6" t="s">
        <v>75</v>
      </c>
      <c r="R1651" s="97" t="str">
        <f t="shared" si="62"/>
        <v/>
      </c>
      <c r="S1651" s="75" t="str">
        <f t="shared" si="63"/>
        <v/>
      </c>
      <c r="U1651" s="8">
        <v>44020</v>
      </c>
      <c r="W1651" s="6" t="s">
        <v>84</v>
      </c>
      <c r="X1651" s="95">
        <v>37582</v>
      </c>
    </row>
    <row r="1652" spans="1:24" x14ac:dyDescent="0.25">
      <c r="A1652" s="6" t="s">
        <v>25</v>
      </c>
      <c r="B1652" s="94" t="s">
        <v>5168</v>
      </c>
      <c r="C1652" s="6" t="s">
        <v>5169</v>
      </c>
      <c r="D1652" s="140">
        <v>11146273</v>
      </c>
      <c r="E1652" s="6" t="s">
        <v>514</v>
      </c>
      <c r="F1652" s="10" t="s">
        <v>44</v>
      </c>
      <c r="G1652" s="6" t="s">
        <v>5170</v>
      </c>
      <c r="H1652" s="8">
        <v>45896</v>
      </c>
      <c r="I1652" s="8">
        <v>43816</v>
      </c>
      <c r="J1652" s="8">
        <v>43808</v>
      </c>
      <c r="K1652" s="95">
        <v>43899</v>
      </c>
      <c r="L1652" s="95" t="s">
        <v>31</v>
      </c>
      <c r="M1652" s="8">
        <v>43909</v>
      </c>
      <c r="N1652" s="108">
        <v>44615</v>
      </c>
      <c r="O1652" s="108">
        <v>44593</v>
      </c>
      <c r="P1652" s="107" t="s">
        <v>35</v>
      </c>
      <c r="Q1652" s="110">
        <v>261</v>
      </c>
      <c r="R1652" s="97">
        <f t="shared" si="62"/>
        <v>0.71506849315068488</v>
      </c>
      <c r="S1652" s="75">
        <f t="shared" si="63"/>
        <v>5905.7506849315068</v>
      </c>
      <c r="U1652" s="8">
        <v>44776</v>
      </c>
      <c r="W1652" s="6" t="s">
        <v>33</v>
      </c>
      <c r="X1652" s="95">
        <v>49896</v>
      </c>
    </row>
    <row r="1653" spans="1:24" x14ac:dyDescent="0.25">
      <c r="A1653" s="6" t="s">
        <v>25</v>
      </c>
      <c r="B1653" s="94" t="s">
        <v>5171</v>
      </c>
      <c r="C1653" s="6" t="s">
        <v>5172</v>
      </c>
      <c r="D1653" s="140">
        <v>11095448</v>
      </c>
      <c r="E1653" s="6" t="s">
        <v>3564</v>
      </c>
      <c r="F1653" s="10" t="s">
        <v>44</v>
      </c>
      <c r="G1653" s="6" t="s">
        <v>5173</v>
      </c>
      <c r="H1653" s="8">
        <v>49767</v>
      </c>
      <c r="I1653" s="8">
        <v>43809</v>
      </c>
      <c r="J1653" s="8">
        <v>43810</v>
      </c>
      <c r="K1653" s="95">
        <v>43495</v>
      </c>
      <c r="L1653" s="95" t="s">
        <v>31</v>
      </c>
      <c r="M1653" s="8">
        <v>43867</v>
      </c>
      <c r="N1653" s="8">
        <v>43888</v>
      </c>
      <c r="O1653" s="8">
        <v>43879</v>
      </c>
      <c r="P1653" s="6" t="s">
        <v>52</v>
      </c>
      <c r="R1653" s="97" t="str">
        <f t="shared" si="62"/>
        <v/>
      </c>
      <c r="S1653" s="75" t="str">
        <f t="shared" si="63"/>
        <v/>
      </c>
      <c r="U1653" s="8">
        <v>43920</v>
      </c>
      <c r="W1653" s="6" t="s">
        <v>84</v>
      </c>
      <c r="X1653" s="95">
        <v>46535</v>
      </c>
    </row>
    <row r="1654" spans="1:24" x14ac:dyDescent="0.25">
      <c r="A1654" s="6" t="s">
        <v>25</v>
      </c>
      <c r="B1654" s="94" t="s">
        <v>5174</v>
      </c>
      <c r="C1654" s="6" t="s">
        <v>5175</v>
      </c>
      <c r="D1654" s="140">
        <v>11093122</v>
      </c>
      <c r="E1654" s="6" t="s">
        <v>142</v>
      </c>
      <c r="F1654" s="10" t="s">
        <v>57</v>
      </c>
      <c r="G1654" s="6" t="s">
        <v>5176</v>
      </c>
      <c r="H1654" s="8">
        <v>45448</v>
      </c>
      <c r="I1654" s="8">
        <v>43809</v>
      </c>
      <c r="J1654" s="8">
        <v>43810</v>
      </c>
      <c r="K1654" s="95">
        <v>43495</v>
      </c>
      <c r="L1654" s="95" t="s">
        <v>31</v>
      </c>
      <c r="M1654" s="8">
        <v>43867</v>
      </c>
      <c r="R1654" s="97" t="str">
        <f t="shared" si="62"/>
        <v/>
      </c>
      <c r="S1654" s="75" t="str">
        <f t="shared" si="63"/>
        <v/>
      </c>
      <c r="W1654" s="6" t="s">
        <v>84</v>
      </c>
      <c r="X1654" s="95">
        <v>45243</v>
      </c>
    </row>
    <row r="1655" spans="1:24" x14ac:dyDescent="0.25">
      <c r="A1655" s="6" t="s">
        <v>25</v>
      </c>
      <c r="B1655" s="94" t="s">
        <v>5177</v>
      </c>
      <c r="C1655" s="6" t="s">
        <v>5178</v>
      </c>
      <c r="D1655" s="140">
        <v>11063903</v>
      </c>
      <c r="E1655" s="6" t="s">
        <v>1082</v>
      </c>
      <c r="F1655" s="10" t="s">
        <v>62</v>
      </c>
      <c r="G1655" s="6" t="s">
        <v>5179</v>
      </c>
      <c r="H1655" s="8">
        <v>69125</v>
      </c>
      <c r="I1655" s="8">
        <v>43809</v>
      </c>
      <c r="J1655" s="8">
        <v>43810</v>
      </c>
      <c r="K1655" s="95">
        <v>43495</v>
      </c>
      <c r="L1655" s="95" t="s">
        <v>359</v>
      </c>
      <c r="R1655" s="97" t="str">
        <f t="shared" si="62"/>
        <v/>
      </c>
      <c r="S1655" s="75" t="str">
        <f t="shared" si="63"/>
        <v/>
      </c>
      <c r="W1655" s="6" t="s">
        <v>84</v>
      </c>
      <c r="X1655" s="95">
        <v>48646</v>
      </c>
    </row>
    <row r="1656" spans="1:24" x14ac:dyDescent="0.25">
      <c r="A1656" s="6" t="s">
        <v>25</v>
      </c>
      <c r="B1656" s="94" t="s">
        <v>1761</v>
      </c>
      <c r="C1656" s="6" t="s">
        <v>5180</v>
      </c>
      <c r="D1656" s="140">
        <v>11059073</v>
      </c>
      <c r="E1656" s="6" t="s">
        <v>414</v>
      </c>
      <c r="F1656" s="10" t="s">
        <v>44</v>
      </c>
      <c r="G1656" s="6" t="s">
        <v>5181</v>
      </c>
      <c r="H1656" s="8">
        <v>46755</v>
      </c>
      <c r="I1656" s="8">
        <v>43809</v>
      </c>
      <c r="J1656" s="8">
        <v>43810</v>
      </c>
      <c r="K1656" s="95">
        <v>43495</v>
      </c>
      <c r="L1656" s="95" t="s">
        <v>31</v>
      </c>
      <c r="M1656" s="8">
        <v>43867</v>
      </c>
      <c r="N1656" s="108">
        <v>44137</v>
      </c>
      <c r="O1656" s="108">
        <v>44134</v>
      </c>
      <c r="P1656" s="107" t="s">
        <v>35</v>
      </c>
      <c r="Q1656" s="110">
        <v>2597</v>
      </c>
      <c r="R1656" s="97">
        <f t="shared" si="62"/>
        <v>7.1150684931506847</v>
      </c>
      <c r="S1656" s="75">
        <f t="shared" si="63"/>
        <v>58763.350684931509</v>
      </c>
      <c r="U1656" s="8">
        <v>44776</v>
      </c>
      <c r="W1656" s="6" t="s">
        <v>33</v>
      </c>
      <c r="X1656" s="95">
        <v>49395</v>
      </c>
    </row>
    <row r="1657" spans="1:24" x14ac:dyDescent="0.25">
      <c r="A1657" s="6" t="s">
        <v>25</v>
      </c>
      <c r="B1657" s="94" t="s">
        <v>5182</v>
      </c>
      <c r="C1657" s="6" t="s">
        <v>5183</v>
      </c>
      <c r="D1657" s="140">
        <v>11180231</v>
      </c>
      <c r="E1657" s="6" t="s">
        <v>607</v>
      </c>
      <c r="F1657" s="10" t="s">
        <v>134</v>
      </c>
      <c r="G1657" s="6" t="s">
        <v>5184</v>
      </c>
      <c r="H1657" s="8">
        <v>47377</v>
      </c>
      <c r="I1657" s="8">
        <v>43809</v>
      </c>
      <c r="J1657" s="8">
        <v>43810</v>
      </c>
      <c r="K1657" s="95">
        <v>43495</v>
      </c>
      <c r="L1657" s="95" t="s">
        <v>359</v>
      </c>
      <c r="R1657" s="97" t="str">
        <f t="shared" si="62"/>
        <v/>
      </c>
      <c r="S1657" s="75" t="str">
        <f t="shared" si="63"/>
        <v/>
      </c>
      <c r="W1657" s="6" t="s">
        <v>33</v>
      </c>
      <c r="X1657" s="95">
        <v>49583</v>
      </c>
    </row>
    <row r="1658" spans="1:24" x14ac:dyDescent="0.25">
      <c r="A1658" s="6" t="s">
        <v>25</v>
      </c>
      <c r="B1658" s="94" t="s">
        <v>3698</v>
      </c>
      <c r="C1658" s="6" t="s">
        <v>5185</v>
      </c>
      <c r="D1658" s="140">
        <v>11110542</v>
      </c>
      <c r="E1658" s="6" t="s">
        <v>318</v>
      </c>
      <c r="F1658" s="10" t="s">
        <v>44</v>
      </c>
      <c r="G1658" s="6" t="s">
        <v>5186</v>
      </c>
      <c r="H1658" s="8">
        <v>58324</v>
      </c>
      <c r="I1658" s="8">
        <v>43809</v>
      </c>
      <c r="J1658" s="8">
        <v>43810</v>
      </c>
      <c r="K1658" s="95">
        <v>43495</v>
      </c>
      <c r="L1658" s="95" t="s">
        <v>31</v>
      </c>
      <c r="M1658" s="8">
        <v>43867</v>
      </c>
      <c r="N1658" s="8">
        <v>43901</v>
      </c>
      <c r="O1658" s="8">
        <v>43887</v>
      </c>
      <c r="P1658" s="6" t="s">
        <v>75</v>
      </c>
      <c r="R1658" s="97" t="str">
        <f t="shared" si="62"/>
        <v/>
      </c>
      <c r="S1658" s="75" t="str">
        <f t="shared" si="63"/>
        <v/>
      </c>
      <c r="U1658" s="8">
        <v>43903</v>
      </c>
      <c r="W1658" s="6" t="s">
        <v>84</v>
      </c>
      <c r="X1658" s="95">
        <v>37832</v>
      </c>
    </row>
    <row r="1659" spans="1:24" x14ac:dyDescent="0.25">
      <c r="A1659" s="6" t="s">
        <v>25</v>
      </c>
      <c r="B1659" s="94" t="s">
        <v>704</v>
      </c>
      <c r="C1659" s="6" t="s">
        <v>5187</v>
      </c>
      <c r="D1659" s="140">
        <v>11102975</v>
      </c>
      <c r="E1659" s="6" t="s">
        <v>318</v>
      </c>
      <c r="F1659" s="10" t="s">
        <v>57</v>
      </c>
      <c r="G1659" s="6" t="s">
        <v>5188</v>
      </c>
      <c r="H1659" s="8">
        <v>48054</v>
      </c>
      <c r="I1659" s="8">
        <v>43809</v>
      </c>
      <c r="J1659" s="8">
        <v>43810</v>
      </c>
      <c r="K1659" s="95">
        <v>43495</v>
      </c>
      <c r="L1659" s="95" t="s">
        <v>31</v>
      </c>
      <c r="M1659" s="8">
        <v>43867</v>
      </c>
      <c r="N1659" s="8">
        <v>44753</v>
      </c>
      <c r="O1659" s="8">
        <v>44726</v>
      </c>
      <c r="P1659" s="6" t="s">
        <v>35</v>
      </c>
      <c r="Q1659" s="96">
        <v>3286</v>
      </c>
      <c r="R1659" s="97">
        <f t="shared" si="62"/>
        <v>9.0027397260273965</v>
      </c>
      <c r="S1659" s="75">
        <f t="shared" si="63"/>
        <v>74353.627397260279</v>
      </c>
      <c r="U1659" s="8">
        <v>44764</v>
      </c>
      <c r="W1659" s="6" t="s">
        <v>84</v>
      </c>
      <c r="X1659" s="95">
        <v>37956</v>
      </c>
    </row>
    <row r="1660" spans="1:24" x14ac:dyDescent="0.25">
      <c r="A1660" s="6" t="s">
        <v>25</v>
      </c>
      <c r="B1660" s="94" t="s">
        <v>5189</v>
      </c>
      <c r="C1660" s="6" t="s">
        <v>5190</v>
      </c>
      <c r="D1660" s="140">
        <v>11112604</v>
      </c>
      <c r="E1660" s="6" t="s">
        <v>5191</v>
      </c>
      <c r="F1660" s="10" t="s">
        <v>2600</v>
      </c>
      <c r="G1660" s="6">
        <v>1085298</v>
      </c>
      <c r="H1660" s="8">
        <v>68180</v>
      </c>
      <c r="I1660" s="8">
        <v>43809</v>
      </c>
      <c r="J1660" s="8">
        <v>43810</v>
      </c>
      <c r="K1660" s="95">
        <v>43495</v>
      </c>
      <c r="L1660" s="95" t="s">
        <v>31</v>
      </c>
      <c r="M1660" s="8">
        <v>43867</v>
      </c>
      <c r="R1660" s="97" t="str">
        <f t="shared" si="62"/>
        <v/>
      </c>
      <c r="S1660" s="75" t="str">
        <f t="shared" si="63"/>
        <v/>
      </c>
      <c r="W1660" s="6" t="s">
        <v>84</v>
      </c>
      <c r="X1660" s="95">
        <v>46614</v>
      </c>
    </row>
    <row r="1661" spans="1:24" ht="30" x14ac:dyDescent="0.25">
      <c r="A1661" s="6" t="s">
        <v>25</v>
      </c>
      <c r="B1661" s="94" t="s">
        <v>2598</v>
      </c>
      <c r="C1661" s="6" t="s">
        <v>2599</v>
      </c>
      <c r="D1661" s="140">
        <v>12115495</v>
      </c>
      <c r="E1661" s="6" t="s">
        <v>686</v>
      </c>
      <c r="F1661" s="10" t="s">
        <v>2600</v>
      </c>
      <c r="G1661" s="6">
        <v>1434614</v>
      </c>
      <c r="H1661" s="8">
        <v>48053</v>
      </c>
      <c r="I1661" s="8">
        <v>43766</v>
      </c>
      <c r="J1661" s="8">
        <v>43767</v>
      </c>
      <c r="K1661" s="95">
        <v>43818</v>
      </c>
      <c r="L1661" s="95" t="s">
        <v>31</v>
      </c>
      <c r="M1661" s="8">
        <v>43826</v>
      </c>
      <c r="N1661" s="8">
        <v>44872</v>
      </c>
      <c r="O1661" s="8">
        <v>44867</v>
      </c>
      <c r="P1661" s="107"/>
      <c r="Q1661" s="96">
        <v>4380</v>
      </c>
      <c r="R1661" s="97">
        <f t="shared" si="62"/>
        <v>12</v>
      </c>
      <c r="S1661" s="75">
        <f t="shared" si="63"/>
        <v>99108</v>
      </c>
      <c r="T1661" s="129"/>
      <c r="U1661" s="8">
        <v>44966</v>
      </c>
      <c r="V1661" s="6" t="s">
        <v>581</v>
      </c>
      <c r="W1661" s="6" t="s">
        <v>33</v>
      </c>
      <c r="X1661" s="95">
        <v>46749</v>
      </c>
    </row>
    <row r="1662" spans="1:24" x14ac:dyDescent="0.25">
      <c r="A1662" s="6" t="s">
        <v>25</v>
      </c>
      <c r="B1662" s="94" t="s">
        <v>2217</v>
      </c>
      <c r="C1662" s="6" t="s">
        <v>5192</v>
      </c>
      <c r="D1662" s="140">
        <v>11241440</v>
      </c>
      <c r="E1662" s="6" t="s">
        <v>588</v>
      </c>
      <c r="F1662" s="10" t="s">
        <v>44</v>
      </c>
      <c r="G1662" s="6" t="s">
        <v>5193</v>
      </c>
      <c r="H1662" s="8">
        <v>44725</v>
      </c>
      <c r="I1662" s="8">
        <v>43817</v>
      </c>
      <c r="J1662" s="8">
        <v>43818</v>
      </c>
      <c r="K1662" s="95">
        <v>43875</v>
      </c>
      <c r="L1662" s="95" t="s">
        <v>31</v>
      </c>
      <c r="M1662" s="8">
        <v>43888</v>
      </c>
      <c r="N1662" s="8">
        <v>43943</v>
      </c>
      <c r="O1662" s="8">
        <v>43937</v>
      </c>
      <c r="P1662" s="6" t="s">
        <v>182</v>
      </c>
      <c r="R1662" s="97" t="str">
        <f t="shared" si="62"/>
        <v/>
      </c>
      <c r="S1662" s="75" t="str">
        <f t="shared" si="63"/>
        <v/>
      </c>
      <c r="U1662" s="8">
        <v>43950</v>
      </c>
      <c r="W1662" s="6" t="s">
        <v>33</v>
      </c>
      <c r="X1662" s="95">
        <v>48178</v>
      </c>
    </row>
    <row r="1663" spans="1:24" x14ac:dyDescent="0.25">
      <c r="A1663" s="6" t="s">
        <v>25</v>
      </c>
      <c r="B1663" s="94" t="s">
        <v>5194</v>
      </c>
      <c r="C1663" s="6" t="s">
        <v>5195</v>
      </c>
      <c r="D1663" s="140">
        <v>11448334</v>
      </c>
      <c r="E1663" s="6" t="s">
        <v>2827</v>
      </c>
      <c r="F1663" s="10" t="s">
        <v>44</v>
      </c>
      <c r="G1663" s="6" t="s">
        <v>5196</v>
      </c>
      <c r="H1663" s="8">
        <v>44770</v>
      </c>
      <c r="I1663" s="8">
        <v>43817</v>
      </c>
      <c r="J1663" s="8">
        <v>43818</v>
      </c>
      <c r="K1663" s="95">
        <v>43875</v>
      </c>
      <c r="L1663" s="95" t="s">
        <v>31</v>
      </c>
      <c r="M1663" s="8">
        <v>43888</v>
      </c>
      <c r="N1663" s="8">
        <v>44250</v>
      </c>
      <c r="O1663" s="8">
        <v>44204</v>
      </c>
      <c r="P1663" s="6" t="s">
        <v>90</v>
      </c>
      <c r="Q1663" s="96">
        <v>286</v>
      </c>
      <c r="R1663" s="97">
        <f t="shared" si="62"/>
        <v>0.78356164383561644</v>
      </c>
      <c r="S1663" s="75">
        <f t="shared" si="63"/>
        <v>6471.4356164383562</v>
      </c>
      <c r="T1663" s="124" t="s">
        <v>5197</v>
      </c>
      <c r="U1663" s="8">
        <v>44251</v>
      </c>
      <c r="V1663" s="6" t="s">
        <v>36</v>
      </c>
      <c r="W1663" s="6" t="s">
        <v>33</v>
      </c>
      <c r="X1663" s="95">
        <v>46150</v>
      </c>
    </row>
    <row r="1664" spans="1:24" x14ac:dyDescent="0.25">
      <c r="A1664" s="6" t="s">
        <v>25</v>
      </c>
      <c r="B1664" s="94" t="s">
        <v>1366</v>
      </c>
      <c r="C1664" s="6" t="s">
        <v>5198</v>
      </c>
      <c r="D1664" s="140">
        <v>11275321</v>
      </c>
      <c r="E1664" s="6" t="s">
        <v>130</v>
      </c>
      <c r="F1664" s="10" t="s">
        <v>205</v>
      </c>
      <c r="G1664" s="6" t="s">
        <v>5199</v>
      </c>
      <c r="H1664" s="8">
        <v>44942</v>
      </c>
      <c r="I1664" s="8">
        <v>43817</v>
      </c>
      <c r="J1664" s="8">
        <v>43818</v>
      </c>
      <c r="K1664" s="95">
        <v>43875</v>
      </c>
      <c r="L1664" s="95" t="s">
        <v>31</v>
      </c>
      <c r="M1664" s="8">
        <v>43888</v>
      </c>
      <c r="N1664" s="8">
        <v>44032</v>
      </c>
      <c r="O1664" s="8">
        <v>43973</v>
      </c>
      <c r="P1664" s="6" t="s">
        <v>52</v>
      </c>
      <c r="R1664" s="97" t="str">
        <f t="shared" si="62"/>
        <v/>
      </c>
      <c r="S1664" s="75" t="str">
        <f t="shared" si="63"/>
        <v/>
      </c>
      <c r="U1664" s="8">
        <v>44056</v>
      </c>
      <c r="W1664" s="6" t="s">
        <v>33</v>
      </c>
      <c r="X1664" s="95">
        <v>49089</v>
      </c>
    </row>
    <row r="1665" spans="1:24" x14ac:dyDescent="0.25">
      <c r="A1665" s="6" t="s">
        <v>25</v>
      </c>
      <c r="B1665" s="94" t="s">
        <v>3086</v>
      </c>
      <c r="C1665" s="6" t="s">
        <v>3087</v>
      </c>
      <c r="D1665" s="140">
        <v>11088530</v>
      </c>
      <c r="E1665" s="6" t="s">
        <v>344</v>
      </c>
      <c r="F1665" s="10" t="s">
        <v>143</v>
      </c>
      <c r="G1665" s="6" t="s">
        <v>3088</v>
      </c>
      <c r="H1665" s="8">
        <v>45009</v>
      </c>
      <c r="I1665" s="8">
        <v>43817</v>
      </c>
      <c r="J1665" s="8">
        <v>43818</v>
      </c>
      <c r="K1665" s="95">
        <v>43875</v>
      </c>
      <c r="L1665" s="95" t="s">
        <v>31</v>
      </c>
      <c r="M1665" s="8">
        <v>43888</v>
      </c>
      <c r="N1665" s="8">
        <v>44308</v>
      </c>
      <c r="O1665" s="8">
        <v>44245</v>
      </c>
      <c r="P1665" s="6" t="s">
        <v>35</v>
      </c>
      <c r="Q1665" s="96">
        <v>647</v>
      </c>
      <c r="R1665" s="97">
        <f t="shared" si="62"/>
        <v>1.7726027397260273</v>
      </c>
      <c r="S1665" s="75">
        <f t="shared" si="63"/>
        <v>14639.926027397261</v>
      </c>
      <c r="U1665" s="8">
        <v>44309</v>
      </c>
      <c r="W1665" s="6" t="s">
        <v>33</v>
      </c>
      <c r="X1665" s="95">
        <v>46487</v>
      </c>
    </row>
    <row r="1666" spans="1:24" x14ac:dyDescent="0.25">
      <c r="A1666" s="6" t="s">
        <v>25</v>
      </c>
      <c r="B1666" s="94" t="s">
        <v>792</v>
      </c>
      <c r="C1666" s="6" t="s">
        <v>5200</v>
      </c>
      <c r="D1666" s="140">
        <v>11197401</v>
      </c>
      <c r="E1666" s="6" t="s">
        <v>2086</v>
      </c>
      <c r="F1666" s="10" t="s">
        <v>44</v>
      </c>
      <c r="G1666" s="6" t="s">
        <v>5201</v>
      </c>
      <c r="H1666" s="8">
        <v>45133</v>
      </c>
      <c r="I1666" s="8">
        <v>43817</v>
      </c>
      <c r="J1666" s="8">
        <v>43818</v>
      </c>
      <c r="K1666" s="95">
        <v>43875</v>
      </c>
      <c r="L1666" s="95" t="s">
        <v>31</v>
      </c>
      <c r="M1666" s="8">
        <v>43888</v>
      </c>
      <c r="N1666" s="8">
        <v>43924</v>
      </c>
      <c r="O1666" s="8">
        <v>43915</v>
      </c>
      <c r="P1666" s="6" t="s">
        <v>52</v>
      </c>
      <c r="R1666" s="97" t="str">
        <f t="shared" si="62"/>
        <v/>
      </c>
      <c r="S1666" s="75" t="str">
        <f t="shared" si="63"/>
        <v/>
      </c>
      <c r="U1666" s="8">
        <v>43936</v>
      </c>
      <c r="W1666" s="6" t="s">
        <v>33</v>
      </c>
      <c r="X1666" s="95">
        <v>47811</v>
      </c>
    </row>
    <row r="1667" spans="1:24" x14ac:dyDescent="0.25">
      <c r="A1667" s="6" t="s">
        <v>25</v>
      </c>
      <c r="B1667" s="94" t="s">
        <v>5202</v>
      </c>
      <c r="C1667" s="6" t="s">
        <v>5203</v>
      </c>
      <c r="D1667" s="140">
        <v>11568396</v>
      </c>
      <c r="E1667" s="6" t="s">
        <v>1525</v>
      </c>
      <c r="F1667" s="10" t="s">
        <v>44</v>
      </c>
      <c r="G1667" s="6" t="s">
        <v>5204</v>
      </c>
      <c r="H1667" s="8">
        <v>45181</v>
      </c>
      <c r="I1667" s="8">
        <v>43817</v>
      </c>
      <c r="J1667" s="8">
        <v>43818</v>
      </c>
      <c r="K1667" s="95">
        <v>43875</v>
      </c>
      <c r="L1667" s="95" t="s">
        <v>31</v>
      </c>
      <c r="M1667" s="8">
        <v>43888</v>
      </c>
      <c r="N1667" s="108">
        <v>44120</v>
      </c>
      <c r="O1667" s="108">
        <v>44117</v>
      </c>
      <c r="P1667" s="107" t="s">
        <v>52</v>
      </c>
      <c r="Q1667" s="110"/>
      <c r="R1667" s="97" t="str">
        <f t="shared" si="62"/>
        <v/>
      </c>
      <c r="S1667" s="75" t="str">
        <f t="shared" si="63"/>
        <v/>
      </c>
      <c r="U1667" s="8">
        <v>44776</v>
      </c>
      <c r="W1667" s="6" t="s">
        <v>33</v>
      </c>
      <c r="X1667" s="95">
        <v>52413</v>
      </c>
    </row>
    <row r="1668" spans="1:24" x14ac:dyDescent="0.25">
      <c r="A1668" s="6" t="s">
        <v>25</v>
      </c>
      <c r="B1668" s="94" t="s">
        <v>3185</v>
      </c>
      <c r="C1668" s="6" t="s">
        <v>5205</v>
      </c>
      <c r="D1668" s="140">
        <v>11229597</v>
      </c>
      <c r="E1668" s="6" t="s">
        <v>2454</v>
      </c>
      <c r="F1668" s="10" t="s">
        <v>134</v>
      </c>
      <c r="G1668" s="6" t="s">
        <v>5206</v>
      </c>
      <c r="H1668" s="8">
        <v>45301</v>
      </c>
      <c r="I1668" s="8">
        <v>43817</v>
      </c>
      <c r="J1668" s="8">
        <v>43818</v>
      </c>
      <c r="K1668" s="95">
        <v>43875</v>
      </c>
      <c r="L1668" s="95" t="s">
        <v>31</v>
      </c>
      <c r="M1668" s="8">
        <v>43888</v>
      </c>
      <c r="N1668" s="108">
        <v>44278</v>
      </c>
      <c r="O1668" s="108">
        <v>44274</v>
      </c>
      <c r="P1668" s="107" t="s">
        <v>35</v>
      </c>
      <c r="Q1668" s="110">
        <v>1017</v>
      </c>
      <c r="R1668" s="97">
        <f t="shared" si="62"/>
        <v>2.7863013698630139</v>
      </c>
      <c r="S1668" s="75">
        <f t="shared" si="63"/>
        <v>23012.063013698629</v>
      </c>
      <c r="U1668" s="8">
        <v>44776</v>
      </c>
      <c r="W1668" s="6" t="s">
        <v>84</v>
      </c>
      <c r="X1668" s="95">
        <v>37228</v>
      </c>
    </row>
    <row r="1669" spans="1:24" x14ac:dyDescent="0.25">
      <c r="A1669" s="6" t="s">
        <v>25</v>
      </c>
      <c r="B1669" s="94" t="s">
        <v>5207</v>
      </c>
      <c r="C1669" s="6" t="s">
        <v>5208</v>
      </c>
      <c r="D1669" s="140">
        <v>11146763</v>
      </c>
      <c r="E1669" s="6" t="s">
        <v>175</v>
      </c>
      <c r="F1669" s="10" t="s">
        <v>121</v>
      </c>
      <c r="G1669" s="6" t="s">
        <v>5209</v>
      </c>
      <c r="H1669" s="8">
        <v>45341</v>
      </c>
      <c r="I1669" s="8">
        <v>43817</v>
      </c>
      <c r="J1669" s="8">
        <v>43818</v>
      </c>
      <c r="K1669" s="95">
        <v>43875</v>
      </c>
      <c r="L1669" s="95" t="s">
        <v>31</v>
      </c>
      <c r="M1669" s="8">
        <v>43888</v>
      </c>
      <c r="N1669" s="108">
        <v>44256</v>
      </c>
      <c r="O1669" s="108">
        <v>44250</v>
      </c>
      <c r="P1669" s="107" t="s">
        <v>75</v>
      </c>
      <c r="Q1669" s="110"/>
      <c r="R1669" s="97" t="str">
        <f t="shared" si="62"/>
        <v/>
      </c>
      <c r="S1669" s="75" t="str">
        <f t="shared" si="63"/>
        <v/>
      </c>
      <c r="U1669" s="8">
        <v>44776</v>
      </c>
      <c r="W1669" s="6" t="s">
        <v>84</v>
      </c>
      <c r="X1669" s="95">
        <v>44851</v>
      </c>
    </row>
    <row r="1670" spans="1:24" x14ac:dyDescent="0.25">
      <c r="A1670" s="6" t="s">
        <v>25</v>
      </c>
      <c r="B1670" s="94" t="s">
        <v>5210</v>
      </c>
      <c r="C1670" s="6" t="s">
        <v>5211</v>
      </c>
      <c r="D1670" s="140">
        <v>11909346</v>
      </c>
      <c r="E1670" s="6" t="s">
        <v>1662</v>
      </c>
      <c r="F1670" s="10" t="s">
        <v>293</v>
      </c>
      <c r="G1670" s="6">
        <v>156878</v>
      </c>
      <c r="H1670" s="8">
        <v>45343</v>
      </c>
      <c r="I1670" s="8">
        <v>43817</v>
      </c>
      <c r="J1670" s="8">
        <v>43818</v>
      </c>
      <c r="K1670" s="95">
        <v>43875</v>
      </c>
      <c r="L1670" s="95" t="s">
        <v>31</v>
      </c>
      <c r="M1670" s="8">
        <v>43888</v>
      </c>
      <c r="N1670" s="8">
        <v>44074</v>
      </c>
      <c r="O1670" s="8">
        <v>44035</v>
      </c>
      <c r="P1670" s="6" t="s">
        <v>75</v>
      </c>
      <c r="R1670" s="97" t="str">
        <f t="shared" ref="R1670:R1733" si="64">IF(Q1670&gt;0, Q1670/365, "")</f>
        <v/>
      </c>
      <c r="S1670" s="75" t="str">
        <f t="shared" ref="S1670:S1733" si="65">IF(Q1670&gt;0, SUM(Q1670)*(8259/365), "")</f>
        <v/>
      </c>
      <c r="U1670" s="8">
        <v>44074</v>
      </c>
      <c r="W1670" s="6" t="s">
        <v>33</v>
      </c>
      <c r="X1670" s="95">
        <v>51681</v>
      </c>
    </row>
    <row r="1671" spans="1:24" x14ac:dyDescent="0.25">
      <c r="A1671" s="6" t="s">
        <v>168</v>
      </c>
      <c r="B1671" s="94" t="s">
        <v>5212</v>
      </c>
      <c r="C1671" s="6" t="s">
        <v>5213</v>
      </c>
      <c r="D1671" s="140">
        <v>11581466</v>
      </c>
      <c r="E1671" s="6" t="s">
        <v>362</v>
      </c>
      <c r="F1671" s="10" t="s">
        <v>57</v>
      </c>
      <c r="G1671" s="6" t="s">
        <v>5214</v>
      </c>
      <c r="H1671" s="8">
        <v>49274</v>
      </c>
      <c r="I1671" s="8">
        <v>44376</v>
      </c>
      <c r="J1671" s="8">
        <v>44398</v>
      </c>
      <c r="K1671" s="95">
        <v>44399</v>
      </c>
      <c r="L1671" s="95" t="s">
        <v>359</v>
      </c>
      <c r="R1671" s="97" t="str">
        <f t="shared" si="64"/>
        <v/>
      </c>
      <c r="S1671" s="75" t="str">
        <f t="shared" si="65"/>
        <v/>
      </c>
      <c r="W1671" s="6" t="s">
        <v>84</v>
      </c>
      <c r="X1671" s="7">
        <v>45554</v>
      </c>
    </row>
    <row r="1672" spans="1:24" x14ac:dyDescent="0.25">
      <c r="A1672" s="6" t="s">
        <v>25</v>
      </c>
      <c r="B1672" s="94" t="s">
        <v>145</v>
      </c>
      <c r="C1672" s="6" t="s">
        <v>5215</v>
      </c>
      <c r="D1672" s="140">
        <v>11911561</v>
      </c>
      <c r="E1672" s="6" t="s">
        <v>2827</v>
      </c>
      <c r="F1672" s="10" t="s">
        <v>44</v>
      </c>
      <c r="G1672" s="6" t="s">
        <v>5216</v>
      </c>
      <c r="H1672" s="8">
        <v>45382</v>
      </c>
      <c r="I1672" s="8">
        <v>43822</v>
      </c>
      <c r="J1672" s="8">
        <v>43822</v>
      </c>
      <c r="K1672" s="95">
        <v>43875</v>
      </c>
      <c r="L1672" s="95" t="s">
        <v>31</v>
      </c>
      <c r="M1672" s="8">
        <v>43888</v>
      </c>
      <c r="N1672" s="8">
        <v>43924</v>
      </c>
      <c r="O1672" s="8">
        <v>43900</v>
      </c>
      <c r="P1672" s="6" t="s">
        <v>52</v>
      </c>
      <c r="R1672" s="97" t="str">
        <f t="shared" si="64"/>
        <v/>
      </c>
      <c r="S1672" s="75" t="str">
        <f t="shared" si="65"/>
        <v/>
      </c>
      <c r="U1672" s="8">
        <v>43936</v>
      </c>
      <c r="W1672" s="6" t="s">
        <v>33</v>
      </c>
      <c r="X1672" s="95">
        <v>48097</v>
      </c>
    </row>
    <row r="1673" spans="1:24" x14ac:dyDescent="0.25">
      <c r="A1673" s="6" t="s">
        <v>25</v>
      </c>
      <c r="B1673" s="94" t="s">
        <v>5217</v>
      </c>
      <c r="C1673" s="6" t="s">
        <v>5218</v>
      </c>
      <c r="D1673" s="140">
        <v>11603053</v>
      </c>
      <c r="E1673" s="6" t="s">
        <v>244</v>
      </c>
      <c r="F1673" s="10" t="s">
        <v>121</v>
      </c>
      <c r="G1673" s="6" t="s">
        <v>5219</v>
      </c>
      <c r="H1673" s="8">
        <v>75941</v>
      </c>
      <c r="I1673" s="8">
        <v>43822</v>
      </c>
      <c r="J1673" s="8">
        <v>43836</v>
      </c>
      <c r="K1673" s="95">
        <v>43899</v>
      </c>
      <c r="L1673" s="95" t="s">
        <v>359</v>
      </c>
      <c r="R1673" s="97" t="str">
        <f t="shared" si="64"/>
        <v/>
      </c>
      <c r="S1673" s="75" t="str">
        <f t="shared" si="65"/>
        <v/>
      </c>
      <c r="W1673" s="6" t="s">
        <v>84</v>
      </c>
      <c r="X1673" s="95">
        <v>48257</v>
      </c>
    </row>
    <row r="1674" spans="1:24" x14ac:dyDescent="0.25">
      <c r="A1674" s="6" t="s">
        <v>25</v>
      </c>
      <c r="B1674" s="94" t="s">
        <v>1412</v>
      </c>
      <c r="C1674" s="6" t="s">
        <v>5220</v>
      </c>
      <c r="D1674" s="140">
        <v>11204373</v>
      </c>
      <c r="E1674" s="6" t="s">
        <v>1018</v>
      </c>
      <c r="F1674" s="10" t="s">
        <v>44</v>
      </c>
      <c r="G1674" s="6" t="s">
        <v>5221</v>
      </c>
      <c r="H1674" s="8">
        <v>86297</v>
      </c>
      <c r="I1674" s="8">
        <v>43822</v>
      </c>
      <c r="J1674" s="8">
        <v>43836</v>
      </c>
      <c r="K1674" s="95">
        <v>43899</v>
      </c>
      <c r="L1674" s="95" t="s">
        <v>359</v>
      </c>
      <c r="R1674" s="97" t="str">
        <f t="shared" si="64"/>
        <v/>
      </c>
      <c r="S1674" s="75" t="str">
        <f t="shared" si="65"/>
        <v/>
      </c>
      <c r="W1674" s="6" t="s">
        <v>84</v>
      </c>
      <c r="X1674" s="95">
        <v>50068</v>
      </c>
    </row>
    <row r="1675" spans="1:24" ht="30" x14ac:dyDescent="0.25">
      <c r="A1675" s="6" t="s">
        <v>25</v>
      </c>
      <c r="B1675" s="94" t="s">
        <v>5222</v>
      </c>
      <c r="C1675" s="6" t="s">
        <v>5223</v>
      </c>
      <c r="D1675" s="140">
        <v>11667811</v>
      </c>
      <c r="E1675" s="6" t="s">
        <v>540</v>
      </c>
      <c r="F1675" s="10" t="s">
        <v>44</v>
      </c>
      <c r="G1675" s="6" t="s">
        <v>5224</v>
      </c>
      <c r="H1675" s="8">
        <v>74389</v>
      </c>
      <c r="I1675" s="8">
        <v>43822</v>
      </c>
      <c r="J1675" s="8">
        <v>43836</v>
      </c>
      <c r="K1675" s="95">
        <v>43899</v>
      </c>
      <c r="L1675" s="95" t="s">
        <v>31</v>
      </c>
      <c r="M1675" s="8">
        <v>43906</v>
      </c>
      <c r="N1675" s="8">
        <v>44238</v>
      </c>
      <c r="O1675" s="8">
        <v>44183</v>
      </c>
      <c r="P1675" s="6" t="s">
        <v>90</v>
      </c>
      <c r="Q1675" s="96">
        <v>3837</v>
      </c>
      <c r="R1675" s="97">
        <f t="shared" si="64"/>
        <v>10.512328767123288</v>
      </c>
      <c r="S1675" s="75">
        <f t="shared" si="65"/>
        <v>86821.323287671228</v>
      </c>
      <c r="T1675" s="124" t="s">
        <v>5225</v>
      </c>
      <c r="U1675" s="8">
        <v>44246</v>
      </c>
      <c r="V1675" s="6" t="s">
        <v>581</v>
      </c>
      <c r="W1675" s="6" t="s">
        <v>84</v>
      </c>
      <c r="X1675" s="95">
        <v>48091</v>
      </c>
    </row>
    <row r="1676" spans="1:24" x14ac:dyDescent="0.25">
      <c r="A1676" s="6" t="s">
        <v>25</v>
      </c>
      <c r="B1676" s="94" t="s">
        <v>1479</v>
      </c>
      <c r="C1676" s="6" t="s">
        <v>5226</v>
      </c>
      <c r="D1676" s="140">
        <v>11043889</v>
      </c>
      <c r="E1676" s="6" t="s">
        <v>247</v>
      </c>
      <c r="F1676" s="10" t="s">
        <v>134</v>
      </c>
      <c r="G1676" s="6" t="s">
        <v>5227</v>
      </c>
      <c r="H1676" s="8">
        <v>94217</v>
      </c>
      <c r="I1676" s="8">
        <v>43822</v>
      </c>
      <c r="J1676" s="8">
        <v>43836</v>
      </c>
      <c r="K1676" s="95">
        <v>43899</v>
      </c>
      <c r="L1676" s="95" t="s">
        <v>359</v>
      </c>
      <c r="R1676" s="97" t="str">
        <f t="shared" si="64"/>
        <v/>
      </c>
      <c r="S1676" s="75" t="str">
        <f t="shared" si="65"/>
        <v/>
      </c>
      <c r="W1676" s="6" t="s">
        <v>84</v>
      </c>
      <c r="X1676" s="95">
        <v>55054</v>
      </c>
    </row>
    <row r="1677" spans="1:24" x14ac:dyDescent="0.25">
      <c r="A1677" s="6" t="s">
        <v>37</v>
      </c>
      <c r="B1677" s="94" t="s">
        <v>5145</v>
      </c>
      <c r="C1677" s="6" t="s">
        <v>5228</v>
      </c>
      <c r="D1677" s="140">
        <v>11564615</v>
      </c>
      <c r="E1677" s="6" t="s">
        <v>5229</v>
      </c>
      <c r="F1677" s="10" t="s">
        <v>44</v>
      </c>
      <c r="G1677" s="6" t="s">
        <v>5230</v>
      </c>
      <c r="H1677" s="8">
        <v>51467</v>
      </c>
      <c r="I1677" s="8">
        <v>44112</v>
      </c>
      <c r="J1677" s="8">
        <v>44119</v>
      </c>
      <c r="K1677" s="95">
        <v>44120</v>
      </c>
      <c r="L1677" s="95" t="s">
        <v>31</v>
      </c>
      <c r="M1677" s="8">
        <v>44141</v>
      </c>
      <c r="N1677" s="8">
        <v>44264</v>
      </c>
      <c r="O1677" s="8">
        <v>44252</v>
      </c>
      <c r="P1677" s="6" t="s">
        <v>52</v>
      </c>
      <c r="R1677" s="97" t="str">
        <f t="shared" si="64"/>
        <v/>
      </c>
      <c r="S1677" s="75" t="str">
        <f t="shared" si="65"/>
        <v/>
      </c>
      <c r="U1677" s="8">
        <v>44264</v>
      </c>
      <c r="W1677" s="6" t="s">
        <v>33</v>
      </c>
      <c r="X1677" s="135">
        <v>50980</v>
      </c>
    </row>
    <row r="1678" spans="1:24" x14ac:dyDescent="0.25">
      <c r="A1678" s="6" t="s">
        <v>25</v>
      </c>
      <c r="B1678" s="94" t="s">
        <v>5231</v>
      </c>
      <c r="C1678" s="6" t="s">
        <v>5232</v>
      </c>
      <c r="D1678" s="140">
        <v>11369765</v>
      </c>
      <c r="E1678" s="6" t="s">
        <v>1539</v>
      </c>
      <c r="F1678" s="10" t="s">
        <v>121</v>
      </c>
      <c r="G1678" s="6" t="s">
        <v>5233</v>
      </c>
      <c r="H1678" s="8">
        <v>50073</v>
      </c>
      <c r="I1678" s="8">
        <v>43812</v>
      </c>
      <c r="J1678" s="8">
        <v>43813</v>
      </c>
      <c r="K1678" s="95">
        <v>43899</v>
      </c>
      <c r="L1678" s="95" t="s">
        <v>359</v>
      </c>
      <c r="R1678" s="97" t="str">
        <f t="shared" si="64"/>
        <v/>
      </c>
      <c r="S1678" s="75" t="str">
        <f t="shared" si="65"/>
        <v/>
      </c>
      <c r="W1678" s="6" t="s">
        <v>33</v>
      </c>
      <c r="X1678" s="95">
        <v>45586</v>
      </c>
    </row>
    <row r="1679" spans="1:24" x14ac:dyDescent="0.25">
      <c r="A1679" s="6" t="s">
        <v>25</v>
      </c>
      <c r="B1679" s="94" t="s">
        <v>4968</v>
      </c>
      <c r="C1679" s="6" t="s">
        <v>5234</v>
      </c>
      <c r="D1679" s="140">
        <v>11144535</v>
      </c>
      <c r="E1679" s="6" t="s">
        <v>714</v>
      </c>
      <c r="F1679" s="10" t="s">
        <v>62</v>
      </c>
      <c r="G1679" s="6" t="s">
        <v>5235</v>
      </c>
      <c r="H1679" s="8">
        <v>46063</v>
      </c>
      <c r="I1679" s="8">
        <v>43812</v>
      </c>
      <c r="J1679" s="8">
        <v>43813</v>
      </c>
      <c r="K1679" s="95">
        <v>43899</v>
      </c>
      <c r="L1679" s="95" t="s">
        <v>31</v>
      </c>
      <c r="M1679" s="8">
        <v>43909</v>
      </c>
      <c r="N1679" s="8">
        <v>44032</v>
      </c>
      <c r="O1679" s="8">
        <v>43970</v>
      </c>
      <c r="P1679" s="6" t="s">
        <v>52</v>
      </c>
      <c r="R1679" s="97" t="str">
        <f t="shared" si="64"/>
        <v/>
      </c>
      <c r="S1679" s="75" t="str">
        <f t="shared" si="65"/>
        <v/>
      </c>
      <c r="U1679" s="8">
        <v>44056</v>
      </c>
      <c r="W1679" s="6" t="s">
        <v>84</v>
      </c>
      <c r="X1679" s="95">
        <v>45046</v>
      </c>
    </row>
    <row r="1680" spans="1:24" x14ac:dyDescent="0.25">
      <c r="A1680" s="6" t="s">
        <v>25</v>
      </c>
      <c r="B1680" s="94" t="s">
        <v>5236</v>
      </c>
      <c r="C1680" s="6" t="s">
        <v>5237</v>
      </c>
      <c r="D1680" s="140">
        <v>11150051</v>
      </c>
      <c r="E1680" s="6" t="s">
        <v>4310</v>
      </c>
      <c r="F1680" s="10" t="s">
        <v>139</v>
      </c>
      <c r="G1680" s="6" t="s">
        <v>5238</v>
      </c>
      <c r="H1680" s="8">
        <v>44660</v>
      </c>
      <c r="I1680" s="8">
        <v>43812</v>
      </c>
      <c r="J1680" s="8">
        <v>43813</v>
      </c>
      <c r="K1680" s="95">
        <v>43899</v>
      </c>
      <c r="L1680" s="95" t="s">
        <v>31</v>
      </c>
      <c r="M1680" s="8">
        <v>43909</v>
      </c>
      <c r="R1680" s="97" t="str">
        <f t="shared" si="64"/>
        <v/>
      </c>
      <c r="S1680" s="75" t="str">
        <f t="shared" si="65"/>
        <v/>
      </c>
      <c r="T1680" s="129" t="s">
        <v>5239</v>
      </c>
      <c r="U1680" s="8">
        <v>44783</v>
      </c>
      <c r="W1680" s="6" t="s">
        <v>33</v>
      </c>
      <c r="X1680" s="95">
        <v>46233</v>
      </c>
    </row>
    <row r="1681" spans="1:24" x14ac:dyDescent="0.25">
      <c r="A1681" s="6" t="s">
        <v>25</v>
      </c>
      <c r="B1681" s="94" t="s">
        <v>3749</v>
      </c>
      <c r="C1681" s="6" t="s">
        <v>5240</v>
      </c>
      <c r="D1681" s="140">
        <v>11884641</v>
      </c>
      <c r="E1681" s="6" t="s">
        <v>678</v>
      </c>
      <c r="F1681" s="10" t="s">
        <v>143</v>
      </c>
      <c r="G1681" s="6" t="s">
        <v>5241</v>
      </c>
      <c r="H1681" s="8">
        <v>50008</v>
      </c>
      <c r="I1681" s="8">
        <v>43812</v>
      </c>
      <c r="J1681" s="8">
        <v>43813</v>
      </c>
      <c r="K1681" s="95">
        <v>43899</v>
      </c>
      <c r="L1681" s="95" t="s">
        <v>359</v>
      </c>
      <c r="R1681" s="97" t="str">
        <f t="shared" si="64"/>
        <v/>
      </c>
      <c r="S1681" s="75" t="str">
        <f t="shared" si="65"/>
        <v/>
      </c>
      <c r="W1681" s="6" t="s">
        <v>33</v>
      </c>
      <c r="X1681" s="95">
        <v>51167</v>
      </c>
    </row>
    <row r="1682" spans="1:24" x14ac:dyDescent="0.25">
      <c r="A1682" s="6" t="s">
        <v>25</v>
      </c>
      <c r="B1682" s="94" t="s">
        <v>197</v>
      </c>
      <c r="C1682" s="6" t="s">
        <v>5242</v>
      </c>
      <c r="D1682" s="140">
        <v>12101147</v>
      </c>
      <c r="E1682" s="6" t="s">
        <v>382</v>
      </c>
      <c r="F1682" s="10" t="s">
        <v>293</v>
      </c>
      <c r="G1682" s="6">
        <v>171235</v>
      </c>
      <c r="H1682" s="8">
        <v>50256</v>
      </c>
      <c r="I1682" s="8">
        <v>43812</v>
      </c>
      <c r="J1682" s="8">
        <v>43813</v>
      </c>
      <c r="K1682" s="95">
        <v>43899</v>
      </c>
      <c r="L1682" s="95" t="s">
        <v>359</v>
      </c>
      <c r="R1682" s="97" t="str">
        <f t="shared" si="64"/>
        <v/>
      </c>
      <c r="S1682" s="75" t="str">
        <f t="shared" si="65"/>
        <v/>
      </c>
      <c r="W1682" s="6" t="s">
        <v>33</v>
      </c>
      <c r="X1682" s="95">
        <v>46454</v>
      </c>
    </row>
    <row r="1683" spans="1:24" x14ac:dyDescent="0.25">
      <c r="A1683" s="6" t="s">
        <v>25</v>
      </c>
      <c r="B1683" s="94" t="s">
        <v>704</v>
      </c>
      <c r="C1683" s="6" t="s">
        <v>5243</v>
      </c>
      <c r="D1683" s="140">
        <v>11230074</v>
      </c>
      <c r="E1683" s="6" t="s">
        <v>1752</v>
      </c>
      <c r="F1683" s="10" t="s">
        <v>57</v>
      </c>
      <c r="G1683" s="6" t="s">
        <v>5244</v>
      </c>
      <c r="H1683" s="8">
        <v>45451</v>
      </c>
      <c r="I1683" s="8">
        <v>43637</v>
      </c>
      <c r="J1683" s="8">
        <v>43640</v>
      </c>
      <c r="K1683" s="95">
        <v>43696</v>
      </c>
      <c r="L1683" s="95" t="s">
        <v>31</v>
      </c>
      <c r="M1683" s="8">
        <v>43704</v>
      </c>
      <c r="N1683" s="8">
        <v>44256</v>
      </c>
      <c r="O1683" s="8">
        <v>44148</v>
      </c>
      <c r="P1683" s="6" t="s">
        <v>35</v>
      </c>
      <c r="Q1683" s="96">
        <v>1826</v>
      </c>
      <c r="R1683" s="97">
        <f t="shared" si="64"/>
        <v>5.0027397260273974</v>
      </c>
      <c r="S1683" s="75">
        <f t="shared" si="65"/>
        <v>41317.627397260272</v>
      </c>
      <c r="T1683" s="124" t="s">
        <v>3910</v>
      </c>
      <c r="U1683" s="8">
        <v>44256</v>
      </c>
      <c r="W1683" s="6" t="s">
        <v>33</v>
      </c>
      <c r="X1683" s="95">
        <v>47294</v>
      </c>
    </row>
    <row r="1684" spans="1:24" x14ac:dyDescent="0.25">
      <c r="A1684" s="6" t="s">
        <v>65</v>
      </c>
      <c r="B1684" s="94" t="s">
        <v>2988</v>
      </c>
      <c r="C1684" s="6" t="s">
        <v>5245</v>
      </c>
      <c r="D1684" s="140">
        <v>11855040</v>
      </c>
      <c r="E1684" s="6" t="s">
        <v>236</v>
      </c>
      <c r="F1684" s="10" t="s">
        <v>62</v>
      </c>
      <c r="G1684" s="6" t="s">
        <v>5246</v>
      </c>
      <c r="H1684" s="8">
        <v>44251</v>
      </c>
      <c r="I1684" s="8">
        <v>43270</v>
      </c>
      <c r="J1684" s="8">
        <v>43270</v>
      </c>
      <c r="K1684" s="95">
        <v>43292</v>
      </c>
      <c r="L1684" s="95" t="s">
        <v>31</v>
      </c>
      <c r="M1684" s="8">
        <v>43299</v>
      </c>
      <c r="N1684" s="8">
        <v>43368</v>
      </c>
      <c r="P1684" s="101" t="s">
        <v>52</v>
      </c>
      <c r="R1684" s="97" t="str">
        <f t="shared" si="64"/>
        <v/>
      </c>
      <c r="S1684" s="75" t="str">
        <f t="shared" si="65"/>
        <v/>
      </c>
      <c r="T1684" s="124" t="s">
        <v>5247</v>
      </c>
      <c r="U1684" s="8">
        <v>43374</v>
      </c>
      <c r="V1684" s="6" t="s">
        <v>36</v>
      </c>
      <c r="W1684" s="6" t="s">
        <v>33</v>
      </c>
      <c r="X1684" s="95">
        <v>50405</v>
      </c>
    </row>
    <row r="1685" spans="1:24" x14ac:dyDescent="0.25">
      <c r="A1685" s="6" t="s">
        <v>117</v>
      </c>
      <c r="B1685" s="94" t="s">
        <v>5248</v>
      </c>
      <c r="C1685" s="6" t="s">
        <v>5249</v>
      </c>
      <c r="D1685" s="140">
        <v>11242736</v>
      </c>
      <c r="E1685" s="6" t="s">
        <v>1539</v>
      </c>
      <c r="F1685" s="10" t="s">
        <v>528</v>
      </c>
      <c r="G1685" s="6" t="s">
        <v>5250</v>
      </c>
      <c r="H1685" s="8">
        <v>44292</v>
      </c>
      <c r="I1685" s="8">
        <v>43838</v>
      </c>
      <c r="J1685" s="8">
        <v>43838</v>
      </c>
      <c r="K1685" s="95">
        <v>43840</v>
      </c>
      <c r="L1685" s="95" t="s">
        <v>31</v>
      </c>
      <c r="M1685" s="8">
        <v>43847</v>
      </c>
      <c r="R1685" s="97" t="str">
        <f t="shared" si="64"/>
        <v/>
      </c>
      <c r="S1685" s="75" t="str">
        <f t="shared" si="65"/>
        <v/>
      </c>
      <c r="T1685" s="129" t="s">
        <v>5251</v>
      </c>
      <c r="U1685" s="8">
        <v>44783</v>
      </c>
      <c r="W1685" s="6" t="s">
        <v>84</v>
      </c>
      <c r="X1685" s="95">
        <v>47547</v>
      </c>
    </row>
    <row r="1686" spans="1:24" x14ac:dyDescent="0.25">
      <c r="A1686" s="6" t="s">
        <v>25</v>
      </c>
      <c r="B1686" s="94" t="s">
        <v>266</v>
      </c>
      <c r="C1686" s="6" t="s">
        <v>5252</v>
      </c>
      <c r="D1686" s="140">
        <v>11934356</v>
      </c>
      <c r="E1686" s="6" t="s">
        <v>480</v>
      </c>
      <c r="F1686" s="10" t="s">
        <v>44</v>
      </c>
      <c r="G1686" s="6" t="s">
        <v>5253</v>
      </c>
      <c r="H1686" s="8">
        <v>45393</v>
      </c>
      <c r="I1686" s="8">
        <v>43838</v>
      </c>
      <c r="J1686" s="8">
        <v>43844</v>
      </c>
      <c r="K1686" s="95">
        <v>43894</v>
      </c>
      <c r="L1686" s="95" t="s">
        <v>359</v>
      </c>
      <c r="R1686" s="97" t="str">
        <f t="shared" si="64"/>
        <v/>
      </c>
      <c r="S1686" s="75" t="str">
        <f t="shared" si="65"/>
        <v/>
      </c>
      <c r="W1686" s="6" t="s">
        <v>33</v>
      </c>
      <c r="X1686" s="95">
        <v>51108</v>
      </c>
    </row>
    <row r="1687" spans="1:24" x14ac:dyDescent="0.25">
      <c r="A1687" s="6" t="s">
        <v>25</v>
      </c>
      <c r="B1687" s="94" t="s">
        <v>2428</v>
      </c>
      <c r="C1687" s="6" t="s">
        <v>5254</v>
      </c>
      <c r="D1687" s="140">
        <v>11469363</v>
      </c>
      <c r="E1687" s="6" t="s">
        <v>43</v>
      </c>
      <c r="F1687" s="10" t="s">
        <v>44</v>
      </c>
      <c r="G1687" s="6" t="s">
        <v>5255</v>
      </c>
      <c r="H1687" s="8">
        <v>45538</v>
      </c>
      <c r="I1687" s="8">
        <v>43838</v>
      </c>
      <c r="J1687" s="8">
        <v>43844</v>
      </c>
      <c r="K1687" s="95">
        <v>43894</v>
      </c>
      <c r="L1687" s="95" t="s">
        <v>359</v>
      </c>
      <c r="R1687" s="97" t="str">
        <f t="shared" si="64"/>
        <v/>
      </c>
      <c r="S1687" s="75" t="str">
        <f t="shared" si="65"/>
        <v/>
      </c>
      <c r="W1687" s="6" t="s">
        <v>33</v>
      </c>
      <c r="X1687" s="95">
        <v>46819</v>
      </c>
    </row>
    <row r="1688" spans="1:24" x14ac:dyDescent="0.25">
      <c r="A1688" s="6" t="s">
        <v>25</v>
      </c>
      <c r="B1688" s="94" t="s">
        <v>5256</v>
      </c>
      <c r="C1688" s="6" t="s">
        <v>5257</v>
      </c>
      <c r="D1688" s="140">
        <v>11452929</v>
      </c>
      <c r="E1688" s="6" t="s">
        <v>637</v>
      </c>
      <c r="F1688" s="10" t="s">
        <v>2296</v>
      </c>
      <c r="G1688" s="6" t="s">
        <v>5258</v>
      </c>
      <c r="H1688" s="8">
        <v>45800</v>
      </c>
      <c r="I1688" s="8">
        <v>43838</v>
      </c>
      <c r="J1688" s="8">
        <v>43844</v>
      </c>
      <c r="K1688" s="95">
        <v>43894</v>
      </c>
      <c r="L1688" s="95" t="s">
        <v>359</v>
      </c>
      <c r="R1688" s="97" t="str">
        <f t="shared" si="64"/>
        <v/>
      </c>
      <c r="S1688" s="75" t="str">
        <f t="shared" si="65"/>
        <v/>
      </c>
      <c r="W1688" s="6" t="s">
        <v>84</v>
      </c>
      <c r="X1688" s="95">
        <v>37899</v>
      </c>
    </row>
    <row r="1689" spans="1:24" x14ac:dyDescent="0.25">
      <c r="A1689" s="6" t="s">
        <v>25</v>
      </c>
      <c r="B1689" s="94" t="s">
        <v>723</v>
      </c>
      <c r="C1689" s="6" t="s">
        <v>5259</v>
      </c>
      <c r="D1689" s="140">
        <v>11671157</v>
      </c>
      <c r="E1689" s="6" t="s">
        <v>3163</v>
      </c>
      <c r="F1689" s="10" t="s">
        <v>1588</v>
      </c>
      <c r="G1689" s="6" t="s">
        <v>5260</v>
      </c>
      <c r="H1689" s="8">
        <v>45827</v>
      </c>
      <c r="I1689" s="8">
        <v>43838</v>
      </c>
      <c r="J1689" s="8">
        <v>43844</v>
      </c>
      <c r="K1689" s="95">
        <v>43894</v>
      </c>
      <c r="L1689" s="95" t="s">
        <v>359</v>
      </c>
      <c r="R1689" s="97" t="str">
        <f t="shared" si="64"/>
        <v/>
      </c>
      <c r="S1689" s="75" t="str">
        <f t="shared" si="65"/>
        <v/>
      </c>
      <c r="W1689" s="6" t="s">
        <v>33</v>
      </c>
      <c r="X1689" s="95">
        <v>48769</v>
      </c>
    </row>
    <row r="1690" spans="1:24" x14ac:dyDescent="0.25">
      <c r="A1690" s="6" t="s">
        <v>25</v>
      </c>
      <c r="B1690" s="94" t="s">
        <v>944</v>
      </c>
      <c r="C1690" s="6" t="s">
        <v>5261</v>
      </c>
      <c r="D1690" s="140">
        <v>11413215</v>
      </c>
      <c r="E1690" s="6" t="s">
        <v>318</v>
      </c>
      <c r="F1690" s="10" t="s">
        <v>57</v>
      </c>
      <c r="G1690" s="6" t="s">
        <v>5262</v>
      </c>
      <c r="H1690" s="8">
        <v>57224</v>
      </c>
      <c r="I1690" s="8">
        <v>43838</v>
      </c>
      <c r="J1690" s="8">
        <v>43840</v>
      </c>
      <c r="K1690" s="95">
        <v>43906</v>
      </c>
      <c r="L1690" s="95" t="s">
        <v>359</v>
      </c>
      <c r="R1690" s="97" t="str">
        <f t="shared" si="64"/>
        <v/>
      </c>
      <c r="S1690" s="75" t="str">
        <f t="shared" si="65"/>
        <v/>
      </c>
      <c r="W1690" s="6" t="s">
        <v>84</v>
      </c>
      <c r="X1690" s="95">
        <v>47246</v>
      </c>
    </row>
    <row r="1691" spans="1:24" x14ac:dyDescent="0.25">
      <c r="A1691" s="6" t="s">
        <v>25</v>
      </c>
      <c r="B1691" s="94" t="s">
        <v>5263</v>
      </c>
      <c r="C1691" s="6" t="s">
        <v>5264</v>
      </c>
      <c r="D1691" s="140">
        <v>11470391</v>
      </c>
      <c r="E1691" s="6" t="s">
        <v>138</v>
      </c>
      <c r="F1691" s="10" t="s">
        <v>148</v>
      </c>
      <c r="G1691" s="6" t="s">
        <v>5265</v>
      </c>
      <c r="H1691" s="8">
        <v>104150</v>
      </c>
      <c r="I1691" s="8">
        <v>43838</v>
      </c>
      <c r="J1691" s="8">
        <v>43840</v>
      </c>
      <c r="K1691" s="95">
        <v>43906</v>
      </c>
      <c r="L1691" s="95" t="s">
        <v>359</v>
      </c>
      <c r="R1691" s="97" t="str">
        <f t="shared" si="64"/>
        <v/>
      </c>
      <c r="S1691" s="75" t="str">
        <f t="shared" si="65"/>
        <v/>
      </c>
      <c r="W1691" s="6" t="s">
        <v>84</v>
      </c>
      <c r="X1691" s="95">
        <v>47983</v>
      </c>
    </row>
    <row r="1692" spans="1:24" x14ac:dyDescent="0.25">
      <c r="A1692" s="6" t="s">
        <v>25</v>
      </c>
      <c r="B1692" s="94" t="s">
        <v>5266</v>
      </c>
      <c r="C1692" s="6" t="s">
        <v>5267</v>
      </c>
      <c r="D1692" s="140">
        <v>11075027</v>
      </c>
      <c r="E1692" s="6" t="s">
        <v>3644</v>
      </c>
      <c r="F1692" s="10" t="s">
        <v>44</v>
      </c>
      <c r="G1692" s="6" t="s">
        <v>5268</v>
      </c>
      <c r="H1692" s="8">
        <v>44777</v>
      </c>
      <c r="I1692" s="8">
        <v>43838</v>
      </c>
      <c r="J1692" s="8">
        <v>43843</v>
      </c>
      <c r="K1692" s="95">
        <v>43906</v>
      </c>
      <c r="L1692" s="95" t="s">
        <v>359</v>
      </c>
      <c r="R1692" s="97" t="str">
        <f t="shared" si="64"/>
        <v/>
      </c>
      <c r="S1692" s="75" t="str">
        <f t="shared" si="65"/>
        <v/>
      </c>
      <c r="W1692" s="6" t="s">
        <v>33</v>
      </c>
      <c r="X1692" s="95">
        <v>50365</v>
      </c>
    </row>
    <row r="1693" spans="1:24" x14ac:dyDescent="0.25">
      <c r="A1693" s="6" t="s">
        <v>25</v>
      </c>
      <c r="B1693" s="94" t="s">
        <v>5269</v>
      </c>
      <c r="C1693" s="6" t="s">
        <v>5270</v>
      </c>
      <c r="D1693" s="140">
        <v>11181048</v>
      </c>
      <c r="E1693" s="6" t="s">
        <v>175</v>
      </c>
      <c r="F1693" s="10" t="s">
        <v>134</v>
      </c>
      <c r="G1693" s="6" t="s">
        <v>5271</v>
      </c>
      <c r="H1693" s="8">
        <v>50888</v>
      </c>
      <c r="I1693" s="8">
        <v>43838</v>
      </c>
      <c r="J1693" s="8">
        <v>43843</v>
      </c>
      <c r="K1693" s="95">
        <v>43906</v>
      </c>
      <c r="L1693" s="95" t="s">
        <v>359</v>
      </c>
      <c r="R1693" s="97" t="str">
        <f t="shared" si="64"/>
        <v/>
      </c>
      <c r="S1693" s="75" t="str">
        <f t="shared" si="65"/>
        <v/>
      </c>
      <c r="W1693" s="6" t="s">
        <v>33</v>
      </c>
      <c r="X1693" s="95">
        <v>46966</v>
      </c>
    </row>
    <row r="1694" spans="1:24" x14ac:dyDescent="0.25">
      <c r="A1694" s="6" t="s">
        <v>37</v>
      </c>
      <c r="B1694" s="94" t="s">
        <v>3851</v>
      </c>
      <c r="C1694" s="6" t="s">
        <v>5272</v>
      </c>
      <c r="D1694" s="140">
        <v>11368492</v>
      </c>
      <c r="E1694" s="6" t="s">
        <v>5273</v>
      </c>
      <c r="F1694" s="10" t="s">
        <v>121</v>
      </c>
      <c r="G1694" s="6" t="s">
        <v>5274</v>
      </c>
      <c r="H1694" s="8">
        <v>49123</v>
      </c>
      <c r="I1694" s="8">
        <v>44118</v>
      </c>
      <c r="J1694" s="8">
        <v>44127</v>
      </c>
      <c r="K1694" s="95">
        <v>44137</v>
      </c>
      <c r="L1694" s="95" t="s">
        <v>31</v>
      </c>
      <c r="M1694" s="8">
        <v>44141</v>
      </c>
      <c r="N1694" s="8">
        <v>45009</v>
      </c>
      <c r="O1694" s="8">
        <v>44995</v>
      </c>
      <c r="P1694" s="6" t="s">
        <v>35</v>
      </c>
      <c r="Q1694" s="96">
        <v>1971</v>
      </c>
      <c r="R1694" s="97">
        <f t="shared" si="64"/>
        <v>5.4</v>
      </c>
      <c r="S1694" s="75">
        <f t="shared" si="65"/>
        <v>44598.6</v>
      </c>
      <c r="U1694" s="8">
        <v>45065</v>
      </c>
      <c r="W1694" s="6" t="s">
        <v>33</v>
      </c>
      <c r="X1694" s="135">
        <v>45485</v>
      </c>
    </row>
    <row r="1695" spans="1:24" x14ac:dyDescent="0.25">
      <c r="A1695" s="6" t="s">
        <v>37</v>
      </c>
      <c r="B1695" s="94" t="s">
        <v>5275</v>
      </c>
      <c r="C1695" s="6" t="s">
        <v>5276</v>
      </c>
      <c r="D1695" s="140">
        <v>12100451</v>
      </c>
      <c r="E1695" s="6" t="s">
        <v>1927</v>
      </c>
      <c r="F1695" s="10" t="s">
        <v>205</v>
      </c>
      <c r="G1695" s="6" t="s">
        <v>5277</v>
      </c>
      <c r="H1695" s="8">
        <v>50184</v>
      </c>
      <c r="I1695" s="8">
        <v>44034</v>
      </c>
      <c r="J1695" s="8">
        <v>44064</v>
      </c>
      <c r="K1695" s="95">
        <v>44070</v>
      </c>
      <c r="L1695" s="95" t="s">
        <v>31</v>
      </c>
      <c r="M1695" s="8">
        <v>44099</v>
      </c>
      <c r="N1695" s="8">
        <v>44153</v>
      </c>
      <c r="O1695" s="8">
        <v>44144</v>
      </c>
      <c r="P1695" s="6" t="s">
        <v>75</v>
      </c>
      <c r="R1695" s="97" t="str">
        <f t="shared" si="64"/>
        <v/>
      </c>
      <c r="S1695" s="75" t="str">
        <f t="shared" si="65"/>
        <v/>
      </c>
      <c r="U1695" s="8">
        <v>44153</v>
      </c>
      <c r="W1695" s="6" t="s">
        <v>84</v>
      </c>
      <c r="X1695" s="135">
        <v>46632</v>
      </c>
    </row>
    <row r="1696" spans="1:24" x14ac:dyDescent="0.25">
      <c r="A1696" s="6" t="s">
        <v>37</v>
      </c>
      <c r="B1696" s="94" t="s">
        <v>5278</v>
      </c>
      <c r="C1696" s="6" t="s">
        <v>5279</v>
      </c>
      <c r="D1696" s="140">
        <v>12135925</v>
      </c>
      <c r="E1696" s="6" t="s">
        <v>3030</v>
      </c>
      <c r="F1696" s="10" t="s">
        <v>143</v>
      </c>
      <c r="G1696" s="6" t="s">
        <v>5280</v>
      </c>
      <c r="H1696" s="8">
        <v>45763</v>
      </c>
      <c r="I1696" s="8">
        <v>44140</v>
      </c>
      <c r="J1696" s="8">
        <v>44174</v>
      </c>
      <c r="K1696" s="95">
        <v>44152</v>
      </c>
      <c r="L1696" s="95" t="s">
        <v>31</v>
      </c>
      <c r="M1696" s="8">
        <v>44193</v>
      </c>
      <c r="N1696" s="8">
        <v>44389</v>
      </c>
      <c r="O1696" s="8">
        <v>44383</v>
      </c>
      <c r="P1696" s="6" t="s">
        <v>52</v>
      </c>
      <c r="R1696" s="97" t="str">
        <f t="shared" si="64"/>
        <v/>
      </c>
      <c r="S1696" s="75" t="str">
        <f t="shared" si="65"/>
        <v/>
      </c>
      <c r="T1696" s="124" t="s">
        <v>3501</v>
      </c>
      <c r="U1696" s="8">
        <v>44389</v>
      </c>
      <c r="W1696" s="6" t="s">
        <v>33</v>
      </c>
      <c r="X1696" s="95">
        <v>46836</v>
      </c>
    </row>
    <row r="1697" spans="1:24" ht="30" x14ac:dyDescent="0.25">
      <c r="A1697" s="6" t="s">
        <v>37</v>
      </c>
      <c r="B1697" s="94" t="s">
        <v>4545</v>
      </c>
      <c r="C1697" s="6" t="s">
        <v>5281</v>
      </c>
      <c r="D1697" s="140">
        <v>11868804</v>
      </c>
      <c r="E1697" s="6" t="s">
        <v>5282</v>
      </c>
      <c r="F1697" s="10" t="s">
        <v>205</v>
      </c>
      <c r="G1697" s="6" t="s">
        <v>5283</v>
      </c>
      <c r="H1697" s="8">
        <v>46199</v>
      </c>
      <c r="I1697" s="8">
        <v>43761</v>
      </c>
      <c r="J1697" s="8">
        <v>43782</v>
      </c>
      <c r="K1697" s="8">
        <v>43783</v>
      </c>
      <c r="L1697" s="95" t="s">
        <v>31</v>
      </c>
      <c r="M1697" s="8">
        <v>43794</v>
      </c>
      <c r="N1697" s="8">
        <v>44050</v>
      </c>
      <c r="O1697" s="8">
        <v>44047</v>
      </c>
      <c r="P1697" s="6" t="s">
        <v>90</v>
      </c>
      <c r="Q1697" s="96">
        <v>1957</v>
      </c>
      <c r="R1697" s="97">
        <f t="shared" si="64"/>
        <v>5.3616438356164382</v>
      </c>
      <c r="S1697" s="75">
        <f t="shared" si="65"/>
        <v>44281.816438356167</v>
      </c>
      <c r="T1697" s="124" t="s">
        <v>5284</v>
      </c>
      <c r="U1697" s="8">
        <v>44054</v>
      </c>
      <c r="V1697" s="6" t="s">
        <v>581</v>
      </c>
      <c r="W1697" s="6" t="s">
        <v>33</v>
      </c>
      <c r="X1697" s="95">
        <v>50966</v>
      </c>
    </row>
    <row r="1698" spans="1:24" x14ac:dyDescent="0.25">
      <c r="A1698" s="6" t="s">
        <v>37</v>
      </c>
      <c r="B1698" s="94" t="s">
        <v>598</v>
      </c>
      <c r="C1698" s="6" t="s">
        <v>5285</v>
      </c>
      <c r="D1698" s="140">
        <v>11296024</v>
      </c>
      <c r="E1698" s="6" t="s">
        <v>5286</v>
      </c>
      <c r="F1698" s="10" t="s">
        <v>44</v>
      </c>
      <c r="G1698" s="6" t="s">
        <v>5287</v>
      </c>
      <c r="H1698" s="8">
        <v>44144</v>
      </c>
      <c r="I1698" s="8">
        <v>43537</v>
      </c>
      <c r="J1698" s="8">
        <v>43545</v>
      </c>
      <c r="K1698" s="95">
        <v>43545</v>
      </c>
      <c r="L1698" s="95" t="s">
        <v>31</v>
      </c>
      <c r="M1698" s="8">
        <v>43560</v>
      </c>
      <c r="N1698" s="8">
        <v>43669</v>
      </c>
      <c r="O1698" s="8">
        <v>43658</v>
      </c>
      <c r="P1698" s="6" t="s">
        <v>52</v>
      </c>
      <c r="R1698" s="97" t="str">
        <f t="shared" si="64"/>
        <v/>
      </c>
      <c r="S1698" s="75" t="str">
        <f t="shared" si="65"/>
        <v/>
      </c>
      <c r="T1698" s="124" t="s">
        <v>5288</v>
      </c>
      <c r="U1698" s="8">
        <v>43669</v>
      </c>
      <c r="W1698" s="6" t="s">
        <v>33</v>
      </c>
      <c r="X1698" s="95">
        <v>52617</v>
      </c>
    </row>
    <row r="1699" spans="1:24" x14ac:dyDescent="0.25">
      <c r="A1699" s="6" t="s">
        <v>25</v>
      </c>
      <c r="B1699" s="94" t="s">
        <v>5289</v>
      </c>
      <c r="C1699" s="6" t="s">
        <v>5290</v>
      </c>
      <c r="D1699" s="140">
        <v>11141695</v>
      </c>
      <c r="E1699" s="6" t="s">
        <v>1539</v>
      </c>
      <c r="F1699" s="10" t="s">
        <v>44</v>
      </c>
      <c r="G1699" s="6" t="s">
        <v>5291</v>
      </c>
      <c r="H1699" s="8">
        <v>44949</v>
      </c>
      <c r="I1699" s="8">
        <v>43845</v>
      </c>
      <c r="J1699" s="8">
        <v>43852</v>
      </c>
      <c r="K1699" s="95">
        <v>43906</v>
      </c>
      <c r="L1699" s="95" t="s">
        <v>359</v>
      </c>
      <c r="R1699" s="97" t="str">
        <f t="shared" si="64"/>
        <v/>
      </c>
      <c r="S1699" s="75" t="str">
        <f t="shared" si="65"/>
        <v/>
      </c>
      <c r="W1699" s="6" t="s">
        <v>33</v>
      </c>
      <c r="X1699" s="95">
        <v>49584</v>
      </c>
    </row>
    <row r="1700" spans="1:24" x14ac:dyDescent="0.25">
      <c r="A1700" s="6" t="s">
        <v>25</v>
      </c>
      <c r="B1700" s="94" t="s">
        <v>1154</v>
      </c>
      <c r="C1700" s="6" t="s">
        <v>5292</v>
      </c>
      <c r="D1700" s="140">
        <v>11052101</v>
      </c>
      <c r="E1700" s="6" t="s">
        <v>1018</v>
      </c>
      <c r="F1700" s="10" t="s">
        <v>29</v>
      </c>
      <c r="G1700" s="6" t="s">
        <v>5293</v>
      </c>
      <c r="H1700" s="8">
        <v>59715</v>
      </c>
      <c r="I1700" s="8">
        <v>43845</v>
      </c>
      <c r="J1700" s="8">
        <v>43852</v>
      </c>
      <c r="K1700" s="95">
        <v>43906</v>
      </c>
      <c r="L1700" s="95" t="s">
        <v>359</v>
      </c>
      <c r="R1700" s="97" t="str">
        <f t="shared" si="64"/>
        <v/>
      </c>
      <c r="S1700" s="75" t="str">
        <f t="shared" si="65"/>
        <v/>
      </c>
      <c r="W1700" s="6" t="s">
        <v>84</v>
      </c>
      <c r="X1700" s="95">
        <v>47408</v>
      </c>
    </row>
    <row r="1701" spans="1:24" x14ac:dyDescent="0.25">
      <c r="A1701" s="6" t="s">
        <v>25</v>
      </c>
      <c r="B1701" s="94" t="s">
        <v>242</v>
      </c>
      <c r="C1701" s="6" t="s">
        <v>5294</v>
      </c>
      <c r="D1701" s="140">
        <v>11131029</v>
      </c>
      <c r="E1701" s="6" t="s">
        <v>409</v>
      </c>
      <c r="F1701" s="10" t="s">
        <v>29</v>
      </c>
      <c r="G1701" s="6" t="s">
        <v>5295</v>
      </c>
      <c r="H1701" s="8">
        <v>72736</v>
      </c>
      <c r="I1701" s="8">
        <v>43845</v>
      </c>
      <c r="J1701" s="8">
        <v>43852</v>
      </c>
      <c r="K1701" s="95">
        <v>43906</v>
      </c>
      <c r="L1701" s="95" t="s">
        <v>359</v>
      </c>
      <c r="R1701" s="97" t="str">
        <f t="shared" si="64"/>
        <v/>
      </c>
      <c r="S1701" s="75" t="str">
        <f t="shared" si="65"/>
        <v/>
      </c>
      <c r="W1701" s="6" t="s">
        <v>84</v>
      </c>
      <c r="X1701" s="95">
        <v>47956</v>
      </c>
    </row>
    <row r="1702" spans="1:24" x14ac:dyDescent="0.25">
      <c r="A1702" s="6" t="s">
        <v>25</v>
      </c>
      <c r="B1702" s="94" t="s">
        <v>1234</v>
      </c>
      <c r="C1702" s="6" t="s">
        <v>5296</v>
      </c>
      <c r="D1702" s="140">
        <v>11206234</v>
      </c>
      <c r="E1702" s="6" t="s">
        <v>3210</v>
      </c>
      <c r="F1702" s="10" t="s">
        <v>44</v>
      </c>
      <c r="G1702" s="6" t="s">
        <v>5297</v>
      </c>
      <c r="H1702" s="8">
        <v>45274</v>
      </c>
      <c r="I1702" s="8">
        <v>43851</v>
      </c>
      <c r="J1702" s="8">
        <v>43852</v>
      </c>
      <c r="K1702" s="95">
        <v>43894</v>
      </c>
      <c r="L1702" s="95" t="s">
        <v>359</v>
      </c>
      <c r="R1702" s="97" t="str">
        <f t="shared" si="64"/>
        <v/>
      </c>
      <c r="S1702" s="75" t="str">
        <f t="shared" si="65"/>
        <v/>
      </c>
      <c r="W1702" s="6" t="s">
        <v>33</v>
      </c>
      <c r="X1702" s="95">
        <v>50122</v>
      </c>
    </row>
    <row r="1703" spans="1:24" x14ac:dyDescent="0.25">
      <c r="A1703" s="6" t="s">
        <v>25</v>
      </c>
      <c r="B1703" s="94" t="s">
        <v>890</v>
      </c>
      <c r="C1703" s="6" t="s">
        <v>5298</v>
      </c>
      <c r="D1703" s="140">
        <v>11245068</v>
      </c>
      <c r="E1703" s="6" t="s">
        <v>5299</v>
      </c>
      <c r="F1703" s="10" t="s">
        <v>44</v>
      </c>
      <c r="G1703" s="6" t="s">
        <v>5300</v>
      </c>
      <c r="H1703" s="8">
        <v>45373</v>
      </c>
      <c r="I1703" s="8">
        <v>43851</v>
      </c>
      <c r="J1703" s="8">
        <v>43852</v>
      </c>
      <c r="K1703" s="95">
        <v>43894</v>
      </c>
      <c r="L1703" s="95" t="s">
        <v>359</v>
      </c>
      <c r="R1703" s="97" t="str">
        <f t="shared" si="64"/>
        <v/>
      </c>
      <c r="S1703" s="75" t="str">
        <f t="shared" si="65"/>
        <v/>
      </c>
      <c r="W1703" s="6" t="s">
        <v>33</v>
      </c>
      <c r="X1703" s="95">
        <v>48457</v>
      </c>
    </row>
    <row r="1704" spans="1:24" x14ac:dyDescent="0.25">
      <c r="A1704" s="6" t="s">
        <v>25</v>
      </c>
      <c r="B1704" s="94" t="s">
        <v>5301</v>
      </c>
      <c r="C1704" s="6" t="s">
        <v>5302</v>
      </c>
      <c r="D1704" s="140">
        <v>11966249</v>
      </c>
      <c r="E1704" s="6" t="s">
        <v>199</v>
      </c>
      <c r="F1704" s="10" t="s">
        <v>44</v>
      </c>
      <c r="G1704" s="6" t="s">
        <v>5303</v>
      </c>
      <c r="H1704" s="8">
        <v>51333</v>
      </c>
      <c r="I1704" s="8">
        <v>43851</v>
      </c>
      <c r="J1704" s="8">
        <v>43852</v>
      </c>
      <c r="K1704" s="95">
        <v>43894</v>
      </c>
      <c r="L1704" s="95" t="s">
        <v>359</v>
      </c>
      <c r="R1704" s="97" t="str">
        <f t="shared" si="64"/>
        <v/>
      </c>
      <c r="S1704" s="75" t="str">
        <f t="shared" si="65"/>
        <v/>
      </c>
      <c r="W1704" s="6" t="s">
        <v>33</v>
      </c>
      <c r="X1704" s="95">
        <v>52265</v>
      </c>
    </row>
    <row r="1705" spans="1:24" x14ac:dyDescent="0.25">
      <c r="A1705" s="6" t="s">
        <v>25</v>
      </c>
      <c r="B1705" s="94" t="s">
        <v>4728</v>
      </c>
      <c r="C1705" s="6" t="s">
        <v>5304</v>
      </c>
      <c r="D1705" s="140">
        <v>11730613</v>
      </c>
      <c r="E1705" s="6" t="s">
        <v>1271</v>
      </c>
      <c r="F1705" s="10" t="s">
        <v>44</v>
      </c>
      <c r="G1705" s="6" t="s">
        <v>5305</v>
      </c>
      <c r="H1705" s="8">
        <v>47055</v>
      </c>
      <c r="I1705" s="8">
        <v>43851</v>
      </c>
      <c r="J1705" s="8">
        <v>43852</v>
      </c>
      <c r="K1705" s="95">
        <v>43894</v>
      </c>
      <c r="L1705" s="95" t="s">
        <v>359</v>
      </c>
      <c r="R1705" s="97" t="str">
        <f t="shared" si="64"/>
        <v/>
      </c>
      <c r="S1705" s="75" t="str">
        <f t="shared" si="65"/>
        <v/>
      </c>
      <c r="W1705" s="6" t="s">
        <v>33</v>
      </c>
      <c r="X1705" s="95">
        <v>50534</v>
      </c>
    </row>
    <row r="1706" spans="1:24" x14ac:dyDescent="0.25">
      <c r="A1706" s="6" t="s">
        <v>25</v>
      </c>
      <c r="B1706" s="94" t="s">
        <v>66</v>
      </c>
      <c r="C1706" s="6" t="s">
        <v>5306</v>
      </c>
      <c r="D1706" s="140">
        <v>11746312</v>
      </c>
      <c r="E1706" s="6" t="s">
        <v>339</v>
      </c>
      <c r="F1706" s="10" t="s">
        <v>44</v>
      </c>
      <c r="G1706" s="6" t="s">
        <v>5307</v>
      </c>
      <c r="H1706" s="8">
        <v>44466</v>
      </c>
      <c r="I1706" s="8">
        <v>43851</v>
      </c>
      <c r="J1706" s="8">
        <v>43852</v>
      </c>
      <c r="K1706" s="95">
        <v>43894</v>
      </c>
      <c r="L1706" s="95" t="s">
        <v>359</v>
      </c>
      <c r="R1706" s="97" t="str">
        <f t="shared" si="64"/>
        <v/>
      </c>
      <c r="S1706" s="75" t="str">
        <f t="shared" si="65"/>
        <v/>
      </c>
      <c r="W1706" s="6" t="s">
        <v>33</v>
      </c>
      <c r="X1706" s="95">
        <v>47705</v>
      </c>
    </row>
    <row r="1707" spans="1:24" x14ac:dyDescent="0.25">
      <c r="A1707" s="6" t="s">
        <v>25</v>
      </c>
      <c r="B1707" s="94" t="s">
        <v>4701</v>
      </c>
      <c r="C1707" s="6" t="s">
        <v>5308</v>
      </c>
      <c r="D1707" s="140">
        <v>11911116</v>
      </c>
      <c r="E1707" s="6" t="s">
        <v>382</v>
      </c>
      <c r="F1707" s="10" t="s">
        <v>29</v>
      </c>
      <c r="G1707" s="6" t="s">
        <v>5309</v>
      </c>
      <c r="H1707" s="8">
        <v>45044</v>
      </c>
      <c r="I1707" s="8">
        <v>43851</v>
      </c>
      <c r="J1707" s="8">
        <v>43852</v>
      </c>
      <c r="K1707" s="95">
        <v>43894</v>
      </c>
      <c r="L1707" s="95" t="s">
        <v>359</v>
      </c>
      <c r="R1707" s="97" t="str">
        <f t="shared" si="64"/>
        <v/>
      </c>
      <c r="S1707" s="75" t="str">
        <f t="shared" si="65"/>
        <v/>
      </c>
      <c r="W1707" s="6" t="s">
        <v>33</v>
      </c>
      <c r="X1707" s="95">
        <v>50360</v>
      </c>
    </row>
    <row r="1708" spans="1:24" x14ac:dyDescent="0.25">
      <c r="A1708" s="6" t="s">
        <v>25</v>
      </c>
      <c r="B1708" s="94" t="s">
        <v>5310</v>
      </c>
      <c r="C1708" s="6" t="s">
        <v>5311</v>
      </c>
      <c r="D1708" s="140">
        <v>11150138</v>
      </c>
      <c r="E1708" s="6" t="s">
        <v>5312</v>
      </c>
      <c r="F1708" s="10" t="s">
        <v>277</v>
      </c>
      <c r="G1708" s="6" t="s">
        <v>5313</v>
      </c>
      <c r="H1708" s="8">
        <v>45852</v>
      </c>
      <c r="I1708" s="8">
        <v>43851</v>
      </c>
      <c r="J1708" s="8">
        <v>43852</v>
      </c>
      <c r="K1708" s="95">
        <v>43894</v>
      </c>
      <c r="L1708" s="95" t="s">
        <v>359</v>
      </c>
      <c r="R1708" s="97" t="str">
        <f t="shared" si="64"/>
        <v/>
      </c>
      <c r="S1708" s="75" t="str">
        <f t="shared" si="65"/>
        <v/>
      </c>
      <c r="W1708" s="6" t="s">
        <v>33</v>
      </c>
      <c r="X1708" s="95">
        <v>48408</v>
      </c>
    </row>
    <row r="1709" spans="1:24" x14ac:dyDescent="0.25">
      <c r="A1709" s="6" t="s">
        <v>25</v>
      </c>
      <c r="B1709" s="94" t="s">
        <v>3264</v>
      </c>
      <c r="C1709" s="6" t="s">
        <v>5314</v>
      </c>
      <c r="D1709" s="140">
        <v>11976577</v>
      </c>
      <c r="E1709" s="6" t="s">
        <v>314</v>
      </c>
      <c r="F1709" s="10" t="s">
        <v>29</v>
      </c>
      <c r="G1709" s="6" t="s">
        <v>5315</v>
      </c>
      <c r="H1709" s="8">
        <v>44699</v>
      </c>
      <c r="I1709" s="8">
        <v>43851</v>
      </c>
      <c r="J1709" s="8">
        <v>43852</v>
      </c>
      <c r="K1709" s="95">
        <v>43894</v>
      </c>
      <c r="L1709" s="95" t="s">
        <v>359</v>
      </c>
      <c r="R1709" s="97" t="str">
        <f t="shared" si="64"/>
        <v/>
      </c>
      <c r="S1709" s="75" t="str">
        <f t="shared" si="65"/>
        <v/>
      </c>
      <c r="W1709" s="6" t="s">
        <v>33</v>
      </c>
      <c r="X1709" s="95">
        <v>39205</v>
      </c>
    </row>
    <row r="1710" spans="1:24" x14ac:dyDescent="0.25">
      <c r="A1710" s="6" t="s">
        <v>37</v>
      </c>
      <c r="B1710" s="94" t="s">
        <v>5316</v>
      </c>
      <c r="C1710" s="6" t="s">
        <v>5317</v>
      </c>
      <c r="D1710" s="140">
        <v>11606821</v>
      </c>
      <c r="E1710" s="6" t="s">
        <v>125</v>
      </c>
      <c r="F1710" s="10" t="s">
        <v>205</v>
      </c>
      <c r="G1710" s="6" t="s">
        <v>5318</v>
      </c>
      <c r="H1710" s="8">
        <v>44707</v>
      </c>
      <c r="I1710" s="8">
        <v>43663</v>
      </c>
      <c r="J1710" s="8">
        <v>43665</v>
      </c>
      <c r="K1710" s="95">
        <v>43675</v>
      </c>
      <c r="L1710" s="95" t="s">
        <v>31</v>
      </c>
      <c r="M1710" s="8">
        <v>43677</v>
      </c>
      <c r="N1710" s="8">
        <v>43699</v>
      </c>
      <c r="O1710" s="8">
        <v>43691</v>
      </c>
      <c r="P1710" s="6" t="s">
        <v>75</v>
      </c>
      <c r="R1710" s="97" t="str">
        <f t="shared" si="64"/>
        <v/>
      </c>
      <c r="S1710" s="75" t="str">
        <f t="shared" si="65"/>
        <v/>
      </c>
      <c r="U1710" s="8">
        <v>43699</v>
      </c>
      <c r="W1710" s="6" t="s">
        <v>33</v>
      </c>
      <c r="X1710" s="95">
        <v>44420</v>
      </c>
    </row>
    <row r="1711" spans="1:24" x14ac:dyDescent="0.25">
      <c r="A1711" s="6" t="s">
        <v>37</v>
      </c>
      <c r="B1711" s="94" t="s">
        <v>5319</v>
      </c>
      <c r="C1711" s="6" t="s">
        <v>5320</v>
      </c>
      <c r="D1711" s="140">
        <v>11367732</v>
      </c>
      <c r="E1711" s="6" t="s">
        <v>3014</v>
      </c>
      <c r="F1711" s="10" t="s">
        <v>205</v>
      </c>
      <c r="G1711" s="6" t="s">
        <v>5321</v>
      </c>
      <c r="H1711" s="8">
        <v>45693</v>
      </c>
      <c r="I1711" s="8">
        <v>43494</v>
      </c>
      <c r="J1711" s="8">
        <v>43502</v>
      </c>
      <c r="K1711" s="95">
        <v>43504</v>
      </c>
      <c r="L1711" s="95" t="s">
        <v>31</v>
      </c>
      <c r="M1711" s="8">
        <v>43515</v>
      </c>
      <c r="N1711" s="8">
        <v>43809</v>
      </c>
      <c r="O1711" s="8">
        <v>43805</v>
      </c>
      <c r="P1711" s="6" t="s">
        <v>35</v>
      </c>
      <c r="Q1711" s="96">
        <v>1826.25</v>
      </c>
      <c r="R1711" s="97">
        <f t="shared" si="64"/>
        <v>5.0034246575342465</v>
      </c>
      <c r="S1711" s="75">
        <f t="shared" si="65"/>
        <v>41323.284246575342</v>
      </c>
      <c r="T1711" s="124" t="s">
        <v>5322</v>
      </c>
      <c r="U1711" s="8">
        <v>43809</v>
      </c>
      <c r="W1711" s="6" t="s">
        <v>33</v>
      </c>
      <c r="X1711" s="95">
        <v>48857</v>
      </c>
    </row>
    <row r="1712" spans="1:24" x14ac:dyDescent="0.25">
      <c r="A1712" s="6" t="s">
        <v>37</v>
      </c>
      <c r="B1712" s="94" t="s">
        <v>5323</v>
      </c>
      <c r="C1712" s="6" t="s">
        <v>5324</v>
      </c>
      <c r="D1712" s="140">
        <v>11136183</v>
      </c>
      <c r="E1712" s="6" t="s">
        <v>3362</v>
      </c>
      <c r="F1712" s="10" t="s">
        <v>44</v>
      </c>
      <c r="G1712" s="6" t="s">
        <v>5325</v>
      </c>
      <c r="H1712" s="8">
        <v>48481</v>
      </c>
      <c r="I1712" s="8">
        <v>44208</v>
      </c>
      <c r="J1712" s="8">
        <v>44224</v>
      </c>
      <c r="K1712" s="95">
        <v>44225</v>
      </c>
      <c r="L1712" s="95" t="s">
        <v>31</v>
      </c>
      <c r="M1712" s="8">
        <v>44230</v>
      </c>
      <c r="N1712" s="8">
        <v>44418</v>
      </c>
      <c r="O1712" s="8">
        <v>44316</v>
      </c>
      <c r="P1712" s="6" t="s">
        <v>35</v>
      </c>
      <c r="Q1712" s="96">
        <v>3139</v>
      </c>
      <c r="R1712" s="97">
        <f t="shared" si="64"/>
        <v>8.6</v>
      </c>
      <c r="S1712" s="75">
        <f t="shared" si="65"/>
        <v>71027.400000000009</v>
      </c>
      <c r="U1712" s="8">
        <v>44966</v>
      </c>
      <c r="W1712" s="6" t="s">
        <v>33</v>
      </c>
      <c r="X1712" s="95">
        <v>50191</v>
      </c>
    </row>
    <row r="1713" spans="1:24" x14ac:dyDescent="0.25">
      <c r="A1713" s="6" t="s">
        <v>25</v>
      </c>
      <c r="B1713" s="94" t="s">
        <v>5326</v>
      </c>
      <c r="C1713" s="6" t="s">
        <v>5327</v>
      </c>
      <c r="D1713" s="140">
        <v>11525490</v>
      </c>
      <c r="E1713" s="6" t="s">
        <v>878</v>
      </c>
      <c r="F1713" s="10" t="s">
        <v>44</v>
      </c>
      <c r="G1713" s="6" t="s">
        <v>5328</v>
      </c>
      <c r="H1713" s="8">
        <v>45692</v>
      </c>
      <c r="I1713" s="8">
        <v>43658</v>
      </c>
      <c r="J1713" s="8">
        <v>43661</v>
      </c>
      <c r="K1713" s="95">
        <v>43734</v>
      </c>
      <c r="L1713" s="95" t="s">
        <v>31</v>
      </c>
      <c r="M1713" s="8">
        <v>43738</v>
      </c>
      <c r="N1713" s="8">
        <v>44256</v>
      </c>
      <c r="O1713" s="8">
        <v>44148</v>
      </c>
      <c r="P1713" s="6" t="s">
        <v>90</v>
      </c>
      <c r="Q1713" s="96">
        <v>1492</v>
      </c>
      <c r="R1713" s="97">
        <f t="shared" si="64"/>
        <v>4.087671232876712</v>
      </c>
      <c r="S1713" s="75">
        <f t="shared" si="65"/>
        <v>33760.076712328766</v>
      </c>
      <c r="T1713" s="124" t="s">
        <v>5329</v>
      </c>
      <c r="U1713" s="8">
        <v>44256</v>
      </c>
      <c r="W1713" s="6" t="s">
        <v>33</v>
      </c>
      <c r="X1713" s="95">
        <v>45661</v>
      </c>
    </row>
    <row r="1714" spans="1:24" x14ac:dyDescent="0.25">
      <c r="A1714" s="6" t="s">
        <v>168</v>
      </c>
      <c r="B1714" s="94" t="s">
        <v>5330</v>
      </c>
      <c r="C1714" s="6" t="s">
        <v>5331</v>
      </c>
      <c r="D1714" s="140">
        <v>11896516</v>
      </c>
      <c r="E1714" s="6" t="s">
        <v>1082</v>
      </c>
      <c r="F1714" s="10" t="s">
        <v>134</v>
      </c>
      <c r="G1714" s="6" t="s">
        <v>5332</v>
      </c>
      <c r="H1714" s="8">
        <v>52273</v>
      </c>
      <c r="I1714" s="95">
        <v>43223</v>
      </c>
      <c r="J1714" s="95">
        <v>43223</v>
      </c>
      <c r="K1714" s="95">
        <v>43223</v>
      </c>
      <c r="L1714" s="95" t="s">
        <v>31</v>
      </c>
      <c r="M1714" s="8">
        <v>43231</v>
      </c>
      <c r="N1714" s="8">
        <v>43503</v>
      </c>
      <c r="O1714" s="8">
        <v>43496</v>
      </c>
      <c r="P1714" s="101" t="s">
        <v>52</v>
      </c>
      <c r="R1714" s="97" t="str">
        <f t="shared" si="64"/>
        <v/>
      </c>
      <c r="S1714" s="75" t="str">
        <f t="shared" si="65"/>
        <v/>
      </c>
      <c r="T1714" s="125" t="s">
        <v>5333</v>
      </c>
      <c r="U1714" s="8">
        <v>43503</v>
      </c>
      <c r="W1714" s="6" t="s">
        <v>84</v>
      </c>
      <c r="X1714" s="95">
        <v>45251</v>
      </c>
    </row>
    <row r="1715" spans="1:24" x14ac:dyDescent="0.25">
      <c r="A1715" s="6" t="s">
        <v>37</v>
      </c>
      <c r="B1715" s="94" t="s">
        <v>5334</v>
      </c>
      <c r="C1715" s="6" t="s">
        <v>5335</v>
      </c>
      <c r="D1715" s="140">
        <v>11296254</v>
      </c>
      <c r="E1715" s="6" t="s">
        <v>5336</v>
      </c>
      <c r="F1715" s="10" t="s">
        <v>44</v>
      </c>
      <c r="G1715" s="6" t="s">
        <v>5337</v>
      </c>
      <c r="H1715" s="8">
        <v>44225</v>
      </c>
      <c r="I1715" s="8">
        <v>43586</v>
      </c>
      <c r="J1715" s="8">
        <v>43591</v>
      </c>
      <c r="K1715" s="95">
        <v>43591</v>
      </c>
      <c r="L1715" s="95" t="s">
        <v>31</v>
      </c>
      <c r="M1715" s="8">
        <v>43607</v>
      </c>
      <c r="N1715" s="8">
        <v>43636</v>
      </c>
      <c r="O1715" s="8">
        <v>43623</v>
      </c>
      <c r="P1715" s="6" t="s">
        <v>75</v>
      </c>
      <c r="R1715" s="97" t="str">
        <f t="shared" si="64"/>
        <v/>
      </c>
      <c r="S1715" s="75" t="str">
        <f t="shared" si="65"/>
        <v/>
      </c>
      <c r="U1715" s="8">
        <v>43643</v>
      </c>
      <c r="W1715" s="6" t="s">
        <v>33</v>
      </c>
      <c r="X1715" s="95">
        <v>44234</v>
      </c>
    </row>
    <row r="1716" spans="1:24" x14ac:dyDescent="0.25">
      <c r="A1716" s="6" t="s">
        <v>37</v>
      </c>
      <c r="B1716" s="94" t="s">
        <v>5338</v>
      </c>
      <c r="C1716" s="6" t="s">
        <v>5339</v>
      </c>
      <c r="D1716" s="140">
        <v>12139593</v>
      </c>
      <c r="E1716" s="6" t="s">
        <v>2875</v>
      </c>
      <c r="F1716" s="10" t="s">
        <v>62</v>
      </c>
      <c r="G1716" s="6" t="s">
        <v>5340</v>
      </c>
      <c r="H1716" s="8">
        <v>44939</v>
      </c>
      <c r="I1716" s="8">
        <v>44103</v>
      </c>
      <c r="J1716" s="8">
        <v>44111</v>
      </c>
      <c r="K1716" s="95">
        <v>44112</v>
      </c>
      <c r="L1716" s="95" t="s">
        <v>31</v>
      </c>
      <c r="M1716" s="8">
        <v>44141</v>
      </c>
      <c r="R1716" s="97" t="str">
        <f t="shared" si="64"/>
        <v/>
      </c>
      <c r="S1716" s="75" t="str">
        <f t="shared" si="65"/>
        <v/>
      </c>
      <c r="T1716" s="129" t="s">
        <v>5341</v>
      </c>
      <c r="U1716" s="8">
        <v>44783</v>
      </c>
      <c r="W1716" s="6" t="s">
        <v>33</v>
      </c>
      <c r="X1716" s="135">
        <v>46690</v>
      </c>
    </row>
    <row r="1717" spans="1:24" x14ac:dyDescent="0.25">
      <c r="A1717" s="6" t="s">
        <v>37</v>
      </c>
      <c r="B1717" s="94" t="s">
        <v>873</v>
      </c>
      <c r="C1717" s="6" t="s">
        <v>5342</v>
      </c>
      <c r="D1717" s="140">
        <v>11277557</v>
      </c>
      <c r="E1717" s="6" t="s">
        <v>5343</v>
      </c>
      <c r="F1717" s="10" t="s">
        <v>143</v>
      </c>
      <c r="G1717" s="6" t="s">
        <v>5344</v>
      </c>
      <c r="H1717" s="8">
        <v>45249</v>
      </c>
      <c r="I1717" s="8">
        <v>43852</v>
      </c>
      <c r="J1717" s="8">
        <v>43864</v>
      </c>
      <c r="K1717" s="95">
        <v>43879</v>
      </c>
      <c r="L1717" s="95" t="s">
        <v>31</v>
      </c>
      <c r="M1717" s="8">
        <v>43895</v>
      </c>
      <c r="N1717" s="8">
        <v>44350</v>
      </c>
      <c r="O1717" s="8">
        <v>44340</v>
      </c>
      <c r="P1717" s="6" t="s">
        <v>52</v>
      </c>
      <c r="R1717" s="97" t="str">
        <f t="shared" si="64"/>
        <v/>
      </c>
      <c r="S1717" s="75" t="str">
        <f t="shared" si="65"/>
        <v/>
      </c>
      <c r="T1717" s="124" t="s">
        <v>3501</v>
      </c>
      <c r="U1717" s="8">
        <v>44364</v>
      </c>
      <c r="W1717" s="6" t="s">
        <v>33</v>
      </c>
      <c r="X1717" s="95">
        <v>49049</v>
      </c>
    </row>
    <row r="1718" spans="1:24" x14ac:dyDescent="0.25">
      <c r="A1718" s="6" t="s">
        <v>168</v>
      </c>
      <c r="B1718" s="94" t="s">
        <v>5345</v>
      </c>
      <c r="C1718" s="6" t="s">
        <v>5346</v>
      </c>
      <c r="D1718" s="140">
        <v>11917830</v>
      </c>
      <c r="E1718" s="6" t="s">
        <v>5347</v>
      </c>
      <c r="F1718" s="10" t="s">
        <v>44</v>
      </c>
      <c r="G1718" s="6" t="s">
        <v>5348</v>
      </c>
      <c r="H1718" s="8">
        <v>56785</v>
      </c>
      <c r="I1718" s="8">
        <v>43606</v>
      </c>
      <c r="J1718" s="8">
        <v>43622</v>
      </c>
      <c r="K1718" s="95">
        <v>43622</v>
      </c>
      <c r="L1718" s="95" t="s">
        <v>31</v>
      </c>
      <c r="M1718" s="8">
        <v>43627</v>
      </c>
      <c r="N1718" s="8">
        <v>43725</v>
      </c>
      <c r="O1718" s="8">
        <v>43705</v>
      </c>
      <c r="P1718" s="6" t="s">
        <v>75</v>
      </c>
      <c r="R1718" s="97" t="str">
        <f t="shared" si="64"/>
        <v/>
      </c>
      <c r="S1718" s="75" t="str">
        <f t="shared" si="65"/>
        <v/>
      </c>
      <c r="U1718" s="8">
        <v>43725</v>
      </c>
      <c r="W1718" s="6" t="s">
        <v>33</v>
      </c>
      <c r="X1718" s="95">
        <v>45837</v>
      </c>
    </row>
    <row r="1719" spans="1:24" x14ac:dyDescent="0.25">
      <c r="A1719" s="6" t="s">
        <v>168</v>
      </c>
      <c r="B1719" s="94" t="s">
        <v>2945</v>
      </c>
      <c r="C1719" s="6" t="s">
        <v>5349</v>
      </c>
      <c r="D1719" s="140">
        <v>11324296</v>
      </c>
      <c r="E1719" s="6" t="s">
        <v>5350</v>
      </c>
      <c r="F1719" s="10" t="s">
        <v>293</v>
      </c>
      <c r="G1719" s="6">
        <v>152831</v>
      </c>
      <c r="H1719" s="8">
        <v>47074</v>
      </c>
      <c r="I1719" s="8">
        <v>44144</v>
      </c>
      <c r="J1719" s="8">
        <v>44218</v>
      </c>
      <c r="K1719" s="95">
        <v>44219</v>
      </c>
      <c r="L1719" s="95" t="s">
        <v>31</v>
      </c>
      <c r="M1719" s="8">
        <v>44230</v>
      </c>
      <c r="N1719" s="8">
        <v>44462</v>
      </c>
      <c r="O1719" s="8">
        <v>44456</v>
      </c>
      <c r="P1719" s="6" t="s">
        <v>35</v>
      </c>
      <c r="Q1719" s="96">
        <v>995</v>
      </c>
      <c r="R1719" s="97">
        <f t="shared" si="64"/>
        <v>2.7260273972602738</v>
      </c>
      <c r="S1719" s="75">
        <f t="shared" si="65"/>
        <v>22514.260273972603</v>
      </c>
      <c r="U1719" s="8">
        <v>44669</v>
      </c>
      <c r="W1719" s="6" t="s">
        <v>84</v>
      </c>
      <c r="X1719" s="95">
        <v>46972</v>
      </c>
    </row>
    <row r="1720" spans="1:24" x14ac:dyDescent="0.25">
      <c r="A1720" s="6" t="s">
        <v>5351</v>
      </c>
      <c r="B1720" s="94" t="s">
        <v>3119</v>
      </c>
      <c r="C1720" s="6" t="s">
        <v>5352</v>
      </c>
      <c r="D1720" s="140">
        <v>11275601</v>
      </c>
      <c r="E1720" s="6" t="s">
        <v>409</v>
      </c>
      <c r="F1720" s="10" t="s">
        <v>44</v>
      </c>
      <c r="G1720" s="6" t="s">
        <v>5353</v>
      </c>
      <c r="H1720" s="8">
        <v>50180</v>
      </c>
      <c r="I1720" s="8">
        <v>43871</v>
      </c>
      <c r="J1720" s="8">
        <v>43875</v>
      </c>
      <c r="R1720" s="97" t="str">
        <f t="shared" si="64"/>
        <v/>
      </c>
      <c r="S1720" s="75" t="str">
        <f t="shared" si="65"/>
        <v/>
      </c>
      <c r="W1720" s="6" t="s">
        <v>84</v>
      </c>
      <c r="X1720" s="95">
        <v>41030</v>
      </c>
    </row>
    <row r="1721" spans="1:24" x14ac:dyDescent="0.25">
      <c r="A1721" s="6" t="s">
        <v>5351</v>
      </c>
      <c r="B1721" s="94" t="s">
        <v>2179</v>
      </c>
      <c r="C1721" s="6" t="s">
        <v>5354</v>
      </c>
      <c r="D1721" s="140">
        <v>11163554</v>
      </c>
      <c r="E1721" s="6" t="s">
        <v>2827</v>
      </c>
      <c r="F1721" s="10" t="s">
        <v>1225</v>
      </c>
      <c r="G1721" s="6" t="s">
        <v>5355</v>
      </c>
      <c r="H1721" s="8">
        <v>47680</v>
      </c>
      <c r="I1721" s="8">
        <v>43871</v>
      </c>
      <c r="J1721" s="8">
        <v>43875</v>
      </c>
      <c r="R1721" s="97" t="str">
        <f t="shared" si="64"/>
        <v/>
      </c>
      <c r="S1721" s="75" t="str">
        <f t="shared" si="65"/>
        <v/>
      </c>
      <c r="W1721" s="6" t="s">
        <v>84</v>
      </c>
      <c r="X1721" s="95">
        <v>40425</v>
      </c>
    </row>
    <row r="1722" spans="1:24" x14ac:dyDescent="0.25">
      <c r="A1722" s="6" t="s">
        <v>5351</v>
      </c>
      <c r="B1722" s="94" t="s">
        <v>145</v>
      </c>
      <c r="C1722" s="6" t="s">
        <v>5356</v>
      </c>
      <c r="D1722" s="140">
        <v>11673073</v>
      </c>
      <c r="E1722" s="6" t="s">
        <v>318</v>
      </c>
      <c r="F1722" s="10" t="s">
        <v>2600</v>
      </c>
      <c r="G1722" s="6">
        <v>1286928</v>
      </c>
      <c r="H1722" s="8">
        <v>61153</v>
      </c>
      <c r="I1722" s="8">
        <v>43871</v>
      </c>
      <c r="J1722" s="8">
        <v>43875</v>
      </c>
      <c r="R1722" s="97" t="str">
        <f t="shared" si="64"/>
        <v/>
      </c>
      <c r="S1722" s="75" t="str">
        <f t="shared" si="65"/>
        <v/>
      </c>
      <c r="W1722" s="6" t="s">
        <v>84</v>
      </c>
      <c r="X1722" s="95">
        <v>48627</v>
      </c>
    </row>
    <row r="1723" spans="1:24" x14ac:dyDescent="0.25">
      <c r="A1723" s="6" t="s">
        <v>5351</v>
      </c>
      <c r="B1723" s="94" t="s">
        <v>2192</v>
      </c>
      <c r="C1723" s="6" t="s">
        <v>5357</v>
      </c>
      <c r="D1723" s="140">
        <v>11236313</v>
      </c>
      <c r="E1723" s="6" t="s">
        <v>43</v>
      </c>
      <c r="F1723" s="10" t="s">
        <v>190</v>
      </c>
      <c r="G1723" s="6" t="s">
        <v>5358</v>
      </c>
      <c r="H1723" s="8">
        <v>49531</v>
      </c>
      <c r="I1723" s="8">
        <v>43871</v>
      </c>
      <c r="J1723" s="8">
        <v>43875</v>
      </c>
      <c r="R1723" s="97" t="str">
        <f t="shared" si="64"/>
        <v/>
      </c>
      <c r="S1723" s="75" t="str">
        <f t="shared" si="65"/>
        <v/>
      </c>
      <c r="T1723" s="124" t="s">
        <v>5359</v>
      </c>
      <c r="U1723" s="8">
        <v>45079</v>
      </c>
      <c r="W1723" s="6" t="s">
        <v>33</v>
      </c>
      <c r="X1723" s="95">
        <v>49803</v>
      </c>
    </row>
    <row r="1724" spans="1:24" x14ac:dyDescent="0.25">
      <c r="A1724" s="6" t="s">
        <v>5351</v>
      </c>
      <c r="B1724" s="94" t="s">
        <v>4534</v>
      </c>
      <c r="C1724" s="6" t="s">
        <v>5360</v>
      </c>
      <c r="D1724" s="140">
        <v>11195067</v>
      </c>
      <c r="E1724" s="6" t="s">
        <v>130</v>
      </c>
      <c r="F1724" s="10" t="s">
        <v>293</v>
      </c>
      <c r="G1724" s="6">
        <v>147392</v>
      </c>
      <c r="H1724" s="8">
        <v>54719</v>
      </c>
      <c r="I1724" s="8">
        <v>43871</v>
      </c>
      <c r="J1724" s="8">
        <v>43875</v>
      </c>
      <c r="R1724" s="97" t="str">
        <f t="shared" si="64"/>
        <v/>
      </c>
      <c r="S1724" s="75" t="str">
        <f t="shared" si="65"/>
        <v/>
      </c>
      <c r="W1724" s="6" t="s">
        <v>84</v>
      </c>
      <c r="X1724" s="95">
        <v>47674</v>
      </c>
    </row>
    <row r="1725" spans="1:24" x14ac:dyDescent="0.25">
      <c r="A1725" s="6" t="s">
        <v>5351</v>
      </c>
      <c r="B1725" s="94" t="s">
        <v>1977</v>
      </c>
      <c r="C1725" s="6" t="s">
        <v>5361</v>
      </c>
      <c r="D1725" s="140">
        <v>11119410</v>
      </c>
      <c r="E1725" s="6" t="s">
        <v>2160</v>
      </c>
      <c r="F1725" s="10" t="s">
        <v>148</v>
      </c>
      <c r="G1725" s="6" t="s">
        <v>5362</v>
      </c>
      <c r="H1725" s="8">
        <v>57787</v>
      </c>
      <c r="I1725" s="8">
        <v>43871</v>
      </c>
      <c r="J1725" s="8">
        <v>43875</v>
      </c>
      <c r="R1725" s="97" t="str">
        <f t="shared" si="64"/>
        <v/>
      </c>
      <c r="S1725" s="75" t="str">
        <f t="shared" si="65"/>
        <v/>
      </c>
      <c r="W1725" s="6" t="s">
        <v>84</v>
      </c>
      <c r="X1725" s="95">
        <v>38108</v>
      </c>
    </row>
    <row r="1726" spans="1:24" x14ac:dyDescent="0.25">
      <c r="A1726" s="6" t="s">
        <v>5351</v>
      </c>
      <c r="B1726" s="94" t="s">
        <v>5363</v>
      </c>
      <c r="C1726" s="6" t="s">
        <v>5364</v>
      </c>
      <c r="D1726" s="140">
        <v>11131401</v>
      </c>
      <c r="E1726" s="6" t="s">
        <v>2037</v>
      </c>
      <c r="F1726" s="10" t="s">
        <v>176</v>
      </c>
      <c r="G1726" s="6">
        <v>2010009351</v>
      </c>
      <c r="H1726" s="8">
        <v>45350</v>
      </c>
      <c r="I1726" s="8">
        <v>43871</v>
      </c>
      <c r="J1726" s="8">
        <v>43875</v>
      </c>
      <c r="R1726" s="97" t="str">
        <f t="shared" si="64"/>
        <v/>
      </c>
      <c r="S1726" s="75" t="str">
        <f t="shared" si="65"/>
        <v/>
      </c>
      <c r="T1726" s="124" t="s">
        <v>5365</v>
      </c>
      <c r="U1726" s="8">
        <v>45065</v>
      </c>
      <c r="W1726" s="6" t="s">
        <v>33</v>
      </c>
      <c r="X1726" s="95">
        <v>48364</v>
      </c>
    </row>
    <row r="1727" spans="1:24" x14ac:dyDescent="0.25">
      <c r="A1727" s="6" t="s">
        <v>5351</v>
      </c>
      <c r="B1727" s="94" t="s">
        <v>5366</v>
      </c>
      <c r="C1727" s="6" t="s">
        <v>5367</v>
      </c>
      <c r="D1727" s="140">
        <v>11978408</v>
      </c>
      <c r="E1727" s="6" t="s">
        <v>706</v>
      </c>
      <c r="F1727" s="10" t="s">
        <v>134</v>
      </c>
      <c r="G1727" s="6" t="s">
        <v>5368</v>
      </c>
      <c r="H1727" s="8">
        <v>57667</v>
      </c>
      <c r="I1727" s="8">
        <v>43871</v>
      </c>
      <c r="J1727" s="8">
        <v>43875</v>
      </c>
      <c r="R1727" s="97" t="str">
        <f t="shared" si="64"/>
        <v/>
      </c>
      <c r="S1727" s="75" t="str">
        <f t="shared" si="65"/>
        <v/>
      </c>
      <c r="W1727" s="6" t="s">
        <v>84</v>
      </c>
      <c r="X1727" s="95">
        <v>52082</v>
      </c>
    </row>
    <row r="1728" spans="1:24" x14ac:dyDescent="0.25">
      <c r="A1728" s="6" t="s">
        <v>5351</v>
      </c>
      <c r="B1728" s="94" t="s">
        <v>554</v>
      </c>
      <c r="C1728" s="6" t="s">
        <v>5369</v>
      </c>
      <c r="D1728" s="140">
        <v>11654376</v>
      </c>
      <c r="E1728" s="6" t="s">
        <v>409</v>
      </c>
      <c r="F1728" s="10" t="s">
        <v>134</v>
      </c>
      <c r="G1728" s="6" t="s">
        <v>5370</v>
      </c>
      <c r="H1728" s="8">
        <v>46993</v>
      </c>
      <c r="I1728" s="8">
        <v>43871</v>
      </c>
      <c r="J1728" s="8">
        <v>43875</v>
      </c>
      <c r="R1728" s="97" t="str">
        <f t="shared" si="64"/>
        <v/>
      </c>
      <c r="S1728" s="75" t="str">
        <f t="shared" si="65"/>
        <v/>
      </c>
      <c r="T1728" s="124" t="s">
        <v>5371</v>
      </c>
      <c r="U1728" s="8">
        <v>45054</v>
      </c>
      <c r="V1728" s="6" t="s">
        <v>350</v>
      </c>
      <c r="W1728" s="6" t="s">
        <v>84</v>
      </c>
      <c r="X1728" s="95">
        <v>36854</v>
      </c>
    </row>
    <row r="1729" spans="1:24" x14ac:dyDescent="0.25">
      <c r="A1729" s="6" t="s">
        <v>117</v>
      </c>
      <c r="B1729" s="94" t="s">
        <v>1398</v>
      </c>
      <c r="C1729" s="6" t="s">
        <v>5372</v>
      </c>
      <c r="D1729" s="140">
        <v>11470895</v>
      </c>
      <c r="E1729" s="6" t="s">
        <v>204</v>
      </c>
      <c r="F1729" s="10" t="s">
        <v>442</v>
      </c>
      <c r="G1729" s="6" t="s">
        <v>5373</v>
      </c>
      <c r="H1729" s="8">
        <v>36266</v>
      </c>
      <c r="I1729" s="8">
        <v>43873</v>
      </c>
      <c r="J1729" s="8">
        <v>43873</v>
      </c>
      <c r="K1729" s="95">
        <v>43873</v>
      </c>
      <c r="L1729" s="95" t="s">
        <v>31</v>
      </c>
      <c r="M1729" s="8">
        <v>43880</v>
      </c>
      <c r="P1729" s="107" t="s">
        <v>628</v>
      </c>
      <c r="R1729" s="97" t="str">
        <f t="shared" si="64"/>
        <v/>
      </c>
      <c r="S1729" s="75" t="str">
        <f t="shared" si="65"/>
        <v/>
      </c>
      <c r="T1729" s="129" t="s">
        <v>5374</v>
      </c>
      <c r="W1729" s="6" t="s">
        <v>84</v>
      </c>
      <c r="X1729" s="95">
        <v>38348</v>
      </c>
    </row>
    <row r="1730" spans="1:24" x14ac:dyDescent="0.25">
      <c r="A1730" s="6" t="s">
        <v>37</v>
      </c>
      <c r="B1730" s="94" t="s">
        <v>873</v>
      </c>
      <c r="C1730" s="6" t="s">
        <v>5375</v>
      </c>
      <c r="D1730" s="140">
        <v>11904848</v>
      </c>
      <c r="E1730" s="6" t="s">
        <v>3266</v>
      </c>
      <c r="F1730" s="10" t="s">
        <v>143</v>
      </c>
      <c r="G1730" s="6" t="s">
        <v>5376</v>
      </c>
      <c r="H1730" s="8">
        <v>46786</v>
      </c>
      <c r="I1730" s="8">
        <v>44277</v>
      </c>
      <c r="J1730" s="8">
        <v>44279</v>
      </c>
      <c r="K1730" s="95">
        <v>44279</v>
      </c>
      <c r="L1730" s="95" t="s">
        <v>31</v>
      </c>
      <c r="M1730" s="8">
        <v>44295</v>
      </c>
      <c r="N1730" s="8">
        <v>44567</v>
      </c>
      <c r="O1730" s="8">
        <v>44376</v>
      </c>
      <c r="P1730" s="6" t="s">
        <v>52</v>
      </c>
      <c r="R1730" s="97" t="str">
        <f t="shared" si="64"/>
        <v/>
      </c>
      <c r="S1730" s="75" t="str">
        <f t="shared" si="65"/>
        <v/>
      </c>
      <c r="U1730" s="8">
        <v>44567</v>
      </c>
      <c r="W1730" s="6" t="s">
        <v>33</v>
      </c>
      <c r="X1730" s="7">
        <v>48933</v>
      </c>
    </row>
    <row r="1731" spans="1:24" x14ac:dyDescent="0.25">
      <c r="A1731" s="6" t="s">
        <v>5351</v>
      </c>
      <c r="B1731" s="94" t="s">
        <v>5377</v>
      </c>
      <c r="C1731" s="6" t="s">
        <v>5378</v>
      </c>
      <c r="D1731" s="140">
        <v>11573622</v>
      </c>
      <c r="E1731" s="6" t="s">
        <v>5379</v>
      </c>
      <c r="F1731" s="10" t="s">
        <v>1225</v>
      </c>
      <c r="G1731" s="6" t="s">
        <v>5380</v>
      </c>
      <c r="H1731" s="8">
        <v>44789</v>
      </c>
      <c r="I1731" s="8">
        <v>43874</v>
      </c>
      <c r="J1731" s="8">
        <v>43886</v>
      </c>
      <c r="R1731" s="97" t="str">
        <f t="shared" si="64"/>
        <v/>
      </c>
      <c r="S1731" s="75" t="str">
        <f t="shared" si="65"/>
        <v/>
      </c>
      <c r="T1731" s="124" t="s">
        <v>5381</v>
      </c>
      <c r="U1731" s="8">
        <v>45065</v>
      </c>
      <c r="W1731" s="6" t="s">
        <v>33</v>
      </c>
      <c r="X1731" s="95">
        <v>52487</v>
      </c>
    </row>
    <row r="1732" spans="1:24" x14ac:dyDescent="0.25">
      <c r="A1732" s="6" t="s">
        <v>5351</v>
      </c>
      <c r="B1732" s="94" t="s">
        <v>5382</v>
      </c>
      <c r="C1732" s="6" t="s">
        <v>5383</v>
      </c>
      <c r="D1732" s="140">
        <v>11184275</v>
      </c>
      <c r="E1732" s="6" t="s">
        <v>1650</v>
      </c>
      <c r="F1732" s="10" t="s">
        <v>1225</v>
      </c>
      <c r="G1732" s="6" t="s">
        <v>5384</v>
      </c>
      <c r="H1732" s="8">
        <v>45468</v>
      </c>
      <c r="I1732" s="8">
        <v>43874</v>
      </c>
      <c r="J1732" s="8">
        <v>43886</v>
      </c>
      <c r="R1732" s="97" t="str">
        <f t="shared" si="64"/>
        <v/>
      </c>
      <c r="S1732" s="75" t="str">
        <f t="shared" si="65"/>
        <v/>
      </c>
      <c r="T1732" s="124" t="s">
        <v>5385</v>
      </c>
      <c r="U1732" s="8">
        <v>45012</v>
      </c>
      <c r="W1732" s="6" t="s">
        <v>33</v>
      </c>
      <c r="X1732" s="95">
        <v>50599</v>
      </c>
    </row>
    <row r="1733" spans="1:24" x14ac:dyDescent="0.25">
      <c r="A1733" s="6" t="s">
        <v>5351</v>
      </c>
      <c r="B1733" s="94" t="s">
        <v>3227</v>
      </c>
      <c r="C1733" s="6" t="s">
        <v>5386</v>
      </c>
      <c r="D1733" s="140">
        <v>11513299</v>
      </c>
      <c r="E1733" s="6" t="s">
        <v>2037</v>
      </c>
      <c r="F1733" s="10" t="s">
        <v>2296</v>
      </c>
      <c r="G1733" s="6">
        <v>62097495</v>
      </c>
      <c r="H1733" s="8">
        <v>47863</v>
      </c>
      <c r="I1733" s="8">
        <v>43874</v>
      </c>
      <c r="J1733" s="8">
        <v>43886</v>
      </c>
      <c r="R1733" s="97" t="str">
        <f t="shared" si="64"/>
        <v/>
      </c>
      <c r="S1733" s="75" t="str">
        <f t="shared" si="65"/>
        <v/>
      </c>
      <c r="W1733" s="6" t="s">
        <v>84</v>
      </c>
      <c r="X1733" s="95">
        <v>50375</v>
      </c>
    </row>
    <row r="1734" spans="1:24" x14ac:dyDescent="0.25">
      <c r="A1734" s="6" t="s">
        <v>5351</v>
      </c>
      <c r="B1734" s="94" t="s">
        <v>5387</v>
      </c>
      <c r="C1734" s="6" t="s">
        <v>5388</v>
      </c>
      <c r="D1734" s="140">
        <v>11067342</v>
      </c>
      <c r="E1734" s="6" t="s">
        <v>2454</v>
      </c>
      <c r="F1734" s="10" t="s">
        <v>1352</v>
      </c>
      <c r="G1734" s="6" t="s">
        <v>5389</v>
      </c>
      <c r="H1734" s="8">
        <v>45788</v>
      </c>
      <c r="I1734" s="8">
        <v>43874</v>
      </c>
      <c r="J1734" s="8">
        <v>43886</v>
      </c>
      <c r="N1734" s="8">
        <v>44638</v>
      </c>
      <c r="O1734" s="8">
        <v>44602</v>
      </c>
      <c r="P1734" s="6" t="s">
        <v>90</v>
      </c>
      <c r="Q1734" s="96">
        <v>2190</v>
      </c>
      <c r="R1734" s="97">
        <f t="shared" ref="R1734:R1797" si="66">IF(Q1734&gt;0, Q1734/365, "")</f>
        <v>6</v>
      </c>
      <c r="S1734" s="75">
        <f t="shared" ref="S1734:S1797" si="67">IF(Q1734&gt;0, SUM(Q1734)*(8259/365), "")</f>
        <v>49554</v>
      </c>
      <c r="T1734" s="124" t="s">
        <v>5390</v>
      </c>
      <c r="U1734" s="8">
        <v>45065</v>
      </c>
      <c r="V1734" s="6" t="s">
        <v>36</v>
      </c>
      <c r="W1734" s="6" t="s">
        <v>33</v>
      </c>
      <c r="X1734" s="95">
        <v>49069</v>
      </c>
    </row>
    <row r="1735" spans="1:24" x14ac:dyDescent="0.25">
      <c r="A1735" s="6" t="s">
        <v>5351</v>
      </c>
      <c r="B1735" s="94" t="s">
        <v>5391</v>
      </c>
      <c r="C1735" s="6" t="s">
        <v>5392</v>
      </c>
      <c r="D1735" s="140">
        <v>11776820</v>
      </c>
      <c r="E1735" s="6" t="s">
        <v>2850</v>
      </c>
      <c r="F1735" s="10" t="s">
        <v>528</v>
      </c>
      <c r="G1735" s="6" t="s">
        <v>5393</v>
      </c>
      <c r="H1735" s="8">
        <v>46773</v>
      </c>
      <c r="I1735" s="8">
        <v>43874</v>
      </c>
      <c r="J1735" s="8">
        <v>43886</v>
      </c>
      <c r="R1735" s="97" t="str">
        <f t="shared" si="66"/>
        <v/>
      </c>
      <c r="S1735" s="75" t="str">
        <f t="shared" si="67"/>
        <v/>
      </c>
      <c r="W1735" s="6" t="s">
        <v>33</v>
      </c>
      <c r="X1735" s="95">
        <v>50700</v>
      </c>
    </row>
    <row r="1736" spans="1:24" x14ac:dyDescent="0.25">
      <c r="A1736" s="6" t="s">
        <v>5351</v>
      </c>
      <c r="B1736" s="94" t="s">
        <v>2602</v>
      </c>
      <c r="C1736" s="6" t="s">
        <v>5394</v>
      </c>
      <c r="D1736" s="140">
        <v>11046529</v>
      </c>
      <c r="E1736" s="6" t="s">
        <v>261</v>
      </c>
      <c r="F1736" s="10" t="s">
        <v>44</v>
      </c>
      <c r="G1736" s="6" t="s">
        <v>5395</v>
      </c>
      <c r="H1736" s="8">
        <v>45162</v>
      </c>
      <c r="I1736" s="8">
        <v>43874</v>
      </c>
      <c r="J1736" s="8">
        <v>43886</v>
      </c>
      <c r="R1736" s="97" t="str">
        <f t="shared" si="66"/>
        <v/>
      </c>
      <c r="S1736" s="75" t="str">
        <f t="shared" si="67"/>
        <v/>
      </c>
      <c r="T1736" s="124" t="s">
        <v>5396</v>
      </c>
      <c r="U1736" s="8">
        <v>45064</v>
      </c>
      <c r="W1736" s="6" t="s">
        <v>33</v>
      </c>
      <c r="X1736" s="95">
        <v>50240</v>
      </c>
    </row>
    <row r="1737" spans="1:24" x14ac:dyDescent="0.25">
      <c r="A1737" s="6" t="s">
        <v>5351</v>
      </c>
      <c r="B1737" s="94" t="s">
        <v>704</v>
      </c>
      <c r="C1737" s="6" t="s">
        <v>5397</v>
      </c>
      <c r="D1737" s="140">
        <v>11853805</v>
      </c>
      <c r="E1737" s="6" t="s">
        <v>318</v>
      </c>
      <c r="F1737" s="10" t="s">
        <v>252</v>
      </c>
      <c r="G1737" s="6">
        <v>50507467</v>
      </c>
      <c r="H1737" s="8">
        <v>48361</v>
      </c>
      <c r="I1737" s="8">
        <v>43874</v>
      </c>
      <c r="J1737" s="8">
        <v>43886</v>
      </c>
      <c r="R1737" s="97" t="str">
        <f t="shared" si="66"/>
        <v/>
      </c>
      <c r="S1737" s="75" t="str">
        <f t="shared" si="67"/>
        <v/>
      </c>
      <c r="W1737" s="6" t="s">
        <v>33</v>
      </c>
      <c r="X1737" s="95">
        <v>49477</v>
      </c>
    </row>
    <row r="1738" spans="1:24" x14ac:dyDescent="0.25">
      <c r="A1738" s="6" t="s">
        <v>5351</v>
      </c>
      <c r="B1738" s="94" t="s">
        <v>173</v>
      </c>
      <c r="C1738" s="6" t="s">
        <v>5398</v>
      </c>
      <c r="D1738" s="140">
        <v>11853805</v>
      </c>
      <c r="E1738" s="6" t="s">
        <v>1650</v>
      </c>
      <c r="F1738" s="10" t="s">
        <v>139</v>
      </c>
      <c r="G1738" s="6" t="s">
        <v>5399</v>
      </c>
      <c r="H1738" s="8">
        <v>45064</v>
      </c>
      <c r="I1738" s="8">
        <v>43874</v>
      </c>
      <c r="J1738" s="8">
        <v>43886</v>
      </c>
      <c r="N1738" s="8">
        <v>44281</v>
      </c>
      <c r="O1738" s="8">
        <v>44263</v>
      </c>
      <c r="P1738" s="6" t="s">
        <v>35</v>
      </c>
      <c r="Q1738" s="96">
        <v>1606</v>
      </c>
      <c r="R1738" s="97">
        <f t="shared" si="66"/>
        <v>4.4000000000000004</v>
      </c>
      <c r="S1738" s="75">
        <f t="shared" si="67"/>
        <v>36339.599999999999</v>
      </c>
      <c r="U1738" s="8">
        <v>45009</v>
      </c>
      <c r="W1738" s="6" t="s">
        <v>33</v>
      </c>
      <c r="X1738" s="95">
        <v>48148</v>
      </c>
    </row>
    <row r="1739" spans="1:24" ht="30" x14ac:dyDescent="0.25">
      <c r="A1739" s="6" t="s">
        <v>117</v>
      </c>
      <c r="B1739" s="94" t="s">
        <v>3838</v>
      </c>
      <c r="C1739" s="6" t="s">
        <v>5400</v>
      </c>
      <c r="D1739" s="140">
        <v>1103872</v>
      </c>
      <c r="E1739" s="6" t="s">
        <v>386</v>
      </c>
      <c r="F1739" s="10" t="s">
        <v>121</v>
      </c>
      <c r="G1739" s="6" t="s">
        <v>5401</v>
      </c>
      <c r="H1739" s="8">
        <v>47609</v>
      </c>
      <c r="I1739" s="8">
        <v>43874</v>
      </c>
      <c r="J1739" s="8">
        <v>43874</v>
      </c>
      <c r="K1739" s="95">
        <v>43875</v>
      </c>
      <c r="L1739" s="95" t="s">
        <v>31</v>
      </c>
      <c r="M1739" s="8">
        <v>43882</v>
      </c>
      <c r="N1739" s="8">
        <v>43908</v>
      </c>
      <c r="O1739" s="8">
        <v>43895</v>
      </c>
      <c r="P1739" s="6" t="s">
        <v>35</v>
      </c>
      <c r="Q1739" s="96">
        <v>730.5</v>
      </c>
      <c r="R1739" s="97">
        <f t="shared" si="66"/>
        <v>2.0013698630136987</v>
      </c>
      <c r="S1739" s="75">
        <f t="shared" si="67"/>
        <v>16529.313698630136</v>
      </c>
      <c r="U1739" s="8">
        <v>43908</v>
      </c>
      <c r="W1739" s="6" t="s">
        <v>33</v>
      </c>
      <c r="X1739" s="95">
        <v>52785</v>
      </c>
    </row>
    <row r="1740" spans="1:24" x14ac:dyDescent="0.25">
      <c r="A1740" s="6" t="s">
        <v>25</v>
      </c>
      <c r="B1740" s="94" t="s">
        <v>5402</v>
      </c>
      <c r="C1740" s="6" t="s">
        <v>5403</v>
      </c>
      <c r="D1740" s="140">
        <v>11987713</v>
      </c>
      <c r="E1740" s="6" t="s">
        <v>1143</v>
      </c>
      <c r="F1740" s="10" t="s">
        <v>134</v>
      </c>
      <c r="G1740" s="6" t="s">
        <v>5404</v>
      </c>
      <c r="H1740" s="8">
        <v>44518</v>
      </c>
      <c r="I1740" s="8">
        <v>43881</v>
      </c>
      <c r="J1740" s="8">
        <v>43882</v>
      </c>
      <c r="K1740" s="95">
        <v>43906</v>
      </c>
      <c r="L1740" s="95" t="s">
        <v>359</v>
      </c>
      <c r="R1740" s="97" t="str">
        <f t="shared" si="66"/>
        <v/>
      </c>
      <c r="S1740" s="75" t="str">
        <f t="shared" si="67"/>
        <v/>
      </c>
      <c r="W1740" s="6" t="s">
        <v>33</v>
      </c>
      <c r="X1740" s="95">
        <v>51831</v>
      </c>
    </row>
    <row r="1741" spans="1:24" x14ac:dyDescent="0.25">
      <c r="A1741" s="6" t="s">
        <v>25</v>
      </c>
      <c r="B1741" s="94" t="s">
        <v>2971</v>
      </c>
      <c r="C1741" s="6" t="s">
        <v>5405</v>
      </c>
      <c r="D1741" s="140">
        <v>11117161</v>
      </c>
      <c r="E1741" s="6" t="s">
        <v>714</v>
      </c>
      <c r="F1741" s="10" t="s">
        <v>62</v>
      </c>
      <c r="G1741" s="6" t="s">
        <v>5406</v>
      </c>
      <c r="H1741" s="8">
        <v>45898</v>
      </c>
      <c r="I1741" s="8">
        <v>43881</v>
      </c>
      <c r="J1741" s="8">
        <v>43882</v>
      </c>
      <c r="K1741" s="95">
        <v>43906</v>
      </c>
      <c r="L1741" s="95" t="s">
        <v>359</v>
      </c>
      <c r="R1741" s="97" t="str">
        <f t="shared" si="66"/>
        <v/>
      </c>
      <c r="S1741" s="75" t="str">
        <f t="shared" si="67"/>
        <v/>
      </c>
      <c r="W1741" s="6" t="s">
        <v>33</v>
      </c>
      <c r="X1741" s="95">
        <v>46517</v>
      </c>
    </row>
    <row r="1742" spans="1:24" x14ac:dyDescent="0.25">
      <c r="A1742" s="6" t="s">
        <v>25</v>
      </c>
      <c r="B1742" s="94" t="s">
        <v>5407</v>
      </c>
      <c r="C1742" s="6" t="s">
        <v>5408</v>
      </c>
      <c r="D1742" s="140">
        <v>11991860</v>
      </c>
      <c r="E1742" s="6" t="s">
        <v>615</v>
      </c>
      <c r="F1742" s="10" t="s">
        <v>44</v>
      </c>
      <c r="G1742" s="6" t="s">
        <v>5409</v>
      </c>
      <c r="H1742" s="8">
        <v>46180</v>
      </c>
      <c r="I1742" s="8">
        <v>43881</v>
      </c>
      <c r="J1742" s="8">
        <v>43882</v>
      </c>
      <c r="K1742" s="95">
        <v>43906</v>
      </c>
      <c r="L1742" s="95" t="s">
        <v>359</v>
      </c>
      <c r="R1742" s="97" t="str">
        <f t="shared" si="66"/>
        <v/>
      </c>
      <c r="S1742" s="75" t="str">
        <f t="shared" si="67"/>
        <v/>
      </c>
      <c r="W1742" s="6" t="s">
        <v>33</v>
      </c>
      <c r="X1742" s="95">
        <v>53193</v>
      </c>
    </row>
    <row r="1743" spans="1:24" x14ac:dyDescent="0.25">
      <c r="A1743" s="6" t="s">
        <v>25</v>
      </c>
      <c r="B1743" s="94" t="s">
        <v>5410</v>
      </c>
      <c r="C1743" s="6" t="s">
        <v>5411</v>
      </c>
      <c r="D1743" s="140">
        <v>11097246</v>
      </c>
      <c r="E1743" s="6" t="s">
        <v>1650</v>
      </c>
      <c r="F1743" s="10" t="s">
        <v>44</v>
      </c>
      <c r="G1743" s="6" t="s">
        <v>5412</v>
      </c>
      <c r="H1743" s="8">
        <v>46182</v>
      </c>
      <c r="I1743" s="8">
        <v>43881</v>
      </c>
      <c r="J1743" s="8">
        <v>43882</v>
      </c>
      <c r="K1743" s="95">
        <v>43906</v>
      </c>
      <c r="L1743" s="95" t="s">
        <v>359</v>
      </c>
      <c r="R1743" s="97" t="str">
        <f t="shared" si="66"/>
        <v/>
      </c>
      <c r="S1743" s="75" t="str">
        <f t="shared" si="67"/>
        <v/>
      </c>
      <c r="W1743" s="6" t="s">
        <v>84</v>
      </c>
      <c r="X1743" s="95">
        <v>36985</v>
      </c>
    </row>
    <row r="1744" spans="1:24" x14ac:dyDescent="0.25">
      <c r="A1744" s="6" t="s">
        <v>25</v>
      </c>
      <c r="B1744" s="94" t="s">
        <v>2294</v>
      </c>
      <c r="C1744" s="6" t="s">
        <v>5413</v>
      </c>
      <c r="D1744" s="140">
        <v>11173078</v>
      </c>
      <c r="E1744" s="6" t="s">
        <v>1525</v>
      </c>
      <c r="F1744" s="10" t="s">
        <v>44</v>
      </c>
      <c r="G1744" s="6" t="s">
        <v>5414</v>
      </c>
      <c r="H1744" s="8">
        <v>46199</v>
      </c>
      <c r="I1744" s="8">
        <v>43881</v>
      </c>
      <c r="J1744" s="8">
        <v>43882</v>
      </c>
      <c r="K1744" s="95">
        <v>43906</v>
      </c>
      <c r="L1744" s="95" t="s">
        <v>359</v>
      </c>
      <c r="R1744" s="97" t="str">
        <f t="shared" si="66"/>
        <v/>
      </c>
      <c r="S1744" s="75" t="str">
        <f t="shared" si="67"/>
        <v/>
      </c>
      <c r="W1744" s="6" t="s">
        <v>33</v>
      </c>
      <c r="X1744" s="95">
        <v>46296</v>
      </c>
    </row>
    <row r="1745" spans="1:24" x14ac:dyDescent="0.25">
      <c r="A1745" s="6" t="s">
        <v>25</v>
      </c>
      <c r="B1745" s="94" t="s">
        <v>5415</v>
      </c>
      <c r="C1745" s="6" t="s">
        <v>5416</v>
      </c>
      <c r="D1745" s="140">
        <v>11881981</v>
      </c>
      <c r="E1745" s="6" t="s">
        <v>835</v>
      </c>
      <c r="F1745" s="10" t="s">
        <v>143</v>
      </c>
      <c r="G1745" s="6" t="s">
        <v>5417</v>
      </c>
      <c r="H1745" s="8">
        <v>46162</v>
      </c>
      <c r="I1745" s="8">
        <v>43881</v>
      </c>
      <c r="J1745" s="8">
        <v>43882</v>
      </c>
      <c r="K1745" s="95">
        <v>43906</v>
      </c>
      <c r="L1745" s="95" t="s">
        <v>359</v>
      </c>
      <c r="R1745" s="97" t="str">
        <f t="shared" si="66"/>
        <v/>
      </c>
      <c r="S1745" s="75" t="str">
        <f t="shared" si="67"/>
        <v/>
      </c>
      <c r="W1745" s="6" t="s">
        <v>84</v>
      </c>
      <c r="X1745" s="95">
        <v>38046</v>
      </c>
    </row>
    <row r="1746" spans="1:24" x14ac:dyDescent="0.25">
      <c r="A1746" s="6" t="s">
        <v>117</v>
      </c>
      <c r="B1746" s="94" t="s">
        <v>5418</v>
      </c>
      <c r="C1746" s="6" t="s">
        <v>5419</v>
      </c>
      <c r="D1746" s="140">
        <v>11921175</v>
      </c>
      <c r="E1746" s="6" t="s">
        <v>5420</v>
      </c>
      <c r="F1746" s="10" t="s">
        <v>277</v>
      </c>
      <c r="G1746" s="6" t="s">
        <v>5421</v>
      </c>
      <c r="H1746" s="8">
        <v>58622</v>
      </c>
      <c r="I1746" s="8">
        <v>43706</v>
      </c>
      <c r="J1746" s="8">
        <v>43706</v>
      </c>
      <c r="K1746" s="95">
        <v>43706</v>
      </c>
      <c r="L1746" s="95" t="s">
        <v>31</v>
      </c>
      <c r="M1746" s="8">
        <v>43706</v>
      </c>
      <c r="N1746" s="8">
        <v>43881</v>
      </c>
      <c r="O1746" s="8">
        <v>43858</v>
      </c>
      <c r="P1746" s="6" t="s">
        <v>35</v>
      </c>
      <c r="Q1746" s="96">
        <v>731</v>
      </c>
      <c r="R1746" s="97">
        <f t="shared" si="66"/>
        <v>2.0027397260273974</v>
      </c>
      <c r="S1746" s="75">
        <f t="shared" si="67"/>
        <v>16540.627397260276</v>
      </c>
      <c r="U1746" s="8">
        <v>43881</v>
      </c>
      <c r="W1746" s="6" t="s">
        <v>33</v>
      </c>
      <c r="X1746" s="95">
        <v>41917</v>
      </c>
    </row>
    <row r="1747" spans="1:24" x14ac:dyDescent="0.25">
      <c r="A1747" s="6" t="s">
        <v>168</v>
      </c>
      <c r="B1747" s="94" t="s">
        <v>5422</v>
      </c>
      <c r="C1747" s="6" t="s">
        <v>5423</v>
      </c>
      <c r="D1747" s="140">
        <v>11184461</v>
      </c>
      <c r="E1747" s="6" t="s">
        <v>2696</v>
      </c>
      <c r="F1747" s="10" t="s">
        <v>44</v>
      </c>
      <c r="G1747" s="6" t="s">
        <v>5424</v>
      </c>
      <c r="H1747" s="8">
        <v>45270</v>
      </c>
      <c r="I1747" s="8">
        <v>43349</v>
      </c>
      <c r="J1747" s="8">
        <v>43356</v>
      </c>
      <c r="K1747" s="95">
        <v>43367</v>
      </c>
      <c r="L1747" s="95" t="s">
        <v>31</v>
      </c>
      <c r="M1747" s="8">
        <v>43369</v>
      </c>
      <c r="N1747" s="8">
        <v>43395</v>
      </c>
      <c r="O1747" s="8">
        <v>43382</v>
      </c>
      <c r="P1747" s="6" t="s">
        <v>75</v>
      </c>
      <c r="R1747" s="97" t="str">
        <f t="shared" si="66"/>
        <v/>
      </c>
      <c r="S1747" s="75" t="str">
        <f t="shared" si="67"/>
        <v/>
      </c>
      <c r="U1747" s="8">
        <v>43395</v>
      </c>
      <c r="W1747" s="6" t="s">
        <v>84</v>
      </c>
      <c r="X1747" s="95">
        <v>38085</v>
      </c>
    </row>
    <row r="1748" spans="1:24" x14ac:dyDescent="0.25">
      <c r="A1748" s="6" t="s">
        <v>37</v>
      </c>
      <c r="B1748" s="94" t="s">
        <v>5425</v>
      </c>
      <c r="C1748" s="6" t="s">
        <v>5426</v>
      </c>
      <c r="D1748" s="140">
        <v>11942043</v>
      </c>
      <c r="E1748" s="6" t="s">
        <v>5427</v>
      </c>
      <c r="F1748" s="10" t="s">
        <v>44</v>
      </c>
      <c r="G1748" s="6" t="s">
        <v>5428</v>
      </c>
      <c r="H1748" s="8">
        <v>47206</v>
      </c>
      <c r="I1748" s="8">
        <v>43787</v>
      </c>
      <c r="J1748" s="8">
        <v>43795</v>
      </c>
      <c r="K1748" s="95">
        <v>43796</v>
      </c>
      <c r="L1748" s="95" t="s">
        <v>31</v>
      </c>
      <c r="M1748" s="8">
        <v>43811</v>
      </c>
      <c r="R1748" s="97" t="str">
        <f t="shared" si="66"/>
        <v/>
      </c>
      <c r="S1748" s="75" t="str">
        <f t="shared" si="67"/>
        <v/>
      </c>
      <c r="W1748" s="6" t="s">
        <v>33</v>
      </c>
      <c r="X1748" s="95">
        <v>50081</v>
      </c>
    </row>
    <row r="1749" spans="1:24" x14ac:dyDescent="0.25">
      <c r="A1749" s="6" t="s">
        <v>37</v>
      </c>
      <c r="B1749" s="94" t="s">
        <v>3708</v>
      </c>
      <c r="C1749" s="6" t="s">
        <v>5429</v>
      </c>
      <c r="D1749" s="140">
        <v>11903718</v>
      </c>
      <c r="E1749" s="6" t="s">
        <v>4848</v>
      </c>
      <c r="F1749" s="10" t="s">
        <v>50</v>
      </c>
      <c r="G1749" s="6" t="s">
        <v>5430</v>
      </c>
      <c r="H1749" s="8">
        <v>45157</v>
      </c>
      <c r="I1749" s="8">
        <v>43735</v>
      </c>
      <c r="J1749" s="8">
        <v>43752</v>
      </c>
      <c r="K1749" s="95">
        <v>43753</v>
      </c>
      <c r="L1749" s="95" t="s">
        <v>31</v>
      </c>
      <c r="M1749" s="8">
        <v>43755</v>
      </c>
      <c r="N1749" s="8">
        <v>43804</v>
      </c>
      <c r="O1749" s="8">
        <v>43784</v>
      </c>
      <c r="P1749" s="6" t="s">
        <v>75</v>
      </c>
      <c r="R1749" s="97" t="str">
        <f t="shared" si="66"/>
        <v/>
      </c>
      <c r="S1749" s="75" t="str">
        <f t="shared" si="67"/>
        <v/>
      </c>
      <c r="U1749" s="8">
        <v>43804</v>
      </c>
      <c r="W1749" s="6" t="s">
        <v>33</v>
      </c>
      <c r="X1749" s="95">
        <v>50189</v>
      </c>
    </row>
    <row r="1750" spans="1:24" x14ac:dyDescent="0.25">
      <c r="A1750" s="6" t="s">
        <v>37</v>
      </c>
      <c r="B1750" s="94" t="s">
        <v>5431</v>
      </c>
      <c r="C1750" s="6" t="s">
        <v>5432</v>
      </c>
      <c r="D1750" s="140">
        <v>12131566</v>
      </c>
      <c r="E1750" s="6" t="s">
        <v>5433</v>
      </c>
      <c r="F1750" s="10" t="s">
        <v>44</v>
      </c>
      <c r="G1750" s="6" t="s">
        <v>5434</v>
      </c>
      <c r="H1750" s="8">
        <v>50864</v>
      </c>
      <c r="I1750" s="8">
        <v>44142</v>
      </c>
      <c r="J1750" s="8">
        <v>44185</v>
      </c>
      <c r="K1750" s="95">
        <v>44207</v>
      </c>
      <c r="L1750" s="95" t="s">
        <v>31</v>
      </c>
      <c r="M1750" s="8">
        <v>44218</v>
      </c>
      <c r="N1750" s="8">
        <v>45106</v>
      </c>
      <c r="O1750" s="8">
        <v>45093</v>
      </c>
      <c r="P1750" s="6" t="s">
        <v>35</v>
      </c>
      <c r="Q1750" s="96">
        <v>7811</v>
      </c>
      <c r="R1750" s="97">
        <f t="shared" si="66"/>
        <v>21.4</v>
      </c>
      <c r="S1750" s="75">
        <f t="shared" si="67"/>
        <v>176742.6</v>
      </c>
      <c r="U1750" s="8">
        <v>45106</v>
      </c>
      <c r="W1750" s="6" t="s">
        <v>33</v>
      </c>
      <c r="X1750" s="95">
        <v>46824</v>
      </c>
    </row>
    <row r="1751" spans="1:24" x14ac:dyDescent="0.25">
      <c r="A1751" s="6" t="s">
        <v>5351</v>
      </c>
      <c r="B1751" s="94" t="s">
        <v>1239</v>
      </c>
      <c r="C1751" s="6" t="s">
        <v>5435</v>
      </c>
      <c r="D1751" s="140">
        <v>11945927</v>
      </c>
      <c r="E1751" s="6" t="s">
        <v>240</v>
      </c>
      <c r="F1751" s="10" t="s">
        <v>44</v>
      </c>
      <c r="G1751" s="6" t="s">
        <v>5436</v>
      </c>
      <c r="H1751" s="8">
        <v>44611</v>
      </c>
      <c r="I1751" s="8">
        <v>43878</v>
      </c>
      <c r="J1751" s="8">
        <v>43885</v>
      </c>
      <c r="R1751" s="97" t="str">
        <f t="shared" si="66"/>
        <v/>
      </c>
      <c r="S1751" s="75" t="str">
        <f t="shared" si="67"/>
        <v/>
      </c>
      <c r="T1751" s="124" t="s">
        <v>5437</v>
      </c>
      <c r="U1751" s="8">
        <v>45064</v>
      </c>
      <c r="W1751" s="6" t="s">
        <v>33</v>
      </c>
      <c r="X1751" s="95">
        <v>48051</v>
      </c>
    </row>
    <row r="1752" spans="1:24" x14ac:dyDescent="0.25">
      <c r="A1752" s="6" t="s">
        <v>5351</v>
      </c>
      <c r="B1752" s="94" t="s">
        <v>5438</v>
      </c>
      <c r="C1752" s="6" t="s">
        <v>5439</v>
      </c>
      <c r="D1752" s="140">
        <v>11117198</v>
      </c>
      <c r="E1752" s="6" t="s">
        <v>446</v>
      </c>
      <c r="F1752" s="10" t="s">
        <v>44</v>
      </c>
      <c r="G1752" s="6" t="s">
        <v>5440</v>
      </c>
      <c r="H1752" s="8">
        <v>45229</v>
      </c>
      <c r="I1752" s="8">
        <v>43878</v>
      </c>
      <c r="J1752" s="8">
        <v>43885</v>
      </c>
      <c r="R1752" s="97" t="str">
        <f t="shared" si="66"/>
        <v/>
      </c>
      <c r="S1752" s="75" t="str">
        <f t="shared" si="67"/>
        <v/>
      </c>
      <c r="T1752" s="124" t="s">
        <v>5441</v>
      </c>
      <c r="U1752" s="8">
        <v>45064</v>
      </c>
      <c r="W1752" s="6" t="s">
        <v>33</v>
      </c>
      <c r="X1752" s="95">
        <v>49708</v>
      </c>
    </row>
    <row r="1753" spans="1:24" x14ac:dyDescent="0.25">
      <c r="A1753" s="6" t="s">
        <v>5351</v>
      </c>
      <c r="B1753" s="94" t="s">
        <v>5442</v>
      </c>
      <c r="C1753" s="6" t="s">
        <v>5443</v>
      </c>
      <c r="D1753" s="140">
        <v>11235605</v>
      </c>
      <c r="E1753" s="6" t="s">
        <v>49</v>
      </c>
      <c r="F1753" s="10" t="s">
        <v>57</v>
      </c>
      <c r="G1753" s="6" t="s">
        <v>5444</v>
      </c>
      <c r="H1753" s="8">
        <v>71653</v>
      </c>
      <c r="I1753" s="8">
        <v>43878</v>
      </c>
      <c r="J1753" s="8">
        <v>43885</v>
      </c>
      <c r="R1753" s="97" t="str">
        <f t="shared" si="66"/>
        <v/>
      </c>
      <c r="S1753" s="75" t="str">
        <f t="shared" si="67"/>
        <v/>
      </c>
      <c r="W1753" s="6" t="s">
        <v>84</v>
      </c>
      <c r="X1753" s="95">
        <v>50099</v>
      </c>
    </row>
    <row r="1754" spans="1:24" x14ac:dyDescent="0.25">
      <c r="A1754" s="6" t="s">
        <v>5351</v>
      </c>
      <c r="B1754" s="94" t="s">
        <v>430</v>
      </c>
      <c r="C1754" s="6" t="s">
        <v>5445</v>
      </c>
      <c r="D1754" s="140">
        <v>11134370</v>
      </c>
      <c r="E1754" s="6" t="s">
        <v>409</v>
      </c>
      <c r="F1754" s="10" t="s">
        <v>134</v>
      </c>
      <c r="G1754" s="6" t="s">
        <v>5446</v>
      </c>
      <c r="H1754" s="8">
        <v>46904</v>
      </c>
      <c r="I1754" s="8">
        <v>43878</v>
      </c>
      <c r="J1754" s="8">
        <v>43885</v>
      </c>
      <c r="N1754" s="8">
        <v>44714</v>
      </c>
      <c r="O1754" s="8">
        <v>44708</v>
      </c>
      <c r="P1754" s="6" t="s">
        <v>90</v>
      </c>
      <c r="Q1754" s="96">
        <v>3066</v>
      </c>
      <c r="R1754" s="97">
        <f t="shared" si="66"/>
        <v>8.4</v>
      </c>
      <c r="S1754" s="75">
        <f t="shared" si="67"/>
        <v>69375.600000000006</v>
      </c>
      <c r="T1754" s="124" t="s">
        <v>5447</v>
      </c>
      <c r="U1754" s="8">
        <v>45064</v>
      </c>
      <c r="V1754" s="6" t="s">
        <v>36</v>
      </c>
      <c r="W1754" s="6" t="s">
        <v>33</v>
      </c>
      <c r="X1754" s="95">
        <v>45065</v>
      </c>
    </row>
    <row r="1755" spans="1:24" x14ac:dyDescent="0.25">
      <c r="A1755" s="6" t="s">
        <v>5351</v>
      </c>
      <c r="B1755" s="94" t="s">
        <v>5448</v>
      </c>
      <c r="C1755" s="6" t="s">
        <v>5449</v>
      </c>
      <c r="D1755" s="140">
        <v>11947193</v>
      </c>
      <c r="E1755" s="6" t="s">
        <v>514</v>
      </c>
      <c r="F1755" s="10" t="s">
        <v>44</v>
      </c>
      <c r="G1755" s="6" t="s">
        <v>5450</v>
      </c>
      <c r="H1755" s="8">
        <v>46304</v>
      </c>
      <c r="I1755" s="8">
        <v>43878</v>
      </c>
      <c r="J1755" s="8">
        <v>43885</v>
      </c>
      <c r="N1755" s="8">
        <v>44813</v>
      </c>
      <c r="O1755" s="8">
        <v>44804</v>
      </c>
      <c r="P1755" s="6" t="s">
        <v>35</v>
      </c>
      <c r="Q1755" s="96">
        <v>1095</v>
      </c>
      <c r="R1755" s="97">
        <f t="shared" si="66"/>
        <v>3</v>
      </c>
      <c r="S1755" s="75">
        <f t="shared" si="67"/>
        <v>24777</v>
      </c>
      <c r="T1755" s="124" t="s">
        <v>5451</v>
      </c>
      <c r="U1755" s="8">
        <v>45064</v>
      </c>
      <c r="V1755" s="6" t="s">
        <v>36</v>
      </c>
      <c r="W1755" s="6" t="s">
        <v>33</v>
      </c>
      <c r="X1755" s="95">
        <v>49817</v>
      </c>
    </row>
    <row r="1756" spans="1:24" x14ac:dyDescent="0.25">
      <c r="A1756" s="6" t="s">
        <v>5351</v>
      </c>
      <c r="B1756" s="94" t="s">
        <v>145</v>
      </c>
      <c r="C1756" s="6" t="s">
        <v>5452</v>
      </c>
      <c r="D1756" s="140">
        <v>11148169</v>
      </c>
      <c r="E1756" s="6" t="s">
        <v>409</v>
      </c>
      <c r="F1756" s="10" t="s">
        <v>29</v>
      </c>
      <c r="G1756" s="6" t="s">
        <v>5453</v>
      </c>
      <c r="H1756" s="8">
        <v>45773</v>
      </c>
      <c r="I1756" s="8">
        <v>43878</v>
      </c>
      <c r="J1756" s="8">
        <v>43885</v>
      </c>
      <c r="N1756" s="8">
        <v>44697</v>
      </c>
      <c r="O1756" s="8">
        <v>44662</v>
      </c>
      <c r="P1756" s="6" t="s">
        <v>90</v>
      </c>
      <c r="Q1756" s="96">
        <v>4088</v>
      </c>
      <c r="R1756" s="97">
        <f t="shared" si="66"/>
        <v>11.2</v>
      </c>
      <c r="S1756" s="75">
        <f t="shared" si="67"/>
        <v>92500.800000000003</v>
      </c>
      <c r="T1756" s="124" t="s">
        <v>5454</v>
      </c>
      <c r="U1756" s="8">
        <v>45064</v>
      </c>
      <c r="V1756" s="6" t="s">
        <v>36</v>
      </c>
      <c r="W1756" s="6" t="s">
        <v>33</v>
      </c>
      <c r="X1756" s="95">
        <v>50146</v>
      </c>
    </row>
    <row r="1757" spans="1:24" x14ac:dyDescent="0.25">
      <c r="A1757" s="6" t="s">
        <v>5351</v>
      </c>
      <c r="B1757" s="94" t="s">
        <v>5455</v>
      </c>
      <c r="C1757" s="6" t="s">
        <v>5456</v>
      </c>
      <c r="D1757" s="140">
        <v>11603512</v>
      </c>
      <c r="E1757" s="6" t="s">
        <v>314</v>
      </c>
      <c r="F1757" s="10" t="s">
        <v>44</v>
      </c>
      <c r="G1757" s="6" t="s">
        <v>5457</v>
      </c>
      <c r="H1757" s="8">
        <v>52045</v>
      </c>
      <c r="I1757" s="8">
        <v>43878</v>
      </c>
      <c r="J1757" s="8">
        <v>43885</v>
      </c>
      <c r="R1757" s="97" t="str">
        <f t="shared" si="66"/>
        <v/>
      </c>
      <c r="S1757" s="75" t="str">
        <f t="shared" si="67"/>
        <v/>
      </c>
      <c r="W1757" s="6" t="s">
        <v>84</v>
      </c>
      <c r="X1757" s="95">
        <v>49167</v>
      </c>
    </row>
    <row r="1758" spans="1:24" x14ac:dyDescent="0.25">
      <c r="A1758" s="6" t="s">
        <v>5351</v>
      </c>
      <c r="B1758" s="94" t="s">
        <v>5458</v>
      </c>
      <c r="C1758" s="6" t="s">
        <v>5459</v>
      </c>
      <c r="D1758" s="140">
        <v>11229159</v>
      </c>
      <c r="E1758" s="6" t="s">
        <v>1752</v>
      </c>
      <c r="F1758" s="10" t="s">
        <v>139</v>
      </c>
      <c r="G1758" s="6" t="s">
        <v>5460</v>
      </c>
      <c r="H1758" s="8">
        <v>45391</v>
      </c>
      <c r="I1758" s="8">
        <v>43878</v>
      </c>
      <c r="J1758" s="8">
        <v>43885</v>
      </c>
      <c r="R1758" s="97" t="str">
        <f t="shared" si="66"/>
        <v/>
      </c>
      <c r="S1758" s="75" t="str">
        <f t="shared" si="67"/>
        <v/>
      </c>
      <c r="T1758" s="124" t="s">
        <v>5461</v>
      </c>
      <c r="U1758" s="8">
        <v>45064</v>
      </c>
      <c r="W1758" s="6" t="s">
        <v>84</v>
      </c>
      <c r="X1758" s="95">
        <v>37578</v>
      </c>
    </row>
    <row r="1759" spans="1:24" x14ac:dyDescent="0.25">
      <c r="A1759" s="6" t="s">
        <v>5351</v>
      </c>
      <c r="B1759" s="94" t="s">
        <v>5462</v>
      </c>
      <c r="C1759" s="6" t="s">
        <v>5463</v>
      </c>
      <c r="D1759" s="140">
        <v>11142040</v>
      </c>
      <c r="E1759" s="6" t="s">
        <v>835</v>
      </c>
      <c r="F1759" s="10" t="s">
        <v>1225</v>
      </c>
      <c r="G1759" s="6" t="s">
        <v>5464</v>
      </c>
      <c r="H1759" s="8">
        <v>44479</v>
      </c>
      <c r="I1759" s="8">
        <v>43878</v>
      </c>
      <c r="J1759" s="8">
        <v>43885</v>
      </c>
      <c r="R1759" s="97" t="str">
        <f t="shared" si="66"/>
        <v/>
      </c>
      <c r="S1759" s="75" t="str">
        <f t="shared" si="67"/>
        <v/>
      </c>
      <c r="T1759" s="124" t="s">
        <v>5465</v>
      </c>
      <c r="U1759" s="8">
        <v>45064</v>
      </c>
      <c r="W1759" s="6" t="s">
        <v>33</v>
      </c>
      <c r="X1759" s="95">
        <v>50243</v>
      </c>
    </row>
    <row r="1760" spans="1:24" x14ac:dyDescent="0.25">
      <c r="A1760" s="6" t="s">
        <v>5351</v>
      </c>
      <c r="B1760" s="94" t="s">
        <v>5466</v>
      </c>
      <c r="C1760" s="6" t="s">
        <v>5467</v>
      </c>
      <c r="D1760" s="140">
        <v>11059710</v>
      </c>
      <c r="E1760" s="6" t="s">
        <v>99</v>
      </c>
      <c r="F1760" s="10" t="s">
        <v>205</v>
      </c>
      <c r="G1760" s="6" t="s">
        <v>5468</v>
      </c>
      <c r="H1760" s="8">
        <v>48230</v>
      </c>
      <c r="I1760" s="8">
        <v>43878</v>
      </c>
      <c r="J1760" s="8">
        <v>43885</v>
      </c>
      <c r="R1760" s="97" t="str">
        <f t="shared" si="66"/>
        <v/>
      </c>
      <c r="S1760" s="75" t="str">
        <f t="shared" si="67"/>
        <v/>
      </c>
      <c r="W1760" s="6" t="s">
        <v>84</v>
      </c>
      <c r="X1760" s="95">
        <v>40938</v>
      </c>
    </row>
    <row r="1761" spans="1:24" x14ac:dyDescent="0.25">
      <c r="A1761" s="6" t="s">
        <v>37</v>
      </c>
      <c r="B1761" s="94" t="s">
        <v>5469</v>
      </c>
      <c r="C1761" s="6" t="s">
        <v>5470</v>
      </c>
      <c r="D1761" s="140">
        <v>11041987</v>
      </c>
      <c r="E1761" s="6" t="s">
        <v>5471</v>
      </c>
      <c r="F1761" s="10" t="s">
        <v>134</v>
      </c>
      <c r="G1761" s="6" t="s">
        <v>5472</v>
      </c>
      <c r="H1761" s="8">
        <v>46642</v>
      </c>
      <c r="I1761" s="8">
        <v>43880</v>
      </c>
      <c r="J1761" s="8">
        <v>43895</v>
      </c>
      <c r="K1761" s="95">
        <v>43899</v>
      </c>
      <c r="L1761" s="95" t="s">
        <v>359</v>
      </c>
      <c r="R1761" s="97" t="str">
        <f t="shared" si="66"/>
        <v/>
      </c>
      <c r="S1761" s="75" t="str">
        <f t="shared" si="67"/>
        <v/>
      </c>
      <c r="W1761" s="6" t="s">
        <v>33</v>
      </c>
      <c r="X1761" s="95">
        <v>45709</v>
      </c>
    </row>
    <row r="1762" spans="1:24" x14ac:dyDescent="0.25">
      <c r="A1762" s="6" t="s">
        <v>37</v>
      </c>
      <c r="B1762" s="94" t="s">
        <v>5473</v>
      </c>
      <c r="C1762" s="6" t="s">
        <v>5474</v>
      </c>
      <c r="D1762" s="140">
        <v>11376399</v>
      </c>
      <c r="E1762" s="6" t="s">
        <v>3290</v>
      </c>
      <c r="F1762" s="10" t="s">
        <v>29</v>
      </c>
      <c r="G1762" s="6" t="s">
        <v>5475</v>
      </c>
      <c r="H1762" s="8">
        <v>45111</v>
      </c>
      <c r="I1762" s="8">
        <v>44149</v>
      </c>
      <c r="J1762" s="8">
        <v>44151</v>
      </c>
      <c r="K1762" s="95">
        <v>44152</v>
      </c>
      <c r="L1762" s="95" t="s">
        <v>31</v>
      </c>
      <c r="M1762" s="8">
        <v>44175</v>
      </c>
      <c r="R1762" s="97" t="str">
        <f t="shared" si="66"/>
        <v/>
      </c>
      <c r="S1762" s="75" t="str">
        <f t="shared" si="67"/>
        <v/>
      </c>
      <c r="T1762" s="131" t="s">
        <v>5476</v>
      </c>
      <c r="U1762" s="8">
        <v>44783</v>
      </c>
      <c r="W1762" s="6" t="s">
        <v>33</v>
      </c>
      <c r="X1762" s="95">
        <v>45553</v>
      </c>
    </row>
    <row r="1763" spans="1:24" x14ac:dyDescent="0.25">
      <c r="A1763" s="6" t="s">
        <v>168</v>
      </c>
      <c r="B1763" s="94" t="s">
        <v>5477</v>
      </c>
      <c r="C1763" s="6" t="s">
        <v>5478</v>
      </c>
      <c r="D1763" s="140">
        <v>11583388</v>
      </c>
      <c r="E1763" s="6" t="s">
        <v>5479</v>
      </c>
      <c r="F1763" s="10" t="s">
        <v>205</v>
      </c>
      <c r="G1763" s="6" t="s">
        <v>5480</v>
      </c>
      <c r="H1763" s="8">
        <v>53921</v>
      </c>
      <c r="I1763" s="8">
        <v>44474</v>
      </c>
      <c r="J1763" s="8">
        <v>44489</v>
      </c>
      <c r="K1763" s="95">
        <v>44495</v>
      </c>
      <c r="L1763" s="95" t="s">
        <v>359</v>
      </c>
      <c r="R1763" s="97" t="str">
        <f t="shared" si="66"/>
        <v/>
      </c>
      <c r="S1763" s="75" t="str">
        <f t="shared" si="67"/>
        <v/>
      </c>
    </row>
    <row r="1764" spans="1:24" x14ac:dyDescent="0.25">
      <c r="A1764" s="6" t="s">
        <v>37</v>
      </c>
      <c r="B1764" s="94" t="s">
        <v>1177</v>
      </c>
      <c r="C1764" s="6" t="s">
        <v>5481</v>
      </c>
      <c r="D1764" s="140">
        <v>11075919</v>
      </c>
      <c r="E1764" s="6" t="s">
        <v>2827</v>
      </c>
      <c r="F1764" s="10" t="s">
        <v>205</v>
      </c>
      <c r="G1764" s="6" t="s">
        <v>5482</v>
      </c>
      <c r="H1764" s="8">
        <v>47552</v>
      </c>
      <c r="I1764" s="8">
        <v>43391</v>
      </c>
      <c r="J1764" s="8">
        <v>43399</v>
      </c>
      <c r="K1764" s="95">
        <v>43399</v>
      </c>
      <c r="L1764" s="95" t="s">
        <v>31</v>
      </c>
      <c r="M1764" s="8">
        <v>43404</v>
      </c>
      <c r="N1764" s="8">
        <v>44256</v>
      </c>
      <c r="O1764" s="8">
        <v>44181</v>
      </c>
      <c r="P1764" s="6" t="s">
        <v>35</v>
      </c>
      <c r="Q1764" s="96">
        <v>1948</v>
      </c>
      <c r="R1764" s="97">
        <f t="shared" si="66"/>
        <v>5.3369863013698629</v>
      </c>
      <c r="S1764" s="75">
        <f t="shared" si="67"/>
        <v>44078.169863013703</v>
      </c>
      <c r="T1764" s="124" t="s">
        <v>3910</v>
      </c>
      <c r="U1764" s="8">
        <v>44256</v>
      </c>
      <c r="W1764" s="6" t="s">
        <v>33</v>
      </c>
      <c r="X1764" s="95">
        <v>49621</v>
      </c>
    </row>
    <row r="1765" spans="1:24" x14ac:dyDescent="0.25">
      <c r="A1765" s="6" t="s">
        <v>168</v>
      </c>
      <c r="B1765" s="94" t="s">
        <v>5483</v>
      </c>
      <c r="C1765" s="6" t="s">
        <v>5484</v>
      </c>
      <c r="D1765" s="140">
        <v>11681061</v>
      </c>
      <c r="E1765" s="6" t="s">
        <v>2976</v>
      </c>
      <c r="F1765" s="10" t="s">
        <v>44</v>
      </c>
      <c r="G1765" s="6" t="s">
        <v>5485</v>
      </c>
      <c r="H1765" s="8">
        <v>46461</v>
      </c>
      <c r="I1765" s="8">
        <v>43613</v>
      </c>
      <c r="J1765" s="8">
        <v>43622</v>
      </c>
      <c r="K1765" s="95">
        <v>43622</v>
      </c>
      <c r="L1765" s="95" t="s">
        <v>31</v>
      </c>
      <c r="M1765" s="8">
        <v>43635</v>
      </c>
      <c r="N1765" s="8">
        <v>43903</v>
      </c>
      <c r="O1765" s="8">
        <v>43889</v>
      </c>
      <c r="P1765" s="6" t="s">
        <v>90</v>
      </c>
      <c r="Q1765" s="96">
        <v>2561</v>
      </c>
      <c r="R1765" s="97">
        <f t="shared" si="66"/>
        <v>7.0164383561643833</v>
      </c>
      <c r="S1765" s="75">
        <f t="shared" si="67"/>
        <v>57948.764383561647</v>
      </c>
      <c r="T1765" s="124" t="s">
        <v>5486</v>
      </c>
      <c r="U1765" s="8">
        <v>43903</v>
      </c>
      <c r="V1765" s="6" t="s">
        <v>36</v>
      </c>
      <c r="W1765" s="6" t="s">
        <v>84</v>
      </c>
      <c r="X1765" s="95">
        <v>39028</v>
      </c>
    </row>
    <row r="1766" spans="1:24" x14ac:dyDescent="0.25">
      <c r="A1766" s="6" t="s">
        <v>5351</v>
      </c>
      <c r="B1766" s="94" t="s">
        <v>5487</v>
      </c>
      <c r="C1766" s="6" t="s">
        <v>5488</v>
      </c>
      <c r="D1766" s="140">
        <v>11101561</v>
      </c>
      <c r="E1766" s="6" t="s">
        <v>5489</v>
      </c>
      <c r="F1766" s="10" t="s">
        <v>1225</v>
      </c>
      <c r="G1766" s="6" t="s">
        <v>5490</v>
      </c>
      <c r="H1766" s="8">
        <v>47629</v>
      </c>
      <c r="I1766" s="8">
        <v>43892</v>
      </c>
      <c r="J1766" s="8">
        <v>43892</v>
      </c>
      <c r="R1766" s="97" t="str">
        <f t="shared" si="66"/>
        <v/>
      </c>
      <c r="S1766" s="75" t="str">
        <f t="shared" si="67"/>
        <v/>
      </c>
      <c r="W1766" s="6" t="s">
        <v>84</v>
      </c>
      <c r="X1766" s="95">
        <v>47441</v>
      </c>
    </row>
    <row r="1767" spans="1:24" x14ac:dyDescent="0.25">
      <c r="A1767" s="6" t="s">
        <v>5351</v>
      </c>
      <c r="B1767" s="94" t="s">
        <v>291</v>
      </c>
      <c r="C1767" s="6" t="s">
        <v>5491</v>
      </c>
      <c r="D1767" s="140">
        <v>11157010</v>
      </c>
      <c r="E1767" s="6" t="s">
        <v>1271</v>
      </c>
      <c r="F1767" s="10" t="s">
        <v>44</v>
      </c>
      <c r="G1767" s="6" t="s">
        <v>5492</v>
      </c>
      <c r="H1767" s="8">
        <v>51254</v>
      </c>
      <c r="I1767" s="8">
        <v>43892</v>
      </c>
      <c r="J1767" s="8">
        <v>43892</v>
      </c>
      <c r="R1767" s="97" t="str">
        <f t="shared" si="66"/>
        <v/>
      </c>
      <c r="S1767" s="75" t="str">
        <f t="shared" si="67"/>
        <v/>
      </c>
      <c r="W1767" s="6" t="s">
        <v>33</v>
      </c>
      <c r="X1767" s="95">
        <v>46380</v>
      </c>
    </row>
    <row r="1768" spans="1:24" x14ac:dyDescent="0.25">
      <c r="A1768" s="6" t="s">
        <v>5351</v>
      </c>
      <c r="B1768" s="94" t="s">
        <v>5493</v>
      </c>
      <c r="C1768" s="6" t="s">
        <v>5494</v>
      </c>
      <c r="D1768" s="140">
        <v>11666879</v>
      </c>
      <c r="E1768" s="6" t="s">
        <v>1103</v>
      </c>
      <c r="F1768" s="10" t="s">
        <v>44</v>
      </c>
      <c r="G1768" s="6" t="s">
        <v>5495</v>
      </c>
      <c r="H1768" s="8">
        <v>56518</v>
      </c>
      <c r="I1768" s="8">
        <v>43892</v>
      </c>
      <c r="J1768" s="8">
        <v>43892</v>
      </c>
      <c r="R1768" s="97" t="str">
        <f t="shared" si="66"/>
        <v/>
      </c>
      <c r="S1768" s="75" t="str">
        <f t="shared" si="67"/>
        <v/>
      </c>
      <c r="W1768" s="6" t="s">
        <v>84</v>
      </c>
      <c r="X1768" s="95">
        <v>50447</v>
      </c>
    </row>
    <row r="1769" spans="1:24" ht="17.25" customHeight="1" x14ac:dyDescent="0.25">
      <c r="A1769" s="6" t="s">
        <v>5351</v>
      </c>
      <c r="B1769" s="94" t="s">
        <v>5496</v>
      </c>
      <c r="C1769" s="6" t="s">
        <v>5497</v>
      </c>
      <c r="D1769" s="140">
        <v>11067989</v>
      </c>
      <c r="E1769" s="6" t="s">
        <v>289</v>
      </c>
      <c r="F1769" s="10" t="s">
        <v>205</v>
      </c>
      <c r="G1769" s="6" t="s">
        <v>5498</v>
      </c>
      <c r="H1769" s="8">
        <v>45525</v>
      </c>
      <c r="I1769" s="8">
        <v>43892</v>
      </c>
      <c r="J1769" s="8">
        <v>43892</v>
      </c>
      <c r="N1769" s="8">
        <v>44704</v>
      </c>
      <c r="O1769" s="8">
        <v>44687</v>
      </c>
      <c r="P1769" s="6" t="s">
        <v>90</v>
      </c>
      <c r="Q1769" s="96">
        <v>3285</v>
      </c>
      <c r="R1769" s="97">
        <f t="shared" si="66"/>
        <v>9</v>
      </c>
      <c r="S1769" s="75">
        <f t="shared" si="67"/>
        <v>74331</v>
      </c>
      <c r="T1769" s="124" t="s">
        <v>5499</v>
      </c>
      <c r="U1769" s="8">
        <v>45064</v>
      </c>
      <c r="V1769" s="6" t="s">
        <v>36</v>
      </c>
      <c r="W1769" s="6" t="s">
        <v>33</v>
      </c>
      <c r="X1769" s="95">
        <v>42524</v>
      </c>
    </row>
    <row r="1770" spans="1:24" x14ac:dyDescent="0.25">
      <c r="A1770" s="6" t="s">
        <v>5351</v>
      </c>
      <c r="B1770" s="94" t="s">
        <v>5500</v>
      </c>
      <c r="C1770" s="6" t="s">
        <v>5501</v>
      </c>
      <c r="D1770" s="140">
        <v>11968938</v>
      </c>
      <c r="E1770" s="6" t="s">
        <v>962</v>
      </c>
      <c r="F1770" s="10" t="s">
        <v>121</v>
      </c>
      <c r="G1770" s="6" t="s">
        <v>5502</v>
      </c>
      <c r="H1770" s="8">
        <v>47232</v>
      </c>
      <c r="I1770" s="8">
        <v>43892</v>
      </c>
      <c r="J1770" s="8">
        <v>43892</v>
      </c>
      <c r="N1770" s="8">
        <v>44785</v>
      </c>
      <c r="O1770" s="8">
        <v>44778</v>
      </c>
      <c r="P1770" s="6" t="s">
        <v>35</v>
      </c>
      <c r="Q1770" s="96">
        <v>2190</v>
      </c>
      <c r="R1770" s="97">
        <f t="shared" si="66"/>
        <v>6</v>
      </c>
      <c r="S1770" s="75">
        <f t="shared" si="67"/>
        <v>49554</v>
      </c>
      <c r="T1770" s="124" t="s">
        <v>5503</v>
      </c>
      <c r="U1770" s="8">
        <v>45064</v>
      </c>
      <c r="V1770" s="6" t="s">
        <v>36</v>
      </c>
      <c r="W1770" s="6" t="s">
        <v>33</v>
      </c>
      <c r="X1770" s="95">
        <v>50920</v>
      </c>
    </row>
    <row r="1771" spans="1:24" x14ac:dyDescent="0.25">
      <c r="A1771" s="6" t="s">
        <v>5351</v>
      </c>
      <c r="B1771" s="94" t="s">
        <v>5504</v>
      </c>
      <c r="C1771" s="6" t="s">
        <v>5505</v>
      </c>
      <c r="D1771" s="140">
        <v>11580244</v>
      </c>
      <c r="E1771" s="6" t="s">
        <v>686</v>
      </c>
      <c r="F1771" s="10" t="s">
        <v>252</v>
      </c>
      <c r="G1771" s="6">
        <v>41750447</v>
      </c>
      <c r="H1771" s="8">
        <v>49915</v>
      </c>
      <c r="I1771" s="8">
        <v>43892</v>
      </c>
      <c r="J1771" s="8">
        <v>43892</v>
      </c>
      <c r="R1771" s="97" t="str">
        <f t="shared" si="66"/>
        <v/>
      </c>
      <c r="S1771" s="75" t="str">
        <f t="shared" si="67"/>
        <v/>
      </c>
      <c r="W1771" s="6" t="s">
        <v>84</v>
      </c>
      <c r="X1771" s="95">
        <v>52199</v>
      </c>
    </row>
    <row r="1772" spans="1:24" x14ac:dyDescent="0.25">
      <c r="A1772" s="6" t="s">
        <v>5351</v>
      </c>
      <c r="B1772" s="94" t="s">
        <v>1717</v>
      </c>
      <c r="C1772" s="6" t="s">
        <v>5506</v>
      </c>
      <c r="D1772" s="140">
        <v>11070293</v>
      </c>
      <c r="E1772" s="6" t="s">
        <v>409</v>
      </c>
      <c r="F1772" s="10" t="s">
        <v>29</v>
      </c>
      <c r="G1772" s="6" t="s">
        <v>5507</v>
      </c>
      <c r="H1772" s="8">
        <v>47430</v>
      </c>
      <c r="I1772" s="8">
        <v>43892</v>
      </c>
      <c r="J1772" s="8">
        <v>43892</v>
      </c>
      <c r="R1772" s="97" t="str">
        <f t="shared" si="66"/>
        <v/>
      </c>
      <c r="S1772" s="75" t="str">
        <f t="shared" si="67"/>
        <v/>
      </c>
      <c r="T1772" s="124" t="s">
        <v>5508</v>
      </c>
      <c r="U1772" s="8">
        <v>45064</v>
      </c>
      <c r="W1772" s="6" t="s">
        <v>84</v>
      </c>
      <c r="X1772" s="95">
        <v>40455</v>
      </c>
    </row>
    <row r="1773" spans="1:24" x14ac:dyDescent="0.25">
      <c r="A1773" s="6" t="s">
        <v>5351</v>
      </c>
      <c r="B1773" s="94" t="s">
        <v>5509</v>
      </c>
      <c r="C1773" s="6" t="s">
        <v>5510</v>
      </c>
      <c r="D1773" s="140">
        <v>11669170</v>
      </c>
      <c r="E1773" s="6" t="s">
        <v>409</v>
      </c>
      <c r="F1773" s="10" t="s">
        <v>29</v>
      </c>
      <c r="G1773" s="6" t="s">
        <v>5511</v>
      </c>
      <c r="H1773" s="8">
        <v>47072</v>
      </c>
      <c r="I1773" s="8">
        <v>43892</v>
      </c>
      <c r="J1773" s="8">
        <v>43892</v>
      </c>
      <c r="N1773" s="8">
        <v>44718</v>
      </c>
      <c r="O1773" s="8">
        <v>44676</v>
      </c>
      <c r="P1773" s="6" t="s">
        <v>35</v>
      </c>
      <c r="Q1773" s="96">
        <v>1825</v>
      </c>
      <c r="R1773" s="97">
        <f t="shared" si="66"/>
        <v>5</v>
      </c>
      <c r="S1773" s="75">
        <f t="shared" si="67"/>
        <v>41295</v>
      </c>
      <c r="U1773" s="8">
        <v>45064</v>
      </c>
      <c r="W1773" s="6" t="s">
        <v>84</v>
      </c>
      <c r="X1773" s="95">
        <v>39324</v>
      </c>
    </row>
    <row r="1774" spans="1:24" x14ac:dyDescent="0.25">
      <c r="A1774" s="6" t="s">
        <v>5351</v>
      </c>
      <c r="B1774" s="94" t="s">
        <v>2817</v>
      </c>
      <c r="C1774" s="6" t="s">
        <v>5512</v>
      </c>
      <c r="D1774" s="140">
        <v>11272460</v>
      </c>
      <c r="E1774" s="6" t="s">
        <v>5513</v>
      </c>
      <c r="F1774" s="10" t="s">
        <v>29</v>
      </c>
      <c r="G1774" s="6" t="s">
        <v>5514</v>
      </c>
      <c r="H1774" s="8">
        <v>46353</v>
      </c>
      <c r="I1774" s="8">
        <v>43892</v>
      </c>
      <c r="J1774" s="8">
        <v>43892</v>
      </c>
      <c r="N1774" s="8">
        <v>44694</v>
      </c>
      <c r="O1774" s="8">
        <v>44676</v>
      </c>
      <c r="P1774" s="6" t="s">
        <v>90</v>
      </c>
      <c r="Q1774" s="96">
        <v>3650</v>
      </c>
      <c r="R1774" s="97">
        <f t="shared" si="66"/>
        <v>10</v>
      </c>
      <c r="S1774" s="75">
        <f t="shared" si="67"/>
        <v>82590</v>
      </c>
      <c r="T1774" s="124" t="s">
        <v>5499</v>
      </c>
      <c r="U1774" s="8">
        <v>45064</v>
      </c>
      <c r="V1774" s="6" t="s">
        <v>36</v>
      </c>
      <c r="W1774" s="6" t="s">
        <v>33</v>
      </c>
      <c r="X1774" s="95">
        <v>50577</v>
      </c>
    </row>
    <row r="1775" spans="1:24" x14ac:dyDescent="0.25">
      <c r="A1775" s="6" t="s">
        <v>37</v>
      </c>
      <c r="B1775" s="94" t="s">
        <v>5515</v>
      </c>
      <c r="C1775" s="6" t="s">
        <v>5516</v>
      </c>
      <c r="D1775" s="140">
        <v>12136981</v>
      </c>
      <c r="E1775" s="6" t="s">
        <v>3266</v>
      </c>
      <c r="F1775" s="10" t="s">
        <v>50</v>
      </c>
      <c r="G1775" s="6" t="s">
        <v>5517</v>
      </c>
      <c r="H1775" s="8">
        <v>44626</v>
      </c>
      <c r="I1775" s="8">
        <v>44053</v>
      </c>
      <c r="J1775" s="8">
        <v>44090</v>
      </c>
      <c r="K1775" s="95">
        <v>44091</v>
      </c>
      <c r="L1775" s="95" t="s">
        <v>31</v>
      </c>
      <c r="M1775" s="8">
        <v>44106</v>
      </c>
      <c r="N1775" s="8">
        <v>44433</v>
      </c>
      <c r="O1775" s="8">
        <v>44421</v>
      </c>
      <c r="P1775" s="6" t="s">
        <v>90</v>
      </c>
      <c r="Q1775" s="96">
        <v>188</v>
      </c>
      <c r="R1775" s="97">
        <f t="shared" si="66"/>
        <v>0.51506849315068493</v>
      </c>
      <c r="S1775" s="75">
        <f t="shared" si="67"/>
        <v>4253.9506849315067</v>
      </c>
      <c r="T1775" s="124" t="s">
        <v>5518</v>
      </c>
      <c r="U1775" s="8">
        <v>44433</v>
      </c>
      <c r="V1775" s="6" t="s">
        <v>36</v>
      </c>
      <c r="W1775" s="6" t="s">
        <v>33</v>
      </c>
      <c r="X1775" s="135">
        <v>47227</v>
      </c>
    </row>
    <row r="1776" spans="1:24" x14ac:dyDescent="0.25">
      <c r="A1776" s="6" t="s">
        <v>5351</v>
      </c>
      <c r="B1776" s="94" t="s">
        <v>5519</v>
      </c>
      <c r="C1776" s="6" t="s">
        <v>5520</v>
      </c>
      <c r="D1776" s="140">
        <v>11666114</v>
      </c>
      <c r="E1776" s="6" t="s">
        <v>261</v>
      </c>
      <c r="F1776" s="10" t="s">
        <v>205</v>
      </c>
      <c r="G1776" s="6">
        <v>92087</v>
      </c>
      <c r="H1776" s="8">
        <v>47351</v>
      </c>
      <c r="I1776" s="8">
        <v>43892</v>
      </c>
      <c r="J1776" s="8">
        <v>43892</v>
      </c>
      <c r="R1776" s="97" t="str">
        <f t="shared" si="66"/>
        <v/>
      </c>
      <c r="S1776" s="75" t="str">
        <f t="shared" si="67"/>
        <v/>
      </c>
      <c r="W1776" s="6" t="s">
        <v>33</v>
      </c>
      <c r="X1776" s="95">
        <v>47807</v>
      </c>
    </row>
    <row r="1777" spans="1:24" x14ac:dyDescent="0.25">
      <c r="A1777" s="6" t="s">
        <v>5351</v>
      </c>
      <c r="B1777" s="94" t="s">
        <v>1105</v>
      </c>
      <c r="C1777" s="6" t="s">
        <v>5521</v>
      </c>
      <c r="D1777" s="140">
        <v>11617911</v>
      </c>
      <c r="E1777" s="6" t="s">
        <v>1103</v>
      </c>
      <c r="F1777" s="10" t="s">
        <v>148</v>
      </c>
      <c r="G1777" s="6" t="s">
        <v>5522</v>
      </c>
      <c r="H1777" s="8">
        <v>56602</v>
      </c>
      <c r="I1777" s="8">
        <v>43892</v>
      </c>
      <c r="J1777" s="8">
        <v>43892</v>
      </c>
      <c r="R1777" s="97" t="str">
        <f t="shared" si="66"/>
        <v/>
      </c>
      <c r="S1777" s="75" t="str">
        <f t="shared" si="67"/>
        <v/>
      </c>
      <c r="W1777" s="6" t="s">
        <v>84</v>
      </c>
      <c r="X1777" s="95">
        <v>49999</v>
      </c>
    </row>
    <row r="1778" spans="1:24" x14ac:dyDescent="0.25">
      <c r="A1778" s="6" t="s">
        <v>5351</v>
      </c>
      <c r="B1778" s="94" t="s">
        <v>5523</v>
      </c>
      <c r="C1778" s="6" t="s">
        <v>5524</v>
      </c>
      <c r="D1778" s="140">
        <v>11190200</v>
      </c>
      <c r="E1778" s="6" t="s">
        <v>80</v>
      </c>
      <c r="F1778" s="10" t="s">
        <v>205</v>
      </c>
      <c r="G1778" s="6" t="s">
        <v>5525</v>
      </c>
      <c r="H1778" s="8">
        <v>47472</v>
      </c>
      <c r="I1778" s="8">
        <v>43892</v>
      </c>
      <c r="J1778" s="8">
        <v>43892</v>
      </c>
      <c r="R1778" s="97" t="str">
        <f t="shared" si="66"/>
        <v/>
      </c>
      <c r="S1778" s="75" t="str">
        <f t="shared" si="67"/>
        <v/>
      </c>
      <c r="W1778" s="6" t="s">
        <v>84</v>
      </c>
      <c r="X1778" s="95">
        <v>40819</v>
      </c>
    </row>
    <row r="1779" spans="1:24" x14ac:dyDescent="0.25">
      <c r="A1779" s="6" t="s">
        <v>5351</v>
      </c>
      <c r="B1779" s="94" t="s">
        <v>5526</v>
      </c>
      <c r="C1779" s="6" t="s">
        <v>5527</v>
      </c>
      <c r="D1779" s="140">
        <v>12135144</v>
      </c>
      <c r="E1779" s="6" t="s">
        <v>418</v>
      </c>
      <c r="F1779" s="10" t="s">
        <v>29</v>
      </c>
      <c r="G1779" s="6" t="s">
        <v>5528</v>
      </c>
      <c r="H1779" s="8">
        <v>44958</v>
      </c>
      <c r="I1779" s="8">
        <v>43892</v>
      </c>
      <c r="J1779" s="8">
        <v>43892</v>
      </c>
      <c r="R1779" s="97" t="str">
        <f t="shared" si="66"/>
        <v/>
      </c>
      <c r="S1779" s="75" t="str">
        <f t="shared" si="67"/>
        <v/>
      </c>
      <c r="T1779" s="124" t="s">
        <v>5529</v>
      </c>
      <c r="U1779" s="8">
        <v>45064</v>
      </c>
      <c r="W1779" s="6" t="s">
        <v>33</v>
      </c>
      <c r="X1779" s="95">
        <v>53561</v>
      </c>
    </row>
    <row r="1780" spans="1:24" x14ac:dyDescent="0.25">
      <c r="A1780" s="6" t="s">
        <v>5351</v>
      </c>
      <c r="B1780" s="94" t="s">
        <v>5466</v>
      </c>
      <c r="C1780" s="6" t="s">
        <v>5467</v>
      </c>
      <c r="D1780" s="140">
        <v>11059710</v>
      </c>
      <c r="E1780" s="6" t="s">
        <v>99</v>
      </c>
      <c r="F1780" s="10" t="s">
        <v>205</v>
      </c>
      <c r="G1780" s="6" t="s">
        <v>5468</v>
      </c>
      <c r="H1780" s="8">
        <v>48230</v>
      </c>
      <c r="I1780" s="8">
        <v>43892</v>
      </c>
      <c r="J1780" s="8">
        <v>43892</v>
      </c>
      <c r="R1780" s="97" t="str">
        <f t="shared" si="66"/>
        <v/>
      </c>
      <c r="S1780" s="75" t="str">
        <f t="shared" si="67"/>
        <v/>
      </c>
      <c r="W1780" s="6" t="s">
        <v>84</v>
      </c>
      <c r="X1780" s="95">
        <v>40938</v>
      </c>
    </row>
    <row r="1781" spans="1:24" x14ac:dyDescent="0.25">
      <c r="A1781" s="6" t="s">
        <v>5351</v>
      </c>
      <c r="B1781" s="94" t="s">
        <v>1366</v>
      </c>
      <c r="C1781" s="6" t="s">
        <v>5530</v>
      </c>
      <c r="D1781" s="140">
        <v>12169623</v>
      </c>
      <c r="E1781" s="6" t="s">
        <v>950</v>
      </c>
      <c r="F1781" s="10" t="s">
        <v>363</v>
      </c>
      <c r="G1781" s="6">
        <v>1469297</v>
      </c>
      <c r="H1781" s="8">
        <v>45002</v>
      </c>
      <c r="I1781" s="8">
        <v>43892</v>
      </c>
      <c r="J1781" s="8">
        <v>43892</v>
      </c>
      <c r="R1781" s="97" t="str">
        <f t="shared" si="66"/>
        <v/>
      </c>
      <c r="S1781" s="75" t="str">
        <f t="shared" si="67"/>
        <v/>
      </c>
      <c r="T1781" s="124" t="s">
        <v>5531</v>
      </c>
      <c r="U1781" s="8">
        <v>45064</v>
      </c>
      <c r="W1781" s="6" t="s">
        <v>33</v>
      </c>
      <c r="X1781" s="95">
        <v>47692</v>
      </c>
    </row>
    <row r="1782" spans="1:24" x14ac:dyDescent="0.25">
      <c r="A1782" s="6" t="s">
        <v>117</v>
      </c>
      <c r="B1782" s="94" t="s">
        <v>5532</v>
      </c>
      <c r="C1782" s="6" t="s">
        <v>5533</v>
      </c>
      <c r="D1782" s="140">
        <v>11929960</v>
      </c>
      <c r="E1782" s="6" t="s">
        <v>236</v>
      </c>
      <c r="F1782" s="10" t="s">
        <v>62</v>
      </c>
      <c r="G1782" s="6" t="s">
        <v>5534</v>
      </c>
      <c r="H1782" s="8">
        <v>48857</v>
      </c>
      <c r="I1782" s="8">
        <v>43894</v>
      </c>
      <c r="J1782" s="8">
        <v>43894</v>
      </c>
      <c r="K1782" s="95">
        <v>43894</v>
      </c>
      <c r="L1782" s="95" t="s">
        <v>31</v>
      </c>
      <c r="M1782" s="8">
        <v>43909</v>
      </c>
      <c r="R1782" s="97" t="str">
        <f t="shared" si="66"/>
        <v/>
      </c>
      <c r="S1782" s="75" t="str">
        <f t="shared" si="67"/>
        <v/>
      </c>
      <c r="W1782" s="6" t="s">
        <v>33</v>
      </c>
      <c r="X1782" s="95">
        <v>51777</v>
      </c>
    </row>
    <row r="1783" spans="1:24" x14ac:dyDescent="0.25">
      <c r="A1783" s="6" t="s">
        <v>168</v>
      </c>
      <c r="B1783" s="94" t="s">
        <v>2245</v>
      </c>
      <c r="C1783" s="6" t="s">
        <v>5535</v>
      </c>
      <c r="D1783" s="140">
        <v>11021550</v>
      </c>
      <c r="E1783" s="6" t="s">
        <v>892</v>
      </c>
      <c r="F1783" s="10" t="s">
        <v>205</v>
      </c>
      <c r="G1783" s="6" t="s">
        <v>5536</v>
      </c>
      <c r="H1783" s="8">
        <v>43926</v>
      </c>
      <c r="I1783" s="8">
        <v>43325</v>
      </c>
      <c r="J1783" s="8">
        <v>43326</v>
      </c>
      <c r="K1783" s="95">
        <v>43333</v>
      </c>
      <c r="L1783" s="95" t="s">
        <v>31</v>
      </c>
      <c r="M1783" s="8">
        <v>43333</v>
      </c>
      <c r="N1783" s="8">
        <v>43532</v>
      </c>
      <c r="O1783" s="8">
        <v>43388</v>
      </c>
      <c r="P1783" s="101" t="s">
        <v>52</v>
      </c>
      <c r="R1783" s="97" t="str">
        <f t="shared" si="66"/>
        <v/>
      </c>
      <c r="S1783" s="75" t="str">
        <f t="shared" si="67"/>
        <v/>
      </c>
      <c r="T1783" s="124" t="s">
        <v>2021</v>
      </c>
      <c r="U1783" s="8">
        <v>43532</v>
      </c>
      <c r="W1783" s="6" t="s">
        <v>84</v>
      </c>
      <c r="X1783" s="95">
        <v>49844</v>
      </c>
    </row>
    <row r="1784" spans="1:24" x14ac:dyDescent="0.25">
      <c r="A1784" s="6" t="s">
        <v>168</v>
      </c>
      <c r="B1784" s="94" t="s">
        <v>2245</v>
      </c>
      <c r="C1784" s="6" t="s">
        <v>5537</v>
      </c>
      <c r="D1784" s="140">
        <v>11589806</v>
      </c>
      <c r="E1784" s="6" t="s">
        <v>3008</v>
      </c>
      <c r="F1784" s="10" t="s">
        <v>205</v>
      </c>
      <c r="G1784" s="6" t="s">
        <v>5538</v>
      </c>
      <c r="H1784" s="8">
        <v>55133</v>
      </c>
      <c r="I1784" s="8">
        <v>44251</v>
      </c>
      <c r="R1784" s="97" t="str">
        <f t="shared" si="66"/>
        <v/>
      </c>
      <c r="S1784" s="75" t="str">
        <f t="shared" si="67"/>
        <v/>
      </c>
      <c r="T1784" s="124" t="s">
        <v>5539</v>
      </c>
      <c r="W1784" s="6" t="s">
        <v>84</v>
      </c>
      <c r="X1784" s="7">
        <v>47217</v>
      </c>
    </row>
    <row r="1785" spans="1:24" ht="30" x14ac:dyDescent="0.25">
      <c r="A1785" s="6" t="s">
        <v>37</v>
      </c>
      <c r="B1785" s="94" t="s">
        <v>4687</v>
      </c>
      <c r="C1785" s="6" t="s">
        <v>5540</v>
      </c>
      <c r="D1785" s="140">
        <v>11696582</v>
      </c>
      <c r="E1785" s="6" t="s">
        <v>5541</v>
      </c>
      <c r="F1785" s="10" t="s">
        <v>293</v>
      </c>
      <c r="G1785" s="6" t="s">
        <v>5542</v>
      </c>
      <c r="H1785" s="8">
        <v>46387</v>
      </c>
      <c r="I1785" s="8">
        <v>43690</v>
      </c>
      <c r="J1785" s="8">
        <v>43706</v>
      </c>
      <c r="K1785" s="95">
        <v>43706</v>
      </c>
      <c r="L1785" s="95" t="s">
        <v>31</v>
      </c>
      <c r="M1785" s="8">
        <v>43718</v>
      </c>
      <c r="N1785" s="8">
        <v>43801</v>
      </c>
      <c r="O1785" s="8">
        <v>43789</v>
      </c>
      <c r="P1785" s="6" t="s">
        <v>182</v>
      </c>
      <c r="R1785" s="97" t="str">
        <f t="shared" si="66"/>
        <v/>
      </c>
      <c r="S1785" s="75" t="str">
        <f t="shared" si="67"/>
        <v/>
      </c>
      <c r="T1785" s="124" t="s">
        <v>5543</v>
      </c>
      <c r="U1785" s="8">
        <v>43801</v>
      </c>
      <c r="W1785" s="6" t="s">
        <v>33</v>
      </c>
      <c r="X1785" s="95">
        <v>46387</v>
      </c>
    </row>
    <row r="1786" spans="1:24" x14ac:dyDescent="0.25">
      <c r="A1786" s="6" t="s">
        <v>168</v>
      </c>
      <c r="B1786" s="94" t="s">
        <v>2245</v>
      </c>
      <c r="C1786" s="6" t="s">
        <v>5544</v>
      </c>
      <c r="D1786" s="140">
        <v>11495986</v>
      </c>
      <c r="E1786" s="6" t="s">
        <v>5545</v>
      </c>
      <c r="F1786" s="10" t="s">
        <v>44</v>
      </c>
      <c r="G1786" s="6" t="s">
        <v>5546</v>
      </c>
      <c r="H1786" s="8">
        <v>70952</v>
      </c>
      <c r="I1786" s="8">
        <v>44285</v>
      </c>
      <c r="J1786" s="8">
        <v>44306</v>
      </c>
      <c r="K1786" s="95">
        <v>44307</v>
      </c>
      <c r="L1786" s="95" t="s">
        <v>359</v>
      </c>
      <c r="R1786" s="97" t="str">
        <f t="shared" si="66"/>
        <v/>
      </c>
      <c r="S1786" s="75" t="str">
        <f t="shared" si="67"/>
        <v/>
      </c>
      <c r="W1786" s="6" t="s">
        <v>84</v>
      </c>
      <c r="X1786" s="7">
        <v>47492</v>
      </c>
    </row>
    <row r="1787" spans="1:24" x14ac:dyDescent="0.25">
      <c r="A1787" s="6" t="s">
        <v>168</v>
      </c>
      <c r="B1787" s="94" t="s">
        <v>2245</v>
      </c>
      <c r="C1787" s="6" t="s">
        <v>5547</v>
      </c>
      <c r="D1787" s="140">
        <v>11567900</v>
      </c>
      <c r="E1787" s="6" t="s">
        <v>2568</v>
      </c>
      <c r="F1787" s="10" t="s">
        <v>44</v>
      </c>
      <c r="G1787" s="6" t="s">
        <v>5548</v>
      </c>
      <c r="H1787" s="8">
        <v>63764</v>
      </c>
      <c r="I1787" s="8">
        <v>44368</v>
      </c>
      <c r="J1787" s="8">
        <v>44384</v>
      </c>
      <c r="K1787" s="95">
        <v>44389</v>
      </c>
      <c r="L1787" s="95" t="s">
        <v>359</v>
      </c>
      <c r="R1787" s="97" t="str">
        <f t="shared" si="66"/>
        <v/>
      </c>
      <c r="S1787" s="75" t="str">
        <f t="shared" si="67"/>
        <v/>
      </c>
      <c r="W1787" s="6" t="s">
        <v>84</v>
      </c>
      <c r="X1787" s="7">
        <v>47216</v>
      </c>
    </row>
    <row r="1788" spans="1:24" x14ac:dyDescent="0.25">
      <c r="A1788" s="6" t="s">
        <v>37</v>
      </c>
      <c r="B1788" s="94" t="s">
        <v>1288</v>
      </c>
      <c r="C1788" s="6" t="s">
        <v>5549</v>
      </c>
      <c r="D1788" s="140">
        <v>11042070</v>
      </c>
      <c r="E1788" s="6" t="s">
        <v>3435</v>
      </c>
      <c r="F1788" s="10" t="s">
        <v>44</v>
      </c>
      <c r="G1788" s="6" t="s">
        <v>5550</v>
      </c>
      <c r="H1788" s="8">
        <v>45448</v>
      </c>
      <c r="I1788" s="8">
        <v>43895</v>
      </c>
      <c r="J1788" s="8">
        <v>44056</v>
      </c>
      <c r="K1788" s="95">
        <v>44056</v>
      </c>
      <c r="L1788" s="95" t="s">
        <v>359</v>
      </c>
      <c r="R1788" s="97" t="str">
        <f t="shared" si="66"/>
        <v/>
      </c>
      <c r="S1788" s="75" t="str">
        <f t="shared" si="67"/>
        <v/>
      </c>
      <c r="W1788" s="6" t="s">
        <v>33</v>
      </c>
      <c r="X1788" s="95">
        <v>45558</v>
      </c>
    </row>
    <row r="1789" spans="1:24" x14ac:dyDescent="0.25">
      <c r="A1789" s="6" t="s">
        <v>37</v>
      </c>
      <c r="B1789" s="94" t="s">
        <v>5551</v>
      </c>
      <c r="C1789" s="6" t="s">
        <v>5552</v>
      </c>
      <c r="D1789" s="140">
        <v>11632518</v>
      </c>
      <c r="E1789" s="6" t="s">
        <v>5553</v>
      </c>
      <c r="F1789" s="10" t="s">
        <v>2296</v>
      </c>
      <c r="G1789" s="6">
        <v>62071378</v>
      </c>
      <c r="H1789" s="8">
        <v>44486</v>
      </c>
      <c r="I1789" s="8">
        <v>43706</v>
      </c>
      <c r="J1789" s="8">
        <v>43720</v>
      </c>
      <c r="K1789" s="95">
        <v>43724</v>
      </c>
      <c r="L1789" s="95" t="s">
        <v>31</v>
      </c>
      <c r="M1789" s="8">
        <v>43728</v>
      </c>
      <c r="N1789" s="108">
        <v>44400</v>
      </c>
      <c r="O1789" s="108">
        <v>44050</v>
      </c>
      <c r="P1789" s="107" t="s">
        <v>75</v>
      </c>
      <c r="Q1789" s="110"/>
      <c r="R1789" s="97" t="str">
        <f t="shared" si="66"/>
        <v/>
      </c>
      <c r="S1789" s="75" t="str">
        <f t="shared" si="67"/>
        <v/>
      </c>
      <c r="U1789" s="8">
        <v>44776</v>
      </c>
      <c r="W1789" s="6" t="s">
        <v>33</v>
      </c>
      <c r="X1789" s="95">
        <v>44383</v>
      </c>
    </row>
    <row r="1790" spans="1:24" ht="30" x14ac:dyDescent="0.25">
      <c r="A1790" s="6" t="s">
        <v>168</v>
      </c>
      <c r="B1790" s="94" t="s">
        <v>2440</v>
      </c>
      <c r="C1790" s="6" t="s">
        <v>5554</v>
      </c>
      <c r="D1790" s="140">
        <v>11997916</v>
      </c>
      <c r="E1790" s="6" t="s">
        <v>4044</v>
      </c>
      <c r="F1790" s="10" t="s">
        <v>44</v>
      </c>
      <c r="G1790" s="6" t="s">
        <v>5555</v>
      </c>
      <c r="H1790" s="8">
        <v>50577</v>
      </c>
      <c r="I1790" s="8">
        <v>43977</v>
      </c>
      <c r="J1790" s="8">
        <v>44056</v>
      </c>
      <c r="K1790" s="95">
        <v>44062</v>
      </c>
      <c r="L1790" s="95" t="s">
        <v>31</v>
      </c>
      <c r="M1790" s="8">
        <v>44077</v>
      </c>
      <c r="N1790" s="8">
        <v>44722</v>
      </c>
      <c r="O1790" s="8">
        <v>44722</v>
      </c>
      <c r="P1790" s="6" t="s">
        <v>90</v>
      </c>
      <c r="Q1790" s="96">
        <v>5750</v>
      </c>
      <c r="R1790" s="97">
        <f t="shared" si="66"/>
        <v>15.753424657534246</v>
      </c>
      <c r="S1790" s="75">
        <f t="shared" si="67"/>
        <v>130107.53424657535</v>
      </c>
      <c r="T1790" s="8"/>
      <c r="U1790" s="8">
        <v>44980</v>
      </c>
      <c r="V1790" s="6" t="s">
        <v>581</v>
      </c>
      <c r="W1790" s="6" t="s">
        <v>84</v>
      </c>
      <c r="X1790" s="135">
        <v>46915</v>
      </c>
    </row>
    <row r="1791" spans="1:24" x14ac:dyDescent="0.25">
      <c r="A1791" s="6" t="s">
        <v>168</v>
      </c>
      <c r="B1791" s="94" t="s">
        <v>5556</v>
      </c>
      <c r="C1791" s="6" t="s">
        <v>5557</v>
      </c>
      <c r="D1791" s="140">
        <v>11136303</v>
      </c>
      <c r="E1791" s="6" t="s">
        <v>2206</v>
      </c>
      <c r="F1791" s="10" t="s">
        <v>44</v>
      </c>
      <c r="G1791" s="6" t="s">
        <v>5558</v>
      </c>
      <c r="H1791" s="8">
        <v>45735</v>
      </c>
      <c r="I1791" s="8">
        <v>44418</v>
      </c>
      <c r="J1791" s="8">
        <v>44425</v>
      </c>
      <c r="K1791" s="95">
        <v>44425</v>
      </c>
      <c r="L1791" s="95" t="s">
        <v>359</v>
      </c>
      <c r="R1791" s="97" t="str">
        <f t="shared" si="66"/>
        <v/>
      </c>
      <c r="S1791" s="75" t="str">
        <f t="shared" si="67"/>
        <v/>
      </c>
      <c r="W1791" s="6" t="s">
        <v>33</v>
      </c>
      <c r="X1791" s="7">
        <v>50218</v>
      </c>
    </row>
    <row r="1792" spans="1:24" x14ac:dyDescent="0.25">
      <c r="A1792" s="6" t="s">
        <v>37</v>
      </c>
      <c r="B1792" s="94" t="s">
        <v>5559</v>
      </c>
      <c r="C1792" s="6" t="s">
        <v>5560</v>
      </c>
      <c r="D1792" s="140">
        <v>11276281</v>
      </c>
      <c r="E1792" s="6" t="s">
        <v>3030</v>
      </c>
      <c r="F1792" s="10" t="s">
        <v>62</v>
      </c>
      <c r="G1792" s="6" t="s">
        <v>5561</v>
      </c>
      <c r="H1792" s="8">
        <v>46202</v>
      </c>
      <c r="I1792" s="8">
        <v>43867</v>
      </c>
      <c r="J1792" s="8">
        <v>44056</v>
      </c>
      <c r="K1792" s="95">
        <v>44056</v>
      </c>
      <c r="L1792" s="95" t="s">
        <v>31</v>
      </c>
      <c r="M1792" s="8">
        <v>44077</v>
      </c>
      <c r="N1792" s="8">
        <v>45110</v>
      </c>
      <c r="O1792" s="8">
        <v>45106</v>
      </c>
      <c r="P1792" s="6" t="s">
        <v>35</v>
      </c>
      <c r="Q1792" s="96">
        <v>2190</v>
      </c>
      <c r="R1792" s="97">
        <f t="shared" si="66"/>
        <v>6</v>
      </c>
      <c r="S1792" s="75">
        <f t="shared" si="67"/>
        <v>49554</v>
      </c>
      <c r="U1792" s="8">
        <v>45112</v>
      </c>
      <c r="W1792" s="6" t="s">
        <v>33</v>
      </c>
      <c r="X1792" s="95">
        <v>45497</v>
      </c>
    </row>
    <row r="1793" spans="1:24" x14ac:dyDescent="0.25">
      <c r="A1793" s="6" t="s">
        <v>25</v>
      </c>
      <c r="B1793" s="94" t="s">
        <v>4723</v>
      </c>
      <c r="C1793" s="6" t="s">
        <v>5562</v>
      </c>
      <c r="D1793" s="140">
        <v>11055434</v>
      </c>
      <c r="E1793" s="6" t="s">
        <v>3931</v>
      </c>
      <c r="F1793" s="10" t="s">
        <v>205</v>
      </c>
      <c r="G1793" s="6" t="s">
        <v>5563</v>
      </c>
      <c r="H1793" s="8">
        <v>109203</v>
      </c>
      <c r="I1793" s="8">
        <v>43825</v>
      </c>
      <c r="J1793" s="8">
        <v>43825</v>
      </c>
      <c r="K1793" s="95">
        <v>43899</v>
      </c>
      <c r="L1793" s="95" t="s">
        <v>359</v>
      </c>
      <c r="R1793" s="97" t="str">
        <f t="shared" si="66"/>
        <v/>
      </c>
      <c r="S1793" s="75" t="str">
        <f t="shared" si="67"/>
        <v/>
      </c>
      <c r="W1793" s="6" t="s">
        <v>84</v>
      </c>
      <c r="X1793" s="95">
        <v>48715</v>
      </c>
    </row>
    <row r="1794" spans="1:24" x14ac:dyDescent="0.25">
      <c r="A1794" s="6" t="s">
        <v>168</v>
      </c>
      <c r="B1794" s="94" t="s">
        <v>86</v>
      </c>
      <c r="C1794" s="6" t="s">
        <v>5564</v>
      </c>
      <c r="D1794" s="140">
        <v>11076592</v>
      </c>
      <c r="E1794" s="6" t="s">
        <v>5565</v>
      </c>
      <c r="F1794" s="10" t="s">
        <v>134</v>
      </c>
      <c r="G1794" s="6" t="s">
        <v>5566</v>
      </c>
      <c r="H1794" s="8">
        <v>45221</v>
      </c>
      <c r="I1794" s="8">
        <v>43609</v>
      </c>
      <c r="J1794" s="8">
        <v>43615</v>
      </c>
      <c r="K1794" s="95">
        <v>43615</v>
      </c>
      <c r="L1794" s="95" t="s">
        <v>31</v>
      </c>
      <c r="M1794" s="8">
        <v>43635</v>
      </c>
      <c r="R1794" s="97" t="str">
        <f t="shared" si="66"/>
        <v/>
      </c>
      <c r="S1794" s="75" t="str">
        <f t="shared" si="67"/>
        <v/>
      </c>
      <c r="T1794" s="124" t="s">
        <v>5567</v>
      </c>
      <c r="U1794" s="8">
        <v>44141</v>
      </c>
      <c r="W1794" s="6" t="s">
        <v>84</v>
      </c>
      <c r="X1794" s="95">
        <v>37571</v>
      </c>
    </row>
    <row r="1795" spans="1:24" x14ac:dyDescent="0.25">
      <c r="A1795" s="6" t="s">
        <v>168</v>
      </c>
      <c r="B1795" s="94" t="s">
        <v>86</v>
      </c>
      <c r="C1795" s="6" t="s">
        <v>5568</v>
      </c>
      <c r="D1795" s="140">
        <v>11001824</v>
      </c>
      <c r="E1795" s="6" t="s">
        <v>3675</v>
      </c>
      <c r="F1795" s="10" t="s">
        <v>205</v>
      </c>
      <c r="G1795" s="6" t="s">
        <v>5569</v>
      </c>
      <c r="H1795" s="8">
        <v>46276</v>
      </c>
      <c r="I1795" s="8">
        <v>43704</v>
      </c>
      <c r="J1795" s="8">
        <v>43748</v>
      </c>
      <c r="K1795" s="95">
        <v>43753</v>
      </c>
      <c r="L1795" s="95" t="s">
        <v>31</v>
      </c>
      <c r="M1795" s="8">
        <v>43755</v>
      </c>
      <c r="N1795" s="8">
        <v>44137</v>
      </c>
      <c r="O1795" s="8">
        <v>44134</v>
      </c>
      <c r="P1795" s="6" t="s">
        <v>35</v>
      </c>
      <c r="Q1795" s="96">
        <v>4173</v>
      </c>
      <c r="R1795" s="97">
        <f t="shared" si="66"/>
        <v>11.432876712328767</v>
      </c>
      <c r="S1795" s="75">
        <f t="shared" si="67"/>
        <v>94424.128767123286</v>
      </c>
      <c r="U1795" s="8">
        <v>44137</v>
      </c>
      <c r="W1795" s="6" t="s">
        <v>84</v>
      </c>
      <c r="X1795" s="95">
        <v>48080</v>
      </c>
    </row>
    <row r="1796" spans="1:24" x14ac:dyDescent="0.25">
      <c r="A1796" s="6" t="s">
        <v>37</v>
      </c>
      <c r="B1796" s="94" t="s">
        <v>242</v>
      </c>
      <c r="C1796" s="6" t="s">
        <v>5570</v>
      </c>
      <c r="D1796" s="140">
        <v>11308931</v>
      </c>
      <c r="E1796" s="6" t="s">
        <v>5571</v>
      </c>
      <c r="F1796" s="10" t="s">
        <v>57</v>
      </c>
      <c r="G1796" s="6" t="s">
        <v>5572</v>
      </c>
      <c r="H1796" s="8">
        <v>48258</v>
      </c>
      <c r="I1796" s="8">
        <v>43871</v>
      </c>
      <c r="J1796" s="8">
        <v>43895</v>
      </c>
      <c r="K1796" s="95">
        <v>43899</v>
      </c>
      <c r="L1796" s="95" t="s">
        <v>31</v>
      </c>
      <c r="M1796" s="8">
        <v>44041</v>
      </c>
      <c r="N1796" s="8">
        <v>44124</v>
      </c>
      <c r="O1796" s="8">
        <v>44071</v>
      </c>
      <c r="P1796" s="6" t="s">
        <v>75</v>
      </c>
      <c r="R1796" s="97" t="str">
        <f t="shared" si="66"/>
        <v/>
      </c>
      <c r="S1796" s="75" t="str">
        <f t="shared" si="67"/>
        <v/>
      </c>
      <c r="U1796" s="8">
        <v>44124</v>
      </c>
      <c r="W1796" s="6" t="s">
        <v>33</v>
      </c>
      <c r="X1796" s="95">
        <v>48715</v>
      </c>
    </row>
    <row r="1797" spans="1:24" x14ac:dyDescent="0.25">
      <c r="A1797" s="6" t="s">
        <v>168</v>
      </c>
      <c r="B1797" s="94" t="s">
        <v>86</v>
      </c>
      <c r="C1797" s="6" t="s">
        <v>5573</v>
      </c>
      <c r="D1797" s="140">
        <v>11422961</v>
      </c>
      <c r="E1797" s="6" t="s">
        <v>3290</v>
      </c>
      <c r="F1797" s="10" t="s">
        <v>528</v>
      </c>
      <c r="G1797" s="6" t="s">
        <v>5574</v>
      </c>
      <c r="H1797" s="8">
        <v>50473</v>
      </c>
      <c r="I1797" s="8">
        <v>44256</v>
      </c>
      <c r="J1797" s="8">
        <v>44267</v>
      </c>
      <c r="K1797" s="95">
        <v>44271</v>
      </c>
      <c r="L1797" s="95" t="s">
        <v>31</v>
      </c>
      <c r="M1797" s="8">
        <v>44281</v>
      </c>
      <c r="N1797" s="8">
        <v>44979</v>
      </c>
      <c r="O1797" s="8">
        <v>44958</v>
      </c>
      <c r="P1797" s="6" t="s">
        <v>35</v>
      </c>
      <c r="Q1797" s="96">
        <v>6205</v>
      </c>
      <c r="R1797" s="97">
        <f t="shared" si="66"/>
        <v>17</v>
      </c>
      <c r="S1797" s="75">
        <f t="shared" si="67"/>
        <v>140403</v>
      </c>
      <c r="U1797" s="8">
        <v>44985</v>
      </c>
      <c r="W1797" s="6" t="s">
        <v>33</v>
      </c>
      <c r="X1797" s="7">
        <v>47713</v>
      </c>
    </row>
    <row r="1798" spans="1:24" x14ac:dyDescent="0.25">
      <c r="A1798" s="6" t="s">
        <v>168</v>
      </c>
      <c r="B1798" s="94" t="s">
        <v>86</v>
      </c>
      <c r="C1798" s="6" t="s">
        <v>5575</v>
      </c>
      <c r="D1798" s="140">
        <v>11887011</v>
      </c>
      <c r="E1798" s="6" t="s">
        <v>2314</v>
      </c>
      <c r="F1798" s="10" t="s">
        <v>299</v>
      </c>
      <c r="G1798" s="6" t="s">
        <v>5576</v>
      </c>
      <c r="H1798" s="8">
        <v>54505</v>
      </c>
      <c r="I1798" s="8">
        <v>44342</v>
      </c>
      <c r="J1798" s="8">
        <v>44344</v>
      </c>
      <c r="K1798" s="95">
        <v>44344</v>
      </c>
      <c r="L1798" s="95" t="s">
        <v>359</v>
      </c>
      <c r="R1798" s="97" t="str">
        <f t="shared" ref="R1798:R1861" si="68">IF(Q1798&gt;0, Q1798/365, "")</f>
        <v/>
      </c>
      <c r="S1798" s="75" t="str">
        <f t="shared" ref="S1798:S1861" si="69">IF(Q1798&gt;0, SUM(Q1798)*(8259/365), "")</f>
        <v/>
      </c>
      <c r="W1798" s="6" t="s">
        <v>84</v>
      </c>
      <c r="X1798" s="7">
        <v>45086</v>
      </c>
    </row>
    <row r="1799" spans="1:24" x14ac:dyDescent="0.25">
      <c r="A1799" s="6" t="s">
        <v>168</v>
      </c>
      <c r="B1799" s="94" t="s">
        <v>5182</v>
      </c>
      <c r="C1799" s="6" t="s">
        <v>5577</v>
      </c>
      <c r="D1799" s="140">
        <v>11650907</v>
      </c>
      <c r="E1799" s="6" t="s">
        <v>409</v>
      </c>
      <c r="F1799" s="10" t="s">
        <v>44</v>
      </c>
      <c r="G1799" s="6" t="s">
        <v>5578</v>
      </c>
      <c r="H1799" s="8">
        <v>57883</v>
      </c>
      <c r="I1799" s="8">
        <v>43518</v>
      </c>
      <c r="J1799" s="8">
        <v>43538</v>
      </c>
      <c r="K1799" s="95">
        <v>43538</v>
      </c>
      <c r="L1799" s="95" t="s">
        <v>31</v>
      </c>
      <c r="M1799" s="8">
        <v>43542</v>
      </c>
      <c r="N1799" s="8">
        <v>43818</v>
      </c>
      <c r="O1799" s="8">
        <v>43804</v>
      </c>
      <c r="P1799" s="6" t="s">
        <v>35</v>
      </c>
      <c r="Q1799" s="96">
        <v>8522</v>
      </c>
      <c r="R1799" s="97">
        <f t="shared" si="68"/>
        <v>23.347945205479451</v>
      </c>
      <c r="S1799" s="75">
        <f t="shared" si="69"/>
        <v>192830.67945205481</v>
      </c>
      <c r="U1799" s="8">
        <v>43818</v>
      </c>
      <c r="W1799" s="6" t="s">
        <v>33</v>
      </c>
      <c r="X1799" s="95">
        <v>43928</v>
      </c>
    </row>
    <row r="1800" spans="1:24" x14ac:dyDescent="0.25">
      <c r="A1800" s="6" t="s">
        <v>168</v>
      </c>
      <c r="B1800" s="94" t="s">
        <v>41</v>
      </c>
      <c r="C1800" s="6" t="s">
        <v>5579</v>
      </c>
      <c r="D1800" s="140">
        <v>11435837</v>
      </c>
      <c r="E1800" s="6" t="s">
        <v>5580</v>
      </c>
      <c r="F1800" s="10" t="s">
        <v>44</v>
      </c>
      <c r="G1800" s="6" t="s">
        <v>5581</v>
      </c>
      <c r="H1800" s="8">
        <v>46140</v>
      </c>
      <c r="I1800" s="8">
        <v>44243</v>
      </c>
      <c r="J1800" s="8">
        <v>44267</v>
      </c>
      <c r="K1800" s="95">
        <v>44272</v>
      </c>
      <c r="L1800" s="95" t="s">
        <v>359</v>
      </c>
      <c r="R1800" s="97" t="str">
        <f t="shared" si="68"/>
        <v/>
      </c>
      <c r="S1800" s="75" t="str">
        <f t="shared" si="69"/>
        <v/>
      </c>
      <c r="W1800" s="6" t="s">
        <v>84</v>
      </c>
      <c r="X1800" s="7">
        <v>44974</v>
      </c>
    </row>
    <row r="1801" spans="1:24" x14ac:dyDescent="0.25">
      <c r="A1801" s="6" t="s">
        <v>168</v>
      </c>
      <c r="B1801" s="94" t="s">
        <v>5582</v>
      </c>
      <c r="C1801" s="6" t="s">
        <v>5583</v>
      </c>
      <c r="D1801" s="140">
        <v>10229236</v>
      </c>
      <c r="E1801" s="6" t="s">
        <v>171</v>
      </c>
      <c r="F1801" s="10" t="s">
        <v>29</v>
      </c>
      <c r="G1801" s="6" t="s">
        <v>5584</v>
      </c>
      <c r="H1801" s="8">
        <v>62621</v>
      </c>
      <c r="I1801" s="8">
        <v>44385</v>
      </c>
      <c r="J1801" s="8">
        <v>44406</v>
      </c>
      <c r="K1801" s="95">
        <v>44411</v>
      </c>
      <c r="L1801" s="95" t="s">
        <v>359</v>
      </c>
      <c r="R1801" s="97" t="str">
        <f t="shared" si="68"/>
        <v/>
      </c>
      <c r="S1801" s="75" t="str">
        <f t="shared" si="69"/>
        <v/>
      </c>
      <c r="W1801" s="6" t="s">
        <v>84</v>
      </c>
      <c r="X1801" s="7">
        <v>47259</v>
      </c>
    </row>
    <row r="1802" spans="1:24" x14ac:dyDescent="0.25">
      <c r="A1802" s="6" t="s">
        <v>117</v>
      </c>
      <c r="B1802" s="94" t="s">
        <v>5585</v>
      </c>
      <c r="C1802" s="6" t="s">
        <v>5586</v>
      </c>
      <c r="D1802" s="140">
        <v>11929943</v>
      </c>
      <c r="E1802" s="6" t="s">
        <v>540</v>
      </c>
      <c r="F1802" s="10" t="s">
        <v>528</v>
      </c>
      <c r="G1802" s="122" t="s">
        <v>5587</v>
      </c>
      <c r="H1802" s="8">
        <v>46049</v>
      </c>
      <c r="I1802" s="8">
        <v>43930</v>
      </c>
      <c r="J1802" s="8">
        <v>43930</v>
      </c>
      <c r="R1802" s="97" t="str">
        <f t="shared" si="68"/>
        <v/>
      </c>
      <c r="S1802" s="75" t="str">
        <f t="shared" si="69"/>
        <v/>
      </c>
      <c r="W1802" s="6" t="s">
        <v>33</v>
      </c>
      <c r="X1802" s="95">
        <v>42458</v>
      </c>
    </row>
    <row r="1803" spans="1:24" x14ac:dyDescent="0.25">
      <c r="A1803" s="6" t="s">
        <v>117</v>
      </c>
      <c r="B1803" s="94" t="s">
        <v>323</v>
      </c>
      <c r="C1803" s="6" t="s">
        <v>5588</v>
      </c>
      <c r="D1803" s="140">
        <v>11686853</v>
      </c>
      <c r="E1803" s="6" t="s">
        <v>382</v>
      </c>
      <c r="F1803" s="10" t="s">
        <v>277</v>
      </c>
      <c r="G1803" s="6" t="s">
        <v>5589</v>
      </c>
      <c r="H1803" s="8">
        <v>61011</v>
      </c>
      <c r="I1803" s="8">
        <v>43951</v>
      </c>
      <c r="J1803" s="8">
        <v>43951</v>
      </c>
      <c r="R1803" s="97" t="str">
        <f t="shared" si="68"/>
        <v/>
      </c>
      <c r="S1803" s="75" t="str">
        <f t="shared" si="69"/>
        <v/>
      </c>
      <c r="W1803" s="6" t="s">
        <v>84</v>
      </c>
      <c r="X1803" s="95">
        <v>48274</v>
      </c>
    </row>
    <row r="1804" spans="1:24" x14ac:dyDescent="0.25">
      <c r="A1804" s="6" t="s">
        <v>117</v>
      </c>
      <c r="B1804" s="94" t="s">
        <v>5590</v>
      </c>
      <c r="C1804" s="6" t="s">
        <v>5591</v>
      </c>
      <c r="D1804" s="140">
        <v>11298422</v>
      </c>
      <c r="E1804" s="6" t="s">
        <v>298</v>
      </c>
      <c r="F1804" s="10" t="s">
        <v>148</v>
      </c>
      <c r="G1804" s="6" t="s">
        <v>5592</v>
      </c>
      <c r="H1804" s="8">
        <v>49164</v>
      </c>
      <c r="I1804" s="8">
        <v>43956</v>
      </c>
      <c r="J1804" s="8">
        <v>43956</v>
      </c>
      <c r="R1804" s="97" t="str">
        <f t="shared" si="68"/>
        <v/>
      </c>
      <c r="S1804" s="75" t="str">
        <f t="shared" si="69"/>
        <v/>
      </c>
      <c r="W1804" s="6" t="s">
        <v>33</v>
      </c>
      <c r="X1804" s="95">
        <v>55815</v>
      </c>
    </row>
    <row r="1805" spans="1:24" x14ac:dyDescent="0.25">
      <c r="A1805" s="6" t="s">
        <v>168</v>
      </c>
      <c r="B1805" s="94" t="s">
        <v>5593</v>
      </c>
      <c r="C1805" s="6" t="s">
        <v>5594</v>
      </c>
      <c r="D1805" s="140">
        <v>11640443</v>
      </c>
      <c r="E1805" s="6" t="s">
        <v>3008</v>
      </c>
      <c r="F1805" s="10" t="s">
        <v>29</v>
      </c>
      <c r="G1805" s="6" t="s">
        <v>5595</v>
      </c>
      <c r="H1805" s="8">
        <v>57642</v>
      </c>
      <c r="I1805" s="8">
        <v>44315</v>
      </c>
      <c r="J1805" s="8">
        <v>44328</v>
      </c>
      <c r="K1805" s="95">
        <v>44328</v>
      </c>
      <c r="L1805" s="95" t="s">
        <v>359</v>
      </c>
      <c r="R1805" s="97" t="str">
        <f t="shared" si="68"/>
        <v/>
      </c>
      <c r="S1805" s="75" t="str">
        <f t="shared" si="69"/>
        <v/>
      </c>
      <c r="W1805" s="6" t="s">
        <v>84</v>
      </c>
      <c r="X1805" s="154">
        <v>47807</v>
      </c>
    </row>
    <row r="1806" spans="1:24" ht="30" x14ac:dyDescent="0.25">
      <c r="A1806" s="12" t="s">
        <v>168</v>
      </c>
      <c r="B1806" s="11" t="s">
        <v>5596</v>
      </c>
      <c r="C1806" s="12" t="s">
        <v>5597</v>
      </c>
      <c r="D1806" s="143">
        <v>11582217</v>
      </c>
      <c r="E1806" s="12" t="s">
        <v>318</v>
      </c>
      <c r="F1806" s="12" t="s">
        <v>252</v>
      </c>
      <c r="G1806" s="81" t="s">
        <v>5598</v>
      </c>
      <c r="H1806" s="41">
        <v>45928</v>
      </c>
      <c r="I1806" s="13">
        <v>43181</v>
      </c>
      <c r="J1806" s="13">
        <v>43181</v>
      </c>
      <c r="K1806" s="13">
        <v>43181</v>
      </c>
      <c r="L1806" s="13" t="s">
        <v>359</v>
      </c>
      <c r="M1806" s="41"/>
      <c r="N1806" s="41"/>
      <c r="O1806" s="41"/>
      <c r="P1806" s="12"/>
      <c r="Q1806" s="78"/>
      <c r="R1806" s="79" t="str">
        <f t="shared" si="68"/>
        <v/>
      </c>
      <c r="S1806" s="75" t="str">
        <f t="shared" si="69"/>
        <v/>
      </c>
      <c r="T1806" s="130"/>
      <c r="U1806" s="9">
        <v>43181</v>
      </c>
      <c r="V1806" s="6" t="s">
        <v>581</v>
      </c>
      <c r="W1806" s="6" t="s">
        <v>84</v>
      </c>
      <c r="X1806" s="95">
        <v>46461</v>
      </c>
    </row>
    <row r="1807" spans="1:24" x14ac:dyDescent="0.25">
      <c r="A1807" s="6" t="s">
        <v>168</v>
      </c>
      <c r="B1807" s="94" t="s">
        <v>5599</v>
      </c>
      <c r="C1807" s="6" t="s">
        <v>5600</v>
      </c>
      <c r="D1807" s="140">
        <v>11322195</v>
      </c>
      <c r="E1807" s="6" t="s">
        <v>4044</v>
      </c>
      <c r="F1807" s="10" t="s">
        <v>44</v>
      </c>
      <c r="G1807" s="6" t="s">
        <v>5601</v>
      </c>
      <c r="H1807" s="8">
        <v>63824</v>
      </c>
      <c r="I1807" s="8">
        <v>43992</v>
      </c>
      <c r="J1807" s="8">
        <v>44056</v>
      </c>
      <c r="K1807" s="95">
        <v>44062</v>
      </c>
      <c r="L1807" s="95" t="s">
        <v>359</v>
      </c>
      <c r="R1807" s="97" t="str">
        <f t="shared" si="68"/>
        <v/>
      </c>
      <c r="S1807" s="75" t="str">
        <f t="shared" si="69"/>
        <v/>
      </c>
      <c r="W1807" s="6" t="s">
        <v>84</v>
      </c>
      <c r="X1807" s="135">
        <v>46361</v>
      </c>
    </row>
    <row r="1808" spans="1:24" x14ac:dyDescent="0.25">
      <c r="A1808" s="6" t="s">
        <v>5602</v>
      </c>
      <c r="B1808" s="94" t="s">
        <v>5603</v>
      </c>
      <c r="C1808" s="6" t="s">
        <v>5604</v>
      </c>
      <c r="D1808" s="140">
        <v>12225111</v>
      </c>
      <c r="E1808" s="6" t="s">
        <v>114</v>
      </c>
      <c r="F1808" s="10" t="s">
        <v>44</v>
      </c>
      <c r="G1808" s="6" t="s">
        <v>5605</v>
      </c>
      <c r="H1808" s="8">
        <v>44182</v>
      </c>
      <c r="I1808" s="8">
        <v>44006</v>
      </c>
      <c r="J1808" s="8">
        <v>44006</v>
      </c>
      <c r="R1808" s="97" t="str">
        <f t="shared" si="68"/>
        <v/>
      </c>
      <c r="S1808" s="75" t="str">
        <f t="shared" si="69"/>
        <v/>
      </c>
      <c r="T1808" s="124" t="s">
        <v>5606</v>
      </c>
      <c r="U1808" s="8">
        <v>44140</v>
      </c>
      <c r="V1808" s="6" t="s">
        <v>350</v>
      </c>
      <c r="X1808" s="135">
        <v>44946</v>
      </c>
    </row>
    <row r="1809" spans="1:24" x14ac:dyDescent="0.25">
      <c r="A1809" s="6" t="s">
        <v>5602</v>
      </c>
      <c r="B1809" s="94" t="s">
        <v>5607</v>
      </c>
      <c r="C1809" s="6" t="s">
        <v>5608</v>
      </c>
      <c r="D1809" s="140">
        <v>12104710</v>
      </c>
      <c r="E1809" s="6" t="s">
        <v>5609</v>
      </c>
      <c r="F1809" s="10" t="s">
        <v>979</v>
      </c>
      <c r="G1809" s="6" t="s">
        <v>5610</v>
      </c>
      <c r="H1809" s="8">
        <v>44162</v>
      </c>
      <c r="I1809" s="8">
        <v>44006</v>
      </c>
      <c r="J1809" s="8">
        <v>44006</v>
      </c>
      <c r="R1809" s="97" t="str">
        <f t="shared" si="68"/>
        <v/>
      </c>
      <c r="S1809" s="75" t="str">
        <f t="shared" si="69"/>
        <v/>
      </c>
      <c r="T1809" s="124" t="s">
        <v>5611</v>
      </c>
      <c r="U1809" s="8">
        <v>44140</v>
      </c>
      <c r="V1809" s="6" t="s">
        <v>350</v>
      </c>
      <c r="W1809" s="6" t="s">
        <v>33</v>
      </c>
      <c r="X1809" s="135">
        <v>46915</v>
      </c>
    </row>
    <row r="1810" spans="1:24" ht="30" x14ac:dyDescent="0.25">
      <c r="A1810" s="6" t="s">
        <v>5602</v>
      </c>
      <c r="B1810" s="94" t="s">
        <v>5612</v>
      </c>
      <c r="C1810" s="6" t="s">
        <v>5613</v>
      </c>
      <c r="D1810" s="140">
        <v>11568068</v>
      </c>
      <c r="E1810" s="6" t="s">
        <v>114</v>
      </c>
      <c r="F1810" s="10" t="s">
        <v>44</v>
      </c>
      <c r="G1810" s="6" t="s">
        <v>5614</v>
      </c>
      <c r="H1810" s="8">
        <v>44357</v>
      </c>
      <c r="I1810" s="8">
        <v>44006</v>
      </c>
      <c r="J1810" s="8">
        <v>44006</v>
      </c>
      <c r="R1810" s="97" t="str">
        <f t="shared" si="68"/>
        <v/>
      </c>
      <c r="S1810" s="75" t="str">
        <f t="shared" si="69"/>
        <v/>
      </c>
      <c r="T1810" s="124" t="s">
        <v>5615</v>
      </c>
      <c r="U1810" s="8">
        <v>44140</v>
      </c>
      <c r="V1810" s="6" t="s">
        <v>350</v>
      </c>
      <c r="W1810" s="6" t="s">
        <v>33</v>
      </c>
      <c r="X1810" s="135">
        <v>48478</v>
      </c>
    </row>
    <row r="1811" spans="1:24" x14ac:dyDescent="0.25">
      <c r="A1811" s="6" t="s">
        <v>5602</v>
      </c>
      <c r="B1811" s="94" t="s">
        <v>870</v>
      </c>
      <c r="C1811" s="6" t="s">
        <v>5616</v>
      </c>
      <c r="D1811" s="140">
        <v>12216423</v>
      </c>
      <c r="E1811" s="6" t="s">
        <v>578</v>
      </c>
      <c r="F1811" s="10" t="s">
        <v>44</v>
      </c>
      <c r="G1811" s="6" t="s">
        <v>5617</v>
      </c>
      <c r="H1811" s="8">
        <v>44257</v>
      </c>
      <c r="I1811" s="8">
        <v>44006</v>
      </c>
      <c r="J1811" s="8">
        <v>44006</v>
      </c>
      <c r="R1811" s="97" t="str">
        <f t="shared" si="68"/>
        <v/>
      </c>
      <c r="S1811" s="75" t="str">
        <f t="shared" si="69"/>
        <v/>
      </c>
      <c r="T1811" s="124" t="s">
        <v>5618</v>
      </c>
      <c r="U1811" s="8">
        <v>44140</v>
      </c>
      <c r="V1811" s="6" t="s">
        <v>350</v>
      </c>
      <c r="W1811" s="6" t="s">
        <v>33</v>
      </c>
      <c r="X1811" s="135">
        <v>47965</v>
      </c>
    </row>
    <row r="1812" spans="1:24" x14ac:dyDescent="0.25">
      <c r="A1812" s="6" t="s">
        <v>168</v>
      </c>
      <c r="B1812" s="94" t="s">
        <v>5619</v>
      </c>
      <c r="C1812" s="6" t="s">
        <v>5620</v>
      </c>
      <c r="D1812" s="140">
        <v>10199060</v>
      </c>
      <c r="E1812" s="6" t="s">
        <v>304</v>
      </c>
      <c r="F1812" s="111" t="s">
        <v>979</v>
      </c>
      <c r="G1812" s="6" t="s">
        <v>5621</v>
      </c>
      <c r="H1812" s="8">
        <v>45670</v>
      </c>
      <c r="I1812" s="8">
        <v>43364</v>
      </c>
      <c r="J1812" s="8">
        <v>43367</v>
      </c>
      <c r="K1812" s="95">
        <v>43367</v>
      </c>
      <c r="L1812" s="95" t="s">
        <v>31</v>
      </c>
      <c r="M1812" s="8">
        <v>43376</v>
      </c>
      <c r="N1812" s="8">
        <v>43522</v>
      </c>
      <c r="O1812" s="8">
        <v>43500</v>
      </c>
      <c r="P1812" s="6" t="s">
        <v>90</v>
      </c>
      <c r="Q1812" s="96">
        <v>2160</v>
      </c>
      <c r="R1812" s="97">
        <f t="shared" si="68"/>
        <v>5.9178082191780819</v>
      </c>
      <c r="S1812" s="75">
        <f t="shared" si="69"/>
        <v>48875.178082191786</v>
      </c>
      <c r="T1812" s="124" t="s">
        <v>5622</v>
      </c>
      <c r="U1812" s="8">
        <v>43503</v>
      </c>
      <c r="V1812" s="6" t="s">
        <v>350</v>
      </c>
      <c r="W1812" s="6" t="s">
        <v>33</v>
      </c>
      <c r="X1812" s="95">
        <v>38775</v>
      </c>
    </row>
    <row r="1813" spans="1:24" x14ac:dyDescent="0.25">
      <c r="A1813" s="6" t="s">
        <v>168</v>
      </c>
      <c r="B1813" s="94" t="s">
        <v>5590</v>
      </c>
      <c r="C1813" s="6" t="s">
        <v>5623</v>
      </c>
      <c r="D1813" s="140">
        <v>11575534</v>
      </c>
      <c r="E1813" s="6" t="s">
        <v>839</v>
      </c>
      <c r="F1813" s="10" t="s">
        <v>44</v>
      </c>
      <c r="G1813" s="6" t="s">
        <v>5624</v>
      </c>
      <c r="H1813" s="8">
        <v>46063</v>
      </c>
      <c r="I1813" s="8">
        <v>44251</v>
      </c>
      <c r="J1813" s="8">
        <v>44267</v>
      </c>
      <c r="K1813" s="95">
        <v>44267</v>
      </c>
      <c r="L1813" s="95" t="s">
        <v>31</v>
      </c>
      <c r="M1813" s="8">
        <v>44272</v>
      </c>
      <c r="N1813" s="8">
        <v>43356</v>
      </c>
      <c r="O1813" s="8">
        <v>43353</v>
      </c>
      <c r="P1813" s="6" t="s">
        <v>35</v>
      </c>
      <c r="Q1813" s="96">
        <v>730</v>
      </c>
      <c r="R1813" s="97">
        <f t="shared" si="68"/>
        <v>2</v>
      </c>
      <c r="S1813" s="75">
        <f t="shared" si="69"/>
        <v>16518</v>
      </c>
      <c r="U1813" s="8">
        <v>44966</v>
      </c>
      <c r="V1813" s="6" t="s">
        <v>36</v>
      </c>
      <c r="W1813" s="6" t="s">
        <v>33</v>
      </c>
      <c r="X1813" s="152">
        <v>47963</v>
      </c>
    </row>
    <row r="1814" spans="1:24" ht="30" x14ac:dyDescent="0.25">
      <c r="A1814" s="6" t="s">
        <v>168</v>
      </c>
      <c r="B1814" s="94" t="s">
        <v>5625</v>
      </c>
      <c r="C1814" s="6" t="s">
        <v>5626</v>
      </c>
      <c r="D1814" s="140">
        <v>11243439</v>
      </c>
      <c r="E1814" s="6" t="s">
        <v>5627</v>
      </c>
      <c r="F1814" s="10" t="s">
        <v>205</v>
      </c>
      <c r="G1814" s="6" t="s">
        <v>5628</v>
      </c>
      <c r="H1814" s="8">
        <v>46026</v>
      </c>
      <c r="I1814" s="8">
        <v>43621</v>
      </c>
      <c r="J1814" s="8">
        <v>43643</v>
      </c>
      <c r="K1814" s="95">
        <v>43643</v>
      </c>
      <c r="L1814" s="95" t="s">
        <v>31</v>
      </c>
      <c r="M1814" s="8">
        <v>43643</v>
      </c>
      <c r="N1814" s="8">
        <v>43811</v>
      </c>
      <c r="O1814" s="8">
        <v>43805</v>
      </c>
      <c r="P1814" s="6" t="s">
        <v>90</v>
      </c>
      <c r="Q1814" s="96">
        <v>2214</v>
      </c>
      <c r="R1814" s="97">
        <f t="shared" si="68"/>
        <v>6.065753424657534</v>
      </c>
      <c r="S1814" s="75">
        <f t="shared" si="69"/>
        <v>50097.057534246575</v>
      </c>
      <c r="T1814" s="124" t="s">
        <v>5629</v>
      </c>
      <c r="U1814" s="8">
        <v>43811</v>
      </c>
      <c r="V1814" s="6" t="s">
        <v>581</v>
      </c>
      <c r="W1814" s="6" t="s">
        <v>84</v>
      </c>
      <c r="X1814" s="6"/>
    </row>
    <row r="1815" spans="1:24" x14ac:dyDescent="0.25">
      <c r="A1815" s="6" t="s">
        <v>37</v>
      </c>
      <c r="B1815" s="94" t="s">
        <v>242</v>
      </c>
      <c r="C1815" s="6" t="s">
        <v>5630</v>
      </c>
      <c r="D1815" s="140">
        <v>11357726</v>
      </c>
      <c r="E1815" s="6" t="s">
        <v>5631</v>
      </c>
      <c r="F1815" s="10" t="s">
        <v>44</v>
      </c>
      <c r="G1815" s="6" t="s">
        <v>5632</v>
      </c>
      <c r="H1815" s="8">
        <v>45713</v>
      </c>
      <c r="I1815" s="8">
        <v>44042</v>
      </c>
      <c r="J1815" s="8">
        <v>44085</v>
      </c>
      <c r="K1815" s="95">
        <v>44088</v>
      </c>
      <c r="L1815" s="95" t="s">
        <v>31</v>
      </c>
      <c r="M1815" s="8">
        <v>44099</v>
      </c>
      <c r="N1815" s="8">
        <v>44498</v>
      </c>
      <c r="O1815" s="8">
        <v>44375</v>
      </c>
      <c r="P1815" s="6" t="s">
        <v>75</v>
      </c>
      <c r="R1815" s="97" t="str">
        <f t="shared" si="68"/>
        <v/>
      </c>
      <c r="S1815" s="75" t="str">
        <f t="shared" si="69"/>
        <v/>
      </c>
      <c r="U1815" s="8">
        <v>44498</v>
      </c>
      <c r="W1815" s="6" t="s">
        <v>33</v>
      </c>
      <c r="X1815" s="135">
        <v>55281</v>
      </c>
    </row>
    <row r="1816" spans="1:24" x14ac:dyDescent="0.25">
      <c r="A1816" s="6" t="s">
        <v>37</v>
      </c>
      <c r="B1816" s="94" t="s">
        <v>630</v>
      </c>
      <c r="C1816" s="6" t="s">
        <v>5633</v>
      </c>
      <c r="D1816" s="140" t="s">
        <v>5634</v>
      </c>
      <c r="E1816" s="6" t="s">
        <v>5635</v>
      </c>
      <c r="F1816" s="10" t="s">
        <v>44</v>
      </c>
      <c r="G1816" s="6" t="s">
        <v>5636</v>
      </c>
      <c r="H1816" s="8">
        <v>44215</v>
      </c>
      <c r="I1816" s="8">
        <v>43482</v>
      </c>
      <c r="J1816" s="8">
        <v>43487</v>
      </c>
      <c r="K1816" s="95">
        <v>43487</v>
      </c>
      <c r="L1816" s="95" t="s">
        <v>31</v>
      </c>
      <c r="M1816" s="8">
        <v>43507</v>
      </c>
      <c r="N1816" s="8">
        <v>44272</v>
      </c>
      <c r="O1816" s="98">
        <v>43766</v>
      </c>
      <c r="P1816" s="6" t="s">
        <v>75</v>
      </c>
      <c r="R1816" s="97" t="str">
        <f t="shared" si="68"/>
        <v/>
      </c>
      <c r="S1816" s="75" t="str">
        <f t="shared" si="69"/>
        <v/>
      </c>
      <c r="U1816" s="8">
        <v>44272</v>
      </c>
      <c r="W1816" s="6" t="s">
        <v>33</v>
      </c>
      <c r="X1816" s="95">
        <v>42424</v>
      </c>
    </row>
    <row r="1817" spans="1:24" x14ac:dyDescent="0.25">
      <c r="A1817" s="6" t="s">
        <v>37</v>
      </c>
      <c r="B1817" s="94" t="s">
        <v>2971</v>
      </c>
      <c r="C1817" s="6" t="s">
        <v>5637</v>
      </c>
      <c r="D1817" s="140">
        <v>12123520</v>
      </c>
      <c r="E1817" s="6" t="s">
        <v>5638</v>
      </c>
      <c r="F1817" s="10" t="s">
        <v>44</v>
      </c>
      <c r="G1817" s="6" t="s">
        <v>5639</v>
      </c>
      <c r="H1817" s="8">
        <v>45168</v>
      </c>
      <c r="I1817" s="8">
        <v>43880</v>
      </c>
      <c r="J1817" s="8">
        <v>43895</v>
      </c>
      <c r="K1817" s="95">
        <v>43899</v>
      </c>
      <c r="L1817" s="95" t="s">
        <v>31</v>
      </c>
      <c r="M1817" s="8">
        <v>44041</v>
      </c>
      <c r="R1817" s="97" t="str">
        <f t="shared" si="68"/>
        <v/>
      </c>
      <c r="S1817" s="75" t="str">
        <f t="shared" si="69"/>
        <v/>
      </c>
      <c r="T1817" s="129" t="s">
        <v>5640</v>
      </c>
      <c r="U1817" s="8">
        <v>44783</v>
      </c>
      <c r="W1817" s="6" t="s">
        <v>33</v>
      </c>
      <c r="X1817" s="95">
        <v>46944</v>
      </c>
    </row>
    <row r="1818" spans="1:24" x14ac:dyDescent="0.25">
      <c r="A1818" s="6" t="s">
        <v>168</v>
      </c>
      <c r="B1818" s="94" t="s">
        <v>5641</v>
      </c>
      <c r="C1818" s="6" t="s">
        <v>5642</v>
      </c>
      <c r="D1818" s="140">
        <v>11358368</v>
      </c>
      <c r="E1818" s="6" t="s">
        <v>88</v>
      </c>
      <c r="F1818" s="10" t="s">
        <v>134</v>
      </c>
      <c r="G1818" s="6" t="s">
        <v>5643</v>
      </c>
      <c r="H1818" s="8">
        <v>44697</v>
      </c>
      <c r="I1818" s="8">
        <v>43530</v>
      </c>
      <c r="J1818" s="8">
        <v>43537</v>
      </c>
      <c r="K1818" s="95">
        <v>43537</v>
      </c>
      <c r="L1818" s="95" t="s">
        <v>31</v>
      </c>
      <c r="M1818" s="8">
        <v>43542</v>
      </c>
      <c r="N1818" s="8">
        <v>43643</v>
      </c>
      <c r="O1818" s="8">
        <v>43643</v>
      </c>
      <c r="P1818" s="6" t="s">
        <v>90</v>
      </c>
      <c r="Q1818" s="96">
        <v>1461</v>
      </c>
      <c r="R1818" s="97">
        <f t="shared" si="68"/>
        <v>4.0027397260273974</v>
      </c>
      <c r="S1818" s="75">
        <f t="shared" si="69"/>
        <v>33058.627397260272</v>
      </c>
      <c r="T1818" s="124" t="s">
        <v>5644</v>
      </c>
      <c r="U1818" s="8">
        <v>43643</v>
      </c>
      <c r="V1818" s="6" t="s">
        <v>36</v>
      </c>
      <c r="W1818" s="6" t="s">
        <v>33</v>
      </c>
      <c r="X1818" s="95">
        <v>49549</v>
      </c>
    </row>
    <row r="1819" spans="1:24" x14ac:dyDescent="0.25">
      <c r="A1819" s="6" t="s">
        <v>37</v>
      </c>
      <c r="B1819" s="94" t="s">
        <v>5645</v>
      </c>
      <c r="C1819" s="6" t="s">
        <v>5646</v>
      </c>
      <c r="D1819" s="140">
        <v>11345184</v>
      </c>
      <c r="E1819" s="6" t="s">
        <v>5471</v>
      </c>
      <c r="F1819" s="10" t="s">
        <v>299</v>
      </c>
      <c r="G1819" s="6" t="s">
        <v>5647</v>
      </c>
      <c r="H1819" s="8">
        <v>45271</v>
      </c>
      <c r="I1819" s="8">
        <v>44256</v>
      </c>
      <c r="J1819" s="8">
        <v>44267</v>
      </c>
      <c r="K1819" s="95">
        <v>44272</v>
      </c>
      <c r="L1819" s="95" t="s">
        <v>31</v>
      </c>
      <c r="M1819" s="8">
        <v>44295</v>
      </c>
      <c r="N1819" s="8">
        <v>44336</v>
      </c>
      <c r="O1819" s="8">
        <v>44315</v>
      </c>
      <c r="P1819" s="6" t="s">
        <v>75</v>
      </c>
      <c r="R1819" s="97" t="str">
        <f t="shared" si="68"/>
        <v/>
      </c>
      <c r="S1819" s="75" t="str">
        <f t="shared" si="69"/>
        <v/>
      </c>
      <c r="U1819" s="8">
        <v>44336</v>
      </c>
      <c r="W1819" s="6" t="s">
        <v>33</v>
      </c>
      <c r="X1819" s="7">
        <v>53780</v>
      </c>
    </row>
    <row r="1820" spans="1:24" x14ac:dyDescent="0.25">
      <c r="A1820" s="6" t="s">
        <v>37</v>
      </c>
      <c r="B1820" s="94" t="s">
        <v>5648</v>
      </c>
      <c r="C1820" s="6" t="s">
        <v>5649</v>
      </c>
      <c r="D1820" s="140">
        <v>11893324</v>
      </c>
      <c r="E1820" s="6" t="s">
        <v>2206</v>
      </c>
      <c r="F1820" s="10" t="s">
        <v>44</v>
      </c>
      <c r="G1820" s="6" t="s">
        <v>5650</v>
      </c>
      <c r="H1820" s="8">
        <v>47129</v>
      </c>
      <c r="I1820" s="8">
        <v>44035</v>
      </c>
      <c r="J1820" s="8">
        <v>44064</v>
      </c>
      <c r="K1820" s="95">
        <v>44071</v>
      </c>
      <c r="L1820" s="95" t="s">
        <v>31</v>
      </c>
      <c r="M1820" s="8">
        <v>44099</v>
      </c>
      <c r="N1820" s="8">
        <v>44943</v>
      </c>
      <c r="O1820" s="8">
        <v>44938</v>
      </c>
      <c r="P1820" s="6" t="s">
        <v>90</v>
      </c>
      <c r="Q1820" s="96">
        <v>11607</v>
      </c>
      <c r="R1820" s="97">
        <f t="shared" si="68"/>
        <v>31.8</v>
      </c>
      <c r="S1820" s="75">
        <f t="shared" si="69"/>
        <v>262636.2</v>
      </c>
      <c r="U1820" s="8">
        <v>44995</v>
      </c>
      <c r="W1820" s="6" t="s">
        <v>33</v>
      </c>
      <c r="X1820" s="135">
        <v>48984</v>
      </c>
    </row>
    <row r="1821" spans="1:24" x14ac:dyDescent="0.25">
      <c r="A1821" s="6" t="s">
        <v>37</v>
      </c>
      <c r="B1821" s="94" t="s">
        <v>5651</v>
      </c>
      <c r="C1821" s="6" t="s">
        <v>5652</v>
      </c>
      <c r="D1821" s="140">
        <v>11911968</v>
      </c>
      <c r="E1821" s="6" t="s">
        <v>2771</v>
      </c>
      <c r="F1821" s="10" t="s">
        <v>44</v>
      </c>
      <c r="G1821" s="6" t="s">
        <v>5653</v>
      </c>
      <c r="H1821" s="8">
        <v>51188</v>
      </c>
      <c r="I1821" s="8">
        <v>43740</v>
      </c>
      <c r="J1821" s="8">
        <v>43769</v>
      </c>
      <c r="K1821" s="95">
        <v>43769</v>
      </c>
      <c r="L1821" s="95" t="s">
        <v>31</v>
      </c>
      <c r="M1821" s="8">
        <v>43774</v>
      </c>
      <c r="N1821" s="8">
        <v>44320</v>
      </c>
      <c r="O1821" s="8">
        <v>44046</v>
      </c>
      <c r="P1821" s="6" t="s">
        <v>75</v>
      </c>
      <c r="R1821" s="97" t="str">
        <f t="shared" si="68"/>
        <v/>
      </c>
      <c r="S1821" s="75" t="str">
        <f t="shared" si="69"/>
        <v/>
      </c>
      <c r="U1821" s="8">
        <v>44320</v>
      </c>
      <c r="W1821" s="6" t="s">
        <v>33</v>
      </c>
      <c r="X1821" s="95">
        <v>51460</v>
      </c>
    </row>
    <row r="1822" spans="1:24" x14ac:dyDescent="0.25">
      <c r="A1822" s="6" t="s">
        <v>37</v>
      </c>
      <c r="B1822" s="94" t="s">
        <v>5266</v>
      </c>
      <c r="C1822" s="6" t="s">
        <v>5654</v>
      </c>
      <c r="D1822" s="140">
        <v>121118866</v>
      </c>
      <c r="E1822" s="6" t="s">
        <v>5655</v>
      </c>
      <c r="F1822" s="10" t="s">
        <v>205</v>
      </c>
      <c r="G1822" s="6" t="s">
        <v>5656</v>
      </c>
      <c r="H1822" s="8">
        <v>46055</v>
      </c>
      <c r="I1822" s="8">
        <v>44127</v>
      </c>
      <c r="J1822" s="8">
        <v>44147</v>
      </c>
      <c r="K1822" s="95">
        <v>44148</v>
      </c>
      <c r="L1822" s="95" t="s">
        <v>31</v>
      </c>
      <c r="M1822" s="8">
        <v>44159</v>
      </c>
      <c r="R1822" s="97" t="str">
        <f t="shared" si="68"/>
        <v/>
      </c>
      <c r="S1822" s="75" t="str">
        <f t="shared" si="69"/>
        <v/>
      </c>
      <c r="T1822" s="124" t="s">
        <v>1702</v>
      </c>
      <c r="W1822" s="6" t="s">
        <v>33</v>
      </c>
      <c r="X1822" s="7">
        <v>51218</v>
      </c>
    </row>
    <row r="1823" spans="1:24" x14ac:dyDescent="0.25">
      <c r="A1823" s="6" t="s">
        <v>37</v>
      </c>
      <c r="B1823" s="94" t="s">
        <v>5345</v>
      </c>
      <c r="C1823" s="6" t="s">
        <v>5657</v>
      </c>
      <c r="D1823" s="140">
        <v>12105162</v>
      </c>
      <c r="E1823" s="6" t="s">
        <v>5658</v>
      </c>
      <c r="F1823" s="10" t="s">
        <v>44</v>
      </c>
      <c r="G1823" s="6" t="s">
        <v>5659</v>
      </c>
      <c r="H1823" s="8">
        <v>44412</v>
      </c>
      <c r="I1823" s="8">
        <v>43788</v>
      </c>
      <c r="J1823" s="8">
        <v>43810</v>
      </c>
      <c r="K1823" s="95">
        <v>43810</v>
      </c>
      <c r="L1823" s="95" t="s">
        <v>31</v>
      </c>
      <c r="M1823" s="8">
        <v>43818</v>
      </c>
      <c r="N1823" s="8">
        <v>43902</v>
      </c>
      <c r="O1823" s="8">
        <v>43888</v>
      </c>
      <c r="P1823" s="6" t="s">
        <v>182</v>
      </c>
      <c r="R1823" s="97" t="str">
        <f t="shared" si="68"/>
        <v/>
      </c>
      <c r="S1823" s="75" t="str">
        <f t="shared" si="69"/>
        <v/>
      </c>
      <c r="U1823" s="8">
        <v>43907</v>
      </c>
      <c r="W1823" s="6" t="s">
        <v>33</v>
      </c>
      <c r="X1823" s="95">
        <v>51924</v>
      </c>
    </row>
    <row r="1824" spans="1:24" ht="15.75" thickBot="1" x14ac:dyDescent="0.3">
      <c r="A1824" s="6" t="s">
        <v>37</v>
      </c>
      <c r="B1824" s="94" t="s">
        <v>5660</v>
      </c>
      <c r="C1824" s="6" t="s">
        <v>5661</v>
      </c>
      <c r="D1824" s="140">
        <v>11222815</v>
      </c>
      <c r="E1824" s="6" t="s">
        <v>5662</v>
      </c>
      <c r="F1824" s="10" t="s">
        <v>44</v>
      </c>
      <c r="G1824" s="6" t="s">
        <v>5663</v>
      </c>
      <c r="H1824" s="8">
        <v>47536</v>
      </c>
      <c r="I1824" s="8">
        <v>44127</v>
      </c>
      <c r="J1824" s="8">
        <v>44139</v>
      </c>
      <c r="K1824" s="95">
        <v>44144</v>
      </c>
      <c r="L1824" s="95" t="s">
        <v>31</v>
      </c>
      <c r="M1824" s="8">
        <v>44147</v>
      </c>
      <c r="R1824" s="97" t="str">
        <f t="shared" si="68"/>
        <v/>
      </c>
      <c r="S1824" s="75" t="str">
        <f t="shared" si="69"/>
        <v/>
      </c>
      <c r="W1824" s="6" t="s">
        <v>33</v>
      </c>
      <c r="X1824" s="150">
        <v>52463</v>
      </c>
    </row>
    <row r="1825" spans="1:24" x14ac:dyDescent="0.25">
      <c r="A1825" s="6" t="s">
        <v>65</v>
      </c>
      <c r="B1825" s="94" t="s">
        <v>188</v>
      </c>
      <c r="C1825" s="6" t="s">
        <v>5664</v>
      </c>
      <c r="D1825" s="140">
        <v>11321521</v>
      </c>
      <c r="E1825" s="6" t="s">
        <v>678</v>
      </c>
      <c r="F1825" s="10" t="s">
        <v>29</v>
      </c>
      <c r="G1825" s="6" t="s">
        <v>5665</v>
      </c>
      <c r="H1825" s="8">
        <v>46701</v>
      </c>
      <c r="I1825" s="8">
        <v>43339</v>
      </c>
      <c r="J1825" s="8">
        <v>43339</v>
      </c>
      <c r="K1825" s="95">
        <v>43348</v>
      </c>
      <c r="L1825" s="95" t="s">
        <v>31</v>
      </c>
      <c r="M1825" s="8">
        <v>43353</v>
      </c>
      <c r="P1825" s="6" t="s">
        <v>628</v>
      </c>
      <c r="R1825" s="97" t="str">
        <f t="shared" si="68"/>
        <v/>
      </c>
      <c r="S1825" s="75" t="str">
        <f t="shared" si="69"/>
        <v/>
      </c>
      <c r="T1825" s="8">
        <v>44645</v>
      </c>
      <c r="W1825" s="6" t="s">
        <v>33</v>
      </c>
      <c r="X1825" s="138">
        <v>44926</v>
      </c>
    </row>
    <row r="1826" spans="1:24" x14ac:dyDescent="0.25">
      <c r="A1826" s="6" t="s">
        <v>37</v>
      </c>
      <c r="B1826" s="94" t="s">
        <v>2245</v>
      </c>
      <c r="C1826" s="6" t="s">
        <v>5666</v>
      </c>
      <c r="D1826" s="140">
        <v>11913213</v>
      </c>
      <c r="E1826" s="6" t="s">
        <v>5667</v>
      </c>
      <c r="F1826" s="10" t="s">
        <v>134</v>
      </c>
      <c r="G1826" s="6" t="s">
        <v>5668</v>
      </c>
      <c r="H1826" s="8">
        <v>46217</v>
      </c>
      <c r="I1826" s="8">
        <v>43747</v>
      </c>
      <c r="J1826" s="8">
        <v>43782</v>
      </c>
      <c r="K1826" s="95">
        <v>43783</v>
      </c>
      <c r="L1826" s="95" t="s">
        <v>31</v>
      </c>
      <c r="M1826" s="8">
        <v>43794</v>
      </c>
      <c r="N1826" s="8">
        <v>44272</v>
      </c>
      <c r="O1826" s="8">
        <v>44243</v>
      </c>
      <c r="P1826" s="6" t="s">
        <v>75</v>
      </c>
      <c r="R1826" s="97" t="str">
        <f t="shared" si="68"/>
        <v/>
      </c>
      <c r="S1826" s="75" t="str">
        <f t="shared" si="69"/>
        <v/>
      </c>
      <c r="U1826" s="8">
        <v>44272</v>
      </c>
      <c r="W1826" s="6" t="s">
        <v>33</v>
      </c>
      <c r="X1826" s="95">
        <v>45913</v>
      </c>
    </row>
    <row r="1827" spans="1:24" x14ac:dyDescent="0.25">
      <c r="A1827" s="6" t="s">
        <v>37</v>
      </c>
      <c r="B1827" s="94" t="s">
        <v>2245</v>
      </c>
      <c r="C1827" s="6" t="s">
        <v>5669</v>
      </c>
      <c r="D1827" s="140">
        <v>11159409</v>
      </c>
      <c r="E1827" s="6" t="s">
        <v>3266</v>
      </c>
      <c r="F1827" s="10" t="s">
        <v>121</v>
      </c>
      <c r="G1827" s="6" t="s">
        <v>5670</v>
      </c>
      <c r="H1827" s="8">
        <v>46314</v>
      </c>
      <c r="I1827" s="8">
        <v>44006</v>
      </c>
      <c r="J1827" s="8">
        <v>44064</v>
      </c>
      <c r="K1827" s="95">
        <v>44070</v>
      </c>
      <c r="L1827" s="95" t="s">
        <v>31</v>
      </c>
      <c r="M1827" s="8">
        <v>44091</v>
      </c>
      <c r="N1827" s="8">
        <v>44144</v>
      </c>
      <c r="O1827" s="8">
        <v>44118</v>
      </c>
      <c r="P1827" s="6" t="s">
        <v>75</v>
      </c>
      <c r="R1827" s="97" t="str">
        <f t="shared" si="68"/>
        <v/>
      </c>
      <c r="S1827" s="75" t="str">
        <f t="shared" si="69"/>
        <v/>
      </c>
      <c r="U1827" s="8">
        <v>44145</v>
      </c>
      <c r="W1827" s="6" t="s">
        <v>33</v>
      </c>
      <c r="X1827" s="135">
        <v>47446</v>
      </c>
    </row>
    <row r="1828" spans="1:24" x14ac:dyDescent="0.25">
      <c r="A1828" s="6" t="s">
        <v>37</v>
      </c>
      <c r="B1828" s="94" t="s">
        <v>2245</v>
      </c>
      <c r="C1828" s="6" t="s">
        <v>5671</v>
      </c>
      <c r="D1828" s="140">
        <v>11055179</v>
      </c>
      <c r="E1828" s="6" t="s">
        <v>3008</v>
      </c>
      <c r="F1828" s="10" t="s">
        <v>121</v>
      </c>
      <c r="G1828" s="6" t="s">
        <v>5672</v>
      </c>
      <c r="H1828" s="8">
        <v>46004</v>
      </c>
      <c r="I1828" s="8">
        <v>44149</v>
      </c>
      <c r="J1828" s="8">
        <v>44180</v>
      </c>
      <c r="K1828" s="95">
        <v>44173</v>
      </c>
      <c r="L1828" s="95" t="s">
        <v>31</v>
      </c>
      <c r="M1828" s="8">
        <v>44218</v>
      </c>
      <c r="R1828" s="97" t="str">
        <f t="shared" si="68"/>
        <v/>
      </c>
      <c r="S1828" s="75" t="str">
        <f t="shared" si="69"/>
        <v/>
      </c>
      <c r="T1828" s="129" t="s">
        <v>5673</v>
      </c>
      <c r="U1828" s="8">
        <v>44783</v>
      </c>
      <c r="W1828" s="6" t="s">
        <v>33</v>
      </c>
      <c r="X1828" s="95">
        <v>49138</v>
      </c>
    </row>
    <row r="1829" spans="1:24" x14ac:dyDescent="0.25">
      <c r="A1829" s="6" t="s">
        <v>37</v>
      </c>
      <c r="B1829" s="94" t="s">
        <v>5674</v>
      </c>
      <c r="C1829" s="6" t="s">
        <v>5675</v>
      </c>
      <c r="D1829" s="140">
        <v>11094951</v>
      </c>
      <c r="E1829" s="6" t="s">
        <v>3008</v>
      </c>
      <c r="F1829" s="10" t="s">
        <v>44</v>
      </c>
      <c r="G1829" s="6" t="s">
        <v>5676</v>
      </c>
      <c r="H1829" s="8">
        <v>44760</v>
      </c>
      <c r="I1829" s="8">
        <v>44147</v>
      </c>
      <c r="J1829" s="8">
        <v>44179</v>
      </c>
      <c r="K1829" s="95">
        <v>44173</v>
      </c>
      <c r="L1829" s="95" t="s">
        <v>31</v>
      </c>
      <c r="M1829" s="8">
        <v>44218</v>
      </c>
      <c r="N1829" s="8">
        <v>44320</v>
      </c>
      <c r="O1829" s="8">
        <v>44293</v>
      </c>
      <c r="P1829" s="6" t="s">
        <v>90</v>
      </c>
      <c r="Q1829" s="96">
        <v>455</v>
      </c>
      <c r="R1829" s="97">
        <f t="shared" si="68"/>
        <v>1.2465753424657535</v>
      </c>
      <c r="S1829" s="75">
        <f t="shared" si="69"/>
        <v>10295.465753424658</v>
      </c>
      <c r="T1829" s="124" t="s">
        <v>5677</v>
      </c>
      <c r="U1829" s="8">
        <v>44320</v>
      </c>
      <c r="V1829" s="6" t="s">
        <v>36</v>
      </c>
      <c r="W1829" s="6" t="s">
        <v>33</v>
      </c>
      <c r="X1829" s="95">
        <v>50370</v>
      </c>
    </row>
    <row r="1830" spans="1:24" x14ac:dyDescent="0.25">
      <c r="A1830" s="6" t="s">
        <v>37</v>
      </c>
      <c r="B1830" s="94" t="s">
        <v>5678</v>
      </c>
      <c r="C1830" s="6" t="s">
        <v>5679</v>
      </c>
      <c r="D1830" s="140">
        <v>12137045</v>
      </c>
      <c r="E1830" s="6" t="s">
        <v>2187</v>
      </c>
      <c r="F1830" s="10" t="s">
        <v>44</v>
      </c>
      <c r="G1830" s="6" t="s">
        <v>5680</v>
      </c>
      <c r="H1830" s="8">
        <v>45251</v>
      </c>
      <c r="I1830" s="8">
        <v>44143</v>
      </c>
      <c r="J1830" s="8">
        <v>44180</v>
      </c>
      <c r="K1830" s="95">
        <v>44173</v>
      </c>
      <c r="L1830" s="95" t="s">
        <v>31</v>
      </c>
      <c r="M1830" s="8">
        <v>44218</v>
      </c>
      <c r="N1830" s="8">
        <v>44320</v>
      </c>
      <c r="O1830" s="8">
        <v>44245</v>
      </c>
      <c r="P1830" s="6" t="s">
        <v>75</v>
      </c>
      <c r="R1830" s="97" t="str">
        <f t="shared" si="68"/>
        <v/>
      </c>
      <c r="S1830" s="75" t="str">
        <f t="shared" si="69"/>
        <v/>
      </c>
      <c r="U1830" s="8">
        <v>44320</v>
      </c>
      <c r="W1830" s="6" t="s">
        <v>33</v>
      </c>
      <c r="X1830" s="95">
        <v>45991</v>
      </c>
    </row>
    <row r="1831" spans="1:24" x14ac:dyDescent="0.25">
      <c r="A1831" s="6" t="s">
        <v>37</v>
      </c>
      <c r="B1831" s="94" t="s">
        <v>5678</v>
      </c>
      <c r="C1831" s="6" t="s">
        <v>5681</v>
      </c>
      <c r="D1831" s="140">
        <v>11781926</v>
      </c>
      <c r="E1831" s="6" t="s">
        <v>2187</v>
      </c>
      <c r="F1831" s="10" t="s">
        <v>44</v>
      </c>
      <c r="G1831" s="6" t="s">
        <v>5682</v>
      </c>
      <c r="H1831" s="8">
        <v>44888</v>
      </c>
      <c r="I1831" s="8">
        <v>44314</v>
      </c>
      <c r="J1831" s="8">
        <v>44308</v>
      </c>
      <c r="K1831" s="95">
        <v>44312</v>
      </c>
      <c r="L1831" s="95" t="s">
        <v>31</v>
      </c>
      <c r="M1831" s="8">
        <v>44314</v>
      </c>
      <c r="N1831" s="108">
        <v>44400</v>
      </c>
      <c r="O1831" s="108">
        <v>44376</v>
      </c>
      <c r="P1831" s="107" t="s">
        <v>52</v>
      </c>
      <c r="Q1831" s="110"/>
      <c r="R1831" s="97" t="str">
        <f t="shared" si="68"/>
        <v/>
      </c>
      <c r="S1831" s="75" t="str">
        <f t="shared" si="69"/>
        <v/>
      </c>
      <c r="U1831" s="8">
        <v>44776</v>
      </c>
      <c r="W1831" s="6" t="s">
        <v>33</v>
      </c>
      <c r="X1831" s="7">
        <v>49745</v>
      </c>
    </row>
    <row r="1832" spans="1:24" x14ac:dyDescent="0.25">
      <c r="A1832" s="6" t="s">
        <v>37</v>
      </c>
      <c r="B1832" s="94" t="s">
        <v>5683</v>
      </c>
      <c r="C1832" s="6" t="s">
        <v>5684</v>
      </c>
      <c r="D1832" s="140">
        <v>11010576</v>
      </c>
      <c r="E1832" s="6" t="s">
        <v>357</v>
      </c>
      <c r="F1832" s="10" t="s">
        <v>121</v>
      </c>
      <c r="G1832" s="6" t="s">
        <v>5685</v>
      </c>
      <c r="H1832" s="8">
        <v>45451</v>
      </c>
      <c r="I1832" s="8">
        <v>44025</v>
      </c>
      <c r="J1832" s="8">
        <v>44064</v>
      </c>
      <c r="K1832" s="95">
        <v>44070</v>
      </c>
      <c r="L1832" s="95" t="s">
        <v>359</v>
      </c>
      <c r="R1832" s="97" t="str">
        <f t="shared" si="68"/>
        <v/>
      </c>
      <c r="S1832" s="75" t="str">
        <f t="shared" si="69"/>
        <v/>
      </c>
      <c r="W1832" s="6" t="s">
        <v>33</v>
      </c>
      <c r="X1832" s="135">
        <v>50412</v>
      </c>
    </row>
    <row r="1833" spans="1:24" x14ac:dyDescent="0.25">
      <c r="A1833" s="6" t="s">
        <v>37</v>
      </c>
      <c r="B1833" s="94" t="s">
        <v>86</v>
      </c>
      <c r="C1833" s="6" t="s">
        <v>5686</v>
      </c>
      <c r="D1833" s="140">
        <v>11376392</v>
      </c>
      <c r="E1833" s="6" t="s">
        <v>5433</v>
      </c>
      <c r="F1833" s="10" t="s">
        <v>44</v>
      </c>
      <c r="G1833" s="6" t="s">
        <v>5687</v>
      </c>
      <c r="H1833" s="8">
        <v>46105</v>
      </c>
      <c r="I1833" s="8">
        <v>44132</v>
      </c>
      <c r="J1833" s="8">
        <v>44151</v>
      </c>
      <c r="K1833" s="95">
        <v>44148</v>
      </c>
      <c r="L1833" s="95" t="s">
        <v>31</v>
      </c>
      <c r="M1833" s="8">
        <v>44175</v>
      </c>
      <c r="R1833" s="97" t="str">
        <f t="shared" si="68"/>
        <v/>
      </c>
      <c r="S1833" s="75" t="str">
        <f t="shared" si="69"/>
        <v/>
      </c>
      <c r="W1833" s="6" t="s">
        <v>33</v>
      </c>
      <c r="X1833" s="7">
        <v>46733</v>
      </c>
    </row>
    <row r="1834" spans="1:24" x14ac:dyDescent="0.25">
      <c r="A1834" s="6" t="s">
        <v>168</v>
      </c>
      <c r="B1834" s="94" t="s">
        <v>5688</v>
      </c>
      <c r="C1834" s="6" t="s">
        <v>5689</v>
      </c>
      <c r="D1834" s="140">
        <v>11998135</v>
      </c>
      <c r="E1834" s="6" t="s">
        <v>3290</v>
      </c>
      <c r="F1834" s="10" t="s">
        <v>100</v>
      </c>
      <c r="G1834" s="6">
        <v>42459</v>
      </c>
      <c r="H1834" s="8">
        <v>47160</v>
      </c>
      <c r="I1834" s="8">
        <v>43979</v>
      </c>
      <c r="J1834" s="8">
        <v>44006</v>
      </c>
      <c r="K1834" s="95">
        <v>44040</v>
      </c>
      <c r="L1834" s="95" t="s">
        <v>31</v>
      </c>
      <c r="M1834" s="8">
        <v>44056</v>
      </c>
      <c r="N1834" s="8">
        <v>44125</v>
      </c>
      <c r="O1834" s="8">
        <v>44113</v>
      </c>
      <c r="P1834" s="6" t="s">
        <v>90</v>
      </c>
      <c r="Q1834" s="96">
        <v>3029</v>
      </c>
      <c r="R1834" s="97">
        <f t="shared" si="68"/>
        <v>8.2986301369863007</v>
      </c>
      <c r="S1834" s="75">
        <f t="shared" si="69"/>
        <v>68538.386301369872</v>
      </c>
      <c r="T1834" s="124" t="s">
        <v>5690</v>
      </c>
      <c r="U1834" s="8">
        <v>44134</v>
      </c>
      <c r="V1834" s="6" t="s">
        <v>36</v>
      </c>
      <c r="W1834" s="6" t="s">
        <v>84</v>
      </c>
      <c r="X1834" s="135">
        <v>49635</v>
      </c>
    </row>
    <row r="1835" spans="1:24" x14ac:dyDescent="0.25">
      <c r="A1835" s="6" t="s">
        <v>168</v>
      </c>
      <c r="B1835" s="94" t="s">
        <v>5691</v>
      </c>
      <c r="C1835" s="6" t="s">
        <v>5692</v>
      </c>
      <c r="D1835" s="140">
        <v>11305936</v>
      </c>
      <c r="E1835" s="6" t="s">
        <v>353</v>
      </c>
      <c r="F1835" s="10" t="s">
        <v>205</v>
      </c>
      <c r="G1835" s="6" t="s">
        <v>5693</v>
      </c>
      <c r="H1835" s="8">
        <v>44860</v>
      </c>
      <c r="I1835" s="8">
        <v>43550</v>
      </c>
      <c r="J1835" s="8">
        <v>43553</v>
      </c>
      <c r="K1835" s="95">
        <v>43543</v>
      </c>
      <c r="L1835" s="95" t="s">
        <v>31</v>
      </c>
      <c r="M1835" s="8">
        <v>43570</v>
      </c>
      <c r="N1835" s="8">
        <v>44274</v>
      </c>
      <c r="O1835" s="8">
        <v>44245</v>
      </c>
      <c r="P1835" s="6" t="s">
        <v>90</v>
      </c>
      <c r="Q1835" s="96">
        <v>487</v>
      </c>
      <c r="R1835" s="97">
        <f t="shared" si="68"/>
        <v>1.3342465753424657</v>
      </c>
      <c r="S1835" s="75">
        <f t="shared" si="69"/>
        <v>11019.542465753426</v>
      </c>
      <c r="T1835" s="124" t="s">
        <v>5694</v>
      </c>
      <c r="U1835" s="8">
        <v>44274</v>
      </c>
      <c r="W1835" s="6" t="s">
        <v>33</v>
      </c>
      <c r="X1835" s="135">
        <v>52039</v>
      </c>
    </row>
    <row r="1836" spans="1:24" ht="30" x14ac:dyDescent="0.25">
      <c r="A1836" s="6" t="s">
        <v>168</v>
      </c>
      <c r="B1836" s="94" t="s">
        <v>5695</v>
      </c>
      <c r="C1836" s="6" t="s">
        <v>5696</v>
      </c>
      <c r="D1836" s="145">
        <v>10229086</v>
      </c>
      <c r="E1836" s="6" t="s">
        <v>892</v>
      </c>
      <c r="F1836" s="10" t="s">
        <v>44</v>
      </c>
      <c r="G1836" s="6" t="s">
        <v>5697</v>
      </c>
      <c r="H1836" s="8">
        <v>47398</v>
      </c>
      <c r="I1836" s="8">
        <v>43294</v>
      </c>
      <c r="J1836" s="8">
        <v>43306</v>
      </c>
      <c r="K1836" s="95">
        <v>43306</v>
      </c>
      <c r="L1836" s="95" t="s">
        <v>31</v>
      </c>
      <c r="M1836" s="8">
        <v>43307</v>
      </c>
      <c r="N1836" s="8">
        <v>43511</v>
      </c>
      <c r="O1836" s="8">
        <v>43504</v>
      </c>
      <c r="P1836" s="6" t="s">
        <v>90</v>
      </c>
      <c r="Q1836" s="96">
        <v>9131</v>
      </c>
      <c r="R1836" s="97">
        <f t="shared" si="68"/>
        <v>25.016438356164382</v>
      </c>
      <c r="S1836" s="75">
        <f t="shared" si="69"/>
        <v>206610.76438356165</v>
      </c>
      <c r="T1836" s="124" t="s">
        <v>5698</v>
      </c>
      <c r="U1836" s="8">
        <v>43515</v>
      </c>
      <c r="V1836" s="6" t="s">
        <v>581</v>
      </c>
      <c r="W1836" s="6" t="s">
        <v>84</v>
      </c>
      <c r="X1836" s="95">
        <v>46987</v>
      </c>
    </row>
    <row r="1837" spans="1:24" ht="45" x14ac:dyDescent="0.25">
      <c r="A1837" s="6" t="s">
        <v>168</v>
      </c>
      <c r="B1837" s="94" t="s">
        <v>5699</v>
      </c>
      <c r="C1837" s="6" t="s">
        <v>5700</v>
      </c>
      <c r="D1837" s="140" t="s">
        <v>5701</v>
      </c>
      <c r="E1837" s="6" t="s">
        <v>5702</v>
      </c>
      <c r="F1837" s="10" t="s">
        <v>293</v>
      </c>
      <c r="G1837" s="6" t="s">
        <v>5703</v>
      </c>
      <c r="H1837" s="8">
        <v>45988</v>
      </c>
      <c r="I1837" s="8">
        <v>43564</v>
      </c>
      <c r="J1837" s="8">
        <v>43580</v>
      </c>
      <c r="K1837" s="95">
        <v>43580</v>
      </c>
      <c r="L1837" s="95" t="s">
        <v>31</v>
      </c>
      <c r="M1837" s="8">
        <v>43606</v>
      </c>
      <c r="N1837" s="8">
        <v>44111</v>
      </c>
      <c r="O1837" s="8">
        <v>43889</v>
      </c>
      <c r="P1837" s="6" t="s">
        <v>69</v>
      </c>
      <c r="R1837" s="97" t="str">
        <f t="shared" si="68"/>
        <v/>
      </c>
      <c r="S1837" s="75" t="str">
        <f t="shared" si="69"/>
        <v/>
      </c>
      <c r="T1837" s="124" t="s">
        <v>5704</v>
      </c>
      <c r="U1837" s="8">
        <v>44134</v>
      </c>
      <c r="W1837" s="6" t="s">
        <v>33</v>
      </c>
      <c r="X1837" s="148">
        <v>48343</v>
      </c>
    </row>
    <row r="1838" spans="1:24" x14ac:dyDescent="0.25">
      <c r="A1838" s="6" t="s">
        <v>168</v>
      </c>
      <c r="B1838" s="94" t="s">
        <v>5705</v>
      </c>
      <c r="C1838" s="6" t="s">
        <v>5706</v>
      </c>
      <c r="D1838" s="140">
        <v>11952438</v>
      </c>
      <c r="E1838" s="6" t="s">
        <v>3243</v>
      </c>
      <c r="F1838" s="10" t="s">
        <v>44</v>
      </c>
      <c r="G1838" s="6" t="s">
        <v>5707</v>
      </c>
      <c r="H1838" s="8">
        <v>53648</v>
      </c>
      <c r="I1838" s="8">
        <v>44355</v>
      </c>
      <c r="J1838" s="8">
        <v>44371</v>
      </c>
      <c r="K1838" s="95">
        <v>44372</v>
      </c>
      <c r="L1838" s="95" t="s">
        <v>359</v>
      </c>
      <c r="R1838" s="97" t="str">
        <f t="shared" si="68"/>
        <v/>
      </c>
      <c r="S1838" s="75" t="str">
        <f t="shared" si="69"/>
        <v/>
      </c>
      <c r="W1838" s="6" t="s">
        <v>84</v>
      </c>
      <c r="X1838" s="7">
        <v>46963</v>
      </c>
    </row>
    <row r="1839" spans="1:24" x14ac:dyDescent="0.25">
      <c r="A1839" s="6" t="s">
        <v>37</v>
      </c>
      <c r="B1839" s="94" t="s">
        <v>635</v>
      </c>
      <c r="C1839" s="6" t="s">
        <v>4331</v>
      </c>
      <c r="D1839" s="145">
        <v>11198957</v>
      </c>
      <c r="E1839" s="6" t="s">
        <v>3035</v>
      </c>
      <c r="F1839" s="10" t="s">
        <v>44</v>
      </c>
      <c r="G1839" s="6" t="s">
        <v>4332</v>
      </c>
      <c r="H1839" s="8">
        <v>45878</v>
      </c>
      <c r="I1839" s="8">
        <v>43654</v>
      </c>
      <c r="J1839" s="8">
        <v>43656</v>
      </c>
      <c r="K1839" s="95">
        <v>43657</v>
      </c>
      <c r="L1839" s="95" t="s">
        <v>31</v>
      </c>
      <c r="M1839" s="8">
        <v>43661</v>
      </c>
      <c r="N1839" s="8">
        <v>43851</v>
      </c>
      <c r="O1839" s="8">
        <v>43843</v>
      </c>
      <c r="P1839" s="6" t="s">
        <v>52</v>
      </c>
      <c r="R1839" s="97" t="str">
        <f t="shared" si="68"/>
        <v/>
      </c>
      <c r="S1839" s="75" t="str">
        <f t="shared" si="69"/>
        <v/>
      </c>
      <c r="U1839" s="8">
        <v>43852</v>
      </c>
      <c r="W1839" s="6" t="s">
        <v>33</v>
      </c>
      <c r="X1839" s="95">
        <v>49490</v>
      </c>
    </row>
    <row r="1840" spans="1:24" x14ac:dyDescent="0.25">
      <c r="A1840" s="6" t="s">
        <v>37</v>
      </c>
      <c r="B1840" s="94" t="s">
        <v>635</v>
      </c>
      <c r="C1840" s="6" t="s">
        <v>5708</v>
      </c>
      <c r="D1840" s="140">
        <v>11025649</v>
      </c>
      <c r="E1840" s="6" t="s">
        <v>171</v>
      </c>
      <c r="F1840" s="10" t="s">
        <v>44</v>
      </c>
      <c r="G1840" s="6" t="s">
        <v>5709</v>
      </c>
      <c r="H1840" s="8">
        <v>44688</v>
      </c>
      <c r="I1840" s="8">
        <v>44049</v>
      </c>
      <c r="J1840" s="8">
        <v>44064</v>
      </c>
      <c r="K1840" s="95">
        <v>44070</v>
      </c>
      <c r="L1840" s="95" t="s">
        <v>31</v>
      </c>
      <c r="M1840" s="8">
        <v>44099</v>
      </c>
      <c r="N1840" s="8">
        <v>44509</v>
      </c>
      <c r="O1840" s="8">
        <v>44502</v>
      </c>
      <c r="P1840" s="6" t="s">
        <v>90</v>
      </c>
      <c r="Q1840" s="96">
        <v>176</v>
      </c>
      <c r="R1840" s="97">
        <f t="shared" si="68"/>
        <v>0.48219178082191783</v>
      </c>
      <c r="S1840" s="75">
        <f t="shared" si="69"/>
        <v>3982.4219178082194</v>
      </c>
      <c r="T1840" s="124" t="s">
        <v>5710</v>
      </c>
      <c r="U1840" s="8">
        <v>44510</v>
      </c>
      <c r="V1840" s="6" t="s">
        <v>36</v>
      </c>
      <c r="W1840" s="6" t="s">
        <v>33</v>
      </c>
      <c r="X1840" s="135">
        <v>52477</v>
      </c>
    </row>
    <row r="1841" spans="1:24" x14ac:dyDescent="0.25">
      <c r="A1841" s="6" t="s">
        <v>168</v>
      </c>
      <c r="B1841" s="94" t="s">
        <v>4318</v>
      </c>
      <c r="C1841" s="6" t="s">
        <v>5711</v>
      </c>
      <c r="D1841" s="140">
        <v>11228223</v>
      </c>
      <c r="E1841" s="6" t="s">
        <v>3266</v>
      </c>
      <c r="F1841" s="10" t="s">
        <v>44</v>
      </c>
      <c r="G1841" s="6" t="s">
        <v>5712</v>
      </c>
      <c r="H1841" s="8">
        <v>47406</v>
      </c>
      <c r="I1841" s="8">
        <v>43881</v>
      </c>
      <c r="J1841" s="8">
        <v>43895</v>
      </c>
      <c r="K1841" s="95">
        <v>43899</v>
      </c>
      <c r="L1841" s="95" t="s">
        <v>31</v>
      </c>
      <c r="M1841" s="8">
        <v>44041</v>
      </c>
      <c r="N1841" s="8">
        <v>44300</v>
      </c>
      <c r="O1841" s="8">
        <v>44140</v>
      </c>
      <c r="P1841" s="6" t="s">
        <v>90</v>
      </c>
      <c r="Q1841" s="96">
        <v>3108</v>
      </c>
      <c r="R1841" s="97">
        <f t="shared" si="68"/>
        <v>8.5150684931506841</v>
      </c>
      <c r="S1841" s="75">
        <f t="shared" si="69"/>
        <v>70325.950684931508</v>
      </c>
      <c r="T1841" s="124" t="s">
        <v>5713</v>
      </c>
      <c r="U1841" s="8">
        <v>44300</v>
      </c>
      <c r="W1841" s="6" t="s">
        <v>33</v>
      </c>
      <c r="X1841" s="148">
        <v>50944</v>
      </c>
    </row>
    <row r="1842" spans="1:24" x14ac:dyDescent="0.25">
      <c r="A1842" s="6" t="s">
        <v>168</v>
      </c>
      <c r="B1842" s="94" t="s">
        <v>5714</v>
      </c>
      <c r="C1842" s="6" t="s">
        <v>5715</v>
      </c>
      <c r="D1842" s="140">
        <v>12006340</v>
      </c>
      <c r="E1842" s="6" t="s">
        <v>5716</v>
      </c>
      <c r="F1842" s="10" t="s">
        <v>44</v>
      </c>
      <c r="G1842" s="6" t="s">
        <v>5717</v>
      </c>
      <c r="H1842" s="8">
        <v>48018</v>
      </c>
      <c r="I1842" s="8">
        <v>43577</v>
      </c>
      <c r="J1842" s="8">
        <v>43585</v>
      </c>
      <c r="K1842" s="95">
        <v>43585</v>
      </c>
      <c r="L1842" s="95" t="s">
        <v>31</v>
      </c>
      <c r="M1842" s="8">
        <v>43606</v>
      </c>
      <c r="N1842" s="8">
        <v>43866</v>
      </c>
      <c r="O1842" s="8">
        <v>43851</v>
      </c>
      <c r="P1842" s="6" t="s">
        <v>35</v>
      </c>
      <c r="Q1842" s="96">
        <v>1826.25</v>
      </c>
      <c r="R1842" s="97">
        <f t="shared" si="68"/>
        <v>5.0034246575342465</v>
      </c>
      <c r="S1842" s="75">
        <f t="shared" si="69"/>
        <v>41323.284246575342</v>
      </c>
      <c r="U1842" s="8">
        <v>43866</v>
      </c>
      <c r="W1842" s="6" t="s">
        <v>84</v>
      </c>
      <c r="X1842" s="95">
        <v>46827</v>
      </c>
    </row>
    <row r="1843" spans="1:24" x14ac:dyDescent="0.25">
      <c r="A1843" s="6" t="s">
        <v>168</v>
      </c>
      <c r="B1843" s="94" t="s">
        <v>5326</v>
      </c>
      <c r="C1843" s="6" t="s">
        <v>5718</v>
      </c>
      <c r="D1843" s="140">
        <v>11988858</v>
      </c>
      <c r="E1843" s="6" t="s">
        <v>3243</v>
      </c>
      <c r="F1843" s="10" t="s">
        <v>121</v>
      </c>
      <c r="G1843" s="6" t="s">
        <v>5719</v>
      </c>
      <c r="H1843" s="8">
        <v>50182</v>
      </c>
      <c r="I1843" s="8">
        <v>44329</v>
      </c>
      <c r="J1843" s="8">
        <v>44334</v>
      </c>
      <c r="K1843" s="95">
        <v>44334</v>
      </c>
      <c r="L1843" s="95" t="s">
        <v>359</v>
      </c>
      <c r="R1843" s="97" t="str">
        <f t="shared" si="68"/>
        <v/>
      </c>
      <c r="S1843" s="75" t="str">
        <f t="shared" si="69"/>
        <v/>
      </c>
      <c r="W1843" s="6" t="s">
        <v>84</v>
      </c>
      <c r="X1843" s="7">
        <v>45786</v>
      </c>
    </row>
    <row r="1844" spans="1:24" x14ac:dyDescent="0.25">
      <c r="A1844" s="6" t="s">
        <v>168</v>
      </c>
      <c r="B1844" s="94" t="s">
        <v>5326</v>
      </c>
      <c r="C1844" s="6" t="s">
        <v>5720</v>
      </c>
      <c r="D1844" s="140">
        <v>11571823</v>
      </c>
      <c r="E1844" s="6" t="s">
        <v>783</v>
      </c>
      <c r="F1844" s="10" t="s">
        <v>134</v>
      </c>
      <c r="G1844" s="6" t="s">
        <v>5721</v>
      </c>
      <c r="H1844" s="8">
        <v>46043</v>
      </c>
      <c r="I1844" s="8">
        <v>44600</v>
      </c>
      <c r="J1844" s="8">
        <v>44627</v>
      </c>
      <c r="K1844" s="95">
        <v>44630</v>
      </c>
      <c r="L1844" s="95" t="s">
        <v>359</v>
      </c>
      <c r="R1844" s="97" t="str">
        <f t="shared" si="68"/>
        <v/>
      </c>
      <c r="S1844" s="75" t="str">
        <f t="shared" si="69"/>
        <v/>
      </c>
      <c r="W1844" s="6" t="s">
        <v>33</v>
      </c>
      <c r="X1844" s="7">
        <v>45927</v>
      </c>
    </row>
    <row r="1845" spans="1:24" x14ac:dyDescent="0.25">
      <c r="A1845" s="6" t="s">
        <v>168</v>
      </c>
      <c r="B1845" s="94" t="s">
        <v>5722</v>
      </c>
      <c r="C1845" s="6" t="s">
        <v>5723</v>
      </c>
      <c r="D1845" s="140">
        <v>11737873</v>
      </c>
      <c r="E1845" s="6" t="s">
        <v>4044</v>
      </c>
      <c r="F1845" s="10" t="s">
        <v>44</v>
      </c>
      <c r="G1845" s="6" t="s">
        <v>5724</v>
      </c>
      <c r="H1845" s="8">
        <v>49499</v>
      </c>
      <c r="I1845" s="8">
        <v>44316</v>
      </c>
      <c r="J1845" s="8">
        <v>44328</v>
      </c>
      <c r="K1845" s="95">
        <v>44328</v>
      </c>
      <c r="L1845" s="95" t="s">
        <v>359</v>
      </c>
      <c r="R1845" s="97" t="str">
        <f t="shared" si="68"/>
        <v/>
      </c>
      <c r="S1845" s="75" t="str">
        <f t="shared" si="69"/>
        <v/>
      </c>
      <c r="W1845" s="6" t="s">
        <v>84</v>
      </c>
      <c r="X1845" s="7">
        <v>45065</v>
      </c>
    </row>
    <row r="1846" spans="1:24" x14ac:dyDescent="0.25">
      <c r="A1846" s="6" t="s">
        <v>168</v>
      </c>
      <c r="B1846" s="94" t="s">
        <v>5725</v>
      </c>
      <c r="C1846" s="6" t="s">
        <v>5726</v>
      </c>
      <c r="D1846" s="140">
        <v>11954790</v>
      </c>
      <c r="E1846" s="6" t="s">
        <v>3102</v>
      </c>
      <c r="F1846" s="10" t="s">
        <v>44</v>
      </c>
      <c r="G1846" s="6" t="s">
        <v>5727</v>
      </c>
      <c r="H1846" s="8">
        <v>45289</v>
      </c>
      <c r="I1846" s="8">
        <v>44208</v>
      </c>
      <c r="J1846" s="8">
        <v>44256</v>
      </c>
      <c r="K1846" s="95">
        <v>44258</v>
      </c>
      <c r="L1846" s="95" t="s">
        <v>31</v>
      </c>
      <c r="M1846" s="8">
        <v>44295</v>
      </c>
      <c r="P1846" s="107"/>
      <c r="R1846" s="97" t="str">
        <f t="shared" si="68"/>
        <v/>
      </c>
      <c r="S1846" s="75" t="str">
        <f t="shared" si="69"/>
        <v/>
      </c>
      <c r="T1846" s="124" t="s">
        <v>5728</v>
      </c>
      <c r="W1846" s="6" t="s">
        <v>84</v>
      </c>
      <c r="X1846" s="95">
        <v>45258</v>
      </c>
    </row>
    <row r="1847" spans="1:24" ht="30" x14ac:dyDescent="0.25">
      <c r="A1847" s="6" t="s">
        <v>168</v>
      </c>
      <c r="B1847" s="94" t="s">
        <v>5729</v>
      </c>
      <c r="C1847" s="6" t="s">
        <v>5730</v>
      </c>
      <c r="D1847" s="140">
        <v>11353698</v>
      </c>
      <c r="E1847" s="6" t="s">
        <v>5731</v>
      </c>
      <c r="F1847" s="10" t="s">
        <v>44</v>
      </c>
      <c r="G1847" s="6" t="s">
        <v>5732</v>
      </c>
      <c r="H1847" s="8">
        <v>45486</v>
      </c>
      <c r="I1847" s="8">
        <v>43587</v>
      </c>
      <c r="J1847" s="8">
        <v>43592</v>
      </c>
      <c r="K1847" s="95">
        <v>43592</v>
      </c>
      <c r="L1847" s="95" t="s">
        <v>31</v>
      </c>
      <c r="M1847" s="8">
        <v>43607</v>
      </c>
      <c r="N1847" s="8">
        <v>43811</v>
      </c>
      <c r="O1847" s="8">
        <v>43809</v>
      </c>
      <c r="P1847" s="6" t="s">
        <v>90</v>
      </c>
      <c r="Q1847" s="96">
        <v>3652.5</v>
      </c>
      <c r="R1847" s="97">
        <f t="shared" si="68"/>
        <v>10.006849315068493</v>
      </c>
      <c r="S1847" s="75">
        <f t="shared" si="69"/>
        <v>82646.568493150684</v>
      </c>
      <c r="T1847" s="124" t="s">
        <v>5733</v>
      </c>
      <c r="U1847" s="8">
        <v>43809</v>
      </c>
      <c r="V1847" s="6" t="s">
        <v>581</v>
      </c>
      <c r="W1847" s="6" t="s">
        <v>33</v>
      </c>
      <c r="X1847" s="95">
        <v>45278</v>
      </c>
    </row>
    <row r="1848" spans="1:24" x14ac:dyDescent="0.25">
      <c r="A1848" s="6" t="s">
        <v>168</v>
      </c>
      <c r="B1848" s="94" t="s">
        <v>1958</v>
      </c>
      <c r="C1848" s="6" t="s">
        <v>5734</v>
      </c>
      <c r="D1848" s="140">
        <v>11572016</v>
      </c>
      <c r="E1848" s="6" t="s">
        <v>2875</v>
      </c>
      <c r="F1848" s="10" t="s">
        <v>44</v>
      </c>
      <c r="G1848" s="6" t="s">
        <v>5735</v>
      </c>
      <c r="H1848" s="8">
        <v>47115</v>
      </c>
      <c r="I1848" s="8">
        <v>44256</v>
      </c>
      <c r="J1848" s="8">
        <v>44279</v>
      </c>
      <c r="K1848" s="95">
        <v>44271</v>
      </c>
      <c r="L1848" s="95" t="s">
        <v>31</v>
      </c>
      <c r="M1848" s="8">
        <v>44281</v>
      </c>
      <c r="N1848" s="8">
        <v>44516</v>
      </c>
      <c r="O1848" s="8">
        <v>44348</v>
      </c>
      <c r="P1848" s="6" t="s">
        <v>90</v>
      </c>
      <c r="Q1848" s="96">
        <v>2751</v>
      </c>
      <c r="R1848" s="97">
        <f t="shared" si="68"/>
        <v>7.536986301369863</v>
      </c>
      <c r="S1848" s="75">
        <f t="shared" si="69"/>
        <v>62247.969863013699</v>
      </c>
      <c r="T1848" s="124" t="s">
        <v>5736</v>
      </c>
      <c r="U1848" s="8">
        <v>44519</v>
      </c>
      <c r="V1848" s="6" t="s">
        <v>36</v>
      </c>
      <c r="W1848" s="6" t="s">
        <v>33</v>
      </c>
      <c r="X1848" s="7">
        <v>44970</v>
      </c>
    </row>
    <row r="1849" spans="1:24" ht="30" x14ac:dyDescent="0.25">
      <c r="A1849" s="6" t="s">
        <v>37</v>
      </c>
      <c r="B1849" s="94" t="s">
        <v>635</v>
      </c>
      <c r="C1849" s="6" t="s">
        <v>5737</v>
      </c>
      <c r="D1849" s="140">
        <v>11633059</v>
      </c>
      <c r="E1849" s="6" t="s">
        <v>2879</v>
      </c>
      <c r="F1849" s="10" t="s">
        <v>44</v>
      </c>
      <c r="G1849" s="6" t="s">
        <v>5738</v>
      </c>
      <c r="H1849" s="8">
        <v>46250</v>
      </c>
      <c r="I1849" s="8">
        <v>44147</v>
      </c>
      <c r="J1849" s="8">
        <v>44174</v>
      </c>
      <c r="K1849" s="95">
        <v>44175</v>
      </c>
      <c r="L1849" s="95" t="s">
        <v>31</v>
      </c>
      <c r="M1849" s="8">
        <v>44183</v>
      </c>
      <c r="N1849" s="8">
        <v>44818</v>
      </c>
      <c r="O1849" s="8">
        <v>44791</v>
      </c>
      <c r="P1849" s="6" t="s">
        <v>52</v>
      </c>
      <c r="R1849" s="97" t="str">
        <f t="shared" si="68"/>
        <v/>
      </c>
      <c r="S1849" s="75" t="str">
        <f t="shared" si="69"/>
        <v/>
      </c>
      <c r="T1849" s="157" t="s">
        <v>5739</v>
      </c>
      <c r="U1849" s="8">
        <v>44995</v>
      </c>
      <c r="W1849" s="6" t="s">
        <v>33</v>
      </c>
      <c r="X1849" s="95">
        <v>44566</v>
      </c>
    </row>
    <row r="1850" spans="1:24" x14ac:dyDescent="0.25">
      <c r="A1850" s="6" t="s">
        <v>37</v>
      </c>
      <c r="B1850" s="94" t="s">
        <v>5740</v>
      </c>
      <c r="C1850" s="6" t="s">
        <v>5741</v>
      </c>
      <c r="D1850" s="140">
        <v>11251781</v>
      </c>
      <c r="E1850" s="6" t="s">
        <v>5742</v>
      </c>
      <c r="F1850" s="10" t="s">
        <v>1588</v>
      </c>
      <c r="G1850" s="6" t="s">
        <v>5743</v>
      </c>
      <c r="H1850" s="8">
        <v>45404</v>
      </c>
      <c r="I1850" s="8">
        <v>44131</v>
      </c>
      <c r="J1850" s="8">
        <v>44137</v>
      </c>
      <c r="K1850" s="95">
        <v>44138</v>
      </c>
      <c r="L1850" s="95" t="s">
        <v>31</v>
      </c>
      <c r="M1850" s="8">
        <v>44141</v>
      </c>
      <c r="N1850" s="108">
        <v>44671</v>
      </c>
      <c r="O1850" s="108">
        <v>44665</v>
      </c>
      <c r="P1850" s="107" t="s">
        <v>35</v>
      </c>
      <c r="Q1850" s="110">
        <v>579</v>
      </c>
      <c r="R1850" s="97">
        <f t="shared" si="68"/>
        <v>1.5863013698630137</v>
      </c>
      <c r="S1850" s="75">
        <f t="shared" si="69"/>
        <v>13101.26301369863</v>
      </c>
      <c r="U1850" s="8">
        <v>44776</v>
      </c>
    </row>
    <row r="1851" spans="1:24" x14ac:dyDescent="0.25">
      <c r="A1851" s="6" t="s">
        <v>37</v>
      </c>
      <c r="B1851" s="94" t="s">
        <v>5744</v>
      </c>
      <c r="C1851" s="6" t="s">
        <v>5745</v>
      </c>
      <c r="D1851" s="140">
        <v>11643166</v>
      </c>
      <c r="E1851" s="6" t="s">
        <v>5746</v>
      </c>
      <c r="F1851" s="10" t="s">
        <v>205</v>
      </c>
      <c r="G1851" s="6" t="s">
        <v>5747</v>
      </c>
      <c r="H1851" s="8">
        <v>45603</v>
      </c>
      <c r="I1851" s="8">
        <v>43636</v>
      </c>
      <c r="J1851" s="8">
        <v>43640</v>
      </c>
      <c r="K1851" s="95">
        <v>43647</v>
      </c>
      <c r="L1851" s="95" t="s">
        <v>31</v>
      </c>
      <c r="M1851" s="8">
        <v>43647</v>
      </c>
      <c r="N1851" s="8">
        <v>43747</v>
      </c>
      <c r="O1851" s="8">
        <v>43671</v>
      </c>
      <c r="P1851" s="6" t="s">
        <v>75</v>
      </c>
      <c r="R1851" s="97" t="str">
        <f t="shared" si="68"/>
        <v/>
      </c>
      <c r="S1851" s="75" t="str">
        <f t="shared" si="69"/>
        <v/>
      </c>
      <c r="U1851" s="8">
        <v>43747</v>
      </c>
      <c r="W1851" s="6" t="s">
        <v>33</v>
      </c>
      <c r="X1851" s="95">
        <v>44904</v>
      </c>
    </row>
    <row r="1852" spans="1:24" x14ac:dyDescent="0.25">
      <c r="A1852" s="6" t="s">
        <v>37</v>
      </c>
      <c r="B1852" s="94" t="s">
        <v>5748</v>
      </c>
      <c r="C1852" s="6" t="s">
        <v>5749</v>
      </c>
      <c r="D1852" s="140">
        <v>11376887</v>
      </c>
      <c r="E1852" s="6" t="s">
        <v>5750</v>
      </c>
      <c r="F1852" s="10" t="s">
        <v>2600</v>
      </c>
      <c r="G1852" s="6">
        <v>1361876</v>
      </c>
      <c r="H1852" s="8">
        <v>45008</v>
      </c>
      <c r="I1852" s="8">
        <v>43573</v>
      </c>
      <c r="J1852" s="8">
        <v>43578</v>
      </c>
      <c r="K1852" s="95">
        <v>43578</v>
      </c>
      <c r="L1852" s="95" t="s">
        <v>31</v>
      </c>
      <c r="M1852" s="8">
        <v>43585</v>
      </c>
      <c r="N1852" s="8">
        <v>43661</v>
      </c>
      <c r="O1852" s="8">
        <v>43643</v>
      </c>
      <c r="P1852" s="6" t="s">
        <v>182</v>
      </c>
      <c r="R1852" s="97" t="str">
        <f t="shared" si="68"/>
        <v/>
      </c>
      <c r="S1852" s="75" t="str">
        <f t="shared" si="69"/>
        <v/>
      </c>
      <c r="U1852" s="8">
        <v>43661</v>
      </c>
      <c r="W1852" s="6" t="s">
        <v>33</v>
      </c>
      <c r="X1852" s="138">
        <v>49308</v>
      </c>
    </row>
    <row r="1853" spans="1:24" x14ac:dyDescent="0.25">
      <c r="A1853" s="6" t="s">
        <v>37</v>
      </c>
      <c r="B1853" s="94" t="s">
        <v>5751</v>
      </c>
      <c r="C1853" s="6" t="s">
        <v>5752</v>
      </c>
      <c r="D1853" s="140">
        <v>11309934</v>
      </c>
      <c r="E1853" s="6" t="s">
        <v>4044</v>
      </c>
      <c r="F1853" s="10" t="s">
        <v>143</v>
      </c>
      <c r="G1853" s="6" t="s">
        <v>5753</v>
      </c>
      <c r="H1853" s="8">
        <v>46252</v>
      </c>
      <c r="I1853" s="8">
        <v>44277</v>
      </c>
      <c r="J1853" s="8">
        <v>44279</v>
      </c>
      <c r="K1853" s="95">
        <v>44279</v>
      </c>
      <c r="L1853" s="95" t="s">
        <v>31</v>
      </c>
      <c r="M1853" s="8">
        <v>44295</v>
      </c>
      <c r="N1853" s="108">
        <v>44719</v>
      </c>
      <c r="O1853" s="108">
        <v>44691</v>
      </c>
      <c r="P1853" s="107" t="s">
        <v>35</v>
      </c>
      <c r="Q1853" s="110">
        <v>568</v>
      </c>
      <c r="R1853" s="97">
        <f t="shared" si="68"/>
        <v>1.5561643835616439</v>
      </c>
      <c r="S1853" s="75">
        <f t="shared" si="69"/>
        <v>12852.361643835617</v>
      </c>
      <c r="U1853" s="8">
        <v>44776</v>
      </c>
      <c r="W1853" s="6" t="s">
        <v>33</v>
      </c>
      <c r="X1853" s="7">
        <v>45653</v>
      </c>
    </row>
    <row r="1854" spans="1:24" x14ac:dyDescent="0.25">
      <c r="A1854" s="6" t="s">
        <v>37</v>
      </c>
      <c r="B1854" s="94" t="s">
        <v>5754</v>
      </c>
      <c r="C1854" s="6" t="s">
        <v>5755</v>
      </c>
      <c r="D1854" s="140">
        <v>11922666</v>
      </c>
      <c r="E1854" s="6" t="s">
        <v>3102</v>
      </c>
      <c r="F1854" s="10" t="s">
        <v>299</v>
      </c>
      <c r="G1854" s="6" t="s">
        <v>5756</v>
      </c>
      <c r="H1854" s="8">
        <v>48146</v>
      </c>
      <c r="I1854" s="8">
        <v>44256</v>
      </c>
      <c r="J1854" s="8">
        <v>44271</v>
      </c>
      <c r="K1854" s="95">
        <v>44281</v>
      </c>
      <c r="L1854" s="95" t="s">
        <v>31</v>
      </c>
      <c r="M1854" s="8">
        <v>44291</v>
      </c>
      <c r="N1854" s="8">
        <v>44336</v>
      </c>
      <c r="O1854" s="8">
        <v>44315</v>
      </c>
      <c r="P1854" s="6" t="s">
        <v>75</v>
      </c>
      <c r="R1854" s="97" t="str">
        <f t="shared" si="68"/>
        <v/>
      </c>
      <c r="S1854" s="75" t="str">
        <f t="shared" si="69"/>
        <v/>
      </c>
      <c r="U1854" s="8">
        <v>44336</v>
      </c>
      <c r="W1854" s="6" t="s">
        <v>33</v>
      </c>
      <c r="X1854" s="7">
        <v>52466</v>
      </c>
    </row>
    <row r="1855" spans="1:24" ht="30" x14ac:dyDescent="0.25">
      <c r="A1855" s="6" t="s">
        <v>37</v>
      </c>
      <c r="B1855" s="94" t="s">
        <v>5590</v>
      </c>
      <c r="C1855" s="6" t="s">
        <v>5757</v>
      </c>
      <c r="D1855" s="140">
        <v>11616894</v>
      </c>
      <c r="E1855" s="6" t="s">
        <v>5758</v>
      </c>
      <c r="F1855" s="10" t="s">
        <v>205</v>
      </c>
      <c r="G1855" s="6" t="s">
        <v>5759</v>
      </c>
      <c r="H1855" s="8">
        <v>44383</v>
      </c>
      <c r="I1855" s="8">
        <v>43564</v>
      </c>
      <c r="J1855" s="8">
        <v>43572</v>
      </c>
      <c r="K1855" s="95">
        <v>43572</v>
      </c>
      <c r="L1855" s="95" t="s">
        <v>31</v>
      </c>
      <c r="M1855" s="8">
        <v>43619</v>
      </c>
      <c r="N1855" s="8">
        <v>43745</v>
      </c>
      <c r="O1855" s="8">
        <v>43742</v>
      </c>
      <c r="P1855" s="6" t="s">
        <v>90</v>
      </c>
      <c r="Q1855" s="96">
        <v>3652.5</v>
      </c>
      <c r="R1855" s="97">
        <f t="shared" si="68"/>
        <v>10.006849315068493</v>
      </c>
      <c r="S1855" s="75">
        <f t="shared" si="69"/>
        <v>82646.568493150684</v>
      </c>
      <c r="T1855" s="124" t="s">
        <v>5760</v>
      </c>
      <c r="U1855" s="8">
        <v>43745</v>
      </c>
      <c r="V1855" s="6" t="s">
        <v>581</v>
      </c>
      <c r="W1855" s="6" t="s">
        <v>33</v>
      </c>
      <c r="X1855" s="6"/>
    </row>
    <row r="1856" spans="1:24" x14ac:dyDescent="0.25">
      <c r="A1856" s="6" t="s">
        <v>37</v>
      </c>
      <c r="B1856" s="94" t="s">
        <v>5761</v>
      </c>
      <c r="C1856" s="6" t="s">
        <v>5762</v>
      </c>
      <c r="D1856" s="140">
        <v>11592168</v>
      </c>
      <c r="E1856" s="6" t="s">
        <v>5763</v>
      </c>
      <c r="F1856" s="10" t="s">
        <v>143</v>
      </c>
      <c r="G1856" s="6" t="s">
        <v>5764</v>
      </c>
      <c r="H1856" s="8">
        <v>45418</v>
      </c>
      <c r="I1856" s="8">
        <v>44277</v>
      </c>
      <c r="J1856" s="8">
        <v>44279</v>
      </c>
      <c r="K1856" s="95">
        <v>44279</v>
      </c>
      <c r="L1856" s="95" t="s">
        <v>31</v>
      </c>
      <c r="M1856" s="8">
        <v>44295</v>
      </c>
      <c r="R1856" s="97" t="str">
        <f t="shared" si="68"/>
        <v/>
      </c>
      <c r="S1856" s="75" t="str">
        <f t="shared" si="69"/>
        <v/>
      </c>
      <c r="T1856" s="124" t="s">
        <v>5765</v>
      </c>
      <c r="U1856" s="8">
        <v>44944</v>
      </c>
      <c r="W1856" s="6" t="s">
        <v>33</v>
      </c>
      <c r="X1856" s="7">
        <v>50392</v>
      </c>
    </row>
    <row r="1857" spans="1:24" x14ac:dyDescent="0.25">
      <c r="A1857" s="6" t="s">
        <v>37</v>
      </c>
      <c r="B1857" s="94" t="s">
        <v>5766</v>
      </c>
      <c r="C1857" s="6" t="s">
        <v>5767</v>
      </c>
      <c r="D1857" s="140">
        <v>12133837</v>
      </c>
      <c r="E1857" s="6" t="s">
        <v>5638</v>
      </c>
      <c r="F1857" s="10" t="s">
        <v>44</v>
      </c>
      <c r="G1857" s="6" t="s">
        <v>5768</v>
      </c>
      <c r="H1857" s="8">
        <v>46064</v>
      </c>
      <c r="I1857" s="8">
        <v>44112</v>
      </c>
      <c r="J1857" s="8">
        <v>44118</v>
      </c>
      <c r="K1857" s="95">
        <v>44120</v>
      </c>
      <c r="L1857" s="95" t="s">
        <v>31</v>
      </c>
      <c r="M1857" s="8">
        <v>44141</v>
      </c>
      <c r="N1857" s="8">
        <v>44210</v>
      </c>
      <c r="O1857" s="8">
        <v>44153</v>
      </c>
      <c r="P1857" s="6" t="s">
        <v>75</v>
      </c>
      <c r="R1857" s="97" t="str">
        <f t="shared" si="68"/>
        <v/>
      </c>
      <c r="S1857" s="75" t="str">
        <f t="shared" si="69"/>
        <v/>
      </c>
      <c r="U1857" s="8">
        <v>44210</v>
      </c>
      <c r="W1857" s="6" t="s">
        <v>33</v>
      </c>
      <c r="X1857" s="135">
        <v>52642</v>
      </c>
    </row>
    <row r="1858" spans="1:24" x14ac:dyDescent="0.25">
      <c r="A1858" s="6" t="s">
        <v>168</v>
      </c>
      <c r="B1858" s="94" t="s">
        <v>3844</v>
      </c>
      <c r="C1858" s="6" t="s">
        <v>4868</v>
      </c>
      <c r="D1858" s="140">
        <v>11142747</v>
      </c>
      <c r="E1858" s="6" t="s">
        <v>5769</v>
      </c>
      <c r="F1858" s="10" t="s">
        <v>44</v>
      </c>
      <c r="G1858" s="6" t="s">
        <v>4869</v>
      </c>
      <c r="H1858" s="8">
        <v>45582</v>
      </c>
      <c r="I1858" s="8">
        <v>44173</v>
      </c>
      <c r="J1858" s="8">
        <v>44148</v>
      </c>
      <c r="K1858" s="95">
        <v>44152</v>
      </c>
      <c r="L1858" s="95" t="s">
        <v>31</v>
      </c>
      <c r="M1858" s="8">
        <v>44175</v>
      </c>
      <c r="N1858" s="108">
        <v>44483</v>
      </c>
      <c r="O1858" s="108">
        <v>44398</v>
      </c>
      <c r="P1858" s="107" t="s">
        <v>35</v>
      </c>
      <c r="Q1858" s="110">
        <v>775</v>
      </c>
      <c r="R1858" s="97">
        <f t="shared" si="68"/>
        <v>2.1232876712328768</v>
      </c>
      <c r="S1858" s="75">
        <f t="shared" si="69"/>
        <v>17536.232876712329</v>
      </c>
      <c r="U1858" s="8">
        <v>44776</v>
      </c>
      <c r="W1858" s="6" t="s">
        <v>33</v>
      </c>
      <c r="X1858" s="95">
        <v>46173</v>
      </c>
    </row>
    <row r="1859" spans="1:24" x14ac:dyDescent="0.25">
      <c r="A1859" s="6" t="s">
        <v>37</v>
      </c>
      <c r="B1859" s="94" t="s">
        <v>5691</v>
      </c>
      <c r="C1859" s="6" t="s">
        <v>5770</v>
      </c>
      <c r="D1859" s="140">
        <v>12116473</v>
      </c>
      <c r="E1859" s="6" t="s">
        <v>4044</v>
      </c>
      <c r="F1859" s="10" t="s">
        <v>29</v>
      </c>
      <c r="G1859" s="6" t="s">
        <v>5771</v>
      </c>
      <c r="H1859" s="8">
        <v>45115</v>
      </c>
      <c r="I1859" s="8">
        <v>43859</v>
      </c>
      <c r="J1859" s="8">
        <v>43893</v>
      </c>
      <c r="K1859" s="95">
        <v>43893</v>
      </c>
      <c r="L1859" s="95" t="s">
        <v>31</v>
      </c>
      <c r="M1859" s="8">
        <v>44041</v>
      </c>
      <c r="R1859" s="97" t="str">
        <f t="shared" si="68"/>
        <v/>
      </c>
      <c r="S1859" s="75" t="str">
        <f t="shared" si="69"/>
        <v/>
      </c>
      <c r="T1859" s="8" t="s">
        <v>5772</v>
      </c>
      <c r="U1859" s="8">
        <v>44994</v>
      </c>
      <c r="W1859" s="6" t="s">
        <v>33</v>
      </c>
      <c r="X1859" s="95">
        <v>46700</v>
      </c>
    </row>
    <row r="1860" spans="1:24" x14ac:dyDescent="0.25">
      <c r="A1860" s="6" t="s">
        <v>37</v>
      </c>
      <c r="B1860" s="94" t="s">
        <v>26</v>
      </c>
      <c r="C1860" s="6" t="s">
        <v>27</v>
      </c>
      <c r="D1860" s="140">
        <v>11846296</v>
      </c>
      <c r="E1860" s="6" t="s">
        <v>38</v>
      </c>
      <c r="F1860" s="10" t="s">
        <v>29</v>
      </c>
      <c r="G1860" s="6" t="s">
        <v>39</v>
      </c>
      <c r="H1860" s="8">
        <v>46823</v>
      </c>
      <c r="I1860" s="8">
        <v>43691</v>
      </c>
      <c r="J1860" s="8">
        <v>43704</v>
      </c>
      <c r="K1860" s="95">
        <v>43704</v>
      </c>
      <c r="L1860" s="95" t="s">
        <v>31</v>
      </c>
      <c r="M1860" s="8">
        <v>43712</v>
      </c>
      <c r="R1860" s="97" t="str">
        <f t="shared" si="68"/>
        <v/>
      </c>
      <c r="S1860" s="75" t="str">
        <f t="shared" si="69"/>
        <v/>
      </c>
      <c r="W1860" s="6" t="s">
        <v>33</v>
      </c>
      <c r="X1860" s="95">
        <v>46739</v>
      </c>
    </row>
    <row r="1861" spans="1:24" ht="30" x14ac:dyDescent="0.25">
      <c r="A1861" s="6" t="s">
        <v>37</v>
      </c>
      <c r="B1861" s="94" t="s">
        <v>5773</v>
      </c>
      <c r="C1861" s="6" t="s">
        <v>5774</v>
      </c>
      <c r="D1861" s="140">
        <v>12119412</v>
      </c>
      <c r="E1861" s="6" t="s">
        <v>3290</v>
      </c>
      <c r="F1861" s="10" t="s">
        <v>205</v>
      </c>
      <c r="G1861" s="6" t="s">
        <v>5775</v>
      </c>
      <c r="H1861" s="8">
        <v>46535</v>
      </c>
      <c r="I1861" s="8">
        <v>44033</v>
      </c>
      <c r="J1861" s="8">
        <v>44064</v>
      </c>
      <c r="K1861" s="95">
        <v>44070</v>
      </c>
      <c r="L1861" s="95" t="s">
        <v>31</v>
      </c>
      <c r="M1861" s="8">
        <v>44099</v>
      </c>
      <c r="N1861" s="8">
        <v>44392</v>
      </c>
      <c r="O1861" s="8">
        <v>44276</v>
      </c>
      <c r="P1861" s="6" t="s">
        <v>35</v>
      </c>
      <c r="Q1861" s="96">
        <v>1183</v>
      </c>
      <c r="R1861" s="97">
        <f t="shared" si="68"/>
        <v>3.2410958904109588</v>
      </c>
      <c r="S1861" s="75">
        <f t="shared" si="69"/>
        <v>26768.21095890411</v>
      </c>
      <c r="T1861" s="124" t="s">
        <v>5776</v>
      </c>
      <c r="U1861" s="8">
        <v>44407</v>
      </c>
      <c r="W1861" s="6" t="s">
        <v>33</v>
      </c>
      <c r="X1861" s="135">
        <v>50918</v>
      </c>
    </row>
    <row r="1862" spans="1:24" x14ac:dyDescent="0.25">
      <c r="A1862" s="6" t="s">
        <v>37</v>
      </c>
      <c r="B1862" s="94" t="s">
        <v>5777</v>
      </c>
      <c r="C1862" s="6" t="s">
        <v>5778</v>
      </c>
      <c r="D1862" s="140">
        <v>11610621</v>
      </c>
      <c r="E1862" s="6" t="s">
        <v>5779</v>
      </c>
      <c r="F1862" s="10" t="s">
        <v>105</v>
      </c>
      <c r="G1862" s="6" t="s">
        <v>5780</v>
      </c>
      <c r="H1862" s="8">
        <v>44472</v>
      </c>
      <c r="I1862" s="8">
        <v>43559</v>
      </c>
      <c r="J1862" s="8">
        <v>43571</v>
      </c>
      <c r="K1862" s="95">
        <v>43571</v>
      </c>
      <c r="L1862" s="95" t="s">
        <v>31</v>
      </c>
      <c r="M1862" s="8">
        <v>43574</v>
      </c>
      <c r="R1862" s="97" t="str">
        <f t="shared" ref="R1862:R1925" si="70">IF(Q1862&gt;0, Q1862/365, "")</f>
        <v/>
      </c>
      <c r="S1862" s="75" t="str">
        <f t="shared" ref="S1862:S1925" si="71">IF(Q1862&gt;0, SUM(Q1862)*(8259/365), "")</f>
        <v/>
      </c>
      <c r="T1862" s="124" t="s">
        <v>5781</v>
      </c>
      <c r="U1862" s="8">
        <v>44140</v>
      </c>
      <c r="W1862" s="6" t="s">
        <v>33</v>
      </c>
    </row>
    <row r="1863" spans="1:24" x14ac:dyDescent="0.25">
      <c r="A1863" s="6" t="s">
        <v>168</v>
      </c>
      <c r="B1863" s="94" t="s">
        <v>5782</v>
      </c>
      <c r="C1863" s="6" t="s">
        <v>5783</v>
      </c>
      <c r="D1863" s="140">
        <v>11921660</v>
      </c>
      <c r="E1863" s="6" t="s">
        <v>3354</v>
      </c>
      <c r="F1863" s="10" t="s">
        <v>363</v>
      </c>
      <c r="G1863" s="6">
        <v>200034</v>
      </c>
      <c r="H1863" s="8">
        <v>48208</v>
      </c>
      <c r="I1863" s="8">
        <v>44173</v>
      </c>
      <c r="J1863" s="8">
        <v>44218</v>
      </c>
      <c r="K1863" s="95">
        <v>44224</v>
      </c>
      <c r="L1863" s="95" t="s">
        <v>31</v>
      </c>
      <c r="M1863" s="8">
        <v>44230</v>
      </c>
      <c r="N1863" s="108">
        <v>44463</v>
      </c>
      <c r="O1863" s="108">
        <v>44355</v>
      </c>
      <c r="P1863" s="107" t="s">
        <v>52</v>
      </c>
      <c r="Q1863" s="110"/>
      <c r="R1863" s="97" t="str">
        <f t="shared" si="70"/>
        <v/>
      </c>
      <c r="S1863" s="75" t="str">
        <f t="shared" si="71"/>
        <v/>
      </c>
      <c r="U1863" s="8">
        <v>44776</v>
      </c>
      <c r="W1863" s="6" t="s">
        <v>84</v>
      </c>
      <c r="X1863" s="95">
        <v>44879</v>
      </c>
    </row>
    <row r="1864" spans="1:24" x14ac:dyDescent="0.25">
      <c r="A1864" s="6" t="s">
        <v>37</v>
      </c>
      <c r="B1864" s="94" t="s">
        <v>5784</v>
      </c>
      <c r="C1864" s="6" t="s">
        <v>5785</v>
      </c>
      <c r="D1864" s="140">
        <v>116906070</v>
      </c>
      <c r="E1864" s="6" t="s">
        <v>5786</v>
      </c>
      <c r="F1864" s="10" t="s">
        <v>143</v>
      </c>
      <c r="G1864" s="6">
        <v>187781</v>
      </c>
      <c r="H1864" s="8">
        <v>45055</v>
      </c>
      <c r="I1864" s="8">
        <v>43852</v>
      </c>
      <c r="J1864" s="8">
        <v>43879</v>
      </c>
      <c r="K1864" s="95">
        <v>43879</v>
      </c>
      <c r="L1864" s="95" t="s">
        <v>31</v>
      </c>
      <c r="M1864" s="8">
        <v>43895</v>
      </c>
      <c r="N1864" s="8">
        <v>44362</v>
      </c>
      <c r="O1864" s="8">
        <v>44308</v>
      </c>
      <c r="P1864" s="6" t="s">
        <v>90</v>
      </c>
      <c r="Q1864" s="96">
        <v>692</v>
      </c>
      <c r="R1864" s="97">
        <f t="shared" si="70"/>
        <v>1.8958904109589041</v>
      </c>
      <c r="S1864" s="75">
        <f t="shared" si="71"/>
        <v>15658.15890410959</v>
      </c>
      <c r="T1864" s="124" t="s">
        <v>5787</v>
      </c>
      <c r="U1864" s="8">
        <v>44378</v>
      </c>
      <c r="V1864" s="6" t="s">
        <v>36</v>
      </c>
      <c r="W1864" s="6" t="s">
        <v>33</v>
      </c>
      <c r="X1864" s="95">
        <v>47817</v>
      </c>
    </row>
    <row r="1865" spans="1:24" x14ac:dyDescent="0.25">
      <c r="A1865" s="6" t="s">
        <v>168</v>
      </c>
      <c r="B1865" s="94" t="s">
        <v>5788</v>
      </c>
      <c r="C1865" s="6" t="s">
        <v>5789</v>
      </c>
      <c r="D1865" s="140">
        <v>11203583</v>
      </c>
      <c r="E1865" s="6" t="s">
        <v>4354</v>
      </c>
      <c r="F1865" s="10" t="s">
        <v>121</v>
      </c>
      <c r="G1865" s="6" t="s">
        <v>5790</v>
      </c>
      <c r="H1865" s="8">
        <v>51504</v>
      </c>
      <c r="I1865" s="8">
        <v>44336</v>
      </c>
      <c r="J1865" s="8">
        <v>44370</v>
      </c>
      <c r="K1865" s="95">
        <v>44371</v>
      </c>
      <c r="L1865" s="95" t="s">
        <v>359</v>
      </c>
      <c r="R1865" s="97" t="str">
        <f t="shared" si="70"/>
        <v/>
      </c>
      <c r="S1865" s="75" t="str">
        <f t="shared" si="71"/>
        <v/>
      </c>
      <c r="W1865" s="6" t="s">
        <v>84</v>
      </c>
      <c r="X1865" s="7">
        <v>48414</v>
      </c>
    </row>
    <row r="1866" spans="1:24" x14ac:dyDescent="0.25">
      <c r="A1866" s="6" t="s">
        <v>37</v>
      </c>
      <c r="B1866" s="94" t="s">
        <v>197</v>
      </c>
      <c r="C1866" s="6" t="s">
        <v>5791</v>
      </c>
      <c r="D1866" s="140">
        <v>11281589</v>
      </c>
      <c r="E1866" s="6" t="s">
        <v>578</v>
      </c>
      <c r="F1866" s="10" t="s">
        <v>4370</v>
      </c>
      <c r="G1866" s="6" t="s">
        <v>5792</v>
      </c>
      <c r="H1866" s="8">
        <v>44536</v>
      </c>
      <c r="I1866" s="8">
        <v>43476</v>
      </c>
      <c r="J1866" s="8">
        <v>43496</v>
      </c>
      <c r="K1866" s="95">
        <v>43496</v>
      </c>
      <c r="L1866" s="95" t="s">
        <v>31</v>
      </c>
      <c r="M1866" s="8">
        <v>43507</v>
      </c>
      <c r="N1866" s="8">
        <v>44274</v>
      </c>
      <c r="O1866" s="8">
        <v>43647</v>
      </c>
      <c r="P1866" s="6" t="s">
        <v>75</v>
      </c>
      <c r="R1866" s="97" t="str">
        <f t="shared" si="70"/>
        <v/>
      </c>
      <c r="S1866" s="75" t="str">
        <f t="shared" si="71"/>
        <v/>
      </c>
      <c r="U1866" s="8">
        <v>44274</v>
      </c>
      <c r="W1866" s="6" t="s">
        <v>33</v>
      </c>
      <c r="X1866" s="95">
        <v>50045</v>
      </c>
    </row>
    <row r="1867" spans="1:24" x14ac:dyDescent="0.25">
      <c r="A1867" s="6" t="s">
        <v>37</v>
      </c>
      <c r="B1867" s="94" t="s">
        <v>197</v>
      </c>
      <c r="C1867" s="6" t="s">
        <v>5793</v>
      </c>
      <c r="D1867" s="140">
        <v>12113488</v>
      </c>
      <c r="E1867" s="6" t="s">
        <v>5794</v>
      </c>
      <c r="F1867" s="10" t="s">
        <v>205</v>
      </c>
      <c r="G1867" s="6" t="s">
        <v>5795</v>
      </c>
      <c r="H1867" s="8">
        <v>48072</v>
      </c>
      <c r="I1867" s="8">
        <v>43852</v>
      </c>
      <c r="J1867" s="8">
        <v>43864</v>
      </c>
      <c r="K1867" s="95">
        <v>43879</v>
      </c>
      <c r="L1867" s="95" t="s">
        <v>31</v>
      </c>
      <c r="M1867" s="8">
        <v>43895</v>
      </c>
      <c r="N1867" s="8">
        <v>44046</v>
      </c>
      <c r="O1867" s="8">
        <v>44041</v>
      </c>
      <c r="P1867" s="6" t="s">
        <v>52</v>
      </c>
      <c r="R1867" s="97" t="str">
        <f t="shared" si="70"/>
        <v/>
      </c>
      <c r="S1867" s="75" t="str">
        <f t="shared" si="71"/>
        <v/>
      </c>
      <c r="U1867" s="8">
        <v>44046</v>
      </c>
      <c r="W1867" s="6" t="s">
        <v>33</v>
      </c>
      <c r="X1867" s="95">
        <v>46642</v>
      </c>
    </row>
    <row r="1868" spans="1:24" x14ac:dyDescent="0.25">
      <c r="A1868" s="6" t="s">
        <v>37</v>
      </c>
      <c r="B1868" s="94" t="s">
        <v>5796</v>
      </c>
      <c r="C1868" s="6" t="s">
        <v>5797</v>
      </c>
      <c r="D1868" s="140">
        <v>12110212</v>
      </c>
      <c r="E1868" s="6" t="s">
        <v>5798</v>
      </c>
      <c r="F1868" s="10" t="s">
        <v>293</v>
      </c>
      <c r="G1868" s="6">
        <v>171826</v>
      </c>
      <c r="H1868" s="8">
        <v>45150</v>
      </c>
      <c r="I1868" s="8">
        <v>43815</v>
      </c>
      <c r="J1868" s="8">
        <v>43823</v>
      </c>
      <c r="K1868" s="95">
        <v>43825</v>
      </c>
      <c r="L1868" s="95" t="s">
        <v>31</v>
      </c>
      <c r="M1868" s="8">
        <v>43833</v>
      </c>
      <c r="N1868" s="8">
        <v>43886</v>
      </c>
      <c r="O1868" s="8">
        <v>43860</v>
      </c>
      <c r="P1868" s="6" t="s">
        <v>75</v>
      </c>
      <c r="R1868" s="97" t="str">
        <f t="shared" si="70"/>
        <v/>
      </c>
      <c r="S1868" s="75" t="str">
        <f t="shared" si="71"/>
        <v/>
      </c>
      <c r="U1868" s="8">
        <v>43887</v>
      </c>
      <c r="W1868" s="6" t="s">
        <v>33</v>
      </c>
      <c r="X1868" s="95">
        <v>46391</v>
      </c>
    </row>
    <row r="1869" spans="1:24" ht="45" x14ac:dyDescent="0.25">
      <c r="A1869" s="6" t="s">
        <v>37</v>
      </c>
      <c r="B1869" s="94" t="s">
        <v>5799</v>
      </c>
      <c r="C1869" s="6" t="s">
        <v>5800</v>
      </c>
      <c r="D1869" s="140">
        <v>11643550</v>
      </c>
      <c r="E1869" s="6" t="s">
        <v>5801</v>
      </c>
      <c r="F1869" s="10" t="s">
        <v>143</v>
      </c>
      <c r="G1869" s="6" t="s">
        <v>5802</v>
      </c>
      <c r="H1869" s="8">
        <v>45813</v>
      </c>
      <c r="I1869" s="8">
        <v>44091</v>
      </c>
      <c r="J1869" s="8">
        <v>44104</v>
      </c>
      <c r="K1869" s="95">
        <v>44104</v>
      </c>
      <c r="L1869" s="95" t="s">
        <v>31</v>
      </c>
      <c r="M1869" s="8">
        <v>44111</v>
      </c>
      <c r="N1869" s="8">
        <v>44326</v>
      </c>
      <c r="O1869" s="8">
        <v>44326</v>
      </c>
      <c r="P1869" s="6" t="s">
        <v>52</v>
      </c>
      <c r="R1869" s="97" t="str">
        <f t="shared" si="70"/>
        <v/>
      </c>
      <c r="S1869" s="75" t="str">
        <f t="shared" si="71"/>
        <v/>
      </c>
      <c r="T1869" s="157" t="s">
        <v>5803</v>
      </c>
      <c r="U1869" s="8">
        <v>44994</v>
      </c>
      <c r="W1869" s="6" t="s">
        <v>33</v>
      </c>
      <c r="X1869" s="135">
        <v>45307</v>
      </c>
    </row>
    <row r="1870" spans="1:24" ht="30" x14ac:dyDescent="0.25">
      <c r="A1870" s="6" t="s">
        <v>37</v>
      </c>
      <c r="B1870" s="94" t="s">
        <v>5804</v>
      </c>
      <c r="C1870" s="6" t="s">
        <v>5805</v>
      </c>
      <c r="D1870" s="140">
        <v>11622024</v>
      </c>
      <c r="E1870" s="6" t="s">
        <v>5806</v>
      </c>
      <c r="F1870" s="10" t="s">
        <v>57</v>
      </c>
      <c r="G1870" s="6" t="s">
        <v>5807</v>
      </c>
      <c r="H1870" s="8">
        <v>48318</v>
      </c>
      <c r="I1870" s="8">
        <v>43685</v>
      </c>
      <c r="J1870" s="8">
        <v>43704</v>
      </c>
      <c r="K1870" s="95">
        <v>43704</v>
      </c>
      <c r="L1870" s="95" t="s">
        <v>31</v>
      </c>
      <c r="M1870" s="8">
        <v>43718</v>
      </c>
      <c r="N1870" s="8">
        <v>44320</v>
      </c>
      <c r="O1870" s="8">
        <v>43833</v>
      </c>
      <c r="P1870" s="6" t="s">
        <v>69</v>
      </c>
      <c r="R1870" s="97" t="str">
        <f t="shared" si="70"/>
        <v/>
      </c>
      <c r="S1870" s="75" t="str">
        <f t="shared" si="71"/>
        <v/>
      </c>
      <c r="T1870" s="124" t="s">
        <v>5808</v>
      </c>
      <c r="U1870" s="8">
        <v>44320</v>
      </c>
      <c r="W1870" s="6" t="s">
        <v>33</v>
      </c>
      <c r="X1870" s="148">
        <v>48127</v>
      </c>
    </row>
    <row r="1871" spans="1:24" x14ac:dyDescent="0.25">
      <c r="A1871" s="6" t="s">
        <v>168</v>
      </c>
      <c r="B1871" s="94" t="s">
        <v>250</v>
      </c>
      <c r="C1871" s="6" t="s">
        <v>5809</v>
      </c>
      <c r="D1871" s="140">
        <v>11198321</v>
      </c>
      <c r="E1871" s="6" t="s">
        <v>1927</v>
      </c>
      <c r="F1871" s="10" t="s">
        <v>528</v>
      </c>
      <c r="G1871" s="6" t="s">
        <v>5810</v>
      </c>
      <c r="H1871" s="8">
        <v>45275</v>
      </c>
      <c r="I1871" s="95">
        <v>42789</v>
      </c>
      <c r="J1871" s="95">
        <v>42789</v>
      </c>
      <c r="K1871" s="95">
        <v>42789</v>
      </c>
      <c r="L1871" s="95" t="s">
        <v>31</v>
      </c>
      <c r="M1871" s="8">
        <v>43251</v>
      </c>
      <c r="N1871" s="8">
        <v>43284</v>
      </c>
      <c r="O1871" s="8">
        <v>43269</v>
      </c>
      <c r="P1871" s="6" t="s">
        <v>75</v>
      </c>
      <c r="R1871" s="97" t="str">
        <f t="shared" si="70"/>
        <v/>
      </c>
      <c r="S1871" s="75" t="str">
        <f t="shared" si="71"/>
        <v/>
      </c>
      <c r="U1871" s="8">
        <v>43284</v>
      </c>
      <c r="W1871" s="6" t="s">
        <v>84</v>
      </c>
      <c r="X1871" s="95">
        <v>47403</v>
      </c>
    </row>
    <row r="1872" spans="1:24" x14ac:dyDescent="0.25">
      <c r="A1872" s="6" t="s">
        <v>168</v>
      </c>
      <c r="B1872" s="94" t="s">
        <v>5466</v>
      </c>
      <c r="C1872" s="6" t="s">
        <v>5811</v>
      </c>
      <c r="D1872" s="140">
        <v>11282444</v>
      </c>
      <c r="E1872" s="101" t="s">
        <v>318</v>
      </c>
      <c r="F1872" s="10" t="s">
        <v>4532</v>
      </c>
      <c r="G1872" s="6" t="s">
        <v>5812</v>
      </c>
      <c r="H1872" s="8">
        <v>44644</v>
      </c>
      <c r="I1872" s="95">
        <v>43229</v>
      </c>
      <c r="J1872" s="95">
        <v>43229</v>
      </c>
      <c r="K1872" s="95">
        <v>43229</v>
      </c>
      <c r="L1872" s="95" t="s">
        <v>31</v>
      </c>
      <c r="M1872" s="8">
        <v>43235</v>
      </c>
      <c r="N1872" s="8">
        <v>43328</v>
      </c>
      <c r="O1872" s="8">
        <v>43311</v>
      </c>
      <c r="P1872" s="6" t="s">
        <v>90</v>
      </c>
      <c r="Q1872" s="96">
        <v>4748.25</v>
      </c>
      <c r="R1872" s="97">
        <f t="shared" si="70"/>
        <v>13.008904109589041</v>
      </c>
      <c r="S1872" s="75">
        <f t="shared" si="71"/>
        <v>107440.53904109589</v>
      </c>
      <c r="T1872" s="124" t="s">
        <v>5813</v>
      </c>
      <c r="U1872" s="8">
        <v>43328</v>
      </c>
      <c r="V1872" s="6" t="s">
        <v>36</v>
      </c>
      <c r="W1872" s="6" t="s">
        <v>84</v>
      </c>
      <c r="X1872" s="95">
        <v>48070</v>
      </c>
    </row>
    <row r="1873" spans="1:24" ht="45" x14ac:dyDescent="0.25">
      <c r="A1873" s="6" t="s">
        <v>37</v>
      </c>
      <c r="B1873" s="94" t="s">
        <v>5814</v>
      </c>
      <c r="C1873" s="6" t="s">
        <v>5815</v>
      </c>
      <c r="D1873" s="140">
        <v>11042065</v>
      </c>
      <c r="E1873" s="6" t="s">
        <v>5794</v>
      </c>
      <c r="F1873" s="10" t="s">
        <v>2296</v>
      </c>
      <c r="G1873" s="6">
        <v>62100706</v>
      </c>
      <c r="H1873" s="8">
        <v>46716</v>
      </c>
      <c r="I1873" s="8">
        <v>44127</v>
      </c>
      <c r="J1873" s="8">
        <v>44147</v>
      </c>
      <c r="K1873" s="95">
        <v>44148</v>
      </c>
      <c r="L1873" s="95" t="s">
        <v>31</v>
      </c>
      <c r="M1873" s="8">
        <v>44193</v>
      </c>
      <c r="N1873" s="8">
        <v>44462</v>
      </c>
      <c r="O1873" s="8">
        <v>44406</v>
      </c>
      <c r="P1873" s="6" t="s">
        <v>35</v>
      </c>
      <c r="Q1873" s="96">
        <v>1375</v>
      </c>
      <c r="R1873" s="97">
        <f t="shared" si="70"/>
        <v>3.7671232876712328</v>
      </c>
      <c r="S1873" s="75">
        <f t="shared" si="71"/>
        <v>31112.671232876713</v>
      </c>
      <c r="T1873" s="124" t="s">
        <v>5816</v>
      </c>
      <c r="U1873" s="8">
        <v>44463</v>
      </c>
      <c r="W1873" s="6" t="s">
        <v>33</v>
      </c>
      <c r="X1873" s="7">
        <v>45545</v>
      </c>
    </row>
    <row r="1874" spans="1:24" x14ac:dyDescent="0.25">
      <c r="A1874" s="6" t="s">
        <v>37</v>
      </c>
      <c r="B1874" s="94" t="s">
        <v>531</v>
      </c>
      <c r="C1874" s="6" t="s">
        <v>5817</v>
      </c>
      <c r="D1874" s="140" t="s">
        <v>5818</v>
      </c>
      <c r="E1874" s="6" t="s">
        <v>5819</v>
      </c>
      <c r="F1874" s="10" t="s">
        <v>44</v>
      </c>
      <c r="G1874" s="6" t="s">
        <v>5820</v>
      </c>
      <c r="H1874" s="8">
        <v>49630</v>
      </c>
      <c r="I1874" s="8">
        <v>43494</v>
      </c>
      <c r="J1874" s="8">
        <v>43502</v>
      </c>
      <c r="K1874" s="95">
        <v>43507</v>
      </c>
      <c r="L1874" s="95" t="s">
        <v>31</v>
      </c>
      <c r="M1874" s="8">
        <v>43515</v>
      </c>
      <c r="N1874" s="8">
        <v>43536</v>
      </c>
      <c r="O1874" s="8">
        <v>43528</v>
      </c>
      <c r="P1874" s="6" t="s">
        <v>75</v>
      </c>
      <c r="R1874" s="97" t="str">
        <f t="shared" si="70"/>
        <v/>
      </c>
      <c r="S1874" s="75" t="str">
        <f t="shared" si="71"/>
        <v/>
      </c>
      <c r="T1874" s="124" t="s">
        <v>2062</v>
      </c>
      <c r="U1874" s="8">
        <v>43536</v>
      </c>
      <c r="W1874" s="6" t="s">
        <v>33</v>
      </c>
      <c r="X1874" s="95">
        <v>45050</v>
      </c>
    </row>
    <row r="1875" spans="1:24" x14ac:dyDescent="0.25">
      <c r="A1875" s="6" t="s">
        <v>37</v>
      </c>
      <c r="B1875" s="94" t="s">
        <v>5821</v>
      </c>
      <c r="C1875" s="6" t="s">
        <v>5822</v>
      </c>
      <c r="D1875" s="140">
        <v>11878049</v>
      </c>
      <c r="E1875" s="6" t="s">
        <v>3971</v>
      </c>
      <c r="F1875" s="10" t="s">
        <v>44</v>
      </c>
      <c r="G1875" s="6" t="s">
        <v>5823</v>
      </c>
      <c r="H1875" s="8">
        <v>51501</v>
      </c>
      <c r="I1875" s="8">
        <v>44104</v>
      </c>
      <c r="R1875" s="97" t="str">
        <f t="shared" si="70"/>
        <v/>
      </c>
      <c r="S1875" s="75" t="str">
        <f t="shared" si="71"/>
        <v/>
      </c>
      <c r="T1875" s="124" t="s">
        <v>5824</v>
      </c>
      <c r="W1875" s="6" t="s">
        <v>33</v>
      </c>
      <c r="X1875" s="135">
        <v>49866</v>
      </c>
    </row>
    <row r="1876" spans="1:24" x14ac:dyDescent="0.25">
      <c r="A1876" s="6" t="s">
        <v>37</v>
      </c>
      <c r="B1876" s="94" t="s">
        <v>250</v>
      </c>
      <c r="C1876" s="6" t="s">
        <v>5825</v>
      </c>
      <c r="D1876" s="140">
        <v>11389226</v>
      </c>
      <c r="E1876" s="6" t="s">
        <v>783</v>
      </c>
      <c r="F1876" s="10" t="s">
        <v>44</v>
      </c>
      <c r="G1876" s="6" t="s">
        <v>5826</v>
      </c>
      <c r="H1876" s="8">
        <v>44515</v>
      </c>
      <c r="I1876" s="8">
        <v>43494</v>
      </c>
      <c r="J1876" s="8">
        <v>43507</v>
      </c>
      <c r="K1876" s="95">
        <v>43507</v>
      </c>
      <c r="L1876" s="95" t="s">
        <v>31</v>
      </c>
      <c r="M1876" s="8">
        <v>43515</v>
      </c>
      <c r="N1876" s="8">
        <v>43565</v>
      </c>
      <c r="O1876" s="8">
        <v>43552</v>
      </c>
      <c r="P1876" s="6" t="s">
        <v>75</v>
      </c>
      <c r="R1876" s="97" t="str">
        <f t="shared" si="70"/>
        <v/>
      </c>
      <c r="S1876" s="75" t="str">
        <f t="shared" si="71"/>
        <v/>
      </c>
      <c r="U1876" s="8">
        <v>43565</v>
      </c>
      <c r="W1876" s="6" t="s">
        <v>33</v>
      </c>
      <c r="X1876" s="95">
        <v>50023</v>
      </c>
    </row>
    <row r="1877" spans="1:24" ht="30" x14ac:dyDescent="0.25">
      <c r="A1877" s="6" t="s">
        <v>37</v>
      </c>
      <c r="B1877" s="94" t="s">
        <v>250</v>
      </c>
      <c r="C1877" s="6" t="s">
        <v>5827</v>
      </c>
      <c r="D1877" s="140">
        <v>11373306</v>
      </c>
      <c r="E1877" s="6" t="s">
        <v>3407</v>
      </c>
      <c r="F1877" s="10" t="s">
        <v>134</v>
      </c>
      <c r="G1877" s="6" t="s">
        <v>5828</v>
      </c>
      <c r="H1877" s="8">
        <v>44048</v>
      </c>
      <c r="I1877" s="8">
        <v>43559</v>
      </c>
      <c r="J1877" s="8">
        <v>43571</v>
      </c>
      <c r="K1877" s="95">
        <v>43571</v>
      </c>
      <c r="L1877" s="95" t="s">
        <v>31</v>
      </c>
      <c r="M1877" s="8">
        <v>43574</v>
      </c>
      <c r="N1877" s="8">
        <v>43749</v>
      </c>
      <c r="O1877" s="8">
        <v>43721</v>
      </c>
      <c r="P1877" s="6" t="s">
        <v>90</v>
      </c>
      <c r="Q1877" s="96">
        <v>2191.5</v>
      </c>
      <c r="R1877" s="97">
        <f t="shared" si="70"/>
        <v>6.0041095890410956</v>
      </c>
      <c r="S1877" s="75">
        <f t="shared" si="71"/>
        <v>49587.941095890412</v>
      </c>
      <c r="T1877" s="124" t="s">
        <v>5829</v>
      </c>
      <c r="U1877" s="8">
        <v>43893</v>
      </c>
      <c r="V1877" s="6" t="s">
        <v>36</v>
      </c>
      <c r="W1877" s="6" t="s">
        <v>33</v>
      </c>
      <c r="X1877" s="6"/>
    </row>
    <row r="1878" spans="1:24" x14ac:dyDescent="0.25">
      <c r="A1878" s="6" t="s">
        <v>37</v>
      </c>
      <c r="B1878" s="94" t="s">
        <v>250</v>
      </c>
      <c r="C1878" s="6" t="s">
        <v>5830</v>
      </c>
      <c r="D1878" s="140">
        <v>11676918</v>
      </c>
      <c r="E1878" s="6" t="s">
        <v>5831</v>
      </c>
      <c r="F1878" s="10" t="s">
        <v>44</v>
      </c>
      <c r="G1878" s="6" t="s">
        <v>5832</v>
      </c>
      <c r="H1878" s="8">
        <v>45911</v>
      </c>
      <c r="I1878" s="8">
        <v>43578</v>
      </c>
      <c r="J1878" s="8">
        <v>43585</v>
      </c>
      <c r="K1878" s="95">
        <v>43585</v>
      </c>
      <c r="L1878" s="95" t="s">
        <v>31</v>
      </c>
      <c r="M1878" s="8">
        <v>43607</v>
      </c>
      <c r="N1878" s="8">
        <v>44751</v>
      </c>
      <c r="O1878" s="8">
        <v>44727</v>
      </c>
      <c r="P1878" s="6" t="s">
        <v>35</v>
      </c>
      <c r="Q1878" s="96">
        <v>264</v>
      </c>
      <c r="R1878" s="97">
        <f t="shared" si="70"/>
        <v>0.72328767123287674</v>
      </c>
      <c r="S1878" s="75">
        <f t="shared" si="71"/>
        <v>5973.6328767123287</v>
      </c>
      <c r="U1878" s="8">
        <v>44792</v>
      </c>
      <c r="W1878" s="6" t="s">
        <v>33</v>
      </c>
      <c r="X1878" s="95">
        <v>48883</v>
      </c>
    </row>
    <row r="1879" spans="1:24" ht="45" x14ac:dyDescent="0.25">
      <c r="A1879" s="6" t="s">
        <v>37</v>
      </c>
      <c r="B1879" s="94" t="s">
        <v>250</v>
      </c>
      <c r="C1879" s="6" t="s">
        <v>5833</v>
      </c>
      <c r="D1879" s="140">
        <v>11624659</v>
      </c>
      <c r="E1879" s="6" t="s">
        <v>3671</v>
      </c>
      <c r="F1879" s="10" t="s">
        <v>44</v>
      </c>
      <c r="G1879" s="6" t="s">
        <v>5834</v>
      </c>
      <c r="H1879" s="8">
        <v>53284</v>
      </c>
      <c r="I1879" s="8">
        <v>43676</v>
      </c>
      <c r="J1879" s="8">
        <v>43676</v>
      </c>
      <c r="K1879" s="95">
        <v>43689</v>
      </c>
      <c r="L1879" s="95" t="s">
        <v>31</v>
      </c>
      <c r="M1879" s="8">
        <v>43693</v>
      </c>
      <c r="N1879" s="8">
        <v>43782</v>
      </c>
      <c r="O1879" s="8">
        <v>43781</v>
      </c>
      <c r="P1879" s="6" t="s">
        <v>90</v>
      </c>
      <c r="Q1879" s="96">
        <v>11887</v>
      </c>
      <c r="R1879" s="97">
        <f t="shared" si="70"/>
        <v>32.56712328767123</v>
      </c>
      <c r="S1879" s="75">
        <f t="shared" si="71"/>
        <v>268971.87123287673</v>
      </c>
      <c r="T1879" s="124" t="s">
        <v>5835</v>
      </c>
      <c r="U1879" s="8">
        <v>43782</v>
      </c>
      <c r="V1879" s="6" t="s">
        <v>581</v>
      </c>
      <c r="X1879" s="6"/>
    </row>
    <row r="1880" spans="1:24" x14ac:dyDescent="0.25">
      <c r="A1880" s="6" t="s">
        <v>37</v>
      </c>
      <c r="B1880" s="94" t="s">
        <v>5836</v>
      </c>
      <c r="C1880" s="6" t="s">
        <v>5837</v>
      </c>
      <c r="D1880" s="140">
        <v>11914153</v>
      </c>
      <c r="E1880" s="6" t="s">
        <v>5838</v>
      </c>
      <c r="F1880" s="10" t="s">
        <v>44</v>
      </c>
      <c r="G1880" s="6" t="s">
        <v>5839</v>
      </c>
      <c r="H1880" s="8">
        <v>48749</v>
      </c>
      <c r="I1880" s="8">
        <v>44112</v>
      </c>
      <c r="J1880" s="8">
        <v>44119</v>
      </c>
      <c r="K1880" s="95">
        <v>44253</v>
      </c>
      <c r="L1880" s="95" t="s">
        <v>31</v>
      </c>
      <c r="M1880" s="8">
        <v>44295</v>
      </c>
      <c r="N1880" s="8">
        <v>44719</v>
      </c>
      <c r="O1880" s="8">
        <v>44707</v>
      </c>
      <c r="P1880" s="6" t="s">
        <v>35</v>
      </c>
      <c r="Q1880" s="96">
        <v>2555</v>
      </c>
      <c r="R1880" s="97">
        <f t="shared" si="70"/>
        <v>7</v>
      </c>
      <c r="S1880" s="75">
        <f t="shared" si="71"/>
        <v>57813</v>
      </c>
      <c r="T1880" s="8"/>
      <c r="U1880" s="8">
        <v>44967</v>
      </c>
      <c r="W1880" s="6" t="s">
        <v>33</v>
      </c>
      <c r="X1880" s="135">
        <v>50647</v>
      </c>
    </row>
    <row r="1881" spans="1:24" x14ac:dyDescent="0.25">
      <c r="A1881" s="6" t="s">
        <v>37</v>
      </c>
      <c r="B1881" s="94" t="s">
        <v>5836</v>
      </c>
      <c r="C1881" s="6" t="s">
        <v>5840</v>
      </c>
      <c r="D1881" s="140">
        <v>11039827</v>
      </c>
      <c r="E1881" s="6" t="s">
        <v>357</v>
      </c>
      <c r="F1881" s="10" t="s">
        <v>44</v>
      </c>
      <c r="G1881" s="6" t="s">
        <v>5841</v>
      </c>
      <c r="H1881" s="8">
        <v>47276</v>
      </c>
      <c r="I1881" s="8">
        <v>44127</v>
      </c>
      <c r="J1881" s="8">
        <v>44147</v>
      </c>
      <c r="K1881" s="95">
        <v>44253</v>
      </c>
      <c r="L1881" s="95" t="s">
        <v>31</v>
      </c>
      <c r="M1881" s="8">
        <v>44295</v>
      </c>
      <c r="R1881" s="97" t="str">
        <f t="shared" si="70"/>
        <v/>
      </c>
      <c r="S1881" s="75" t="str">
        <f t="shared" si="71"/>
        <v/>
      </c>
      <c r="W1881" s="6" t="s">
        <v>33</v>
      </c>
      <c r="X1881" s="7">
        <v>45046</v>
      </c>
    </row>
    <row r="1882" spans="1:24" x14ac:dyDescent="0.25">
      <c r="A1882" s="6" t="s">
        <v>37</v>
      </c>
      <c r="B1882" s="94" t="s">
        <v>5842</v>
      </c>
      <c r="C1882" s="6" t="s">
        <v>5843</v>
      </c>
      <c r="D1882" s="140">
        <v>11791111</v>
      </c>
      <c r="E1882" s="6" t="s">
        <v>5844</v>
      </c>
      <c r="F1882" s="10" t="s">
        <v>299</v>
      </c>
      <c r="G1882" s="6" t="s">
        <v>5845</v>
      </c>
      <c r="H1882" s="8">
        <v>46970</v>
      </c>
      <c r="I1882" s="8">
        <v>43720</v>
      </c>
      <c r="J1882" s="8">
        <v>43739</v>
      </c>
      <c r="K1882" s="95">
        <v>43741</v>
      </c>
      <c r="L1882" s="95" t="s">
        <v>31</v>
      </c>
      <c r="M1882" s="8">
        <v>43753</v>
      </c>
      <c r="N1882" s="8">
        <v>43775</v>
      </c>
      <c r="O1882" s="8">
        <v>43760</v>
      </c>
      <c r="P1882" s="6" t="s">
        <v>52</v>
      </c>
      <c r="R1882" s="97" t="str">
        <f t="shared" si="70"/>
        <v/>
      </c>
      <c r="S1882" s="75" t="str">
        <f t="shared" si="71"/>
        <v/>
      </c>
      <c r="U1882" s="8">
        <v>43775</v>
      </c>
      <c r="W1882" s="6" t="s">
        <v>33</v>
      </c>
      <c r="X1882" s="95">
        <v>49769</v>
      </c>
    </row>
    <row r="1883" spans="1:24" x14ac:dyDescent="0.25">
      <c r="A1883" s="6" t="s">
        <v>37</v>
      </c>
      <c r="B1883" s="94" t="s">
        <v>666</v>
      </c>
      <c r="C1883" s="6" t="s">
        <v>5846</v>
      </c>
      <c r="D1883" s="140">
        <v>11947316</v>
      </c>
      <c r="E1883" s="6" t="s">
        <v>5847</v>
      </c>
      <c r="F1883" s="10" t="s">
        <v>44</v>
      </c>
      <c r="G1883" s="6" t="s">
        <v>5848</v>
      </c>
      <c r="H1883" s="8">
        <v>45126</v>
      </c>
      <c r="I1883" s="8">
        <v>44112</v>
      </c>
      <c r="R1883" s="97" t="str">
        <f t="shared" si="70"/>
        <v/>
      </c>
      <c r="S1883" s="75" t="str">
        <f t="shared" si="71"/>
        <v/>
      </c>
      <c r="T1883" s="124" t="s">
        <v>5849</v>
      </c>
      <c r="U1883" s="8">
        <v>45044</v>
      </c>
      <c r="W1883" s="6" t="s">
        <v>33</v>
      </c>
      <c r="X1883" s="135">
        <v>49726</v>
      </c>
    </row>
    <row r="1884" spans="1:24" x14ac:dyDescent="0.25">
      <c r="A1884" s="6" t="s">
        <v>37</v>
      </c>
      <c r="B1884" s="94" t="s">
        <v>5850</v>
      </c>
      <c r="C1884" s="6" t="s">
        <v>5851</v>
      </c>
      <c r="D1884" s="140">
        <v>11762124</v>
      </c>
      <c r="E1884" s="6" t="s">
        <v>5852</v>
      </c>
      <c r="F1884" s="10" t="s">
        <v>44</v>
      </c>
      <c r="G1884" s="6" t="s">
        <v>5853</v>
      </c>
      <c r="H1884" s="8">
        <v>55233</v>
      </c>
      <c r="I1884" s="8">
        <v>43706</v>
      </c>
      <c r="J1884" s="8">
        <v>43721</v>
      </c>
      <c r="K1884" s="95">
        <v>43724</v>
      </c>
      <c r="L1884" s="95" t="s">
        <v>31</v>
      </c>
      <c r="M1884" s="8">
        <v>43728</v>
      </c>
      <c r="N1884" s="8">
        <v>44253</v>
      </c>
      <c r="O1884" s="8">
        <v>43906</v>
      </c>
      <c r="P1884" s="6" t="s">
        <v>35</v>
      </c>
      <c r="Q1884" s="96">
        <v>3652</v>
      </c>
      <c r="R1884" s="97">
        <f t="shared" si="70"/>
        <v>10.005479452054795</v>
      </c>
      <c r="S1884" s="75">
        <f t="shared" si="71"/>
        <v>82635.254794520544</v>
      </c>
      <c r="T1884" s="124" t="s">
        <v>5854</v>
      </c>
      <c r="W1884" s="6" t="s">
        <v>33</v>
      </c>
      <c r="X1884" s="95">
        <v>49483</v>
      </c>
    </row>
    <row r="1885" spans="1:24" x14ac:dyDescent="0.25">
      <c r="A1885" s="6" t="s">
        <v>37</v>
      </c>
      <c r="B1885" s="94" t="s">
        <v>5855</v>
      </c>
      <c r="C1885" s="6" t="s">
        <v>5856</v>
      </c>
      <c r="D1885" s="140">
        <v>11939252</v>
      </c>
      <c r="E1885" s="6" t="s">
        <v>2502</v>
      </c>
      <c r="F1885" s="10" t="s">
        <v>299</v>
      </c>
      <c r="G1885" s="6" t="s">
        <v>5857</v>
      </c>
      <c r="H1885" s="8">
        <v>46869</v>
      </c>
      <c r="I1885" s="8">
        <v>44112</v>
      </c>
      <c r="J1885" s="8">
        <v>44118</v>
      </c>
      <c r="K1885" s="95">
        <v>44119</v>
      </c>
      <c r="L1885" s="95" t="s">
        <v>359</v>
      </c>
      <c r="R1885" s="97" t="str">
        <f t="shared" si="70"/>
        <v/>
      </c>
      <c r="S1885" s="75" t="str">
        <f t="shared" si="71"/>
        <v/>
      </c>
      <c r="W1885" s="6" t="s">
        <v>33</v>
      </c>
      <c r="X1885" s="135">
        <v>51089</v>
      </c>
    </row>
    <row r="1886" spans="1:24" x14ac:dyDescent="0.25">
      <c r="A1886" s="6" t="s">
        <v>65</v>
      </c>
      <c r="B1886" s="94" t="s">
        <v>5858</v>
      </c>
      <c r="C1886" s="6" t="s">
        <v>5859</v>
      </c>
      <c r="D1886" s="140">
        <v>11968279</v>
      </c>
      <c r="E1886" s="6" t="s">
        <v>714</v>
      </c>
      <c r="F1886" s="10" t="s">
        <v>205</v>
      </c>
      <c r="G1886" s="6" t="s">
        <v>5860</v>
      </c>
      <c r="H1886" s="8">
        <v>49519</v>
      </c>
      <c r="I1886" s="8">
        <v>43348</v>
      </c>
      <c r="J1886" s="8">
        <v>43348</v>
      </c>
      <c r="K1886" s="95">
        <v>43369</v>
      </c>
      <c r="L1886" s="95" t="s">
        <v>31</v>
      </c>
      <c r="M1886" s="8">
        <v>43374</v>
      </c>
      <c r="N1886" s="8">
        <v>44823</v>
      </c>
      <c r="O1886" s="8">
        <v>44813</v>
      </c>
      <c r="P1886" s="6" t="s">
        <v>35</v>
      </c>
      <c r="Q1886" s="96">
        <v>365</v>
      </c>
      <c r="R1886" s="97">
        <f t="shared" si="70"/>
        <v>1</v>
      </c>
      <c r="S1886" s="75">
        <f t="shared" si="71"/>
        <v>8259</v>
      </c>
      <c r="T1886" s="8"/>
      <c r="U1886" s="8">
        <v>45023</v>
      </c>
      <c r="W1886" s="6" t="s">
        <v>84</v>
      </c>
      <c r="X1886" s="95">
        <v>46057</v>
      </c>
    </row>
    <row r="1887" spans="1:24" ht="30" x14ac:dyDescent="0.25">
      <c r="A1887" s="6" t="s">
        <v>37</v>
      </c>
      <c r="B1887" s="94" t="s">
        <v>5861</v>
      </c>
      <c r="C1887" s="6" t="s">
        <v>5862</v>
      </c>
      <c r="D1887" s="140">
        <v>11642869</v>
      </c>
      <c r="E1887" s="6" t="s">
        <v>2872</v>
      </c>
      <c r="F1887" s="10" t="s">
        <v>44</v>
      </c>
      <c r="G1887" s="6" t="s">
        <v>5863</v>
      </c>
      <c r="H1887" s="8">
        <v>56969</v>
      </c>
      <c r="I1887" s="8">
        <v>43679</v>
      </c>
      <c r="J1887" s="8">
        <v>43689</v>
      </c>
      <c r="K1887" s="95">
        <v>43689</v>
      </c>
      <c r="L1887" s="95" t="s">
        <v>31</v>
      </c>
      <c r="M1887" s="8">
        <v>43693</v>
      </c>
      <c r="N1887" s="8">
        <v>43781</v>
      </c>
      <c r="O1887" s="8">
        <v>43754</v>
      </c>
      <c r="P1887" s="6" t="s">
        <v>52</v>
      </c>
      <c r="R1887" s="97" t="str">
        <f t="shared" si="70"/>
        <v/>
      </c>
      <c r="S1887" s="75" t="str">
        <f t="shared" si="71"/>
        <v/>
      </c>
      <c r="U1887" s="8">
        <v>43782</v>
      </c>
      <c r="W1887" s="6" t="s">
        <v>33</v>
      </c>
      <c r="X1887" s="95">
        <v>48003</v>
      </c>
    </row>
    <row r="1888" spans="1:24" x14ac:dyDescent="0.25">
      <c r="A1888" s="6" t="s">
        <v>37</v>
      </c>
      <c r="B1888" s="94" t="s">
        <v>5864</v>
      </c>
      <c r="C1888" s="6" t="s">
        <v>5865</v>
      </c>
      <c r="D1888" s="140">
        <v>11630396</v>
      </c>
      <c r="E1888" s="6" t="s">
        <v>5866</v>
      </c>
      <c r="F1888" s="10" t="s">
        <v>299</v>
      </c>
      <c r="G1888" s="6" t="s">
        <v>5867</v>
      </c>
      <c r="H1888" s="8">
        <v>50677</v>
      </c>
      <c r="I1888" s="8">
        <v>43677</v>
      </c>
      <c r="J1888" s="8">
        <v>43689</v>
      </c>
      <c r="K1888" s="95">
        <v>43689</v>
      </c>
      <c r="L1888" s="95" t="s">
        <v>31</v>
      </c>
      <c r="M1888" s="8">
        <v>43693</v>
      </c>
      <c r="N1888" s="8">
        <v>43725</v>
      </c>
      <c r="O1888" s="8">
        <v>43717</v>
      </c>
      <c r="P1888" s="6" t="s">
        <v>182</v>
      </c>
      <c r="R1888" s="97" t="str">
        <f t="shared" si="70"/>
        <v/>
      </c>
      <c r="S1888" s="75" t="str">
        <f t="shared" si="71"/>
        <v/>
      </c>
      <c r="U1888" s="8">
        <v>43899</v>
      </c>
      <c r="W1888" s="6" t="s">
        <v>33</v>
      </c>
      <c r="X1888" s="148">
        <v>51302</v>
      </c>
    </row>
    <row r="1889" spans="1:24" ht="30" x14ac:dyDescent="0.25">
      <c r="A1889" s="6" t="s">
        <v>168</v>
      </c>
      <c r="B1889" s="94" t="s">
        <v>1472</v>
      </c>
      <c r="C1889" s="6" t="s">
        <v>5868</v>
      </c>
      <c r="D1889" s="140">
        <v>11052486</v>
      </c>
      <c r="E1889" s="6" t="s">
        <v>5869</v>
      </c>
      <c r="F1889" s="10" t="s">
        <v>121</v>
      </c>
      <c r="G1889" s="6" t="s">
        <v>5870</v>
      </c>
      <c r="H1889" s="8">
        <v>46150</v>
      </c>
      <c r="I1889" s="8">
        <v>43613</v>
      </c>
      <c r="J1889" s="8">
        <v>43626</v>
      </c>
      <c r="K1889" s="95">
        <v>43626</v>
      </c>
      <c r="L1889" s="95" t="s">
        <v>31</v>
      </c>
      <c r="M1889" s="8">
        <v>43635</v>
      </c>
      <c r="N1889" s="8">
        <v>44274</v>
      </c>
      <c r="O1889" s="8">
        <v>43791</v>
      </c>
      <c r="P1889" s="6" t="s">
        <v>75</v>
      </c>
      <c r="R1889" s="97" t="str">
        <f t="shared" si="70"/>
        <v/>
      </c>
      <c r="S1889" s="75" t="str">
        <f t="shared" si="71"/>
        <v/>
      </c>
      <c r="T1889" s="137" t="s">
        <v>5871</v>
      </c>
      <c r="U1889" s="8">
        <v>44274</v>
      </c>
      <c r="W1889" s="6" t="s">
        <v>33</v>
      </c>
      <c r="X1889" s="95">
        <v>48099</v>
      </c>
    </row>
    <row r="1890" spans="1:24" x14ac:dyDescent="0.25">
      <c r="A1890" s="6" t="s">
        <v>37</v>
      </c>
      <c r="B1890" s="94" t="s">
        <v>5872</v>
      </c>
      <c r="C1890" s="6" t="s">
        <v>5873</v>
      </c>
      <c r="D1890" s="140">
        <v>11624468</v>
      </c>
      <c r="E1890" s="6" t="s">
        <v>2787</v>
      </c>
      <c r="F1890" s="10" t="s">
        <v>134</v>
      </c>
      <c r="G1890" s="6" t="s">
        <v>5874</v>
      </c>
      <c r="H1890" s="8">
        <v>49170</v>
      </c>
      <c r="I1890" s="8">
        <v>43684</v>
      </c>
      <c r="J1890" s="8">
        <v>43685</v>
      </c>
      <c r="K1890" s="95">
        <v>43693</v>
      </c>
      <c r="L1890" s="95" t="s">
        <v>31</v>
      </c>
      <c r="M1890" s="8">
        <v>43706</v>
      </c>
      <c r="N1890" s="8">
        <v>43810</v>
      </c>
      <c r="O1890" s="8">
        <v>43789</v>
      </c>
      <c r="P1890" s="6" t="s">
        <v>75</v>
      </c>
      <c r="R1890" s="97" t="str">
        <f t="shared" si="70"/>
        <v/>
      </c>
      <c r="S1890" s="75" t="str">
        <f t="shared" si="71"/>
        <v/>
      </c>
      <c r="U1890" s="8">
        <v>43810</v>
      </c>
      <c r="W1890" s="6" t="s">
        <v>33</v>
      </c>
      <c r="X1890" s="95">
        <v>52582</v>
      </c>
    </row>
    <row r="1891" spans="1:24" x14ac:dyDescent="0.25">
      <c r="A1891" s="6" t="s">
        <v>37</v>
      </c>
      <c r="B1891" s="94" t="s">
        <v>2217</v>
      </c>
      <c r="C1891" s="6" t="s">
        <v>5875</v>
      </c>
      <c r="D1891" s="140">
        <v>11194957</v>
      </c>
      <c r="E1891" s="6" t="s">
        <v>2206</v>
      </c>
      <c r="F1891" s="10" t="s">
        <v>44</v>
      </c>
      <c r="G1891" s="6" t="s">
        <v>5876</v>
      </c>
      <c r="H1891" s="8">
        <v>47625</v>
      </c>
      <c r="I1891" s="8">
        <v>43823</v>
      </c>
      <c r="J1891" s="8">
        <v>43847</v>
      </c>
      <c r="K1891" s="95">
        <v>43852</v>
      </c>
      <c r="L1891" s="95" t="s">
        <v>31</v>
      </c>
      <c r="M1891" s="8">
        <v>43864</v>
      </c>
      <c r="N1891" s="8">
        <v>43899</v>
      </c>
      <c r="O1891" s="8">
        <v>43887</v>
      </c>
      <c r="P1891" s="6" t="s">
        <v>75</v>
      </c>
      <c r="R1891" s="97" t="str">
        <f t="shared" si="70"/>
        <v/>
      </c>
      <c r="S1891" s="75" t="str">
        <f t="shared" si="71"/>
        <v/>
      </c>
      <c r="W1891" s="6" t="s">
        <v>33</v>
      </c>
      <c r="X1891" s="95">
        <v>47499</v>
      </c>
    </row>
    <row r="1892" spans="1:24" x14ac:dyDescent="0.25">
      <c r="A1892" s="6" t="s">
        <v>37</v>
      </c>
      <c r="B1892" s="94" t="s">
        <v>5877</v>
      </c>
      <c r="C1892" s="6" t="s">
        <v>5878</v>
      </c>
      <c r="D1892" s="140">
        <v>11371106</v>
      </c>
      <c r="E1892" s="6" t="s">
        <v>3931</v>
      </c>
      <c r="F1892" s="10" t="s">
        <v>100</v>
      </c>
      <c r="G1892" s="6">
        <v>100002</v>
      </c>
      <c r="H1892" s="8">
        <v>48726</v>
      </c>
      <c r="I1892" s="8">
        <v>44116</v>
      </c>
      <c r="J1892" s="8">
        <v>44127</v>
      </c>
      <c r="K1892" s="95">
        <v>44120</v>
      </c>
      <c r="L1892" s="95" t="s">
        <v>359</v>
      </c>
      <c r="R1892" s="97" t="str">
        <f t="shared" si="70"/>
        <v/>
      </c>
      <c r="S1892" s="75" t="str">
        <f t="shared" si="71"/>
        <v/>
      </c>
      <c r="W1892" s="6" t="s">
        <v>33</v>
      </c>
      <c r="X1892" s="135">
        <v>50761</v>
      </c>
    </row>
    <row r="1893" spans="1:24" x14ac:dyDescent="0.25">
      <c r="A1893" s="6" t="s">
        <v>37</v>
      </c>
      <c r="B1893" s="94" t="s">
        <v>3686</v>
      </c>
      <c r="C1893" s="6" t="s">
        <v>5879</v>
      </c>
      <c r="D1893" s="140">
        <v>11133402</v>
      </c>
      <c r="E1893" s="6" t="s">
        <v>2187</v>
      </c>
      <c r="F1893" s="10" t="s">
        <v>44</v>
      </c>
      <c r="G1893" s="6" t="s">
        <v>5880</v>
      </c>
      <c r="H1893" s="8">
        <v>46112</v>
      </c>
      <c r="I1893" s="8">
        <v>44127</v>
      </c>
      <c r="J1893" s="8">
        <v>44147</v>
      </c>
      <c r="K1893" s="95">
        <v>44148</v>
      </c>
      <c r="L1893" s="95" t="s">
        <v>31</v>
      </c>
      <c r="M1893" s="8">
        <v>44154</v>
      </c>
      <c r="N1893" s="8">
        <v>44252</v>
      </c>
      <c r="O1893" s="8">
        <v>44225</v>
      </c>
      <c r="P1893" s="6" t="s">
        <v>90</v>
      </c>
      <c r="Q1893" s="96">
        <v>1859</v>
      </c>
      <c r="R1893" s="97">
        <f t="shared" si="70"/>
        <v>5.0931506849315067</v>
      </c>
      <c r="S1893" s="75">
        <f t="shared" si="71"/>
        <v>42064.331506849318</v>
      </c>
      <c r="T1893" s="124" t="s">
        <v>5881</v>
      </c>
      <c r="U1893" s="8">
        <v>44252</v>
      </c>
      <c r="V1893" s="6" t="s">
        <v>36</v>
      </c>
      <c r="W1893" s="6" t="s">
        <v>33</v>
      </c>
      <c r="X1893" s="7">
        <v>47051</v>
      </c>
    </row>
    <row r="1894" spans="1:24" x14ac:dyDescent="0.25">
      <c r="A1894" s="6" t="s">
        <v>168</v>
      </c>
      <c r="B1894" s="94" t="s">
        <v>5882</v>
      </c>
      <c r="C1894" s="6" t="s">
        <v>5883</v>
      </c>
      <c r="D1894" s="140">
        <v>11179867</v>
      </c>
      <c r="E1894" s="6" t="s">
        <v>5884</v>
      </c>
      <c r="F1894" s="10" t="s">
        <v>44</v>
      </c>
      <c r="G1894" s="6" t="s">
        <v>5885</v>
      </c>
      <c r="H1894" s="8">
        <v>47223</v>
      </c>
      <c r="I1894" s="8">
        <v>43580</v>
      </c>
      <c r="J1894" s="8">
        <v>43592</v>
      </c>
      <c r="K1894" s="95">
        <v>43592</v>
      </c>
      <c r="L1894" s="95" t="s">
        <v>31</v>
      </c>
      <c r="M1894" s="8">
        <v>43607</v>
      </c>
      <c r="N1894" s="8">
        <v>43661</v>
      </c>
      <c r="O1894" s="8">
        <v>43654</v>
      </c>
      <c r="P1894" s="6" t="s">
        <v>52</v>
      </c>
      <c r="R1894" s="97" t="str">
        <f t="shared" si="70"/>
        <v/>
      </c>
      <c r="S1894" s="75" t="str">
        <f t="shared" si="71"/>
        <v/>
      </c>
      <c r="U1894" s="8">
        <v>43893</v>
      </c>
      <c r="W1894" s="6" t="s">
        <v>84</v>
      </c>
      <c r="X1894" s="95">
        <v>41142</v>
      </c>
    </row>
    <row r="1895" spans="1:24" x14ac:dyDescent="0.25">
      <c r="A1895" s="6" t="s">
        <v>37</v>
      </c>
      <c r="B1895" s="94" t="s">
        <v>5886</v>
      </c>
      <c r="C1895" s="6" t="s">
        <v>5887</v>
      </c>
      <c r="D1895" s="140">
        <v>11886830</v>
      </c>
      <c r="E1895" s="6" t="s">
        <v>5888</v>
      </c>
      <c r="F1895" s="10" t="s">
        <v>44</v>
      </c>
      <c r="G1895" s="6" t="s">
        <v>5889</v>
      </c>
      <c r="H1895" s="8">
        <v>50144</v>
      </c>
      <c r="I1895" s="8">
        <v>44173</v>
      </c>
      <c r="J1895" s="8">
        <v>44180</v>
      </c>
      <c r="K1895" s="95">
        <v>44175</v>
      </c>
      <c r="L1895" s="95" t="s">
        <v>31</v>
      </c>
      <c r="M1895" s="8">
        <v>44218</v>
      </c>
      <c r="N1895" s="8">
        <v>44320</v>
      </c>
      <c r="O1895" s="8">
        <v>44235</v>
      </c>
      <c r="P1895" s="6" t="s">
        <v>75</v>
      </c>
      <c r="R1895" s="97" t="str">
        <f t="shared" si="70"/>
        <v/>
      </c>
      <c r="S1895" s="75" t="str">
        <f t="shared" si="71"/>
        <v/>
      </c>
      <c r="U1895" s="8">
        <v>44320</v>
      </c>
      <c r="W1895" s="6" t="s">
        <v>84</v>
      </c>
      <c r="X1895" s="95">
        <v>45397</v>
      </c>
    </row>
    <row r="1896" spans="1:24" x14ac:dyDescent="0.25">
      <c r="A1896" s="6" t="s">
        <v>37</v>
      </c>
      <c r="B1896" s="94" t="s">
        <v>5890</v>
      </c>
      <c r="C1896" s="6" t="s">
        <v>5891</v>
      </c>
      <c r="D1896" s="140">
        <v>11234703</v>
      </c>
      <c r="E1896" s="6" t="s">
        <v>5801</v>
      </c>
      <c r="F1896" s="10" t="s">
        <v>44</v>
      </c>
      <c r="G1896" s="6" t="s">
        <v>5892</v>
      </c>
      <c r="H1896" s="8">
        <v>45682</v>
      </c>
      <c r="I1896" s="8">
        <v>44089</v>
      </c>
      <c r="J1896" s="8">
        <v>44106</v>
      </c>
      <c r="K1896" s="95">
        <v>44106</v>
      </c>
      <c r="L1896" s="95" t="s">
        <v>31</v>
      </c>
      <c r="M1896" s="8">
        <v>44127</v>
      </c>
      <c r="N1896" s="8">
        <v>44144</v>
      </c>
      <c r="O1896" s="8">
        <v>44133</v>
      </c>
      <c r="P1896" s="6" t="s">
        <v>52</v>
      </c>
      <c r="R1896" s="97" t="str">
        <f t="shared" si="70"/>
        <v/>
      </c>
      <c r="S1896" s="75" t="str">
        <f t="shared" si="71"/>
        <v/>
      </c>
      <c r="T1896" s="124" t="s">
        <v>5893</v>
      </c>
      <c r="U1896" s="8">
        <v>44145</v>
      </c>
      <c r="W1896" s="6" t="s">
        <v>33</v>
      </c>
      <c r="X1896" s="135">
        <v>47510</v>
      </c>
    </row>
    <row r="1897" spans="1:24" x14ac:dyDescent="0.25">
      <c r="A1897" s="6" t="s">
        <v>37</v>
      </c>
      <c r="B1897" s="94" t="s">
        <v>5894</v>
      </c>
      <c r="C1897" s="6" t="s">
        <v>5895</v>
      </c>
      <c r="D1897" s="140">
        <v>11558335</v>
      </c>
      <c r="E1897" s="6" t="s">
        <v>5806</v>
      </c>
      <c r="F1897" s="10" t="s">
        <v>139</v>
      </c>
      <c r="G1897" s="6" t="s">
        <v>5896</v>
      </c>
      <c r="H1897" s="8">
        <v>44883</v>
      </c>
      <c r="I1897" s="8">
        <v>43521</v>
      </c>
      <c r="J1897" s="8">
        <v>43696</v>
      </c>
      <c r="K1897" s="95">
        <v>43698</v>
      </c>
      <c r="L1897" s="95" t="s">
        <v>31</v>
      </c>
      <c r="M1897" s="8">
        <v>43706</v>
      </c>
      <c r="N1897" s="8">
        <v>44021</v>
      </c>
      <c r="P1897" s="6" t="s">
        <v>52</v>
      </c>
      <c r="R1897" s="97" t="str">
        <f t="shared" si="70"/>
        <v/>
      </c>
      <c r="S1897" s="75" t="str">
        <f t="shared" si="71"/>
        <v/>
      </c>
      <c r="W1897" s="6" t="s">
        <v>33</v>
      </c>
      <c r="X1897" s="148">
        <v>44862</v>
      </c>
    </row>
    <row r="1898" spans="1:24" x14ac:dyDescent="0.25">
      <c r="A1898" s="6" t="s">
        <v>168</v>
      </c>
      <c r="B1898" s="94" t="s">
        <v>5897</v>
      </c>
      <c r="C1898" s="6" t="s">
        <v>5898</v>
      </c>
      <c r="D1898" s="140">
        <v>11523614</v>
      </c>
      <c r="E1898" s="6" t="s">
        <v>3354</v>
      </c>
      <c r="F1898" s="10" t="s">
        <v>44</v>
      </c>
      <c r="G1898" s="6" t="s">
        <v>5899</v>
      </c>
      <c r="H1898" s="8">
        <v>50459</v>
      </c>
      <c r="I1898" s="8">
        <v>44173</v>
      </c>
      <c r="K1898" s="95">
        <v>44292</v>
      </c>
      <c r="L1898" s="95" t="s">
        <v>359</v>
      </c>
      <c r="R1898" s="97" t="str">
        <f t="shared" si="70"/>
        <v/>
      </c>
      <c r="S1898" s="75" t="str">
        <f t="shared" si="71"/>
        <v/>
      </c>
      <c r="T1898" s="124" t="s">
        <v>5900</v>
      </c>
      <c r="W1898" s="6" t="s">
        <v>84</v>
      </c>
      <c r="X1898" s="95">
        <v>47407</v>
      </c>
    </row>
    <row r="1899" spans="1:24" x14ac:dyDescent="0.25">
      <c r="A1899" s="6" t="s">
        <v>37</v>
      </c>
      <c r="B1899" s="94" t="s">
        <v>873</v>
      </c>
      <c r="C1899" s="6" t="s">
        <v>5901</v>
      </c>
      <c r="D1899" s="140">
        <v>12103319</v>
      </c>
      <c r="E1899" s="6" t="s">
        <v>2314</v>
      </c>
      <c r="F1899" s="10" t="s">
        <v>293</v>
      </c>
      <c r="G1899" s="6" t="s">
        <v>5902</v>
      </c>
      <c r="H1899" s="8">
        <v>48290</v>
      </c>
      <c r="I1899" s="8">
        <v>44126</v>
      </c>
      <c r="J1899" s="8">
        <v>44174</v>
      </c>
      <c r="K1899" s="95">
        <v>44152</v>
      </c>
      <c r="L1899" s="95" t="s">
        <v>359</v>
      </c>
      <c r="R1899" s="97" t="str">
        <f t="shared" si="70"/>
        <v/>
      </c>
      <c r="S1899" s="75" t="str">
        <f t="shared" si="71"/>
        <v/>
      </c>
      <c r="W1899" s="6" t="s">
        <v>33</v>
      </c>
      <c r="X1899" s="135">
        <v>51385</v>
      </c>
    </row>
    <row r="1900" spans="1:24" x14ac:dyDescent="0.25">
      <c r="A1900" s="6" t="s">
        <v>168</v>
      </c>
      <c r="B1900" s="94" t="s">
        <v>5903</v>
      </c>
      <c r="C1900" s="6" t="s">
        <v>5904</v>
      </c>
      <c r="D1900" s="140">
        <v>11221628</v>
      </c>
      <c r="E1900" s="6" t="s">
        <v>5658</v>
      </c>
      <c r="F1900" s="10" t="s">
        <v>121</v>
      </c>
      <c r="G1900" s="6" t="s">
        <v>5905</v>
      </c>
      <c r="H1900" s="8">
        <v>45022</v>
      </c>
      <c r="I1900" s="8">
        <v>44040</v>
      </c>
      <c r="J1900" s="8">
        <v>44106</v>
      </c>
      <c r="K1900" s="95">
        <v>44106</v>
      </c>
      <c r="L1900" s="95" t="s">
        <v>31</v>
      </c>
      <c r="M1900" s="8">
        <v>44127</v>
      </c>
      <c r="N1900" s="8">
        <v>44336</v>
      </c>
      <c r="O1900" s="8">
        <v>44316</v>
      </c>
      <c r="P1900" s="6" t="s">
        <v>182</v>
      </c>
      <c r="R1900" s="97" t="str">
        <f t="shared" si="70"/>
        <v/>
      </c>
      <c r="S1900" s="75" t="str">
        <f t="shared" si="71"/>
        <v/>
      </c>
      <c r="T1900" s="126"/>
      <c r="U1900" s="8">
        <v>44336</v>
      </c>
      <c r="W1900" s="6" t="s">
        <v>33</v>
      </c>
      <c r="X1900" s="135">
        <v>51169</v>
      </c>
    </row>
    <row r="1901" spans="1:24" x14ac:dyDescent="0.25">
      <c r="A1901" s="6" t="s">
        <v>37</v>
      </c>
      <c r="B1901" s="94" t="s">
        <v>5906</v>
      </c>
      <c r="C1901" s="6" t="s">
        <v>5907</v>
      </c>
      <c r="D1901" s="140">
        <v>12004153</v>
      </c>
      <c r="E1901" s="6" t="s">
        <v>5908</v>
      </c>
      <c r="F1901" s="10" t="s">
        <v>44</v>
      </c>
      <c r="G1901" s="6" t="s">
        <v>5909</v>
      </c>
      <c r="H1901" s="8">
        <v>45160</v>
      </c>
      <c r="I1901" s="8">
        <v>43783</v>
      </c>
      <c r="J1901" s="8">
        <v>43795</v>
      </c>
      <c r="K1901" s="95">
        <v>43796</v>
      </c>
      <c r="L1901" s="95" t="s">
        <v>31</v>
      </c>
      <c r="M1901" s="8">
        <v>43811</v>
      </c>
      <c r="N1901" s="8">
        <v>43881</v>
      </c>
      <c r="O1901" s="8">
        <v>43861</v>
      </c>
      <c r="P1901" s="6" t="s">
        <v>52</v>
      </c>
      <c r="R1901" s="97" t="str">
        <f t="shared" si="70"/>
        <v/>
      </c>
      <c r="S1901" s="75" t="str">
        <f t="shared" si="71"/>
        <v/>
      </c>
      <c r="U1901" s="8">
        <v>43881</v>
      </c>
      <c r="W1901" s="6" t="s">
        <v>33</v>
      </c>
      <c r="X1901" s="95">
        <v>47212</v>
      </c>
    </row>
    <row r="1902" spans="1:24" x14ac:dyDescent="0.25">
      <c r="A1902" s="6" t="s">
        <v>37</v>
      </c>
      <c r="B1902" s="94" t="s">
        <v>1479</v>
      </c>
      <c r="C1902" s="6" t="s">
        <v>5910</v>
      </c>
      <c r="D1902" s="140">
        <v>12108306</v>
      </c>
      <c r="E1902" s="6" t="s">
        <v>5911</v>
      </c>
      <c r="F1902" s="10" t="s">
        <v>205</v>
      </c>
      <c r="G1902" s="6" t="s">
        <v>5912</v>
      </c>
      <c r="H1902" s="8">
        <v>44922</v>
      </c>
      <c r="I1902" s="8">
        <v>44127</v>
      </c>
      <c r="J1902" s="8">
        <v>44147</v>
      </c>
      <c r="K1902" s="95">
        <v>44148</v>
      </c>
      <c r="L1902" s="95" t="s">
        <v>31</v>
      </c>
      <c r="M1902" s="8">
        <v>44159</v>
      </c>
      <c r="R1902" s="97" t="str">
        <f t="shared" si="70"/>
        <v/>
      </c>
      <c r="S1902" s="75" t="str">
        <f t="shared" si="71"/>
        <v/>
      </c>
      <c r="T1902" s="129" t="s">
        <v>5913</v>
      </c>
      <c r="U1902" s="8">
        <v>44783</v>
      </c>
      <c r="W1902" s="6" t="s">
        <v>33</v>
      </c>
      <c r="X1902" s="7">
        <v>51688</v>
      </c>
    </row>
    <row r="1903" spans="1:24" x14ac:dyDescent="0.25">
      <c r="A1903" s="6" t="s">
        <v>37</v>
      </c>
      <c r="B1903" s="94" t="s">
        <v>5914</v>
      </c>
      <c r="C1903" s="6" t="s">
        <v>5915</v>
      </c>
      <c r="D1903" s="140">
        <v>11143719</v>
      </c>
      <c r="E1903" s="6" t="s">
        <v>5916</v>
      </c>
      <c r="F1903" s="10" t="s">
        <v>44</v>
      </c>
      <c r="G1903" s="6" t="s">
        <v>5917</v>
      </c>
      <c r="H1903" s="8">
        <v>47035</v>
      </c>
      <c r="I1903" s="8">
        <v>44180</v>
      </c>
      <c r="J1903" s="8">
        <v>44183</v>
      </c>
      <c r="K1903" s="95">
        <v>44181</v>
      </c>
      <c r="L1903" s="95" t="s">
        <v>31</v>
      </c>
      <c r="M1903" s="8">
        <v>44218</v>
      </c>
      <c r="R1903" s="97" t="str">
        <f t="shared" si="70"/>
        <v/>
      </c>
      <c r="S1903" s="75" t="str">
        <f t="shared" si="71"/>
        <v/>
      </c>
      <c r="W1903" s="6" t="s">
        <v>33</v>
      </c>
      <c r="X1903" s="95">
        <v>48950</v>
      </c>
    </row>
    <row r="1904" spans="1:24" ht="30" x14ac:dyDescent="0.25">
      <c r="A1904" s="6" t="s">
        <v>168</v>
      </c>
      <c r="B1904" s="94" t="s">
        <v>5918</v>
      </c>
      <c r="C1904" s="6" t="s">
        <v>5919</v>
      </c>
      <c r="D1904" s="140">
        <v>11281238</v>
      </c>
      <c r="E1904" s="6" t="s">
        <v>5920</v>
      </c>
      <c r="F1904" s="10" t="s">
        <v>1334</v>
      </c>
      <c r="G1904" s="6" t="s">
        <v>5921</v>
      </c>
      <c r="H1904" s="8">
        <v>44477</v>
      </c>
      <c r="I1904" s="8">
        <v>43885</v>
      </c>
      <c r="J1904" s="8">
        <v>43909</v>
      </c>
      <c r="R1904" s="97" t="str">
        <f t="shared" si="70"/>
        <v/>
      </c>
      <c r="S1904" s="75" t="str">
        <f t="shared" si="71"/>
        <v/>
      </c>
      <c r="T1904" s="124" t="s">
        <v>5922</v>
      </c>
      <c r="U1904" s="8">
        <v>45002</v>
      </c>
      <c r="W1904" s="6" t="s">
        <v>33</v>
      </c>
      <c r="X1904" s="95">
        <v>49977</v>
      </c>
    </row>
    <row r="1905" spans="1:24" x14ac:dyDescent="0.25">
      <c r="A1905" s="6" t="s">
        <v>168</v>
      </c>
      <c r="B1905" s="94" t="s">
        <v>5923</v>
      </c>
      <c r="C1905" s="6" t="s">
        <v>5924</v>
      </c>
      <c r="D1905" s="140">
        <v>11895406</v>
      </c>
      <c r="E1905" s="6" t="s">
        <v>3290</v>
      </c>
      <c r="F1905" s="10" t="s">
        <v>44</v>
      </c>
      <c r="G1905" s="6" t="s">
        <v>5925</v>
      </c>
      <c r="H1905" s="8">
        <v>45311</v>
      </c>
      <c r="I1905" s="8">
        <v>44153</v>
      </c>
      <c r="J1905" s="8">
        <v>44218</v>
      </c>
      <c r="K1905" s="95">
        <v>44218</v>
      </c>
      <c r="L1905" s="95" t="s">
        <v>31</v>
      </c>
      <c r="M1905" s="8">
        <v>44230</v>
      </c>
      <c r="N1905" s="8">
        <v>44263</v>
      </c>
      <c r="O1905" s="8">
        <v>44245</v>
      </c>
      <c r="P1905" s="6" t="s">
        <v>52</v>
      </c>
      <c r="R1905" s="97" t="str">
        <f t="shared" si="70"/>
        <v/>
      </c>
      <c r="S1905" s="75" t="str">
        <f t="shared" si="71"/>
        <v/>
      </c>
      <c r="U1905" s="8">
        <v>44263</v>
      </c>
      <c r="W1905" s="6" t="s">
        <v>84</v>
      </c>
      <c r="X1905" s="95">
        <v>45152</v>
      </c>
    </row>
    <row r="1906" spans="1:24" x14ac:dyDescent="0.25">
      <c r="A1906" s="6" t="s">
        <v>37</v>
      </c>
      <c r="B1906" s="94" t="s">
        <v>5926</v>
      </c>
      <c r="C1906" s="6" t="s">
        <v>5927</v>
      </c>
      <c r="D1906" s="140">
        <v>11480644</v>
      </c>
      <c r="E1906" s="6" t="s">
        <v>5928</v>
      </c>
      <c r="F1906" s="10" t="s">
        <v>44</v>
      </c>
      <c r="G1906" s="6" t="s">
        <v>5929</v>
      </c>
      <c r="H1906" s="8">
        <v>47383</v>
      </c>
      <c r="I1906" s="8">
        <v>44118</v>
      </c>
      <c r="J1906" s="8">
        <v>44127</v>
      </c>
      <c r="K1906" s="95">
        <v>44144</v>
      </c>
      <c r="L1906" s="95" t="s">
        <v>359</v>
      </c>
      <c r="R1906" s="97" t="str">
        <f t="shared" si="70"/>
        <v/>
      </c>
      <c r="S1906" s="75" t="str">
        <f t="shared" si="71"/>
        <v/>
      </c>
      <c r="W1906" s="6" t="s">
        <v>33</v>
      </c>
      <c r="X1906" s="135">
        <v>48803</v>
      </c>
    </row>
    <row r="1907" spans="1:24" x14ac:dyDescent="0.25">
      <c r="A1907" s="6" t="s">
        <v>37</v>
      </c>
      <c r="B1907" s="94" t="s">
        <v>2113</v>
      </c>
      <c r="C1907" s="6" t="s">
        <v>5930</v>
      </c>
      <c r="D1907" s="140">
        <v>11603975</v>
      </c>
      <c r="E1907" s="6" t="s">
        <v>5931</v>
      </c>
      <c r="F1907" s="10" t="s">
        <v>44</v>
      </c>
      <c r="G1907" s="6" t="s">
        <v>5932</v>
      </c>
      <c r="H1907" s="8">
        <v>46861</v>
      </c>
      <c r="I1907" s="8">
        <v>44088</v>
      </c>
      <c r="J1907" s="8">
        <v>44106</v>
      </c>
      <c r="K1907" s="95">
        <v>44106</v>
      </c>
      <c r="L1907" s="95" t="s">
        <v>31</v>
      </c>
      <c r="M1907" s="8">
        <v>44127</v>
      </c>
      <c r="N1907" s="8">
        <v>44320</v>
      </c>
      <c r="O1907" s="8">
        <v>44284</v>
      </c>
      <c r="P1907" s="6" t="s">
        <v>35</v>
      </c>
      <c r="Q1907" s="96">
        <v>1462</v>
      </c>
      <c r="R1907" s="97">
        <f t="shared" si="70"/>
        <v>4.0054794520547947</v>
      </c>
      <c r="S1907" s="75">
        <f t="shared" si="71"/>
        <v>33081.254794520552</v>
      </c>
      <c r="U1907" s="8">
        <v>44320</v>
      </c>
      <c r="W1907" s="6" t="s">
        <v>33</v>
      </c>
      <c r="X1907" s="135">
        <v>53967</v>
      </c>
    </row>
    <row r="1908" spans="1:24" ht="60" x14ac:dyDescent="0.25">
      <c r="A1908" s="6" t="s">
        <v>37</v>
      </c>
      <c r="B1908" s="94" t="s">
        <v>5933</v>
      </c>
      <c r="C1908" s="6" t="s">
        <v>5934</v>
      </c>
      <c r="D1908" s="140">
        <v>11243152</v>
      </c>
      <c r="E1908" s="6" t="s">
        <v>5935</v>
      </c>
      <c r="F1908" s="10" t="s">
        <v>252</v>
      </c>
      <c r="G1908" s="6">
        <v>101709</v>
      </c>
      <c r="H1908" s="8">
        <v>45209</v>
      </c>
      <c r="I1908" s="8">
        <v>43634</v>
      </c>
      <c r="J1908" s="8">
        <v>43655</v>
      </c>
      <c r="K1908" s="95">
        <v>43655</v>
      </c>
      <c r="L1908" s="95" t="s">
        <v>31</v>
      </c>
      <c r="M1908" s="8">
        <v>43656</v>
      </c>
      <c r="N1908" s="8">
        <v>44481</v>
      </c>
      <c r="O1908" s="8">
        <v>44463</v>
      </c>
      <c r="P1908" s="6" t="s">
        <v>35</v>
      </c>
      <c r="Q1908" s="96">
        <v>699</v>
      </c>
      <c r="R1908" s="97">
        <f t="shared" si="70"/>
        <v>1.9150684931506849</v>
      </c>
      <c r="S1908" s="75">
        <f t="shared" si="71"/>
        <v>15816.550684931508</v>
      </c>
      <c r="T1908" s="124" t="s">
        <v>5936</v>
      </c>
      <c r="U1908" s="8">
        <v>44481</v>
      </c>
      <c r="W1908" s="6" t="s">
        <v>33</v>
      </c>
      <c r="X1908" s="148">
        <v>46012</v>
      </c>
    </row>
    <row r="1909" spans="1:24" x14ac:dyDescent="0.25">
      <c r="A1909" s="6" t="s">
        <v>168</v>
      </c>
      <c r="B1909" s="94" t="s">
        <v>5937</v>
      </c>
      <c r="C1909" s="6" t="s">
        <v>5938</v>
      </c>
      <c r="D1909" s="140">
        <v>11122479</v>
      </c>
      <c r="E1909" s="6" t="s">
        <v>5939</v>
      </c>
      <c r="F1909" s="10" t="s">
        <v>44</v>
      </c>
      <c r="G1909" s="6" t="s">
        <v>5940</v>
      </c>
      <c r="H1909" s="8">
        <v>45251</v>
      </c>
      <c r="I1909" s="8">
        <v>43615</v>
      </c>
      <c r="J1909" s="8">
        <v>43628</v>
      </c>
      <c r="K1909" s="95">
        <v>43628</v>
      </c>
      <c r="L1909" s="95" t="s">
        <v>31</v>
      </c>
      <c r="M1909" s="8">
        <v>43635</v>
      </c>
      <c r="N1909" s="8">
        <v>44141</v>
      </c>
      <c r="O1909" s="8">
        <v>44140</v>
      </c>
      <c r="P1909" s="6" t="s">
        <v>90</v>
      </c>
      <c r="Q1909" s="96">
        <v>1707</v>
      </c>
      <c r="R1909" s="97">
        <f t="shared" si="70"/>
        <v>4.6767123287671231</v>
      </c>
      <c r="S1909" s="75">
        <f t="shared" si="71"/>
        <v>38624.967123287672</v>
      </c>
      <c r="T1909" s="124" t="s">
        <v>4364</v>
      </c>
      <c r="U1909" s="8">
        <v>44145</v>
      </c>
      <c r="V1909" s="6" t="s">
        <v>36</v>
      </c>
      <c r="W1909" s="6" t="s">
        <v>84</v>
      </c>
      <c r="X1909" s="95">
        <v>45855</v>
      </c>
    </row>
    <row r="1910" spans="1:24" x14ac:dyDescent="0.25">
      <c r="A1910" s="6" t="s">
        <v>37</v>
      </c>
      <c r="B1910" s="94" t="s">
        <v>5941</v>
      </c>
      <c r="C1910" s="6" t="s">
        <v>5942</v>
      </c>
      <c r="D1910" s="140">
        <v>11154657</v>
      </c>
      <c r="E1910" s="6" t="s">
        <v>5943</v>
      </c>
      <c r="F1910" s="10" t="s">
        <v>299</v>
      </c>
      <c r="G1910" s="6" t="s">
        <v>5944</v>
      </c>
      <c r="H1910" s="8">
        <v>48024</v>
      </c>
      <c r="I1910" s="8">
        <v>43874</v>
      </c>
      <c r="J1910" s="8">
        <v>43886</v>
      </c>
      <c r="K1910" s="95">
        <v>44281</v>
      </c>
      <c r="L1910" s="95" t="s">
        <v>31</v>
      </c>
      <c r="M1910" s="8">
        <v>44291</v>
      </c>
      <c r="N1910" s="108">
        <v>44740</v>
      </c>
      <c r="O1910" s="108">
        <v>44707</v>
      </c>
      <c r="P1910" s="107" t="s">
        <v>35</v>
      </c>
      <c r="Q1910" s="110">
        <v>2191</v>
      </c>
      <c r="R1910" s="97">
        <f t="shared" si="70"/>
        <v>6.0027397260273974</v>
      </c>
      <c r="S1910" s="75">
        <f t="shared" si="71"/>
        <v>49576.627397260272</v>
      </c>
      <c r="U1910" s="8">
        <v>44776</v>
      </c>
      <c r="W1910" s="6" t="s">
        <v>33</v>
      </c>
      <c r="X1910" s="95">
        <v>49393</v>
      </c>
    </row>
    <row r="1911" spans="1:24" x14ac:dyDescent="0.25">
      <c r="A1911" s="6" t="s">
        <v>37</v>
      </c>
      <c r="B1911" s="94" t="s">
        <v>5945</v>
      </c>
      <c r="C1911" s="6" t="s">
        <v>5946</v>
      </c>
      <c r="D1911" s="147">
        <v>11371598</v>
      </c>
      <c r="E1911" s="6" t="s">
        <v>5763</v>
      </c>
      <c r="F1911" s="10" t="s">
        <v>139</v>
      </c>
      <c r="G1911" s="6" t="s">
        <v>5947</v>
      </c>
      <c r="H1911" s="8">
        <v>46441</v>
      </c>
      <c r="I1911" s="8">
        <v>44042</v>
      </c>
      <c r="J1911" s="8">
        <v>44085</v>
      </c>
      <c r="K1911" s="95">
        <v>44088</v>
      </c>
      <c r="L1911" s="95" t="s">
        <v>31</v>
      </c>
      <c r="M1911" s="8">
        <v>44099</v>
      </c>
      <c r="R1911" s="97" t="str">
        <f t="shared" si="70"/>
        <v/>
      </c>
      <c r="S1911" s="75" t="str">
        <f t="shared" si="71"/>
        <v/>
      </c>
      <c r="W1911" s="6" t="s">
        <v>33</v>
      </c>
      <c r="X1911" s="135">
        <v>54998</v>
      </c>
    </row>
    <row r="1912" spans="1:24" ht="30" x14ac:dyDescent="0.25">
      <c r="A1912" s="6" t="s">
        <v>37</v>
      </c>
      <c r="B1912" s="94" t="s">
        <v>5948</v>
      </c>
      <c r="C1912" s="6" t="s">
        <v>5949</v>
      </c>
      <c r="D1912" s="140">
        <v>11370232</v>
      </c>
      <c r="E1912" s="6" t="s">
        <v>5950</v>
      </c>
      <c r="F1912" s="10" t="s">
        <v>57</v>
      </c>
      <c r="G1912" s="6" t="s">
        <v>5951</v>
      </c>
      <c r="H1912" s="8">
        <v>44510</v>
      </c>
      <c r="I1912" s="8">
        <v>43493</v>
      </c>
      <c r="J1912" s="8">
        <v>43502</v>
      </c>
      <c r="K1912" s="95">
        <v>43504</v>
      </c>
      <c r="L1912" s="95" t="s">
        <v>31</v>
      </c>
      <c r="M1912" s="8">
        <v>43515</v>
      </c>
      <c r="N1912" s="8">
        <v>43816</v>
      </c>
      <c r="O1912" s="8">
        <v>43805</v>
      </c>
      <c r="P1912" s="6" t="s">
        <v>90</v>
      </c>
      <c r="Q1912" s="96">
        <v>974</v>
      </c>
      <c r="R1912" s="97">
        <f t="shared" si="70"/>
        <v>2.6684931506849314</v>
      </c>
      <c r="S1912" s="75">
        <f t="shared" si="71"/>
        <v>22039.084931506852</v>
      </c>
      <c r="T1912" s="124" t="s">
        <v>5952</v>
      </c>
      <c r="U1912" s="8">
        <v>43816</v>
      </c>
      <c r="W1912" s="6" t="s">
        <v>33</v>
      </c>
      <c r="X1912" s="95">
        <v>54596</v>
      </c>
    </row>
    <row r="1913" spans="1:24" x14ac:dyDescent="0.25">
      <c r="A1913" s="6" t="s">
        <v>37</v>
      </c>
      <c r="B1913" s="94" t="s">
        <v>178</v>
      </c>
      <c r="C1913" s="6" t="s">
        <v>5953</v>
      </c>
      <c r="D1913" s="140">
        <v>11583987</v>
      </c>
      <c r="E1913" s="6" t="s">
        <v>5954</v>
      </c>
      <c r="F1913" s="10" t="s">
        <v>44</v>
      </c>
      <c r="G1913" s="6" t="s">
        <v>5955</v>
      </c>
      <c r="H1913" s="8">
        <v>44701</v>
      </c>
      <c r="I1913" s="8">
        <v>44139</v>
      </c>
      <c r="J1913" s="8">
        <v>44174</v>
      </c>
      <c r="K1913" s="95">
        <v>44175</v>
      </c>
      <c r="L1913" s="95" t="s">
        <v>31</v>
      </c>
      <c r="M1913" s="8">
        <v>44183</v>
      </c>
      <c r="N1913" s="8">
        <v>44273</v>
      </c>
      <c r="O1913" s="8">
        <v>44263</v>
      </c>
      <c r="P1913" s="6" t="s">
        <v>75</v>
      </c>
      <c r="R1913" s="97" t="str">
        <f t="shared" si="70"/>
        <v/>
      </c>
      <c r="S1913" s="75" t="str">
        <f t="shared" si="71"/>
        <v/>
      </c>
      <c r="U1913" s="8">
        <v>44273</v>
      </c>
      <c r="W1913" s="6" t="s">
        <v>33</v>
      </c>
      <c r="X1913" s="135">
        <v>50368</v>
      </c>
    </row>
    <row r="1914" spans="1:24" x14ac:dyDescent="0.25">
      <c r="A1914" s="6" t="s">
        <v>37</v>
      </c>
      <c r="B1914" s="94" t="s">
        <v>5956</v>
      </c>
      <c r="C1914" s="6" t="s">
        <v>5957</v>
      </c>
      <c r="D1914" s="140">
        <v>12132198</v>
      </c>
      <c r="E1914" s="6" t="s">
        <v>5658</v>
      </c>
      <c r="F1914" s="10" t="s">
        <v>139</v>
      </c>
      <c r="G1914" s="6" t="s">
        <v>5958</v>
      </c>
      <c r="H1914" s="8">
        <v>45408</v>
      </c>
      <c r="I1914" s="8">
        <v>44103</v>
      </c>
      <c r="J1914" s="8">
        <v>44111</v>
      </c>
      <c r="K1914" s="95">
        <v>44112</v>
      </c>
      <c r="L1914" s="95" t="s">
        <v>31</v>
      </c>
      <c r="M1914" s="8">
        <v>44141</v>
      </c>
      <c r="N1914" s="8">
        <v>44740</v>
      </c>
      <c r="O1914" s="8">
        <v>44708</v>
      </c>
      <c r="P1914" s="6" t="s">
        <v>35</v>
      </c>
      <c r="Q1914" s="96">
        <v>434</v>
      </c>
      <c r="R1914" s="97">
        <f t="shared" si="70"/>
        <v>1.189041095890411</v>
      </c>
      <c r="S1914" s="75">
        <f t="shared" si="71"/>
        <v>9820.2904109589035</v>
      </c>
      <c r="U1914" s="8">
        <v>44741</v>
      </c>
      <c r="W1914" s="6" t="s">
        <v>33</v>
      </c>
      <c r="X1914" s="149">
        <v>54211</v>
      </c>
    </row>
    <row r="1915" spans="1:24" x14ac:dyDescent="0.25">
      <c r="A1915" s="6" t="s">
        <v>37</v>
      </c>
      <c r="B1915" s="94" t="s">
        <v>5959</v>
      </c>
      <c r="C1915" s="6" t="s">
        <v>5960</v>
      </c>
      <c r="D1915" s="140">
        <v>11982885</v>
      </c>
      <c r="E1915" s="6" t="s">
        <v>3266</v>
      </c>
      <c r="F1915" s="10" t="s">
        <v>121</v>
      </c>
      <c r="G1915" s="6" t="s">
        <v>5961</v>
      </c>
      <c r="H1915" s="8">
        <v>46355</v>
      </c>
      <c r="I1915" s="8">
        <v>44109</v>
      </c>
      <c r="J1915" s="8">
        <v>44139</v>
      </c>
      <c r="K1915" s="95">
        <v>44144</v>
      </c>
      <c r="L1915" s="95" t="s">
        <v>31</v>
      </c>
      <c r="M1915" s="8">
        <v>44147</v>
      </c>
      <c r="N1915" s="8">
        <v>44181</v>
      </c>
      <c r="O1915" s="8">
        <v>44158</v>
      </c>
      <c r="P1915" s="6" t="s">
        <v>52</v>
      </c>
      <c r="R1915" s="97" t="str">
        <f t="shared" si="70"/>
        <v/>
      </c>
      <c r="S1915" s="75" t="str">
        <f t="shared" si="71"/>
        <v/>
      </c>
      <c r="U1915" s="8">
        <v>44181</v>
      </c>
      <c r="W1915" s="6" t="s">
        <v>33</v>
      </c>
      <c r="X1915" s="135">
        <v>52585</v>
      </c>
    </row>
    <row r="1916" spans="1:24" x14ac:dyDescent="0.25">
      <c r="A1916" s="6" t="s">
        <v>37</v>
      </c>
      <c r="B1916" s="94" t="s">
        <v>492</v>
      </c>
      <c r="C1916" s="6" t="s">
        <v>5962</v>
      </c>
      <c r="D1916" s="140">
        <v>11959250</v>
      </c>
      <c r="E1916" s="6" t="s">
        <v>2568</v>
      </c>
      <c r="F1916" s="10" t="s">
        <v>44</v>
      </c>
      <c r="G1916" s="6" t="s">
        <v>5963</v>
      </c>
      <c r="H1916" s="8">
        <v>44705</v>
      </c>
      <c r="I1916" s="8">
        <v>44082</v>
      </c>
      <c r="J1916" s="8">
        <v>44106</v>
      </c>
      <c r="K1916" s="95">
        <v>44106</v>
      </c>
      <c r="L1916" s="95" t="s">
        <v>31</v>
      </c>
      <c r="M1916" s="8">
        <v>44141</v>
      </c>
      <c r="R1916" s="97" t="str">
        <f t="shared" si="70"/>
        <v/>
      </c>
      <c r="S1916" s="75" t="str">
        <f t="shared" si="71"/>
        <v/>
      </c>
      <c r="T1916" s="129" t="s">
        <v>5964</v>
      </c>
      <c r="U1916" s="8">
        <v>44783</v>
      </c>
      <c r="W1916" s="6" t="s">
        <v>33</v>
      </c>
      <c r="X1916" s="135">
        <v>51401</v>
      </c>
    </row>
    <row r="1917" spans="1:24" x14ac:dyDescent="0.25">
      <c r="A1917" s="6" t="s">
        <v>37</v>
      </c>
      <c r="B1917" s="94" t="s">
        <v>5965</v>
      </c>
      <c r="C1917" s="6" t="s">
        <v>5966</v>
      </c>
      <c r="D1917" s="140">
        <v>12133395</v>
      </c>
      <c r="E1917" s="6" t="s">
        <v>5658</v>
      </c>
      <c r="F1917" s="10" t="s">
        <v>143</v>
      </c>
      <c r="G1917" s="6" t="s">
        <v>5967</v>
      </c>
      <c r="H1917" s="8">
        <v>46279</v>
      </c>
      <c r="I1917" s="8">
        <v>44277</v>
      </c>
      <c r="J1917" s="8">
        <v>44279</v>
      </c>
      <c r="K1917" s="95">
        <v>44279</v>
      </c>
      <c r="L1917" s="95" t="s">
        <v>31</v>
      </c>
      <c r="M1917" s="8">
        <v>44292</v>
      </c>
      <c r="N1917" s="8">
        <v>44847</v>
      </c>
      <c r="O1917" s="8">
        <v>44845</v>
      </c>
      <c r="P1917" s="6" t="s">
        <v>35</v>
      </c>
      <c r="Q1917" s="96">
        <v>1086</v>
      </c>
      <c r="R1917" s="97">
        <f t="shared" si="70"/>
        <v>2.9753424657534246</v>
      </c>
      <c r="S1917" s="75">
        <f t="shared" si="71"/>
        <v>24573.353424657536</v>
      </c>
      <c r="U1917" s="8">
        <v>44908</v>
      </c>
      <c r="W1917" s="6" t="s">
        <v>33</v>
      </c>
      <c r="X1917" s="7">
        <v>50106</v>
      </c>
    </row>
    <row r="1918" spans="1:24" ht="30" x14ac:dyDescent="0.25">
      <c r="A1918" s="6" t="s">
        <v>37</v>
      </c>
      <c r="B1918" s="94" t="s">
        <v>5968</v>
      </c>
      <c r="C1918" s="6" t="s">
        <v>5969</v>
      </c>
      <c r="D1918" s="140">
        <v>11738813</v>
      </c>
      <c r="E1918" s="6" t="s">
        <v>3671</v>
      </c>
      <c r="F1918" s="10" t="s">
        <v>44</v>
      </c>
      <c r="G1918" s="6" t="s">
        <v>5970</v>
      </c>
      <c r="H1918" s="8">
        <v>49277</v>
      </c>
      <c r="I1918" s="8">
        <v>43671</v>
      </c>
      <c r="J1918" s="8">
        <v>43677</v>
      </c>
      <c r="K1918" s="95">
        <v>43677</v>
      </c>
      <c r="L1918" s="95" t="s">
        <v>31</v>
      </c>
      <c r="M1918" s="8">
        <v>43678</v>
      </c>
      <c r="N1918" s="8">
        <v>43712</v>
      </c>
      <c r="O1918" s="8">
        <v>43698</v>
      </c>
      <c r="P1918" s="6" t="s">
        <v>52</v>
      </c>
      <c r="R1918" s="97" t="str">
        <f t="shared" si="70"/>
        <v/>
      </c>
      <c r="S1918" s="75" t="str">
        <f t="shared" si="71"/>
        <v/>
      </c>
      <c r="T1918" s="124" t="s">
        <v>5971</v>
      </c>
      <c r="U1918" s="8">
        <v>43712</v>
      </c>
      <c r="W1918" s="6" t="s">
        <v>33</v>
      </c>
      <c r="X1918" s="95">
        <v>49823</v>
      </c>
    </row>
    <row r="1919" spans="1:24" x14ac:dyDescent="0.25">
      <c r="A1919" s="6" t="s">
        <v>37</v>
      </c>
      <c r="B1919" s="94" t="s">
        <v>5972</v>
      </c>
      <c r="C1919" s="6" t="s">
        <v>5973</v>
      </c>
      <c r="D1919" s="140">
        <v>11603720</v>
      </c>
      <c r="E1919" s="6" t="s">
        <v>5974</v>
      </c>
      <c r="F1919" s="10" t="s">
        <v>299</v>
      </c>
      <c r="G1919" s="6" t="s">
        <v>5975</v>
      </c>
      <c r="H1919" s="8">
        <v>47412</v>
      </c>
      <c r="I1919" s="8">
        <v>44277</v>
      </c>
      <c r="J1919" s="8">
        <v>44279</v>
      </c>
      <c r="K1919" s="95">
        <v>44281</v>
      </c>
      <c r="L1919" s="95" t="s">
        <v>31</v>
      </c>
      <c r="M1919" s="8">
        <v>44291</v>
      </c>
      <c r="N1919" s="8">
        <v>44336</v>
      </c>
      <c r="O1919" s="8">
        <v>44319</v>
      </c>
      <c r="P1919" s="6" t="s">
        <v>75</v>
      </c>
      <c r="R1919" s="97" t="str">
        <f t="shared" si="70"/>
        <v/>
      </c>
      <c r="S1919" s="75" t="str">
        <f t="shared" si="71"/>
        <v/>
      </c>
      <c r="U1919" s="8">
        <v>44336</v>
      </c>
      <c r="W1919" s="6" t="s">
        <v>33</v>
      </c>
      <c r="X1919" s="7">
        <v>45033</v>
      </c>
    </row>
    <row r="1920" spans="1:24" x14ac:dyDescent="0.25">
      <c r="A1920" s="6" t="s">
        <v>37</v>
      </c>
      <c r="B1920" s="94" t="s">
        <v>1234</v>
      </c>
      <c r="C1920" s="6" t="s">
        <v>5976</v>
      </c>
      <c r="D1920" s="140">
        <v>12118711</v>
      </c>
      <c r="E1920" s="6" t="s">
        <v>5977</v>
      </c>
      <c r="F1920" s="10" t="s">
        <v>205</v>
      </c>
      <c r="G1920" s="6" t="s">
        <v>5978</v>
      </c>
      <c r="H1920" s="8">
        <v>45036</v>
      </c>
      <c r="I1920" s="8">
        <v>43790</v>
      </c>
      <c r="J1920" s="8">
        <v>43810</v>
      </c>
      <c r="K1920" s="95">
        <v>43810</v>
      </c>
      <c r="L1920" s="95" t="s">
        <v>31</v>
      </c>
      <c r="M1920" s="8">
        <v>43818</v>
      </c>
      <c r="N1920" s="8">
        <v>44504</v>
      </c>
      <c r="O1920" s="8">
        <v>44351</v>
      </c>
      <c r="P1920" s="6" t="s">
        <v>75</v>
      </c>
      <c r="R1920" s="97" t="str">
        <f t="shared" si="70"/>
        <v/>
      </c>
      <c r="S1920" s="75" t="str">
        <f t="shared" si="71"/>
        <v/>
      </c>
      <c r="T1920" s="124" t="s">
        <v>5979</v>
      </c>
      <c r="U1920" s="8">
        <v>44504</v>
      </c>
      <c r="W1920" s="6" t="s">
        <v>33</v>
      </c>
      <c r="X1920" s="95">
        <v>46585</v>
      </c>
    </row>
    <row r="1921" spans="1:24" ht="30" x14ac:dyDescent="0.25">
      <c r="A1921" s="6" t="s">
        <v>37</v>
      </c>
      <c r="B1921" s="94" t="s">
        <v>1234</v>
      </c>
      <c r="C1921" s="6" t="s">
        <v>5980</v>
      </c>
      <c r="D1921" s="140">
        <v>11913496</v>
      </c>
      <c r="E1921" s="6" t="s">
        <v>5746</v>
      </c>
      <c r="F1921" s="10" t="s">
        <v>363</v>
      </c>
      <c r="G1921" s="6">
        <v>1017612</v>
      </c>
      <c r="H1921" s="8">
        <v>45540</v>
      </c>
      <c r="I1921" s="8">
        <v>43726</v>
      </c>
      <c r="J1921" s="8">
        <v>43741</v>
      </c>
      <c r="K1921" s="95">
        <v>43753</v>
      </c>
      <c r="L1921" s="95" t="s">
        <v>31</v>
      </c>
      <c r="M1921" s="8">
        <v>43755</v>
      </c>
      <c r="N1921" s="8">
        <v>43888</v>
      </c>
      <c r="O1921" s="8">
        <v>43879</v>
      </c>
      <c r="P1921" s="6" t="s">
        <v>75</v>
      </c>
      <c r="R1921" s="97" t="str">
        <f t="shared" si="70"/>
        <v/>
      </c>
      <c r="S1921" s="75" t="str">
        <f t="shared" si="71"/>
        <v/>
      </c>
      <c r="T1921" s="124" t="s">
        <v>5981</v>
      </c>
      <c r="U1921" s="8">
        <v>43888</v>
      </c>
      <c r="W1921" s="6" t="s">
        <v>33</v>
      </c>
      <c r="X1921" s="95">
        <v>41992</v>
      </c>
    </row>
    <row r="1922" spans="1:24" x14ac:dyDescent="0.25">
      <c r="A1922" s="6" t="s">
        <v>37</v>
      </c>
      <c r="B1922" s="94" t="s">
        <v>5982</v>
      </c>
      <c r="C1922" s="6" t="s">
        <v>5983</v>
      </c>
      <c r="D1922" s="140">
        <v>12109968</v>
      </c>
      <c r="E1922" s="6" t="s">
        <v>3102</v>
      </c>
      <c r="F1922" s="10" t="s">
        <v>44</v>
      </c>
      <c r="G1922" s="6" t="s">
        <v>5984</v>
      </c>
      <c r="H1922" s="8">
        <v>47375</v>
      </c>
      <c r="I1922" s="8">
        <v>44127</v>
      </c>
      <c r="J1922" s="8">
        <v>44147</v>
      </c>
      <c r="K1922" s="95">
        <v>44148</v>
      </c>
      <c r="L1922" s="95" t="s">
        <v>359</v>
      </c>
      <c r="R1922" s="97" t="str">
        <f t="shared" si="70"/>
        <v/>
      </c>
      <c r="S1922" s="75" t="str">
        <f t="shared" si="71"/>
        <v/>
      </c>
      <c r="W1922" s="6" t="s">
        <v>33</v>
      </c>
      <c r="X1922" s="7">
        <v>46215</v>
      </c>
    </row>
    <row r="1923" spans="1:24" x14ac:dyDescent="0.25">
      <c r="A1923" s="6" t="s">
        <v>37</v>
      </c>
      <c r="B1923" s="94" t="s">
        <v>1234</v>
      </c>
      <c r="C1923" s="6" t="s">
        <v>5985</v>
      </c>
      <c r="D1923" s="140">
        <v>11677876</v>
      </c>
      <c r="E1923" s="6" t="s">
        <v>3222</v>
      </c>
      <c r="F1923" s="10" t="s">
        <v>44</v>
      </c>
      <c r="G1923" s="6" t="s">
        <v>840</v>
      </c>
      <c r="H1923" s="8">
        <v>45668</v>
      </c>
      <c r="I1923" s="8">
        <v>44256</v>
      </c>
      <c r="J1923" s="8">
        <v>44267</v>
      </c>
      <c r="K1923" s="95">
        <v>44271</v>
      </c>
      <c r="L1923" s="95" t="s">
        <v>31</v>
      </c>
      <c r="M1923" s="8">
        <v>44281</v>
      </c>
      <c r="N1923" s="108">
        <v>44314</v>
      </c>
      <c r="O1923" s="108">
        <v>44299</v>
      </c>
      <c r="P1923" s="107" t="s">
        <v>52</v>
      </c>
      <c r="Q1923" s="110"/>
      <c r="R1923" s="97" t="str">
        <f t="shared" si="70"/>
        <v/>
      </c>
      <c r="S1923" s="75" t="str">
        <f t="shared" si="71"/>
        <v/>
      </c>
      <c r="U1923" s="8">
        <v>44776</v>
      </c>
      <c r="W1923" s="6" t="s">
        <v>33</v>
      </c>
      <c r="X1923" s="7">
        <v>47520</v>
      </c>
    </row>
    <row r="1924" spans="1:24" x14ac:dyDescent="0.25">
      <c r="A1924" s="6" t="s">
        <v>168</v>
      </c>
      <c r="B1924" s="94" t="s">
        <v>5861</v>
      </c>
      <c r="C1924" s="6" t="s">
        <v>5986</v>
      </c>
      <c r="D1924" s="140">
        <v>11068520</v>
      </c>
      <c r="E1924" s="6" t="s">
        <v>3266</v>
      </c>
      <c r="F1924" s="10" t="s">
        <v>121</v>
      </c>
      <c r="G1924" s="6" t="s">
        <v>5987</v>
      </c>
      <c r="H1924" s="8">
        <v>47191</v>
      </c>
      <c r="I1924" s="8">
        <v>44355</v>
      </c>
      <c r="J1924" s="8">
        <v>44371</v>
      </c>
      <c r="K1924" s="95">
        <v>44372</v>
      </c>
      <c r="L1924" s="95" t="s">
        <v>359</v>
      </c>
      <c r="R1924" s="97" t="str">
        <f t="shared" si="70"/>
        <v/>
      </c>
      <c r="S1924" s="75" t="str">
        <f t="shared" si="71"/>
        <v/>
      </c>
      <c r="W1924" s="6" t="s">
        <v>33</v>
      </c>
      <c r="X1924" s="7">
        <v>49406</v>
      </c>
    </row>
    <row r="1925" spans="1:24" x14ac:dyDescent="0.25">
      <c r="A1925" s="6" t="s">
        <v>37</v>
      </c>
      <c r="B1925" s="94" t="s">
        <v>5988</v>
      </c>
      <c r="C1925" s="6" t="s">
        <v>5989</v>
      </c>
      <c r="D1925" s="140">
        <v>12121530</v>
      </c>
      <c r="E1925" s="6" t="s">
        <v>5638</v>
      </c>
      <c r="F1925" s="10" t="s">
        <v>205</v>
      </c>
      <c r="G1925" s="6" t="s">
        <v>5990</v>
      </c>
      <c r="H1925" s="8">
        <v>44798</v>
      </c>
      <c r="I1925" s="8">
        <v>43802</v>
      </c>
      <c r="J1925" s="8">
        <v>43815</v>
      </c>
      <c r="K1925" s="95">
        <v>43815</v>
      </c>
      <c r="L1925" s="95" t="s">
        <v>31</v>
      </c>
      <c r="M1925" s="8">
        <v>43819</v>
      </c>
      <c r="N1925" s="8">
        <v>44091</v>
      </c>
      <c r="O1925" s="8">
        <v>44057</v>
      </c>
      <c r="P1925" s="6" t="s">
        <v>90</v>
      </c>
      <c r="Q1925" s="96">
        <v>701</v>
      </c>
      <c r="R1925" s="97">
        <f t="shared" si="70"/>
        <v>1.9205479452054794</v>
      </c>
      <c r="S1925" s="75">
        <f t="shared" si="71"/>
        <v>15861.805479452056</v>
      </c>
      <c r="T1925" s="124" t="s">
        <v>5991</v>
      </c>
      <c r="U1925" s="8">
        <v>44092</v>
      </c>
      <c r="V1925" s="6" t="s">
        <v>36</v>
      </c>
      <c r="W1925" s="6" t="s">
        <v>33</v>
      </c>
      <c r="X1925" s="95">
        <v>46773</v>
      </c>
    </row>
    <row r="1926" spans="1:24" x14ac:dyDescent="0.25">
      <c r="A1926" s="6" t="s">
        <v>37</v>
      </c>
      <c r="B1926" s="94" t="s">
        <v>3632</v>
      </c>
      <c r="C1926" s="6" t="s">
        <v>5992</v>
      </c>
      <c r="D1926" s="140">
        <v>12129414</v>
      </c>
      <c r="E1926" s="6" t="s">
        <v>839</v>
      </c>
      <c r="F1926" s="10" t="s">
        <v>29</v>
      </c>
      <c r="G1926" s="6" t="s">
        <v>5993</v>
      </c>
      <c r="H1926" s="8">
        <v>50014</v>
      </c>
      <c r="I1926" s="8">
        <v>44131</v>
      </c>
      <c r="J1926" s="8">
        <v>44147</v>
      </c>
      <c r="K1926" s="95">
        <v>44148</v>
      </c>
      <c r="L1926" s="95" t="s">
        <v>31</v>
      </c>
      <c r="M1926" s="8">
        <v>44159</v>
      </c>
      <c r="N1926" s="8">
        <v>44350</v>
      </c>
      <c r="O1926" s="8">
        <v>44336</v>
      </c>
      <c r="P1926" s="6" t="s">
        <v>35</v>
      </c>
      <c r="Q1926" s="96">
        <v>5454</v>
      </c>
      <c r="R1926" s="97">
        <f t="shared" ref="R1926:R1988" si="72">IF(Q1926&gt;0, Q1926/365, "")</f>
        <v>14.942465753424658</v>
      </c>
      <c r="S1926" s="75">
        <f t="shared" ref="S1926:S1988" si="73">IF(Q1926&gt;0, SUM(Q1926)*(8259/365), "")</f>
        <v>123409.82465753425</v>
      </c>
      <c r="U1926" s="8">
        <v>44354</v>
      </c>
      <c r="W1926" s="6" t="s">
        <v>33</v>
      </c>
      <c r="X1926" s="7">
        <v>51089</v>
      </c>
    </row>
    <row r="1927" spans="1:24" x14ac:dyDescent="0.25">
      <c r="A1927" s="6" t="s">
        <v>37</v>
      </c>
      <c r="B1927" s="94" t="s">
        <v>5994</v>
      </c>
      <c r="C1927" s="6" t="s">
        <v>5995</v>
      </c>
      <c r="D1927" s="140">
        <v>11376234</v>
      </c>
      <c r="E1927" s="6" t="s">
        <v>3008</v>
      </c>
      <c r="F1927" s="10" t="s">
        <v>134</v>
      </c>
      <c r="G1927" s="6" t="s">
        <v>5996</v>
      </c>
      <c r="H1927" s="8">
        <v>46727</v>
      </c>
      <c r="I1927" s="8">
        <v>44145</v>
      </c>
      <c r="J1927" s="8">
        <v>44174</v>
      </c>
      <c r="K1927" s="95">
        <v>44175</v>
      </c>
      <c r="L1927" s="95" t="s">
        <v>31</v>
      </c>
      <c r="M1927" s="8">
        <v>44183</v>
      </c>
      <c r="N1927" s="8">
        <v>44623</v>
      </c>
      <c r="O1927" s="8">
        <v>44330</v>
      </c>
      <c r="P1927" s="6" t="s">
        <v>75</v>
      </c>
      <c r="R1927" s="97" t="str">
        <f t="shared" si="72"/>
        <v/>
      </c>
      <c r="S1927" s="75" t="str">
        <f t="shared" si="73"/>
        <v/>
      </c>
      <c r="U1927" s="8">
        <v>44624</v>
      </c>
      <c r="W1927" s="6" t="s">
        <v>33</v>
      </c>
      <c r="X1927" s="95">
        <v>49440</v>
      </c>
    </row>
    <row r="1928" spans="1:24" x14ac:dyDescent="0.25">
      <c r="A1928" s="6" t="s">
        <v>168</v>
      </c>
      <c r="B1928" s="94" t="s">
        <v>5997</v>
      </c>
      <c r="C1928" s="6" t="s">
        <v>5998</v>
      </c>
      <c r="D1928" s="140">
        <v>11115365</v>
      </c>
      <c r="E1928" s="6" t="s">
        <v>839</v>
      </c>
      <c r="F1928" s="10" t="s">
        <v>134</v>
      </c>
      <c r="G1928" s="6" t="s">
        <v>5999</v>
      </c>
      <c r="H1928" s="8">
        <v>46399</v>
      </c>
      <c r="I1928" s="8">
        <v>44242</v>
      </c>
      <c r="J1928" s="8">
        <v>44267</v>
      </c>
      <c r="K1928" s="95">
        <v>44271</v>
      </c>
      <c r="L1928" s="95" t="s">
        <v>31</v>
      </c>
      <c r="M1928" s="8">
        <v>44273</v>
      </c>
      <c r="N1928" s="108">
        <v>44697</v>
      </c>
      <c r="O1928" s="108">
        <v>44687</v>
      </c>
      <c r="P1928" s="107" t="s">
        <v>35</v>
      </c>
      <c r="Q1928" s="110">
        <v>1311</v>
      </c>
      <c r="R1928" s="97">
        <f t="shared" si="72"/>
        <v>3.591780821917808</v>
      </c>
      <c r="S1928" s="75">
        <f t="shared" si="73"/>
        <v>29664.517808219178</v>
      </c>
      <c r="T1928" s="129" t="s">
        <v>6000</v>
      </c>
      <c r="U1928" s="8">
        <v>44776</v>
      </c>
      <c r="W1928" s="6" t="s">
        <v>33</v>
      </c>
      <c r="X1928" s="7">
        <v>49003</v>
      </c>
    </row>
    <row r="1929" spans="1:24" x14ac:dyDescent="0.25">
      <c r="A1929" s="6" t="s">
        <v>37</v>
      </c>
      <c r="B1929" s="94" t="s">
        <v>6001</v>
      </c>
      <c r="C1929" s="6" t="s">
        <v>6002</v>
      </c>
      <c r="D1929" s="140">
        <v>11073784</v>
      </c>
      <c r="E1929" s="6" t="s">
        <v>5658</v>
      </c>
      <c r="F1929" s="10" t="s">
        <v>62</v>
      </c>
      <c r="G1929" s="6" t="s">
        <v>6003</v>
      </c>
      <c r="H1929" s="8">
        <v>45857</v>
      </c>
      <c r="I1929" s="8">
        <v>43851</v>
      </c>
      <c r="J1929" s="8">
        <v>43895</v>
      </c>
      <c r="K1929" s="95">
        <v>43899</v>
      </c>
      <c r="L1929" s="95" t="s">
        <v>31</v>
      </c>
      <c r="M1929" s="8">
        <v>44041</v>
      </c>
      <c r="R1929" s="97" t="str">
        <f t="shared" si="72"/>
        <v/>
      </c>
      <c r="S1929" s="75" t="str">
        <f t="shared" si="73"/>
        <v/>
      </c>
      <c r="T1929" s="129" t="s">
        <v>4557</v>
      </c>
      <c r="U1929" s="8">
        <v>44783</v>
      </c>
      <c r="W1929" s="6" t="s">
        <v>33</v>
      </c>
      <c r="X1929" s="95">
        <v>45499</v>
      </c>
    </row>
    <row r="1930" spans="1:24" ht="30" x14ac:dyDescent="0.25">
      <c r="A1930" s="6" t="s">
        <v>37</v>
      </c>
      <c r="B1930" s="94" t="s">
        <v>6004</v>
      </c>
      <c r="C1930" s="6" t="s">
        <v>6005</v>
      </c>
      <c r="D1930" s="140">
        <v>12011476</v>
      </c>
      <c r="E1930" s="6" t="s">
        <v>6006</v>
      </c>
      <c r="F1930" s="10" t="s">
        <v>143</v>
      </c>
      <c r="G1930" s="6" t="s">
        <v>6007</v>
      </c>
      <c r="H1930" s="8">
        <v>45070</v>
      </c>
      <c r="I1930" s="8">
        <v>43815</v>
      </c>
      <c r="J1930" s="8">
        <v>43823</v>
      </c>
      <c r="K1930" s="95">
        <v>43825</v>
      </c>
      <c r="L1930" s="95" t="s">
        <v>31</v>
      </c>
      <c r="M1930" s="8">
        <v>43833</v>
      </c>
      <c r="N1930" s="8">
        <v>43881</v>
      </c>
      <c r="O1930" s="8">
        <v>43858</v>
      </c>
      <c r="P1930" s="6" t="s">
        <v>75</v>
      </c>
      <c r="R1930" s="97" t="str">
        <f t="shared" si="72"/>
        <v/>
      </c>
      <c r="S1930" s="75" t="str">
        <f t="shared" si="73"/>
        <v/>
      </c>
      <c r="T1930" s="124" t="s">
        <v>6008</v>
      </c>
      <c r="U1930" s="8">
        <v>43881</v>
      </c>
      <c r="W1930" s="6" t="s">
        <v>33</v>
      </c>
      <c r="X1930" s="95">
        <v>50628</v>
      </c>
    </row>
    <row r="1931" spans="1:24" x14ac:dyDescent="0.25">
      <c r="A1931" s="6" t="s">
        <v>37</v>
      </c>
      <c r="B1931" s="94" t="s">
        <v>6009</v>
      </c>
      <c r="C1931" s="6" t="s">
        <v>6010</v>
      </c>
      <c r="D1931" s="140">
        <v>11352964</v>
      </c>
      <c r="E1931" s="6" t="s">
        <v>4958</v>
      </c>
      <c r="F1931" s="10" t="s">
        <v>299</v>
      </c>
      <c r="G1931" s="6" t="s">
        <v>6011</v>
      </c>
      <c r="H1931" s="8">
        <v>46281</v>
      </c>
      <c r="I1931" s="8">
        <v>44256</v>
      </c>
      <c r="J1931" s="8">
        <v>44279</v>
      </c>
      <c r="K1931" s="95">
        <v>44281</v>
      </c>
      <c r="L1931" s="95" t="s">
        <v>31</v>
      </c>
      <c r="M1931" s="8">
        <v>44291</v>
      </c>
      <c r="N1931" s="8">
        <v>44336</v>
      </c>
      <c r="O1931" s="8">
        <v>44315</v>
      </c>
      <c r="P1931" s="6" t="s">
        <v>75</v>
      </c>
      <c r="R1931" s="97" t="str">
        <f t="shared" si="72"/>
        <v/>
      </c>
      <c r="S1931" s="75" t="str">
        <f t="shared" si="73"/>
        <v/>
      </c>
      <c r="U1931" s="8">
        <v>44336</v>
      </c>
      <c r="W1931" s="6" t="s">
        <v>33</v>
      </c>
      <c r="X1931" s="7">
        <v>46430</v>
      </c>
    </row>
    <row r="1932" spans="1:24" x14ac:dyDescent="0.25">
      <c r="A1932" s="6" t="s">
        <v>37</v>
      </c>
      <c r="B1932" s="94" t="s">
        <v>6012</v>
      </c>
      <c r="C1932" s="6" t="s">
        <v>6013</v>
      </c>
      <c r="D1932" s="140">
        <v>11953305</v>
      </c>
      <c r="E1932" s="6" t="s">
        <v>2764</v>
      </c>
      <c r="F1932" s="10" t="s">
        <v>44</v>
      </c>
      <c r="G1932" s="6" t="s">
        <v>6014</v>
      </c>
      <c r="H1932" s="8">
        <v>46323</v>
      </c>
      <c r="I1932" s="8">
        <v>44143</v>
      </c>
      <c r="J1932" s="8">
        <v>44147</v>
      </c>
      <c r="K1932" s="95">
        <v>44154</v>
      </c>
      <c r="L1932" s="95" t="s">
        <v>31</v>
      </c>
      <c r="M1932" s="8">
        <v>44154</v>
      </c>
      <c r="N1932" s="108">
        <v>44239</v>
      </c>
      <c r="O1932" s="108">
        <v>44169</v>
      </c>
      <c r="P1932" s="107" t="s">
        <v>52</v>
      </c>
      <c r="Q1932" s="110"/>
      <c r="R1932" s="97" t="str">
        <f t="shared" si="72"/>
        <v/>
      </c>
      <c r="S1932" s="75" t="str">
        <f t="shared" si="73"/>
        <v/>
      </c>
      <c r="U1932" s="8">
        <v>44776</v>
      </c>
      <c r="W1932" s="6" t="s">
        <v>33</v>
      </c>
      <c r="X1932" s="95">
        <v>50526</v>
      </c>
    </row>
    <row r="1933" spans="1:24" x14ac:dyDescent="0.25">
      <c r="A1933" s="6" t="s">
        <v>37</v>
      </c>
      <c r="B1933" s="94" t="s">
        <v>6015</v>
      </c>
      <c r="C1933" s="6" t="s">
        <v>6016</v>
      </c>
      <c r="D1933" s="140">
        <v>11312644</v>
      </c>
      <c r="E1933" s="6" t="s">
        <v>3030</v>
      </c>
      <c r="F1933" s="10" t="s">
        <v>1384</v>
      </c>
      <c r="G1933" s="6" t="s">
        <v>6017</v>
      </c>
      <c r="H1933" s="8">
        <v>46838</v>
      </c>
      <c r="I1933" s="8">
        <v>44056</v>
      </c>
      <c r="J1933" s="8">
        <v>44088</v>
      </c>
      <c r="K1933" s="95">
        <v>44088</v>
      </c>
      <c r="L1933" s="95" t="s">
        <v>31</v>
      </c>
      <c r="M1933" s="8">
        <v>44099</v>
      </c>
      <c r="R1933" s="97" t="str">
        <f t="shared" si="72"/>
        <v/>
      </c>
      <c r="S1933" s="75" t="str">
        <f t="shared" si="73"/>
        <v/>
      </c>
      <c r="W1933" s="6" t="s">
        <v>33</v>
      </c>
      <c r="X1933" s="135">
        <v>45012</v>
      </c>
    </row>
    <row r="1934" spans="1:24" x14ac:dyDescent="0.25">
      <c r="A1934" s="6" t="s">
        <v>37</v>
      </c>
      <c r="B1934" s="94" t="s">
        <v>890</v>
      </c>
      <c r="C1934" s="6" t="s">
        <v>6018</v>
      </c>
      <c r="D1934" s="140">
        <v>11637093</v>
      </c>
      <c r="E1934" s="6" t="s">
        <v>5798</v>
      </c>
      <c r="F1934" s="10" t="s">
        <v>57</v>
      </c>
      <c r="G1934" s="6" t="s">
        <v>2866</v>
      </c>
      <c r="H1934" s="8">
        <v>44318</v>
      </c>
      <c r="I1934" s="8">
        <v>43577</v>
      </c>
      <c r="J1934" s="8">
        <v>43585</v>
      </c>
      <c r="K1934" s="95">
        <v>43585</v>
      </c>
      <c r="L1934" s="95" t="s">
        <v>31</v>
      </c>
      <c r="M1934" s="8">
        <v>43607</v>
      </c>
      <c r="N1934" s="8">
        <v>44048</v>
      </c>
      <c r="O1934" s="8">
        <v>44042</v>
      </c>
      <c r="P1934" s="6" t="s">
        <v>90</v>
      </c>
      <c r="Q1934" s="96">
        <v>365</v>
      </c>
      <c r="R1934" s="97">
        <f t="shared" si="72"/>
        <v>1</v>
      </c>
      <c r="S1934" s="75">
        <f t="shared" si="73"/>
        <v>8259</v>
      </c>
      <c r="T1934" s="124" t="s">
        <v>6019</v>
      </c>
      <c r="U1934" s="8">
        <v>44054</v>
      </c>
      <c r="V1934" s="6" t="s">
        <v>36</v>
      </c>
      <c r="W1934" s="6" t="s">
        <v>33</v>
      </c>
      <c r="X1934" s="95">
        <v>44192</v>
      </c>
    </row>
    <row r="1935" spans="1:24" x14ac:dyDescent="0.25">
      <c r="A1935" s="6" t="s">
        <v>37</v>
      </c>
      <c r="B1935" s="94" t="s">
        <v>890</v>
      </c>
      <c r="C1935" s="6" t="s">
        <v>6020</v>
      </c>
      <c r="D1935" s="140">
        <v>11370919</v>
      </c>
      <c r="E1935" s="6" t="s">
        <v>5838</v>
      </c>
      <c r="F1935" s="10" t="s">
        <v>44</v>
      </c>
      <c r="G1935" s="6" t="s">
        <v>6021</v>
      </c>
      <c r="H1935" s="8">
        <v>45566</v>
      </c>
      <c r="I1935" s="8">
        <v>44130</v>
      </c>
      <c r="J1935" s="8">
        <v>44147</v>
      </c>
      <c r="K1935" s="95">
        <v>44148</v>
      </c>
      <c r="L1935" s="95" t="s">
        <v>31</v>
      </c>
      <c r="M1935" s="8">
        <v>44154</v>
      </c>
      <c r="N1935" s="108">
        <v>44239</v>
      </c>
      <c r="O1935" s="108">
        <v>44201</v>
      </c>
      <c r="P1935" s="107" t="s">
        <v>52</v>
      </c>
      <c r="Q1935" s="110"/>
      <c r="R1935" s="97" t="str">
        <f t="shared" si="72"/>
        <v/>
      </c>
      <c r="S1935" s="75" t="str">
        <f t="shared" si="73"/>
        <v/>
      </c>
      <c r="U1935" s="8">
        <v>44776</v>
      </c>
      <c r="W1935" s="6" t="s">
        <v>33</v>
      </c>
      <c r="X1935" s="135">
        <v>45351</v>
      </c>
    </row>
    <row r="1936" spans="1:24" x14ac:dyDescent="0.25">
      <c r="A1936" s="6" t="s">
        <v>37</v>
      </c>
      <c r="B1936" s="94" t="s">
        <v>6022</v>
      </c>
      <c r="C1936" s="6" t="s">
        <v>6023</v>
      </c>
      <c r="D1936" s="140">
        <v>12138755</v>
      </c>
      <c r="E1936" s="6" t="s">
        <v>5916</v>
      </c>
      <c r="F1936" s="10" t="s">
        <v>299</v>
      </c>
      <c r="G1936" s="6" t="s">
        <v>6024</v>
      </c>
      <c r="H1936" s="8">
        <v>45705</v>
      </c>
      <c r="I1936" s="8">
        <v>44256</v>
      </c>
      <c r="J1936" s="8">
        <v>44279</v>
      </c>
      <c r="K1936" s="95">
        <v>44281</v>
      </c>
      <c r="L1936" s="95" t="s">
        <v>31</v>
      </c>
      <c r="M1936" s="8">
        <v>44291</v>
      </c>
      <c r="R1936" s="97" t="str">
        <f t="shared" si="72"/>
        <v/>
      </c>
      <c r="S1936" s="75" t="str">
        <f t="shared" si="73"/>
        <v/>
      </c>
      <c r="T1936" s="124" t="s">
        <v>6025</v>
      </c>
      <c r="U1936" s="8">
        <v>44317</v>
      </c>
      <c r="W1936" s="6" t="s">
        <v>33</v>
      </c>
      <c r="X1936" s="7">
        <v>46806</v>
      </c>
    </row>
    <row r="1937" spans="1:24" x14ac:dyDescent="0.25">
      <c r="A1937" s="6" t="s">
        <v>37</v>
      </c>
      <c r="B1937" s="94" t="s">
        <v>6026</v>
      </c>
      <c r="C1937" s="6" t="s">
        <v>6027</v>
      </c>
      <c r="D1937" s="140">
        <v>11767485</v>
      </c>
      <c r="E1937" s="6" t="s">
        <v>3671</v>
      </c>
      <c r="F1937" s="10" t="s">
        <v>44</v>
      </c>
      <c r="G1937" s="6" t="s">
        <v>6028</v>
      </c>
      <c r="H1937" s="8">
        <v>46609</v>
      </c>
      <c r="I1937" s="8">
        <v>43670</v>
      </c>
      <c r="J1937" s="8">
        <v>43677</v>
      </c>
      <c r="K1937" s="95">
        <v>43677</v>
      </c>
      <c r="L1937" s="95" t="s">
        <v>31</v>
      </c>
      <c r="M1937" s="8">
        <v>43678</v>
      </c>
      <c r="N1937" s="8">
        <v>43809</v>
      </c>
      <c r="O1937" s="8">
        <v>43770</v>
      </c>
      <c r="P1937" s="6" t="s">
        <v>35</v>
      </c>
      <c r="Q1937" s="96">
        <v>1582.75</v>
      </c>
      <c r="R1937" s="97">
        <f t="shared" si="72"/>
        <v>4.3363013698630137</v>
      </c>
      <c r="S1937" s="75">
        <f t="shared" si="73"/>
        <v>35813.513013698634</v>
      </c>
      <c r="U1937" s="8">
        <v>43810</v>
      </c>
      <c r="W1937" s="6" t="s">
        <v>33</v>
      </c>
      <c r="X1937" s="95">
        <v>50072</v>
      </c>
    </row>
    <row r="1938" spans="1:24" x14ac:dyDescent="0.25">
      <c r="A1938" s="6" t="s">
        <v>37</v>
      </c>
      <c r="B1938" s="94" t="s">
        <v>6029</v>
      </c>
      <c r="C1938" s="6" t="s">
        <v>6030</v>
      </c>
      <c r="D1938" s="140">
        <v>11174362</v>
      </c>
      <c r="E1938" s="6" t="s">
        <v>3008</v>
      </c>
      <c r="F1938" s="10" t="s">
        <v>293</v>
      </c>
      <c r="G1938" s="6">
        <v>172680</v>
      </c>
      <c r="H1938" s="8">
        <v>45871</v>
      </c>
      <c r="I1938" s="8">
        <v>44180</v>
      </c>
      <c r="J1938" s="8">
        <v>44183</v>
      </c>
      <c r="K1938" s="95">
        <v>44181</v>
      </c>
      <c r="L1938" s="95" t="s">
        <v>31</v>
      </c>
      <c r="M1938" s="8">
        <v>44218</v>
      </c>
      <c r="N1938" s="108">
        <v>44365</v>
      </c>
      <c r="O1938" s="108">
        <v>44358</v>
      </c>
      <c r="P1938" s="107" t="s">
        <v>35</v>
      </c>
      <c r="Q1938" s="110">
        <v>831</v>
      </c>
      <c r="R1938" s="97">
        <f t="shared" si="72"/>
        <v>2.2767123287671232</v>
      </c>
      <c r="S1938" s="75">
        <f t="shared" si="73"/>
        <v>18803.367123287673</v>
      </c>
      <c r="U1938" s="8">
        <v>44776</v>
      </c>
      <c r="W1938" s="6" t="s">
        <v>33</v>
      </c>
      <c r="X1938" s="95">
        <v>50526</v>
      </c>
    </row>
    <row r="1939" spans="1:24" x14ac:dyDescent="0.25">
      <c r="A1939" s="6" t="s">
        <v>37</v>
      </c>
      <c r="B1939" s="94" t="s">
        <v>6031</v>
      </c>
      <c r="C1939" s="6" t="s">
        <v>6032</v>
      </c>
      <c r="D1939" s="140">
        <v>11642815</v>
      </c>
      <c r="E1939" s="6" t="s">
        <v>3665</v>
      </c>
      <c r="F1939" s="10" t="s">
        <v>44</v>
      </c>
      <c r="G1939" s="6" t="s">
        <v>6033</v>
      </c>
      <c r="H1939" s="8">
        <v>44706</v>
      </c>
      <c r="I1939" s="8">
        <v>44144</v>
      </c>
      <c r="J1939" s="8">
        <v>44174</v>
      </c>
      <c r="K1939" s="95">
        <v>44175</v>
      </c>
      <c r="L1939" s="95" t="s">
        <v>31</v>
      </c>
      <c r="M1939" s="8">
        <v>44183</v>
      </c>
      <c r="N1939" s="108">
        <v>44321</v>
      </c>
      <c r="O1939" s="108">
        <v>44285</v>
      </c>
      <c r="P1939" s="107" t="s">
        <v>52</v>
      </c>
      <c r="Q1939" s="110"/>
      <c r="R1939" s="97" t="str">
        <f t="shared" si="72"/>
        <v/>
      </c>
      <c r="S1939" s="75" t="str">
        <f t="shared" si="73"/>
        <v/>
      </c>
      <c r="U1939" s="8">
        <v>44776</v>
      </c>
      <c r="W1939" s="6" t="s">
        <v>33</v>
      </c>
      <c r="X1939" s="95">
        <v>44745</v>
      </c>
    </row>
    <row r="1940" spans="1:24" x14ac:dyDescent="0.25">
      <c r="A1940" s="6" t="s">
        <v>25</v>
      </c>
      <c r="B1940" s="94" t="s">
        <v>3823</v>
      </c>
      <c r="C1940" s="6" t="s">
        <v>6034</v>
      </c>
      <c r="D1940" s="140">
        <v>11886444</v>
      </c>
      <c r="E1940" s="6" t="s">
        <v>409</v>
      </c>
      <c r="F1940" s="10" t="s">
        <v>252</v>
      </c>
      <c r="G1940" s="6">
        <v>51316645</v>
      </c>
      <c r="H1940" s="8">
        <v>45633</v>
      </c>
      <c r="I1940" s="8">
        <v>43651</v>
      </c>
      <c r="J1940" s="8">
        <v>43654</v>
      </c>
      <c r="K1940" s="95">
        <v>43734</v>
      </c>
      <c r="L1940" s="95" t="s">
        <v>31</v>
      </c>
      <c r="M1940" s="8">
        <v>43739</v>
      </c>
      <c r="N1940" s="8">
        <v>44680</v>
      </c>
      <c r="O1940" s="8">
        <v>44680</v>
      </c>
      <c r="P1940" s="6" t="s">
        <v>35</v>
      </c>
      <c r="Q1940" s="96">
        <v>1825</v>
      </c>
      <c r="R1940" s="97">
        <f t="shared" si="72"/>
        <v>5</v>
      </c>
      <c r="S1940" s="75">
        <f t="shared" si="73"/>
        <v>41295</v>
      </c>
      <c r="T1940" s="124" t="s">
        <v>6035</v>
      </c>
      <c r="U1940" s="8">
        <v>44994</v>
      </c>
      <c r="V1940" s="6" t="s">
        <v>36</v>
      </c>
      <c r="W1940" s="6" t="s">
        <v>33</v>
      </c>
      <c r="X1940" s="95">
        <v>50605</v>
      </c>
    </row>
    <row r="1941" spans="1:24" x14ac:dyDescent="0.25">
      <c r="A1941" s="6" t="s">
        <v>168</v>
      </c>
      <c r="B1941" s="94" t="s">
        <v>3298</v>
      </c>
      <c r="C1941" s="6" t="s">
        <v>6036</v>
      </c>
      <c r="D1941" s="140">
        <v>11018500</v>
      </c>
      <c r="E1941" s="6" t="s">
        <v>6037</v>
      </c>
      <c r="F1941" s="10" t="s">
        <v>105</v>
      </c>
      <c r="G1941" s="6" t="s">
        <v>6038</v>
      </c>
      <c r="H1941" s="8">
        <v>53339</v>
      </c>
      <c r="I1941" s="8">
        <v>43783</v>
      </c>
      <c r="J1941" s="8">
        <v>43823</v>
      </c>
      <c r="K1941" s="95">
        <v>43825</v>
      </c>
      <c r="L1941" s="95" t="s">
        <v>31</v>
      </c>
      <c r="M1941" s="8">
        <v>43833</v>
      </c>
      <c r="N1941" s="8">
        <v>44781</v>
      </c>
      <c r="O1941" s="8">
        <v>44771</v>
      </c>
      <c r="P1941" s="107"/>
      <c r="Q1941" s="96">
        <v>9125</v>
      </c>
      <c r="R1941" s="97">
        <f t="shared" si="72"/>
        <v>25</v>
      </c>
      <c r="S1941" s="75">
        <f t="shared" si="73"/>
        <v>206475</v>
      </c>
      <c r="T1941" s="129"/>
      <c r="U1941" s="8">
        <v>44994</v>
      </c>
      <c r="W1941" s="6" t="s">
        <v>84</v>
      </c>
      <c r="X1941" s="95">
        <v>46873</v>
      </c>
    </row>
    <row r="1942" spans="1:24" ht="30" x14ac:dyDescent="0.25">
      <c r="A1942" s="6" t="s">
        <v>37</v>
      </c>
      <c r="B1942" s="94" t="s">
        <v>6039</v>
      </c>
      <c r="C1942" s="6" t="s">
        <v>6040</v>
      </c>
      <c r="D1942" s="140">
        <v>11608886</v>
      </c>
      <c r="E1942" s="6" t="s">
        <v>783</v>
      </c>
      <c r="F1942" s="10" t="s">
        <v>57</v>
      </c>
      <c r="G1942" s="6" t="s">
        <v>6041</v>
      </c>
      <c r="H1942" s="8">
        <v>46459</v>
      </c>
      <c r="I1942" s="8">
        <v>43552</v>
      </c>
      <c r="J1942" s="8">
        <v>43560</v>
      </c>
      <c r="K1942" s="95">
        <v>43572</v>
      </c>
      <c r="L1942" s="95" t="s">
        <v>31</v>
      </c>
      <c r="M1942" s="8">
        <v>43577</v>
      </c>
      <c r="N1942" s="8">
        <v>43836</v>
      </c>
      <c r="O1942" s="8">
        <v>43763</v>
      </c>
      <c r="P1942" s="6" t="s">
        <v>35</v>
      </c>
      <c r="Q1942" s="96">
        <v>1582.75</v>
      </c>
      <c r="R1942" s="97">
        <f t="shared" si="72"/>
        <v>4.3363013698630137</v>
      </c>
      <c r="S1942" s="75">
        <f t="shared" si="73"/>
        <v>35813.513013698634</v>
      </c>
      <c r="T1942" s="124" t="s">
        <v>6042</v>
      </c>
      <c r="U1942" s="8">
        <v>43836</v>
      </c>
      <c r="W1942" s="6" t="s">
        <v>33</v>
      </c>
      <c r="X1942" s="95">
        <v>45172</v>
      </c>
    </row>
    <row r="1943" spans="1:24" x14ac:dyDescent="0.25">
      <c r="A1943" s="6" t="s">
        <v>37</v>
      </c>
      <c r="B1943" s="94" t="s">
        <v>6043</v>
      </c>
      <c r="C1943" s="6" t="s">
        <v>6044</v>
      </c>
      <c r="D1943" s="140">
        <v>11363815</v>
      </c>
      <c r="E1943" s="6" t="s">
        <v>6045</v>
      </c>
      <c r="F1943" s="10" t="s">
        <v>50</v>
      </c>
      <c r="G1943" s="6" t="s">
        <v>6046</v>
      </c>
      <c r="H1943" s="8">
        <v>44217</v>
      </c>
      <c r="I1943" s="8">
        <v>43484</v>
      </c>
      <c r="J1943" s="8">
        <v>43496</v>
      </c>
      <c r="K1943" s="95">
        <v>43496</v>
      </c>
      <c r="L1943" s="95" t="s">
        <v>31</v>
      </c>
      <c r="M1943" s="8">
        <v>43507</v>
      </c>
      <c r="N1943" s="8">
        <v>44272</v>
      </c>
      <c r="O1943" s="8">
        <v>43522</v>
      </c>
      <c r="P1943" s="6" t="s">
        <v>75</v>
      </c>
      <c r="R1943" s="97" t="str">
        <f t="shared" si="72"/>
        <v/>
      </c>
      <c r="S1943" s="75" t="str">
        <f t="shared" si="73"/>
        <v/>
      </c>
      <c r="U1943" s="8">
        <v>44272</v>
      </c>
      <c r="W1943" s="6" t="s">
        <v>33</v>
      </c>
      <c r="X1943" s="95">
        <v>48293</v>
      </c>
    </row>
    <row r="1944" spans="1:24" x14ac:dyDescent="0.25">
      <c r="A1944" s="6" t="s">
        <v>37</v>
      </c>
      <c r="B1944" s="94" t="s">
        <v>6047</v>
      </c>
      <c r="C1944" s="6" t="s">
        <v>6048</v>
      </c>
      <c r="D1944" s="140">
        <v>12135441</v>
      </c>
      <c r="E1944" s="6" t="s">
        <v>6049</v>
      </c>
      <c r="F1944" s="10" t="s">
        <v>299</v>
      </c>
      <c r="G1944" s="6" t="s">
        <v>6050</v>
      </c>
      <c r="H1944" s="8">
        <v>45122</v>
      </c>
      <c r="I1944" s="8">
        <v>44103</v>
      </c>
      <c r="J1944" s="8">
        <v>44120</v>
      </c>
      <c r="K1944" s="95">
        <v>44121</v>
      </c>
      <c r="L1944" s="95" t="s">
        <v>31</v>
      </c>
      <c r="M1944" s="8">
        <v>44141</v>
      </c>
      <c r="N1944" s="8">
        <v>44355</v>
      </c>
      <c r="O1944" s="8">
        <v>44319</v>
      </c>
      <c r="P1944" s="6" t="s">
        <v>90</v>
      </c>
      <c r="Q1944" s="96">
        <v>767</v>
      </c>
      <c r="R1944" s="97">
        <f t="shared" si="72"/>
        <v>2.1013698630136988</v>
      </c>
      <c r="S1944" s="75">
        <f t="shared" si="73"/>
        <v>17355.213698630138</v>
      </c>
      <c r="T1944" s="124" t="s">
        <v>6051</v>
      </c>
      <c r="U1944" s="8">
        <v>44355</v>
      </c>
      <c r="W1944" s="6" t="s">
        <v>33</v>
      </c>
      <c r="X1944" s="135">
        <v>47059</v>
      </c>
    </row>
    <row r="1945" spans="1:24" x14ac:dyDescent="0.25">
      <c r="A1945" s="6" t="s">
        <v>37</v>
      </c>
      <c r="B1945" s="94" t="s">
        <v>3966</v>
      </c>
      <c r="C1945" s="6" t="s">
        <v>6052</v>
      </c>
      <c r="D1945" s="140">
        <v>11688373</v>
      </c>
      <c r="E1945" s="6" t="s">
        <v>6053</v>
      </c>
      <c r="F1945" s="10" t="s">
        <v>44</v>
      </c>
      <c r="G1945" s="6" t="s">
        <v>6054</v>
      </c>
      <c r="H1945" s="8">
        <v>48861</v>
      </c>
      <c r="I1945" s="8">
        <v>43685</v>
      </c>
      <c r="J1945" s="8">
        <v>43696</v>
      </c>
      <c r="K1945" s="95">
        <v>43698</v>
      </c>
      <c r="L1945" s="95" t="s">
        <v>31</v>
      </c>
      <c r="M1945" s="8">
        <v>43706</v>
      </c>
      <c r="N1945" s="8">
        <v>43725</v>
      </c>
      <c r="O1945" s="8">
        <v>43718</v>
      </c>
      <c r="P1945" s="6" t="s">
        <v>52</v>
      </c>
      <c r="R1945" s="97" t="str">
        <f t="shared" si="72"/>
        <v/>
      </c>
      <c r="S1945" s="75" t="str">
        <f t="shared" si="73"/>
        <v/>
      </c>
      <c r="U1945" s="8">
        <v>43899</v>
      </c>
      <c r="W1945" s="6" t="s">
        <v>33</v>
      </c>
      <c r="X1945" s="95">
        <v>50373</v>
      </c>
    </row>
    <row r="1946" spans="1:24" x14ac:dyDescent="0.25">
      <c r="A1946" s="6" t="s">
        <v>37</v>
      </c>
      <c r="B1946" s="94" t="s">
        <v>323</v>
      </c>
      <c r="C1946" s="6" t="s">
        <v>6055</v>
      </c>
      <c r="D1946" s="140">
        <v>11728088</v>
      </c>
      <c r="E1946" s="6" t="s">
        <v>5852</v>
      </c>
      <c r="F1946" s="10" t="s">
        <v>57</v>
      </c>
      <c r="G1946" s="6" t="s">
        <v>6056</v>
      </c>
      <c r="H1946" s="8">
        <v>54610</v>
      </c>
      <c r="I1946" s="8">
        <v>43713</v>
      </c>
      <c r="J1946" s="8">
        <v>43725</v>
      </c>
      <c r="K1946" s="95">
        <v>43728</v>
      </c>
      <c r="L1946" s="95" t="s">
        <v>31</v>
      </c>
      <c r="M1946" s="8">
        <v>43741</v>
      </c>
      <c r="N1946" s="8">
        <v>43766</v>
      </c>
      <c r="O1946" s="8">
        <v>43749</v>
      </c>
      <c r="P1946" s="6" t="s">
        <v>75</v>
      </c>
      <c r="R1946" s="97" t="str">
        <f t="shared" si="72"/>
        <v/>
      </c>
      <c r="S1946" s="75" t="str">
        <f t="shared" si="73"/>
        <v/>
      </c>
      <c r="U1946" s="8">
        <v>43767</v>
      </c>
      <c r="W1946" s="6" t="s">
        <v>33</v>
      </c>
      <c r="X1946" s="95">
        <v>49738</v>
      </c>
    </row>
    <row r="1947" spans="1:24" ht="30" x14ac:dyDescent="0.25">
      <c r="A1947" s="6" t="s">
        <v>6057</v>
      </c>
      <c r="B1947" s="94" t="s">
        <v>6058</v>
      </c>
      <c r="C1947" s="6" t="s">
        <v>6059</v>
      </c>
      <c r="D1947" s="140">
        <v>11079785</v>
      </c>
      <c r="E1947" s="6" t="s">
        <v>6060</v>
      </c>
      <c r="F1947" s="10" t="s">
        <v>44</v>
      </c>
      <c r="G1947" s="6" t="s">
        <v>6061</v>
      </c>
      <c r="H1947" s="8">
        <v>44943</v>
      </c>
      <c r="I1947" s="8">
        <v>44173</v>
      </c>
      <c r="J1947" s="8">
        <v>44173</v>
      </c>
      <c r="K1947" s="95">
        <v>44173</v>
      </c>
      <c r="L1947" s="95" t="s">
        <v>31</v>
      </c>
      <c r="M1947" s="8">
        <v>44180</v>
      </c>
      <c r="N1947" s="8">
        <v>44265</v>
      </c>
      <c r="O1947" s="8">
        <v>44263</v>
      </c>
      <c r="P1947" s="6" t="s">
        <v>90</v>
      </c>
      <c r="Q1947" s="96">
        <v>675</v>
      </c>
      <c r="R1947" s="97">
        <f t="shared" si="72"/>
        <v>1.8493150684931507</v>
      </c>
      <c r="S1947" s="75">
        <f t="shared" si="73"/>
        <v>15273.493150684932</v>
      </c>
      <c r="T1947" s="124" t="s">
        <v>6062</v>
      </c>
      <c r="U1947" s="8">
        <v>44266</v>
      </c>
      <c r="V1947" s="6" t="s">
        <v>36</v>
      </c>
      <c r="W1947" s="6" t="s">
        <v>33</v>
      </c>
      <c r="X1947" s="95">
        <v>49794</v>
      </c>
    </row>
    <row r="1948" spans="1:24" x14ac:dyDescent="0.25">
      <c r="A1948" s="6" t="s">
        <v>6057</v>
      </c>
      <c r="B1948" s="94" t="s">
        <v>3264</v>
      </c>
      <c r="C1948" s="6" t="s">
        <v>6063</v>
      </c>
      <c r="D1948" s="140">
        <v>11146495</v>
      </c>
      <c r="E1948" s="6" t="s">
        <v>2314</v>
      </c>
      <c r="F1948" s="10" t="s">
        <v>44</v>
      </c>
      <c r="G1948" s="6" t="s">
        <v>6064</v>
      </c>
      <c r="H1948" s="8">
        <v>45348</v>
      </c>
      <c r="I1948" s="8">
        <v>44168</v>
      </c>
      <c r="J1948" s="8">
        <v>44172</v>
      </c>
      <c r="K1948" s="95">
        <v>44172</v>
      </c>
      <c r="L1948" s="95" t="s">
        <v>31</v>
      </c>
      <c r="M1948" s="8">
        <v>44225</v>
      </c>
      <c r="P1948" s="6" t="s">
        <v>75</v>
      </c>
      <c r="R1948" s="97" t="str">
        <f t="shared" si="72"/>
        <v/>
      </c>
      <c r="S1948" s="75" t="str">
        <f t="shared" si="73"/>
        <v/>
      </c>
      <c r="T1948" s="124" t="s">
        <v>6065</v>
      </c>
      <c r="U1948" s="8">
        <v>45106</v>
      </c>
      <c r="W1948" s="6" t="s">
        <v>33</v>
      </c>
      <c r="X1948" s="95">
        <v>48023</v>
      </c>
    </row>
    <row r="1949" spans="1:24" x14ac:dyDescent="0.25">
      <c r="A1949" s="6" t="s">
        <v>6057</v>
      </c>
      <c r="B1949" s="94" t="s">
        <v>3227</v>
      </c>
      <c r="C1949" s="6" t="s">
        <v>6066</v>
      </c>
      <c r="D1949" s="140">
        <v>11068331</v>
      </c>
      <c r="E1949" s="6" t="s">
        <v>4506</v>
      </c>
      <c r="F1949" s="10" t="s">
        <v>57</v>
      </c>
      <c r="G1949" s="6" t="s">
        <v>6067</v>
      </c>
      <c r="H1949" s="8">
        <v>45931</v>
      </c>
      <c r="I1949" s="8">
        <v>44173</v>
      </c>
      <c r="J1949" s="8">
        <v>44173</v>
      </c>
      <c r="K1949" s="95">
        <v>44173</v>
      </c>
      <c r="L1949" s="95" t="s">
        <v>31</v>
      </c>
      <c r="M1949" s="8">
        <v>44180</v>
      </c>
      <c r="N1949" s="8">
        <v>44230</v>
      </c>
      <c r="O1949" s="8">
        <v>44217</v>
      </c>
      <c r="P1949" s="6" t="s">
        <v>90</v>
      </c>
      <c r="Q1949" s="96">
        <v>1784</v>
      </c>
      <c r="R1949" s="97">
        <f t="shared" si="72"/>
        <v>4.8876712328767127</v>
      </c>
      <c r="S1949" s="75">
        <f t="shared" si="73"/>
        <v>40367.27671232877</v>
      </c>
      <c r="T1949" s="124" t="s">
        <v>6068</v>
      </c>
      <c r="U1949" s="8">
        <v>44230</v>
      </c>
      <c r="V1949" s="6" t="s">
        <v>36</v>
      </c>
      <c r="W1949" s="6" t="s">
        <v>33</v>
      </c>
      <c r="X1949" s="95">
        <v>49360</v>
      </c>
    </row>
    <row r="1950" spans="1:24" ht="30" x14ac:dyDescent="0.25">
      <c r="A1950" s="6" t="s">
        <v>6057</v>
      </c>
      <c r="B1950" s="94" t="s">
        <v>145</v>
      </c>
      <c r="C1950" s="6" t="s">
        <v>6069</v>
      </c>
      <c r="D1950" s="140">
        <v>11077330</v>
      </c>
      <c r="E1950" s="6" t="s">
        <v>318</v>
      </c>
      <c r="F1950" s="10" t="s">
        <v>6070</v>
      </c>
      <c r="G1950" s="6" t="s">
        <v>6071</v>
      </c>
      <c r="H1950" s="8">
        <v>54297</v>
      </c>
      <c r="I1950" s="8">
        <v>44168</v>
      </c>
      <c r="J1950" s="8">
        <v>44172</v>
      </c>
      <c r="K1950" s="95">
        <v>44172</v>
      </c>
      <c r="L1950" s="95" t="s">
        <v>31</v>
      </c>
      <c r="M1950" s="8">
        <v>44218</v>
      </c>
      <c r="R1950" s="97" t="str">
        <f t="shared" si="72"/>
        <v/>
      </c>
      <c r="S1950" s="75" t="str">
        <f t="shared" si="73"/>
        <v/>
      </c>
      <c r="T1950" s="124" t="s">
        <v>6072</v>
      </c>
      <c r="W1950" s="6" t="s">
        <v>33</v>
      </c>
      <c r="X1950" s="95">
        <v>47462</v>
      </c>
    </row>
    <row r="1951" spans="1:24" x14ac:dyDescent="0.25">
      <c r="A1951" s="6" t="s">
        <v>6057</v>
      </c>
      <c r="B1951" s="94" t="s">
        <v>6073</v>
      </c>
      <c r="C1951" s="6" t="s">
        <v>6074</v>
      </c>
      <c r="D1951" s="140">
        <v>11379493</v>
      </c>
      <c r="E1951" s="6" t="s">
        <v>3163</v>
      </c>
      <c r="F1951" s="10" t="s">
        <v>44</v>
      </c>
      <c r="G1951" s="6" t="s">
        <v>6075</v>
      </c>
      <c r="H1951" s="8">
        <v>44363</v>
      </c>
      <c r="I1951" s="8">
        <v>44173</v>
      </c>
      <c r="J1951" s="8">
        <v>44173</v>
      </c>
      <c r="K1951" s="95">
        <v>44173</v>
      </c>
      <c r="L1951" s="95" t="s">
        <v>31</v>
      </c>
      <c r="M1951" s="8">
        <v>44180</v>
      </c>
      <c r="N1951" s="8">
        <v>44209</v>
      </c>
      <c r="O1951" s="8">
        <v>44203</v>
      </c>
      <c r="P1951" s="6" t="s">
        <v>90</v>
      </c>
      <c r="Q1951" s="96">
        <v>730</v>
      </c>
      <c r="R1951" s="97">
        <f t="shared" si="72"/>
        <v>2</v>
      </c>
      <c r="S1951" s="75">
        <f t="shared" si="73"/>
        <v>16518</v>
      </c>
      <c r="T1951" s="124" t="s">
        <v>6076</v>
      </c>
      <c r="U1951" s="8">
        <v>44407</v>
      </c>
      <c r="X1951" s="6"/>
    </row>
    <row r="1952" spans="1:24" x14ac:dyDescent="0.25">
      <c r="A1952" s="6" t="s">
        <v>6057</v>
      </c>
      <c r="B1952" s="94" t="s">
        <v>6077</v>
      </c>
      <c r="C1952" s="6" t="s">
        <v>6078</v>
      </c>
      <c r="D1952" s="140">
        <v>11169801</v>
      </c>
      <c r="E1952" s="6" t="s">
        <v>318</v>
      </c>
      <c r="F1952" s="10" t="s">
        <v>29</v>
      </c>
      <c r="G1952" s="6" t="s">
        <v>6079</v>
      </c>
      <c r="H1952" s="8">
        <v>44607</v>
      </c>
      <c r="I1952" s="8">
        <v>44172</v>
      </c>
      <c r="J1952" s="8">
        <v>44172</v>
      </c>
      <c r="K1952" s="95">
        <v>44172</v>
      </c>
      <c r="L1952" s="95" t="s">
        <v>31</v>
      </c>
      <c r="M1952" s="8">
        <v>44218</v>
      </c>
      <c r="R1952" s="97" t="str">
        <f t="shared" si="72"/>
        <v/>
      </c>
      <c r="S1952" s="75" t="str">
        <f t="shared" si="73"/>
        <v/>
      </c>
      <c r="T1952" s="129" t="s">
        <v>6080</v>
      </c>
      <c r="U1952" s="8">
        <v>44783</v>
      </c>
      <c r="W1952" s="6" t="s">
        <v>33</v>
      </c>
      <c r="X1952" s="95">
        <v>46369</v>
      </c>
    </row>
    <row r="1953" spans="1:24" x14ac:dyDescent="0.25">
      <c r="A1953" s="6" t="s">
        <v>6057</v>
      </c>
      <c r="B1953" s="94" t="s">
        <v>3123</v>
      </c>
      <c r="C1953" s="6" t="s">
        <v>6081</v>
      </c>
      <c r="D1953" s="140">
        <v>11243607</v>
      </c>
      <c r="E1953" s="6" t="s">
        <v>56</v>
      </c>
      <c r="F1953" s="10" t="s">
        <v>934</v>
      </c>
      <c r="G1953" s="6" t="s">
        <v>6082</v>
      </c>
      <c r="H1953" s="8">
        <v>44392</v>
      </c>
      <c r="I1953" s="8">
        <v>44173</v>
      </c>
      <c r="J1953" s="8">
        <v>44173</v>
      </c>
      <c r="K1953" s="95">
        <v>44173</v>
      </c>
      <c r="L1953" s="95" t="s">
        <v>31</v>
      </c>
      <c r="M1953" s="8">
        <v>44180</v>
      </c>
      <c r="N1953" s="8">
        <v>44267</v>
      </c>
      <c r="O1953" s="8">
        <v>44208</v>
      </c>
      <c r="P1953" s="6" t="s">
        <v>90</v>
      </c>
      <c r="Q1953" s="96">
        <v>183</v>
      </c>
      <c r="R1953" s="97">
        <f t="shared" si="72"/>
        <v>0.50136986301369868</v>
      </c>
      <c r="S1953" s="75">
        <f t="shared" si="73"/>
        <v>4140.813698630137</v>
      </c>
      <c r="T1953" s="124" t="s">
        <v>6083</v>
      </c>
      <c r="U1953" s="8">
        <v>44267</v>
      </c>
      <c r="X1953" s="6"/>
    </row>
    <row r="1954" spans="1:24" x14ac:dyDescent="0.25">
      <c r="A1954" s="6" t="s">
        <v>6057</v>
      </c>
      <c r="B1954" s="94" t="s">
        <v>944</v>
      </c>
      <c r="C1954" s="6" t="s">
        <v>6084</v>
      </c>
      <c r="D1954" s="140">
        <v>11087383</v>
      </c>
      <c r="E1954" s="6" t="s">
        <v>2160</v>
      </c>
      <c r="F1954" s="10" t="s">
        <v>121</v>
      </c>
      <c r="G1954" s="6" t="s">
        <v>6085</v>
      </c>
      <c r="H1954" s="8">
        <v>44881</v>
      </c>
      <c r="I1954" s="8">
        <v>44173</v>
      </c>
      <c r="J1954" s="8">
        <v>44173</v>
      </c>
      <c r="K1954" s="95">
        <v>44173</v>
      </c>
      <c r="L1954" s="95" t="s">
        <v>31</v>
      </c>
      <c r="M1954" s="8">
        <v>44180</v>
      </c>
      <c r="R1954" s="97" t="str">
        <f t="shared" si="72"/>
        <v/>
      </c>
      <c r="S1954" s="75" t="str">
        <f t="shared" si="73"/>
        <v/>
      </c>
      <c r="T1954" s="124" t="s">
        <v>6086</v>
      </c>
      <c r="U1954" s="8">
        <v>44320</v>
      </c>
      <c r="W1954" s="6" t="s">
        <v>33</v>
      </c>
      <c r="X1954" s="95">
        <v>49208</v>
      </c>
    </row>
    <row r="1955" spans="1:24" x14ac:dyDescent="0.25">
      <c r="A1955" s="6" t="s">
        <v>168</v>
      </c>
      <c r="B1955" s="94" t="s">
        <v>4287</v>
      </c>
      <c r="C1955" s="6" t="s">
        <v>6087</v>
      </c>
      <c r="D1955" s="140">
        <v>11629835</v>
      </c>
      <c r="E1955" s="6" t="s">
        <v>6088</v>
      </c>
      <c r="F1955" s="10" t="s">
        <v>29</v>
      </c>
      <c r="G1955" s="6" t="s">
        <v>6089</v>
      </c>
      <c r="H1955" s="8">
        <v>44854</v>
      </c>
      <c r="I1955" s="8">
        <v>43628</v>
      </c>
      <c r="J1955" s="8">
        <v>43634</v>
      </c>
      <c r="K1955" s="95">
        <v>43635</v>
      </c>
      <c r="L1955" s="95" t="s">
        <v>31</v>
      </c>
      <c r="M1955" s="8">
        <v>43643</v>
      </c>
      <c r="N1955" s="8">
        <v>44253</v>
      </c>
      <c r="O1955" s="8">
        <v>43924</v>
      </c>
      <c r="P1955" s="6" t="s">
        <v>75</v>
      </c>
      <c r="R1955" s="97" t="str">
        <f t="shared" si="72"/>
        <v/>
      </c>
      <c r="S1955" s="75" t="str">
        <f t="shared" si="73"/>
        <v/>
      </c>
      <c r="U1955" s="8">
        <v>44253</v>
      </c>
      <c r="W1955" s="6" t="s">
        <v>84</v>
      </c>
      <c r="X1955" s="95">
        <v>46921</v>
      </c>
    </row>
    <row r="1956" spans="1:24" x14ac:dyDescent="0.25">
      <c r="A1956" s="6" t="s">
        <v>168</v>
      </c>
      <c r="B1956" s="94" t="s">
        <v>6090</v>
      </c>
      <c r="C1956" s="6" t="s">
        <v>6091</v>
      </c>
      <c r="D1956" s="140">
        <v>11720952</v>
      </c>
      <c r="E1956" s="6" t="s">
        <v>6092</v>
      </c>
      <c r="F1956" s="10" t="s">
        <v>44</v>
      </c>
      <c r="G1956" s="6" t="s">
        <v>5636</v>
      </c>
      <c r="H1956" s="8">
        <v>44190</v>
      </c>
      <c r="I1956" s="8">
        <v>43593</v>
      </c>
      <c r="J1956" s="8">
        <v>43593</v>
      </c>
      <c r="K1956" s="95">
        <v>43594</v>
      </c>
      <c r="L1956" s="95" t="s">
        <v>31</v>
      </c>
      <c r="M1956" s="8">
        <v>43607</v>
      </c>
      <c r="N1956" s="8">
        <v>43783</v>
      </c>
      <c r="O1956" s="8">
        <v>43768</v>
      </c>
      <c r="P1956" s="6" t="s">
        <v>52</v>
      </c>
      <c r="R1956" s="97" t="str">
        <f t="shared" si="72"/>
        <v/>
      </c>
      <c r="S1956" s="75" t="str">
        <f t="shared" si="73"/>
        <v/>
      </c>
      <c r="U1956" s="8">
        <v>43794</v>
      </c>
      <c r="W1956" s="6" t="s">
        <v>33</v>
      </c>
      <c r="X1956" s="6"/>
    </row>
    <row r="1957" spans="1:24" x14ac:dyDescent="0.25">
      <c r="A1957" s="6" t="s">
        <v>168</v>
      </c>
      <c r="B1957" s="94" t="s">
        <v>164</v>
      </c>
      <c r="C1957" s="6" t="s">
        <v>6093</v>
      </c>
      <c r="D1957" s="140">
        <v>11480277</v>
      </c>
      <c r="E1957" s="6" t="s">
        <v>2696</v>
      </c>
      <c r="F1957" s="10" t="s">
        <v>205</v>
      </c>
      <c r="G1957" s="6" t="s">
        <v>6094</v>
      </c>
      <c r="H1957" s="8">
        <v>47402</v>
      </c>
      <c r="I1957" s="8">
        <v>43350</v>
      </c>
      <c r="J1957" s="8">
        <v>43367</v>
      </c>
      <c r="K1957" s="95">
        <v>43367</v>
      </c>
      <c r="L1957" s="95" t="s">
        <v>31</v>
      </c>
      <c r="M1957" s="8">
        <v>43369</v>
      </c>
      <c r="N1957" s="8">
        <v>43854</v>
      </c>
      <c r="O1957" s="8">
        <v>43818</v>
      </c>
      <c r="P1957" s="6" t="s">
        <v>90</v>
      </c>
      <c r="Q1957" s="96">
        <v>1371</v>
      </c>
      <c r="R1957" s="97">
        <f t="shared" si="72"/>
        <v>3.7561643835616438</v>
      </c>
      <c r="S1957" s="75">
        <f t="shared" si="73"/>
        <v>31022.161643835618</v>
      </c>
      <c r="T1957" s="124" t="s">
        <v>6095</v>
      </c>
      <c r="U1957" s="8">
        <v>43854</v>
      </c>
      <c r="V1957" s="6" t="s">
        <v>36</v>
      </c>
      <c r="W1957" s="6" t="s">
        <v>84</v>
      </c>
      <c r="X1957" s="95">
        <v>37914</v>
      </c>
    </row>
    <row r="1958" spans="1:24" x14ac:dyDescent="0.25">
      <c r="A1958" s="6" t="s">
        <v>168</v>
      </c>
      <c r="B1958" s="94" t="s">
        <v>2217</v>
      </c>
      <c r="C1958" s="6" t="s">
        <v>6096</v>
      </c>
      <c r="D1958" s="140">
        <v>11560210</v>
      </c>
      <c r="E1958" s="6" t="s">
        <v>4044</v>
      </c>
      <c r="F1958" s="10" t="s">
        <v>44</v>
      </c>
      <c r="G1958" s="6" t="s">
        <v>6097</v>
      </c>
      <c r="H1958" s="8">
        <v>146818</v>
      </c>
      <c r="I1958" s="8">
        <v>44398</v>
      </c>
      <c r="J1958" s="8">
        <v>44414</v>
      </c>
      <c r="K1958" s="95">
        <v>44419</v>
      </c>
      <c r="L1958" s="95" t="s">
        <v>359</v>
      </c>
      <c r="R1958" s="97" t="str">
        <f t="shared" si="72"/>
        <v/>
      </c>
      <c r="S1958" s="75" t="str">
        <f t="shared" si="73"/>
        <v/>
      </c>
      <c r="W1958" s="6" t="s">
        <v>84</v>
      </c>
      <c r="X1958" s="7">
        <v>46985</v>
      </c>
    </row>
    <row r="1959" spans="1:24" x14ac:dyDescent="0.25">
      <c r="A1959" s="6" t="s">
        <v>168</v>
      </c>
      <c r="B1959" s="94" t="s">
        <v>234</v>
      </c>
      <c r="C1959" s="6" t="s">
        <v>6098</v>
      </c>
      <c r="D1959" s="140">
        <v>11561949</v>
      </c>
      <c r="E1959" s="6" t="s">
        <v>3163</v>
      </c>
      <c r="F1959" s="10" t="s">
        <v>528</v>
      </c>
      <c r="G1959" s="6" t="s">
        <v>6099</v>
      </c>
      <c r="H1959" s="8">
        <v>44560</v>
      </c>
      <c r="I1959" s="8">
        <v>43543</v>
      </c>
      <c r="J1959" s="8">
        <v>43544</v>
      </c>
      <c r="K1959" s="95">
        <v>43549</v>
      </c>
      <c r="L1959" s="95" t="s">
        <v>31</v>
      </c>
      <c r="M1959" s="8">
        <v>43570</v>
      </c>
      <c r="N1959" s="8">
        <v>43627</v>
      </c>
      <c r="O1959" s="8">
        <v>43622</v>
      </c>
      <c r="P1959" s="6" t="s">
        <v>75</v>
      </c>
      <c r="R1959" s="97" t="str">
        <f t="shared" si="72"/>
        <v/>
      </c>
      <c r="S1959" s="75" t="str">
        <f t="shared" si="73"/>
        <v/>
      </c>
      <c r="U1959" s="8">
        <v>43643</v>
      </c>
      <c r="W1959" s="6" t="s">
        <v>33</v>
      </c>
      <c r="X1959" s="95">
        <v>43495</v>
      </c>
    </row>
    <row r="1960" spans="1:24" x14ac:dyDescent="0.25">
      <c r="A1960" s="6" t="s">
        <v>168</v>
      </c>
      <c r="B1960" s="94" t="s">
        <v>3686</v>
      </c>
      <c r="C1960" s="6" t="s">
        <v>6100</v>
      </c>
      <c r="D1960" s="140">
        <v>11853179</v>
      </c>
      <c r="E1960" s="6" t="s">
        <v>6101</v>
      </c>
      <c r="F1960" s="10" t="s">
        <v>44</v>
      </c>
      <c r="G1960" s="6" t="s">
        <v>6102</v>
      </c>
      <c r="H1960" s="8">
        <v>46661</v>
      </c>
      <c r="I1960" s="8">
        <v>44143</v>
      </c>
      <c r="J1960" s="8">
        <v>44144</v>
      </c>
      <c r="K1960" s="95">
        <v>44153</v>
      </c>
      <c r="L1960" s="95" t="s">
        <v>31</v>
      </c>
      <c r="M1960" s="8">
        <v>44154</v>
      </c>
      <c r="N1960" s="8">
        <v>44238</v>
      </c>
      <c r="O1960" s="8">
        <v>44168</v>
      </c>
      <c r="P1960" s="6" t="s">
        <v>52</v>
      </c>
      <c r="R1960" s="97" t="str">
        <f t="shared" si="72"/>
        <v/>
      </c>
      <c r="S1960" s="75" t="str">
        <f t="shared" si="73"/>
        <v/>
      </c>
      <c r="T1960" s="124" t="s">
        <v>6103</v>
      </c>
      <c r="U1960" s="8">
        <v>44239</v>
      </c>
      <c r="W1960" s="6" t="s">
        <v>84</v>
      </c>
      <c r="X1960" s="95">
        <v>45868</v>
      </c>
    </row>
    <row r="1961" spans="1:24" x14ac:dyDescent="0.25">
      <c r="A1961" s="6" t="s">
        <v>168</v>
      </c>
      <c r="B1961" s="94" t="s">
        <v>1154</v>
      </c>
      <c r="C1961" s="6" t="s">
        <v>6104</v>
      </c>
      <c r="D1961" s="140">
        <v>11636595</v>
      </c>
      <c r="E1961" s="6" t="s">
        <v>1047</v>
      </c>
      <c r="F1961" s="10" t="s">
        <v>121</v>
      </c>
      <c r="G1961" s="6" t="s">
        <v>6105</v>
      </c>
      <c r="H1961" s="8">
        <v>64718</v>
      </c>
      <c r="I1961" s="8">
        <v>44335</v>
      </c>
      <c r="J1961" s="8">
        <v>44344</v>
      </c>
      <c r="K1961" s="95">
        <v>44344</v>
      </c>
      <c r="L1961" s="95" t="s">
        <v>359</v>
      </c>
      <c r="R1961" s="97" t="str">
        <f t="shared" si="72"/>
        <v/>
      </c>
      <c r="S1961" s="75" t="str">
        <f t="shared" si="73"/>
        <v/>
      </c>
      <c r="W1961" s="6" t="s">
        <v>84</v>
      </c>
      <c r="X1961" s="7">
        <v>47709</v>
      </c>
    </row>
    <row r="1962" spans="1:24" x14ac:dyDescent="0.25">
      <c r="A1962" s="6" t="s">
        <v>168</v>
      </c>
      <c r="B1962" s="94" t="s">
        <v>6106</v>
      </c>
      <c r="C1962" s="6" t="s">
        <v>6107</v>
      </c>
      <c r="D1962" s="140">
        <v>11036605</v>
      </c>
      <c r="E1962" s="6" t="s">
        <v>5106</v>
      </c>
      <c r="F1962" s="10" t="s">
        <v>57</v>
      </c>
      <c r="G1962" s="6" t="s">
        <v>6108</v>
      </c>
      <c r="H1962" s="8">
        <v>46793</v>
      </c>
      <c r="I1962" s="8">
        <v>43584</v>
      </c>
      <c r="J1962" s="8">
        <v>43752</v>
      </c>
      <c r="K1962" s="95">
        <v>43753</v>
      </c>
      <c r="L1962" s="95" t="s">
        <v>31</v>
      </c>
      <c r="M1962" s="8">
        <v>43755</v>
      </c>
      <c r="N1962" s="108">
        <v>44484</v>
      </c>
      <c r="O1962" s="108">
        <v>43866</v>
      </c>
      <c r="P1962" s="107" t="s">
        <v>633</v>
      </c>
      <c r="Q1962" s="110"/>
      <c r="R1962" s="97" t="str">
        <f t="shared" si="72"/>
        <v/>
      </c>
      <c r="S1962" s="75" t="str">
        <f t="shared" si="73"/>
        <v/>
      </c>
      <c r="U1962" s="8">
        <v>44776</v>
      </c>
      <c r="W1962" s="6" t="s">
        <v>84</v>
      </c>
      <c r="X1962" s="95">
        <v>47742</v>
      </c>
    </row>
    <row r="1963" spans="1:24" x14ac:dyDescent="0.25">
      <c r="A1963" s="6" t="s">
        <v>37</v>
      </c>
      <c r="B1963" s="94" t="s">
        <v>3155</v>
      </c>
      <c r="C1963" s="6" t="s">
        <v>6109</v>
      </c>
      <c r="D1963" s="140">
        <v>11517549</v>
      </c>
      <c r="E1963" s="6" t="s">
        <v>6110</v>
      </c>
      <c r="F1963" s="10" t="s">
        <v>44</v>
      </c>
      <c r="G1963" s="6" t="s">
        <v>6111</v>
      </c>
      <c r="H1963" s="8">
        <v>48977</v>
      </c>
      <c r="I1963" s="8">
        <v>44173</v>
      </c>
      <c r="J1963" s="8">
        <v>44180</v>
      </c>
      <c r="K1963" s="95">
        <v>44178</v>
      </c>
      <c r="L1963" s="95" t="s">
        <v>359</v>
      </c>
      <c r="R1963" s="97" t="str">
        <f t="shared" si="72"/>
        <v/>
      </c>
      <c r="S1963" s="75" t="str">
        <f t="shared" si="73"/>
        <v/>
      </c>
      <c r="W1963" s="6" t="s">
        <v>33</v>
      </c>
      <c r="X1963" s="95">
        <v>47418</v>
      </c>
    </row>
    <row r="1964" spans="1:24" x14ac:dyDescent="0.25">
      <c r="A1964" s="6" t="s">
        <v>37</v>
      </c>
      <c r="B1964" s="94" t="s">
        <v>323</v>
      </c>
      <c r="C1964" s="6" t="s">
        <v>6112</v>
      </c>
      <c r="D1964" s="140">
        <v>12136701</v>
      </c>
      <c r="E1964" s="6" t="s">
        <v>2146</v>
      </c>
      <c r="F1964" s="10" t="s">
        <v>143</v>
      </c>
      <c r="G1964" s="6" t="s">
        <v>6113</v>
      </c>
      <c r="H1964" s="8">
        <v>46321</v>
      </c>
      <c r="I1964" s="8">
        <v>44112</v>
      </c>
      <c r="J1964" s="8">
        <v>44119</v>
      </c>
      <c r="K1964" s="95">
        <v>44120</v>
      </c>
      <c r="L1964" s="95" t="s">
        <v>31</v>
      </c>
      <c r="M1964" s="8">
        <v>44141</v>
      </c>
      <c r="N1964" s="8">
        <v>45007</v>
      </c>
      <c r="O1964" s="8">
        <v>45006</v>
      </c>
      <c r="P1964" s="6" t="s">
        <v>35</v>
      </c>
      <c r="Q1964" s="96">
        <v>1022</v>
      </c>
      <c r="R1964" s="97">
        <f t="shared" si="72"/>
        <v>2.8</v>
      </c>
      <c r="S1964" s="75">
        <f t="shared" si="73"/>
        <v>23125.200000000001</v>
      </c>
      <c r="T1964" s="8"/>
      <c r="U1964" s="8">
        <v>45021</v>
      </c>
      <c r="V1964" s="6" t="s">
        <v>36</v>
      </c>
      <c r="W1964" s="6" t="s">
        <v>33</v>
      </c>
      <c r="X1964" s="135">
        <v>46696</v>
      </c>
    </row>
    <row r="1965" spans="1:24" x14ac:dyDescent="0.25">
      <c r="A1965" s="6" t="s">
        <v>168</v>
      </c>
      <c r="B1965" s="94" t="s">
        <v>646</v>
      </c>
      <c r="C1965" s="6" t="s">
        <v>6114</v>
      </c>
      <c r="D1965" s="140">
        <v>11577330</v>
      </c>
      <c r="E1965" s="6" t="s">
        <v>2568</v>
      </c>
      <c r="F1965" s="10" t="s">
        <v>44</v>
      </c>
      <c r="G1965" s="6" t="s">
        <v>6115</v>
      </c>
      <c r="H1965" s="8">
        <v>50755</v>
      </c>
      <c r="I1965" s="8">
        <v>44376</v>
      </c>
      <c r="J1965" s="8">
        <v>44398</v>
      </c>
      <c r="K1965" s="95">
        <v>44399</v>
      </c>
      <c r="L1965" s="95" t="s">
        <v>359</v>
      </c>
      <c r="R1965" s="97" t="str">
        <f t="shared" si="72"/>
        <v/>
      </c>
      <c r="S1965" s="75" t="str">
        <f t="shared" si="73"/>
        <v/>
      </c>
      <c r="W1965" s="6" t="s">
        <v>84</v>
      </c>
      <c r="X1965" s="7">
        <v>47194</v>
      </c>
    </row>
    <row r="1966" spans="1:24" x14ac:dyDescent="0.25">
      <c r="A1966" s="6" t="s">
        <v>168</v>
      </c>
      <c r="B1966" s="94" t="s">
        <v>6116</v>
      </c>
      <c r="C1966" s="6" t="s">
        <v>6117</v>
      </c>
      <c r="D1966" s="140">
        <v>11957845</v>
      </c>
      <c r="E1966" s="6" t="s">
        <v>362</v>
      </c>
      <c r="F1966" s="10" t="s">
        <v>44</v>
      </c>
      <c r="G1966" s="6" t="s">
        <v>6118</v>
      </c>
      <c r="H1966" s="8">
        <v>51924</v>
      </c>
      <c r="I1966" s="8">
        <v>44384</v>
      </c>
      <c r="J1966" s="8">
        <v>44406</v>
      </c>
      <c r="K1966" s="95">
        <v>44411</v>
      </c>
      <c r="L1966" s="95" t="s">
        <v>31</v>
      </c>
      <c r="M1966" s="8">
        <v>44419</v>
      </c>
      <c r="N1966" s="108">
        <v>44697</v>
      </c>
      <c r="O1966" s="108">
        <v>44697</v>
      </c>
      <c r="P1966" s="107" t="s">
        <v>35</v>
      </c>
      <c r="Q1966" s="110">
        <v>1028</v>
      </c>
      <c r="R1966" s="97">
        <f t="shared" si="72"/>
        <v>2.8164383561643835</v>
      </c>
      <c r="S1966" s="75">
        <f t="shared" si="73"/>
        <v>23260.964383561644</v>
      </c>
      <c r="T1966" s="129" t="s">
        <v>6119</v>
      </c>
      <c r="U1966" s="8">
        <v>44776</v>
      </c>
      <c r="W1966" s="6" t="s">
        <v>84</v>
      </c>
      <c r="X1966" s="7">
        <v>45729</v>
      </c>
    </row>
    <row r="1967" spans="1:24" x14ac:dyDescent="0.25">
      <c r="A1967" s="6" t="s">
        <v>37</v>
      </c>
      <c r="B1967" s="94" t="s">
        <v>323</v>
      </c>
      <c r="C1967" s="6" t="s">
        <v>6120</v>
      </c>
      <c r="D1967" s="140">
        <v>11589840</v>
      </c>
      <c r="E1967" s="6" t="s">
        <v>2314</v>
      </c>
      <c r="F1967" s="10" t="s">
        <v>143</v>
      </c>
      <c r="G1967" s="6" t="s">
        <v>6121</v>
      </c>
      <c r="H1967" s="8">
        <v>46305</v>
      </c>
      <c r="I1967" s="8">
        <v>44144</v>
      </c>
      <c r="J1967" s="8">
        <v>44174</v>
      </c>
      <c r="K1967" s="95">
        <v>44175</v>
      </c>
      <c r="L1967" s="95" t="s">
        <v>31</v>
      </c>
      <c r="M1967" s="8">
        <v>44183</v>
      </c>
      <c r="N1967" s="8">
        <v>44238</v>
      </c>
      <c r="O1967" s="8">
        <v>44203</v>
      </c>
      <c r="P1967" s="6" t="s">
        <v>75</v>
      </c>
      <c r="R1967" s="97" t="str">
        <f t="shared" si="72"/>
        <v/>
      </c>
      <c r="S1967" s="75" t="str">
        <f t="shared" si="73"/>
        <v/>
      </c>
      <c r="U1967" s="8">
        <v>44239</v>
      </c>
      <c r="W1967" s="6" t="s">
        <v>33</v>
      </c>
      <c r="X1967" s="95">
        <v>44767</v>
      </c>
    </row>
    <row r="1968" spans="1:24" x14ac:dyDescent="0.25">
      <c r="A1968" s="6" t="s">
        <v>37</v>
      </c>
      <c r="B1968" s="94" t="s">
        <v>323</v>
      </c>
      <c r="C1968" s="6" t="s">
        <v>6122</v>
      </c>
      <c r="D1968" s="140">
        <v>11606668</v>
      </c>
      <c r="E1968" s="6" t="s">
        <v>2314</v>
      </c>
      <c r="F1968" s="10" t="s">
        <v>44</v>
      </c>
      <c r="G1968" s="6" t="s">
        <v>6123</v>
      </c>
      <c r="H1968" s="8">
        <v>49770</v>
      </c>
      <c r="I1968" s="8">
        <v>44139</v>
      </c>
      <c r="J1968" s="8">
        <v>44174</v>
      </c>
      <c r="K1968" s="95">
        <v>44175</v>
      </c>
      <c r="L1968" s="95" t="s">
        <v>31</v>
      </c>
      <c r="M1968" s="8">
        <v>44183</v>
      </c>
      <c r="N1968" s="8">
        <v>44252</v>
      </c>
      <c r="O1968" s="8">
        <v>44235</v>
      </c>
      <c r="P1968" s="6" t="s">
        <v>75</v>
      </c>
      <c r="R1968" s="97" t="str">
        <f t="shared" si="72"/>
        <v/>
      </c>
      <c r="S1968" s="75" t="str">
        <f t="shared" si="73"/>
        <v/>
      </c>
      <c r="U1968" s="8">
        <v>44253</v>
      </c>
      <c r="W1968" s="6" t="s">
        <v>33</v>
      </c>
      <c r="X1968" s="95">
        <v>48220</v>
      </c>
    </row>
    <row r="1969" spans="1:24" x14ac:dyDescent="0.25">
      <c r="A1969" s="6" t="s">
        <v>369</v>
      </c>
      <c r="B1969" s="94" t="s">
        <v>6124</v>
      </c>
      <c r="C1969" s="6" t="s">
        <v>6125</v>
      </c>
      <c r="D1969" s="140">
        <v>11106686</v>
      </c>
      <c r="E1969" s="6" t="s">
        <v>1650</v>
      </c>
      <c r="F1969" s="10" t="s">
        <v>6126</v>
      </c>
      <c r="G1969" s="6" t="s">
        <v>6127</v>
      </c>
      <c r="H1969" s="8" t="s">
        <v>6128</v>
      </c>
      <c r="I1969" s="8">
        <v>44176</v>
      </c>
      <c r="J1969" s="8">
        <v>44176</v>
      </c>
      <c r="K1969" s="95">
        <v>44176</v>
      </c>
      <c r="L1969" s="95" t="s">
        <v>31</v>
      </c>
      <c r="M1969" s="8">
        <v>44180</v>
      </c>
      <c r="N1969" s="108">
        <v>44225</v>
      </c>
      <c r="O1969" s="108">
        <v>44221</v>
      </c>
      <c r="P1969" s="107" t="s">
        <v>35</v>
      </c>
      <c r="Q1969" s="110">
        <v>2345</v>
      </c>
      <c r="R1969" s="97">
        <f t="shared" si="72"/>
        <v>6.4246575342465757</v>
      </c>
      <c r="S1969" s="75">
        <f t="shared" si="73"/>
        <v>53061.246575342469</v>
      </c>
      <c r="U1969" s="8">
        <v>44776</v>
      </c>
      <c r="W1969" s="6" t="s">
        <v>33</v>
      </c>
      <c r="X1969" s="95">
        <v>49132</v>
      </c>
    </row>
    <row r="1970" spans="1:24" x14ac:dyDescent="0.25">
      <c r="A1970" s="6" t="s">
        <v>369</v>
      </c>
      <c r="B1970" s="94" t="s">
        <v>1366</v>
      </c>
      <c r="C1970" s="6" t="s">
        <v>6129</v>
      </c>
      <c r="D1970" s="140">
        <v>11631052</v>
      </c>
      <c r="E1970" s="6" t="s">
        <v>547</v>
      </c>
      <c r="F1970" s="10" t="s">
        <v>176</v>
      </c>
      <c r="G1970" s="6">
        <v>2007048268</v>
      </c>
      <c r="H1970" s="8">
        <v>44439</v>
      </c>
      <c r="I1970" s="8">
        <v>44176</v>
      </c>
      <c r="J1970" s="8">
        <v>44176</v>
      </c>
      <c r="K1970" s="95">
        <v>44176</v>
      </c>
      <c r="L1970" s="95" t="s">
        <v>31</v>
      </c>
      <c r="M1970" s="8">
        <v>44180</v>
      </c>
      <c r="N1970" s="108">
        <v>44201</v>
      </c>
      <c r="O1970" s="108">
        <v>44183</v>
      </c>
      <c r="P1970" s="107" t="s">
        <v>35</v>
      </c>
      <c r="Q1970" s="110">
        <v>246</v>
      </c>
      <c r="R1970" s="97">
        <f t="shared" si="72"/>
        <v>0.67397260273972603</v>
      </c>
      <c r="S1970" s="75">
        <f t="shared" si="73"/>
        <v>5566.3397260273978</v>
      </c>
      <c r="U1970" s="8">
        <v>44776</v>
      </c>
      <c r="W1970" s="6" t="s">
        <v>33</v>
      </c>
      <c r="X1970" s="95">
        <v>44548</v>
      </c>
    </row>
    <row r="1971" spans="1:24" x14ac:dyDescent="0.25">
      <c r="A1971" s="6" t="s">
        <v>6057</v>
      </c>
      <c r="B1971" s="94" t="s">
        <v>1177</v>
      </c>
      <c r="C1971" s="6" t="s">
        <v>6130</v>
      </c>
      <c r="D1971" s="140">
        <v>11067802</v>
      </c>
      <c r="E1971" s="6" t="s">
        <v>2850</v>
      </c>
      <c r="F1971" s="10" t="s">
        <v>29</v>
      </c>
      <c r="G1971" s="6" t="s">
        <v>6131</v>
      </c>
      <c r="H1971" s="8">
        <v>45577</v>
      </c>
      <c r="I1971" s="8">
        <v>44173</v>
      </c>
      <c r="J1971" s="8">
        <v>44173</v>
      </c>
      <c r="K1971" s="95">
        <v>44173</v>
      </c>
      <c r="L1971" s="95" t="s">
        <v>31</v>
      </c>
      <c r="M1971" s="8">
        <v>44180</v>
      </c>
      <c r="R1971" s="97" t="str">
        <f t="shared" si="72"/>
        <v/>
      </c>
      <c r="S1971" s="75" t="str">
        <f t="shared" si="73"/>
        <v/>
      </c>
      <c r="T1971" s="124" t="s">
        <v>6132</v>
      </c>
      <c r="U1971" s="8">
        <v>44407</v>
      </c>
      <c r="W1971" s="6" t="s">
        <v>33</v>
      </c>
      <c r="X1971" s="95">
        <v>51913</v>
      </c>
    </row>
    <row r="1972" spans="1:24" ht="30" x14ac:dyDescent="0.25">
      <c r="A1972" s="6" t="s">
        <v>6057</v>
      </c>
      <c r="B1972" s="94" t="s">
        <v>512</v>
      </c>
      <c r="C1972" s="6" t="s">
        <v>6133</v>
      </c>
      <c r="D1972" s="140">
        <v>11187471</v>
      </c>
      <c r="E1972" s="6" t="s">
        <v>1443</v>
      </c>
      <c r="F1972" s="10" t="s">
        <v>134</v>
      </c>
      <c r="G1972" s="6" t="s">
        <v>6134</v>
      </c>
      <c r="H1972" s="8">
        <v>45796</v>
      </c>
      <c r="I1972" s="8">
        <v>44173</v>
      </c>
      <c r="J1972" s="8">
        <v>44173</v>
      </c>
      <c r="K1972" s="95">
        <v>44173</v>
      </c>
      <c r="L1972" s="95" t="s">
        <v>31</v>
      </c>
      <c r="M1972" s="8">
        <v>44180</v>
      </c>
      <c r="N1972" s="8">
        <v>44320</v>
      </c>
      <c r="O1972" s="8">
        <v>44298</v>
      </c>
      <c r="P1972" s="6" t="s">
        <v>35</v>
      </c>
      <c r="Q1972" s="96">
        <v>1826</v>
      </c>
      <c r="R1972" s="97">
        <f t="shared" si="72"/>
        <v>5.0027397260273974</v>
      </c>
      <c r="S1972" s="75">
        <f t="shared" si="73"/>
        <v>41317.627397260272</v>
      </c>
      <c r="U1972" s="8">
        <v>44320</v>
      </c>
      <c r="W1972" s="6" t="s">
        <v>33</v>
      </c>
      <c r="X1972" s="95">
        <v>48602</v>
      </c>
    </row>
    <row r="1973" spans="1:24" ht="30" x14ac:dyDescent="0.25">
      <c r="A1973" s="6" t="s">
        <v>6057</v>
      </c>
      <c r="B1973" s="94" t="s">
        <v>6135</v>
      </c>
      <c r="C1973" s="6" t="s">
        <v>6136</v>
      </c>
      <c r="D1973" s="140">
        <v>11149154</v>
      </c>
      <c r="E1973" s="6" t="s">
        <v>783</v>
      </c>
      <c r="F1973" s="10" t="s">
        <v>363</v>
      </c>
      <c r="G1973" s="6" t="s">
        <v>6137</v>
      </c>
      <c r="H1973" s="8">
        <v>46005</v>
      </c>
      <c r="I1973" s="8">
        <v>44173</v>
      </c>
      <c r="J1973" s="8">
        <v>44173</v>
      </c>
      <c r="K1973" s="95">
        <v>44173</v>
      </c>
      <c r="L1973" s="95" t="s">
        <v>31</v>
      </c>
      <c r="M1973" s="8">
        <v>44180</v>
      </c>
      <c r="N1973" s="108">
        <v>44307</v>
      </c>
      <c r="O1973" s="108">
        <v>44279</v>
      </c>
      <c r="P1973" s="107" t="s">
        <v>35</v>
      </c>
      <c r="Q1973" s="110">
        <v>1546</v>
      </c>
      <c r="R1973" s="97">
        <f t="shared" si="72"/>
        <v>4.2356164383561641</v>
      </c>
      <c r="S1973" s="75">
        <f t="shared" si="73"/>
        <v>34981.956164383562</v>
      </c>
      <c r="U1973" s="8">
        <v>44776</v>
      </c>
      <c r="W1973" s="6" t="s">
        <v>33</v>
      </c>
      <c r="X1973" s="95">
        <v>47667</v>
      </c>
    </row>
    <row r="1974" spans="1:24" x14ac:dyDescent="0.25">
      <c r="A1974" s="6" t="s">
        <v>6057</v>
      </c>
      <c r="B1974" s="94" t="s">
        <v>6138</v>
      </c>
      <c r="C1974" s="6" t="s">
        <v>6139</v>
      </c>
      <c r="D1974" s="140">
        <v>11080766</v>
      </c>
      <c r="E1974" s="6" t="s">
        <v>3163</v>
      </c>
      <c r="F1974" s="10" t="s">
        <v>62</v>
      </c>
      <c r="G1974" s="6" t="s">
        <v>6140</v>
      </c>
      <c r="H1974" s="8">
        <v>45588</v>
      </c>
      <c r="I1974" s="8">
        <v>44168</v>
      </c>
      <c r="J1974" s="8">
        <v>44168</v>
      </c>
      <c r="K1974" s="95">
        <v>44168</v>
      </c>
      <c r="L1974" s="95" t="s">
        <v>31</v>
      </c>
      <c r="M1974" s="8">
        <v>44180</v>
      </c>
      <c r="N1974" s="8">
        <v>44320</v>
      </c>
      <c r="O1974" s="8">
        <v>44278</v>
      </c>
      <c r="P1974" s="6" t="s">
        <v>52</v>
      </c>
      <c r="R1974" s="97" t="str">
        <f t="shared" si="72"/>
        <v/>
      </c>
      <c r="S1974" s="75" t="str">
        <f t="shared" si="73"/>
        <v/>
      </c>
      <c r="T1974" s="124" t="s">
        <v>6141</v>
      </c>
      <c r="U1974" s="8">
        <v>44320</v>
      </c>
      <c r="W1974" s="6" t="s">
        <v>33</v>
      </c>
      <c r="X1974" s="95">
        <v>48887</v>
      </c>
    </row>
    <row r="1975" spans="1:24" x14ac:dyDescent="0.25">
      <c r="A1975" s="6" t="s">
        <v>6057</v>
      </c>
      <c r="B1975" s="94" t="s">
        <v>6142</v>
      </c>
      <c r="C1975" s="6" t="s">
        <v>6143</v>
      </c>
      <c r="D1975" s="140">
        <v>11474154</v>
      </c>
      <c r="E1975" s="6" t="s">
        <v>6144</v>
      </c>
      <c r="F1975" s="10" t="s">
        <v>44</v>
      </c>
      <c r="G1975" s="6" t="s">
        <v>6145</v>
      </c>
      <c r="H1975" s="8">
        <v>46257</v>
      </c>
      <c r="I1975" s="8">
        <v>44180</v>
      </c>
      <c r="J1975" s="8">
        <v>44180</v>
      </c>
      <c r="K1975" s="95">
        <v>44180</v>
      </c>
      <c r="L1975" s="95" t="s">
        <v>31</v>
      </c>
      <c r="M1975" s="8">
        <v>44182</v>
      </c>
      <c r="N1975" s="8">
        <v>44267</v>
      </c>
      <c r="O1975" s="8">
        <v>44229</v>
      </c>
      <c r="P1975" s="6" t="s">
        <v>90</v>
      </c>
      <c r="Q1975" s="96">
        <v>2019</v>
      </c>
      <c r="R1975" s="97">
        <f t="shared" si="72"/>
        <v>5.5315068493150683</v>
      </c>
      <c r="S1975" s="75">
        <f t="shared" si="73"/>
        <v>45684.715068493155</v>
      </c>
      <c r="T1975" s="124" t="s">
        <v>6146</v>
      </c>
      <c r="U1975" s="8">
        <v>44267</v>
      </c>
      <c r="X1975" s="6"/>
    </row>
    <row r="1976" spans="1:24" x14ac:dyDescent="0.25">
      <c r="A1976" s="6" t="s">
        <v>6057</v>
      </c>
      <c r="B1976" s="94" t="s">
        <v>6147</v>
      </c>
      <c r="C1976" s="6" t="s">
        <v>6148</v>
      </c>
      <c r="D1976" s="140">
        <v>11094849</v>
      </c>
      <c r="E1976" s="6" t="s">
        <v>49</v>
      </c>
      <c r="F1976" s="10" t="s">
        <v>44</v>
      </c>
      <c r="G1976" s="6" t="s">
        <v>6149</v>
      </c>
      <c r="H1976" s="8">
        <v>46755</v>
      </c>
      <c r="I1976" s="8">
        <v>44180</v>
      </c>
      <c r="J1976" s="8">
        <v>44180</v>
      </c>
      <c r="K1976" s="95">
        <v>44180</v>
      </c>
      <c r="L1976" s="95" t="s">
        <v>31</v>
      </c>
      <c r="M1976" s="8">
        <v>44182</v>
      </c>
      <c r="N1976" s="8">
        <v>44246</v>
      </c>
      <c r="O1976" s="8">
        <v>44229</v>
      </c>
      <c r="P1976" s="6" t="s">
        <v>90</v>
      </c>
      <c r="Q1976" s="96">
        <v>2515</v>
      </c>
      <c r="R1976" s="97">
        <f t="shared" si="72"/>
        <v>6.8904109589041092</v>
      </c>
      <c r="S1976" s="75">
        <f t="shared" si="73"/>
        <v>56907.904109589042</v>
      </c>
      <c r="T1976" s="124" t="s">
        <v>6150</v>
      </c>
      <c r="U1976" s="8">
        <v>44246</v>
      </c>
      <c r="X1976" s="6"/>
    </row>
    <row r="1977" spans="1:24" ht="30" x14ac:dyDescent="0.25">
      <c r="A1977" s="6" t="s">
        <v>6057</v>
      </c>
      <c r="B1977" s="94" t="s">
        <v>814</v>
      </c>
      <c r="C1977" s="6" t="s">
        <v>6151</v>
      </c>
      <c r="D1977" s="140">
        <v>11213738</v>
      </c>
      <c r="E1977" s="6" t="s">
        <v>783</v>
      </c>
      <c r="F1977" s="10" t="s">
        <v>176</v>
      </c>
      <c r="G1977" s="6" t="s">
        <v>6152</v>
      </c>
      <c r="H1977" s="8">
        <v>44658</v>
      </c>
      <c r="I1977" s="8">
        <v>44180</v>
      </c>
      <c r="J1977" s="8">
        <v>44180</v>
      </c>
      <c r="K1977" s="95">
        <v>44180</v>
      </c>
      <c r="L1977" s="95" t="s">
        <v>31</v>
      </c>
      <c r="M1977" s="8">
        <v>44182</v>
      </c>
      <c r="R1977" s="97" t="str">
        <f t="shared" si="72"/>
        <v/>
      </c>
      <c r="S1977" s="75" t="str">
        <f t="shared" si="73"/>
        <v/>
      </c>
      <c r="T1977" s="124" t="s">
        <v>6153</v>
      </c>
      <c r="U1977" s="8">
        <v>44320</v>
      </c>
      <c r="X1977" s="6"/>
    </row>
    <row r="1978" spans="1:24" x14ac:dyDescent="0.25">
      <c r="A1978" s="6" t="s">
        <v>6057</v>
      </c>
      <c r="B1978" s="94" t="s">
        <v>2548</v>
      </c>
      <c r="C1978" s="6" t="s">
        <v>6154</v>
      </c>
      <c r="D1978" s="140">
        <v>11089328</v>
      </c>
      <c r="E1978" s="6" t="s">
        <v>247</v>
      </c>
      <c r="F1978" s="10" t="s">
        <v>62</v>
      </c>
      <c r="G1978" s="6" t="s">
        <v>6155</v>
      </c>
      <c r="H1978" s="8">
        <v>45215</v>
      </c>
      <c r="I1978" s="8">
        <v>44180</v>
      </c>
      <c r="J1978" s="8">
        <v>44180</v>
      </c>
      <c r="K1978" s="95">
        <v>44180</v>
      </c>
      <c r="L1978" s="95" t="s">
        <v>31</v>
      </c>
      <c r="M1978" s="8">
        <v>44182</v>
      </c>
      <c r="N1978" s="8">
        <v>44371</v>
      </c>
      <c r="O1978" s="8">
        <v>44356</v>
      </c>
      <c r="P1978" s="6" t="s">
        <v>52</v>
      </c>
      <c r="R1978" s="97" t="str">
        <f t="shared" si="72"/>
        <v/>
      </c>
      <c r="S1978" s="75" t="str">
        <f t="shared" si="73"/>
        <v/>
      </c>
      <c r="U1978" s="8">
        <v>44792</v>
      </c>
      <c r="W1978" s="6" t="s">
        <v>33</v>
      </c>
      <c r="X1978" s="95">
        <v>51068</v>
      </c>
    </row>
    <row r="1979" spans="1:24" x14ac:dyDescent="0.25">
      <c r="A1979" s="6" t="s">
        <v>6057</v>
      </c>
      <c r="B1979" s="94" t="s">
        <v>6156</v>
      </c>
      <c r="C1979" s="6" t="s">
        <v>6157</v>
      </c>
      <c r="D1979" s="140">
        <v>11069979</v>
      </c>
      <c r="E1979" s="6" t="s">
        <v>3484</v>
      </c>
      <c r="F1979" s="10" t="s">
        <v>44</v>
      </c>
      <c r="G1979" s="6" t="s">
        <v>6158</v>
      </c>
      <c r="H1979" s="8">
        <v>46202</v>
      </c>
      <c r="I1979" s="8">
        <v>44180</v>
      </c>
      <c r="J1979" s="8">
        <v>44180</v>
      </c>
      <c r="K1979" s="95">
        <v>44180</v>
      </c>
      <c r="L1979" s="95" t="s">
        <v>31</v>
      </c>
      <c r="M1979" s="8">
        <v>44182</v>
      </c>
      <c r="N1979" s="8">
        <v>44237</v>
      </c>
      <c r="O1979" s="8">
        <v>44229</v>
      </c>
      <c r="P1979" s="6" t="s">
        <v>90</v>
      </c>
      <c r="Q1979" s="96">
        <v>1958</v>
      </c>
      <c r="R1979" s="97">
        <f t="shared" si="72"/>
        <v>5.3643835616438356</v>
      </c>
      <c r="S1979" s="75">
        <f t="shared" si="73"/>
        <v>44304.443835616439</v>
      </c>
      <c r="T1979" s="124" t="s">
        <v>6159</v>
      </c>
      <c r="U1979" s="8">
        <v>44237</v>
      </c>
      <c r="V1979" s="6" t="s">
        <v>36</v>
      </c>
      <c r="X1979" s="6"/>
    </row>
    <row r="1980" spans="1:24" x14ac:dyDescent="0.25">
      <c r="A1980" s="6" t="s">
        <v>37</v>
      </c>
      <c r="B1980" s="94" t="s">
        <v>6160</v>
      </c>
      <c r="C1980" s="6" t="s">
        <v>6161</v>
      </c>
      <c r="D1980" s="140">
        <v>11617510</v>
      </c>
      <c r="E1980" s="6" t="s">
        <v>6162</v>
      </c>
      <c r="F1980" s="10" t="s">
        <v>29</v>
      </c>
      <c r="G1980" s="6" t="s">
        <v>6163</v>
      </c>
      <c r="H1980" s="8">
        <v>49405</v>
      </c>
      <c r="I1980" s="8">
        <v>43621</v>
      </c>
      <c r="J1980" s="8">
        <v>43622</v>
      </c>
      <c r="K1980" s="95">
        <v>43622</v>
      </c>
      <c r="L1980" s="95" t="s">
        <v>31</v>
      </c>
      <c r="M1980" s="8">
        <v>43627</v>
      </c>
      <c r="N1980" s="8">
        <v>43859</v>
      </c>
      <c r="O1980" s="8">
        <v>43818</v>
      </c>
      <c r="P1980" s="6" t="s">
        <v>35</v>
      </c>
      <c r="Q1980" s="96">
        <v>3043</v>
      </c>
      <c r="R1980" s="97">
        <f t="shared" si="72"/>
        <v>8.3369863013698637</v>
      </c>
      <c r="S1980" s="75">
        <f t="shared" si="73"/>
        <v>68855.169863013696</v>
      </c>
      <c r="U1980" s="8">
        <v>43860</v>
      </c>
      <c r="W1980" s="6" t="s">
        <v>33</v>
      </c>
      <c r="X1980" s="95">
        <v>43155</v>
      </c>
    </row>
    <row r="1981" spans="1:24" x14ac:dyDescent="0.25">
      <c r="A1981" s="6" t="s">
        <v>37</v>
      </c>
      <c r="B1981" s="94" t="s">
        <v>112</v>
      </c>
      <c r="C1981" s="6" t="s">
        <v>6164</v>
      </c>
      <c r="D1981" s="140">
        <v>12015056</v>
      </c>
      <c r="E1981" s="6" t="s">
        <v>6165</v>
      </c>
      <c r="F1981" s="10" t="s">
        <v>62</v>
      </c>
      <c r="G1981" s="6" t="s">
        <v>6166</v>
      </c>
      <c r="H1981" s="8">
        <v>46002</v>
      </c>
      <c r="I1981" s="8">
        <v>43839</v>
      </c>
      <c r="J1981" s="8">
        <v>43846</v>
      </c>
      <c r="K1981" s="95">
        <v>43846</v>
      </c>
      <c r="L1981" s="95" t="s">
        <v>31</v>
      </c>
      <c r="M1981" s="8">
        <v>43853</v>
      </c>
      <c r="R1981" s="97" t="str">
        <f t="shared" si="72"/>
        <v/>
      </c>
      <c r="S1981" s="75" t="str">
        <f t="shared" si="73"/>
        <v/>
      </c>
      <c r="W1981" s="6" t="s">
        <v>33</v>
      </c>
      <c r="X1981" s="95">
        <v>47564</v>
      </c>
    </row>
    <row r="1982" spans="1:24" x14ac:dyDescent="0.25">
      <c r="A1982" s="6" t="s">
        <v>37</v>
      </c>
      <c r="B1982" s="94" t="s">
        <v>6167</v>
      </c>
      <c r="C1982" s="6" t="s">
        <v>6168</v>
      </c>
      <c r="D1982" s="140">
        <v>113030857</v>
      </c>
      <c r="E1982" s="6" t="s">
        <v>6169</v>
      </c>
      <c r="F1982" s="10" t="s">
        <v>44</v>
      </c>
      <c r="G1982" s="6" t="s">
        <v>6170</v>
      </c>
      <c r="H1982" s="8">
        <v>44704</v>
      </c>
      <c r="I1982" s="8">
        <v>43839</v>
      </c>
      <c r="J1982" s="8">
        <v>43846</v>
      </c>
      <c r="K1982" s="95">
        <v>43846</v>
      </c>
      <c r="L1982" s="95" t="s">
        <v>31</v>
      </c>
      <c r="M1982" s="8">
        <v>43850</v>
      </c>
      <c r="N1982" s="8">
        <v>43885</v>
      </c>
      <c r="O1982" s="8">
        <v>43866</v>
      </c>
      <c r="P1982" s="6" t="s">
        <v>182</v>
      </c>
      <c r="R1982" s="97" t="str">
        <f t="shared" si="72"/>
        <v/>
      </c>
      <c r="S1982" s="75" t="str">
        <f t="shared" si="73"/>
        <v/>
      </c>
      <c r="U1982" s="8">
        <v>43885</v>
      </c>
      <c r="W1982" s="6" t="s">
        <v>33</v>
      </c>
      <c r="X1982" s="95">
        <v>46223</v>
      </c>
    </row>
    <row r="1983" spans="1:24" x14ac:dyDescent="0.25">
      <c r="A1983" s="6" t="s">
        <v>37</v>
      </c>
      <c r="B1983" s="94" t="s">
        <v>1395</v>
      </c>
      <c r="C1983" s="6" t="s">
        <v>6171</v>
      </c>
      <c r="D1983" s="140">
        <v>11315207</v>
      </c>
      <c r="E1983" s="6" t="s">
        <v>4369</v>
      </c>
      <c r="F1983" s="10" t="s">
        <v>293</v>
      </c>
      <c r="G1983" s="6" t="s">
        <v>6172</v>
      </c>
      <c r="H1983" s="8">
        <v>48880</v>
      </c>
      <c r="I1983" s="8">
        <v>44180</v>
      </c>
      <c r="J1983" s="8">
        <v>44183</v>
      </c>
      <c r="K1983" s="95">
        <v>44181</v>
      </c>
      <c r="L1983" s="95" t="s">
        <v>359</v>
      </c>
      <c r="R1983" s="97" t="str">
        <f t="shared" si="72"/>
        <v/>
      </c>
      <c r="S1983" s="75" t="str">
        <f t="shared" si="73"/>
        <v/>
      </c>
      <c r="W1983" s="6" t="s">
        <v>33</v>
      </c>
      <c r="X1983" s="95">
        <v>46075</v>
      </c>
    </row>
    <row r="1984" spans="1:24" x14ac:dyDescent="0.25">
      <c r="A1984" s="6" t="s">
        <v>6057</v>
      </c>
      <c r="B1984" s="94" t="s">
        <v>6173</v>
      </c>
      <c r="C1984" s="6" t="s">
        <v>6174</v>
      </c>
      <c r="D1984" s="140">
        <v>11508678</v>
      </c>
      <c r="E1984" s="6" t="s">
        <v>3931</v>
      </c>
      <c r="F1984" s="10" t="s">
        <v>3160</v>
      </c>
      <c r="G1984" s="6">
        <v>161220</v>
      </c>
      <c r="H1984" s="8">
        <v>48645</v>
      </c>
      <c r="I1984" s="8">
        <v>44180</v>
      </c>
      <c r="J1984" s="8">
        <v>44196</v>
      </c>
      <c r="K1984" s="95">
        <v>44200</v>
      </c>
      <c r="L1984" s="95" t="s">
        <v>31</v>
      </c>
      <c r="M1984" s="8">
        <v>44218</v>
      </c>
      <c r="R1984" s="97" t="str">
        <f t="shared" si="72"/>
        <v/>
      </c>
      <c r="S1984" s="75" t="str">
        <f t="shared" si="73"/>
        <v/>
      </c>
      <c r="T1984" s="129" t="s">
        <v>6175</v>
      </c>
      <c r="U1984" s="8">
        <v>44783</v>
      </c>
      <c r="W1984" s="6" t="s">
        <v>33</v>
      </c>
      <c r="X1984" s="95">
        <v>44215</v>
      </c>
    </row>
    <row r="1985" spans="1:24" x14ac:dyDescent="0.25">
      <c r="A1985" s="6" t="s">
        <v>6057</v>
      </c>
      <c r="B1985" s="94" t="s">
        <v>6176</v>
      </c>
      <c r="C1985" s="6" t="s">
        <v>6177</v>
      </c>
      <c r="D1985" s="140">
        <v>11480988</v>
      </c>
      <c r="E1985" s="6" t="s">
        <v>2206</v>
      </c>
      <c r="F1985" s="10" t="s">
        <v>44</v>
      </c>
      <c r="G1985" s="6" t="s">
        <v>6178</v>
      </c>
      <c r="H1985" s="8">
        <v>45085</v>
      </c>
      <c r="I1985" s="8">
        <v>44180</v>
      </c>
      <c r="J1985" s="8">
        <v>44196</v>
      </c>
      <c r="K1985" s="95">
        <v>44200</v>
      </c>
      <c r="L1985" s="95" t="s">
        <v>31</v>
      </c>
      <c r="M1985" s="8">
        <v>44218</v>
      </c>
      <c r="N1985" s="108">
        <v>44427</v>
      </c>
      <c r="O1985" s="108">
        <v>44376</v>
      </c>
      <c r="P1985" s="107" t="s">
        <v>35</v>
      </c>
      <c r="Q1985" s="110">
        <v>692</v>
      </c>
      <c r="R1985" s="97">
        <f t="shared" si="72"/>
        <v>1.8958904109589041</v>
      </c>
      <c r="S1985" s="75">
        <f t="shared" si="73"/>
        <v>15658.15890410959</v>
      </c>
      <c r="T1985" s="129" t="s">
        <v>6179</v>
      </c>
      <c r="U1985" s="8">
        <v>44776</v>
      </c>
      <c r="W1985" s="6" t="s">
        <v>33</v>
      </c>
      <c r="X1985" s="95">
        <v>50844</v>
      </c>
    </row>
    <row r="1986" spans="1:24" x14ac:dyDescent="0.25">
      <c r="A1986" s="6" t="s">
        <v>6057</v>
      </c>
      <c r="B1986" s="94" t="s">
        <v>2428</v>
      </c>
      <c r="C1986" s="6" t="s">
        <v>6180</v>
      </c>
      <c r="D1986" s="140">
        <v>11220804</v>
      </c>
      <c r="E1986" s="6" t="s">
        <v>6181</v>
      </c>
      <c r="F1986" s="10" t="s">
        <v>134</v>
      </c>
      <c r="G1986" s="6" t="s">
        <v>6182</v>
      </c>
      <c r="H1986" s="8">
        <v>46126</v>
      </c>
      <c r="I1986" s="8">
        <v>44180</v>
      </c>
      <c r="J1986" s="8">
        <v>44196</v>
      </c>
      <c r="K1986" s="95">
        <v>44200</v>
      </c>
      <c r="L1986" s="95" t="s">
        <v>31</v>
      </c>
      <c r="M1986" s="8">
        <v>44218</v>
      </c>
      <c r="N1986" s="8">
        <v>44410</v>
      </c>
      <c r="O1986" s="8">
        <v>44377</v>
      </c>
      <c r="P1986" s="6" t="s">
        <v>90</v>
      </c>
      <c r="Q1986" s="96">
        <v>1741</v>
      </c>
      <c r="R1986" s="97">
        <f t="shared" si="72"/>
        <v>4.7698630136986298</v>
      </c>
      <c r="S1986" s="75">
        <f t="shared" si="73"/>
        <v>39394.298630136989</v>
      </c>
      <c r="T1986" s="124" t="s">
        <v>6183</v>
      </c>
      <c r="U1986" s="8">
        <v>44410</v>
      </c>
      <c r="V1986" s="6" t="s">
        <v>36</v>
      </c>
      <c r="W1986" s="6" t="s">
        <v>33</v>
      </c>
      <c r="X1986" s="95">
        <v>47857</v>
      </c>
    </row>
    <row r="1987" spans="1:24" x14ac:dyDescent="0.25">
      <c r="A1987" s="6" t="s">
        <v>6057</v>
      </c>
      <c r="B1987" s="94" t="s">
        <v>6184</v>
      </c>
      <c r="C1987" s="6" t="s">
        <v>6185</v>
      </c>
      <c r="D1987" s="140">
        <v>11121904</v>
      </c>
      <c r="E1987" s="6" t="s">
        <v>2206</v>
      </c>
      <c r="F1987" s="10" t="s">
        <v>57</v>
      </c>
      <c r="G1987" s="6" t="s">
        <v>6186</v>
      </c>
      <c r="H1987" s="8">
        <v>46310</v>
      </c>
      <c r="I1987" s="8">
        <v>44180</v>
      </c>
      <c r="J1987" s="8">
        <v>44196</v>
      </c>
      <c r="K1987" s="95">
        <v>44200</v>
      </c>
      <c r="L1987" s="95" t="s">
        <v>31</v>
      </c>
      <c r="M1987" s="8">
        <v>44218</v>
      </c>
      <c r="N1987" s="8">
        <v>45020</v>
      </c>
      <c r="O1987" s="8">
        <v>45013</v>
      </c>
      <c r="P1987" s="6" t="s">
        <v>35</v>
      </c>
      <c r="Q1987" s="96">
        <v>2190</v>
      </c>
      <c r="R1987" s="97">
        <f t="shared" si="72"/>
        <v>6</v>
      </c>
      <c r="S1987" s="75">
        <f t="shared" si="73"/>
        <v>49554</v>
      </c>
      <c r="T1987" s="124" t="s">
        <v>6187</v>
      </c>
      <c r="U1987" s="8">
        <v>45044</v>
      </c>
      <c r="V1987" s="6" t="s">
        <v>36</v>
      </c>
      <c r="W1987" s="6" t="s">
        <v>33</v>
      </c>
      <c r="X1987" s="95">
        <v>46309</v>
      </c>
    </row>
    <row r="1988" spans="1:24" x14ac:dyDescent="0.25">
      <c r="A1988" s="6" t="s">
        <v>6057</v>
      </c>
      <c r="B1988" s="94" t="s">
        <v>6188</v>
      </c>
      <c r="C1988" s="6" t="s">
        <v>6189</v>
      </c>
      <c r="D1988" s="140">
        <v>11143596</v>
      </c>
      <c r="E1988" s="6" t="s">
        <v>2314</v>
      </c>
      <c r="F1988" s="10" t="s">
        <v>44</v>
      </c>
      <c r="G1988" s="6" t="s">
        <v>6190</v>
      </c>
      <c r="H1988" s="8">
        <v>46302</v>
      </c>
      <c r="I1988" s="8">
        <v>44180</v>
      </c>
      <c r="J1988" s="8">
        <v>44196</v>
      </c>
      <c r="K1988" s="95">
        <v>44200</v>
      </c>
      <c r="L1988" s="95" t="s">
        <v>31</v>
      </c>
      <c r="M1988" s="8">
        <v>44225</v>
      </c>
      <c r="R1988" s="97" t="str">
        <f t="shared" si="72"/>
        <v/>
      </c>
      <c r="S1988" s="75" t="str">
        <f t="shared" si="73"/>
        <v/>
      </c>
      <c r="W1988" s="6" t="s">
        <v>33</v>
      </c>
      <c r="X1988" s="95">
        <v>46361</v>
      </c>
    </row>
    <row r="1989" spans="1:24" x14ac:dyDescent="0.25">
      <c r="A1989" s="6" t="s">
        <v>6057</v>
      </c>
      <c r="B1989" s="94" t="s">
        <v>635</v>
      </c>
      <c r="C1989" s="6" t="s">
        <v>6191</v>
      </c>
      <c r="D1989" s="140">
        <v>11147332</v>
      </c>
      <c r="E1989" s="6" t="s">
        <v>6192</v>
      </c>
      <c r="F1989" s="10" t="s">
        <v>44</v>
      </c>
      <c r="G1989" s="6" t="s">
        <v>6193</v>
      </c>
      <c r="H1989" s="8">
        <v>47263</v>
      </c>
      <c r="I1989" s="8">
        <v>44180</v>
      </c>
      <c r="J1989" s="8">
        <v>44196</v>
      </c>
      <c r="K1989" s="95">
        <v>44200</v>
      </c>
      <c r="L1989" s="95" t="s">
        <v>31</v>
      </c>
      <c r="M1989" s="8">
        <v>44225</v>
      </c>
      <c r="N1989" s="108">
        <v>44427</v>
      </c>
      <c r="O1989" s="108">
        <v>44376</v>
      </c>
      <c r="P1989" s="107" t="s">
        <v>35</v>
      </c>
      <c r="Q1989" s="110">
        <v>2870</v>
      </c>
      <c r="R1989" s="97">
        <f t="shared" ref="R1989:R2052" si="74">IF(Q1989&gt;0, Q1989/365, "")</f>
        <v>7.8630136986301373</v>
      </c>
      <c r="S1989" s="75">
        <f t="shared" ref="S1989:S2052" si="75">IF(Q1989&gt;0, SUM(Q1989)*(8259/365), "")</f>
        <v>64940.630136986307</v>
      </c>
      <c r="U1989" s="8">
        <v>44776</v>
      </c>
      <c r="W1989" s="6" t="s">
        <v>33</v>
      </c>
      <c r="X1989" s="95">
        <v>51383</v>
      </c>
    </row>
    <row r="1990" spans="1:24" x14ac:dyDescent="0.25">
      <c r="A1990" s="6" t="s">
        <v>6057</v>
      </c>
      <c r="B1990" s="94" t="s">
        <v>3006</v>
      </c>
      <c r="C1990" s="6" t="s">
        <v>6194</v>
      </c>
      <c r="D1990" s="140">
        <v>11106151</v>
      </c>
      <c r="E1990" s="6" t="s">
        <v>5655</v>
      </c>
      <c r="F1990" s="10" t="s">
        <v>44</v>
      </c>
      <c r="G1990" s="6" t="s">
        <v>6195</v>
      </c>
      <c r="H1990" s="8">
        <v>44687</v>
      </c>
      <c r="I1990" s="8">
        <v>44180</v>
      </c>
      <c r="J1990" s="8">
        <v>44196</v>
      </c>
      <c r="K1990" s="95">
        <v>44200</v>
      </c>
      <c r="L1990" s="95" t="s">
        <v>31</v>
      </c>
      <c r="M1990" s="8">
        <v>44225</v>
      </c>
      <c r="N1990" s="8">
        <v>44320</v>
      </c>
      <c r="O1990" s="8">
        <v>44293</v>
      </c>
      <c r="P1990" s="6" t="s">
        <v>35</v>
      </c>
      <c r="Q1990" s="96">
        <v>344</v>
      </c>
      <c r="R1990" s="97">
        <f t="shared" si="74"/>
        <v>0.94246575342465755</v>
      </c>
      <c r="S1990" s="75">
        <f t="shared" si="75"/>
        <v>7783.8246575342464</v>
      </c>
      <c r="T1990" s="124" t="s">
        <v>6196</v>
      </c>
      <c r="U1990" s="8">
        <v>44320</v>
      </c>
      <c r="V1990" s="6" t="s">
        <v>36</v>
      </c>
      <c r="W1990" s="6" t="s">
        <v>33</v>
      </c>
      <c r="X1990" s="95">
        <v>51252</v>
      </c>
    </row>
    <row r="1991" spans="1:24" x14ac:dyDescent="0.25">
      <c r="A1991" s="6" t="s">
        <v>6057</v>
      </c>
      <c r="B1991" s="94" t="s">
        <v>6197</v>
      </c>
      <c r="C1991" s="6" t="s">
        <v>6198</v>
      </c>
      <c r="D1991" s="140">
        <v>11494141</v>
      </c>
      <c r="E1991" s="6" t="s">
        <v>4958</v>
      </c>
      <c r="F1991" s="10" t="s">
        <v>121</v>
      </c>
      <c r="G1991" s="6" t="s">
        <v>6199</v>
      </c>
      <c r="H1991" s="8">
        <v>46780</v>
      </c>
      <c r="I1991" s="8">
        <v>44180</v>
      </c>
      <c r="J1991" s="8">
        <v>44203</v>
      </c>
      <c r="K1991" s="95">
        <v>44216</v>
      </c>
      <c r="L1991" s="95" t="s">
        <v>31</v>
      </c>
      <c r="M1991" s="8">
        <v>44225</v>
      </c>
      <c r="N1991" s="108">
        <v>44314</v>
      </c>
      <c r="O1991" s="108">
        <v>44279</v>
      </c>
      <c r="P1991" s="107" t="s">
        <v>52</v>
      </c>
      <c r="Q1991" s="110"/>
      <c r="R1991" s="97" t="str">
        <f t="shared" si="74"/>
        <v/>
      </c>
      <c r="S1991" s="75" t="str">
        <f t="shared" si="75"/>
        <v/>
      </c>
      <c r="U1991" s="8">
        <v>44776</v>
      </c>
      <c r="W1991" s="6" t="s">
        <v>33</v>
      </c>
      <c r="X1991" s="95">
        <v>47487</v>
      </c>
    </row>
    <row r="1992" spans="1:24" x14ac:dyDescent="0.25">
      <c r="A1992" s="6" t="s">
        <v>6057</v>
      </c>
      <c r="B1992" s="94" t="s">
        <v>6200</v>
      </c>
      <c r="C1992" s="6" t="s">
        <v>6201</v>
      </c>
      <c r="D1992" s="140">
        <v>11593952</v>
      </c>
      <c r="E1992" s="6" t="s">
        <v>2879</v>
      </c>
      <c r="F1992" s="10" t="s">
        <v>29</v>
      </c>
      <c r="G1992" s="6" t="s">
        <v>6202</v>
      </c>
      <c r="H1992" s="8">
        <v>46176</v>
      </c>
      <c r="I1992" s="8">
        <v>44180</v>
      </c>
      <c r="J1992" s="8">
        <v>44203</v>
      </c>
      <c r="K1992" s="95">
        <v>44204</v>
      </c>
      <c r="L1992" s="95" t="s">
        <v>31</v>
      </c>
      <c r="M1992" s="8">
        <v>44218</v>
      </c>
      <c r="R1992" s="97" t="str">
        <f t="shared" si="74"/>
        <v/>
      </c>
      <c r="S1992" s="75" t="str">
        <f t="shared" si="75"/>
        <v/>
      </c>
      <c r="T1992" s="124" t="s">
        <v>6086</v>
      </c>
      <c r="U1992" s="8">
        <v>44320</v>
      </c>
      <c r="W1992" s="6" t="s">
        <v>33</v>
      </c>
      <c r="X1992" s="95">
        <v>46176</v>
      </c>
    </row>
    <row r="1993" spans="1:24" x14ac:dyDescent="0.25">
      <c r="A1993" s="6" t="s">
        <v>6057</v>
      </c>
      <c r="B1993" s="94" t="s">
        <v>6203</v>
      </c>
      <c r="C1993" s="6" t="s">
        <v>6204</v>
      </c>
      <c r="D1993" s="140">
        <v>11532002</v>
      </c>
      <c r="E1993" s="6" t="s">
        <v>6205</v>
      </c>
      <c r="F1993" s="10" t="s">
        <v>29</v>
      </c>
      <c r="G1993" s="6" t="s">
        <v>6206</v>
      </c>
      <c r="H1993" s="8">
        <v>45569</v>
      </c>
      <c r="I1993" s="8">
        <v>44180</v>
      </c>
      <c r="J1993" s="8">
        <v>44203</v>
      </c>
      <c r="K1993" s="95">
        <v>44223</v>
      </c>
      <c r="L1993" s="95" t="s">
        <v>31</v>
      </c>
      <c r="M1993" s="8">
        <v>44225</v>
      </c>
      <c r="N1993" s="108">
        <v>44697</v>
      </c>
      <c r="O1993" s="108">
        <v>44685</v>
      </c>
      <c r="P1993" s="107" t="s">
        <v>35</v>
      </c>
      <c r="Q1993" s="110">
        <v>518</v>
      </c>
      <c r="R1993" s="97">
        <f t="shared" si="74"/>
        <v>1.4191780821917808</v>
      </c>
      <c r="S1993" s="75">
        <f t="shared" si="75"/>
        <v>11720.991780821918</v>
      </c>
      <c r="T1993" s="129" t="s">
        <v>6207</v>
      </c>
      <c r="U1993" s="8">
        <v>44783</v>
      </c>
      <c r="W1993" s="6" t="s">
        <v>33</v>
      </c>
      <c r="X1993" s="95">
        <v>49568</v>
      </c>
    </row>
    <row r="1994" spans="1:24" x14ac:dyDescent="0.25">
      <c r="A1994" s="6" t="s">
        <v>6057</v>
      </c>
      <c r="B1994" s="94" t="s">
        <v>4525</v>
      </c>
      <c r="C1994" s="6" t="s">
        <v>6208</v>
      </c>
      <c r="D1994" s="140">
        <v>11100627</v>
      </c>
      <c r="E1994" s="6" t="s">
        <v>3008</v>
      </c>
      <c r="F1994" s="10" t="s">
        <v>44</v>
      </c>
      <c r="G1994" s="6" t="s">
        <v>6209</v>
      </c>
      <c r="H1994" s="8">
        <v>46809</v>
      </c>
      <c r="I1994" s="8">
        <v>44180</v>
      </c>
      <c r="J1994" s="8">
        <v>44203</v>
      </c>
      <c r="K1994" s="95">
        <v>44223</v>
      </c>
      <c r="L1994" s="95" t="s">
        <v>31</v>
      </c>
      <c r="M1994" s="8">
        <v>44225</v>
      </c>
      <c r="N1994" s="8">
        <v>44320</v>
      </c>
      <c r="O1994" s="8">
        <v>44293</v>
      </c>
      <c r="P1994" s="6" t="s">
        <v>90</v>
      </c>
      <c r="Q1994" s="96">
        <v>2509</v>
      </c>
      <c r="R1994" s="97">
        <f t="shared" si="74"/>
        <v>6.8739726027397259</v>
      </c>
      <c r="S1994" s="75">
        <f t="shared" si="75"/>
        <v>56772.139726027403</v>
      </c>
      <c r="T1994" s="124" t="s">
        <v>6210</v>
      </c>
      <c r="U1994" s="8">
        <v>44320</v>
      </c>
      <c r="W1994" s="6" t="s">
        <v>33</v>
      </c>
      <c r="X1994" s="95">
        <v>46560</v>
      </c>
    </row>
    <row r="1995" spans="1:24" x14ac:dyDescent="0.25">
      <c r="A1995" s="6" t="s">
        <v>6057</v>
      </c>
      <c r="B1995" s="94" t="s">
        <v>6211</v>
      </c>
      <c r="C1995" s="6" t="s">
        <v>6212</v>
      </c>
      <c r="D1995" s="140">
        <v>11085487</v>
      </c>
      <c r="E1995" s="6" t="s">
        <v>6213</v>
      </c>
      <c r="F1995" s="10" t="s">
        <v>1588</v>
      </c>
      <c r="G1995" s="6" t="s">
        <v>6214</v>
      </c>
      <c r="H1995" s="8">
        <v>44753</v>
      </c>
      <c r="I1995" s="8">
        <v>44180</v>
      </c>
      <c r="J1995" s="8">
        <v>44203</v>
      </c>
      <c r="K1995" s="95">
        <v>44223</v>
      </c>
      <c r="L1995" s="95" t="s">
        <v>31</v>
      </c>
      <c r="M1995" s="8">
        <v>44225</v>
      </c>
      <c r="R1995" s="97" t="str">
        <f t="shared" si="74"/>
        <v/>
      </c>
      <c r="S1995" s="75" t="str">
        <f t="shared" si="75"/>
        <v/>
      </c>
      <c r="T1995" s="124" t="s">
        <v>6215</v>
      </c>
      <c r="U1995" s="8">
        <v>44824</v>
      </c>
      <c r="W1995" s="6" t="s">
        <v>33</v>
      </c>
      <c r="X1995" s="95">
        <v>50174</v>
      </c>
    </row>
    <row r="1996" spans="1:24" x14ac:dyDescent="0.25">
      <c r="A1996" s="6" t="s">
        <v>6057</v>
      </c>
      <c r="B1996" s="94" t="s">
        <v>944</v>
      </c>
      <c r="C1996" s="6" t="s">
        <v>6216</v>
      </c>
      <c r="D1996" s="140">
        <v>11156678</v>
      </c>
      <c r="E1996" s="6" t="s">
        <v>3931</v>
      </c>
      <c r="F1996" s="10" t="s">
        <v>293</v>
      </c>
      <c r="G1996" s="6">
        <v>619110</v>
      </c>
      <c r="H1996" s="8">
        <v>45258</v>
      </c>
      <c r="I1996" s="8">
        <v>44180</v>
      </c>
      <c r="J1996" s="8">
        <v>44203</v>
      </c>
      <c r="K1996" s="95">
        <v>44223</v>
      </c>
      <c r="L1996" s="95" t="s">
        <v>31</v>
      </c>
      <c r="M1996" s="8">
        <v>44225</v>
      </c>
      <c r="N1996" s="108">
        <v>44467</v>
      </c>
      <c r="O1996" s="108">
        <v>44467</v>
      </c>
      <c r="P1996" s="107" t="s">
        <v>90</v>
      </c>
      <c r="Q1996" s="110">
        <v>522</v>
      </c>
      <c r="R1996" s="97">
        <f t="shared" si="74"/>
        <v>1.4301369863013698</v>
      </c>
      <c r="S1996" s="75">
        <f t="shared" si="75"/>
        <v>11811.501369863014</v>
      </c>
      <c r="T1996" s="124" t="s">
        <v>6217</v>
      </c>
      <c r="U1996" s="8">
        <v>44783</v>
      </c>
      <c r="W1996" s="6" t="s">
        <v>33</v>
      </c>
      <c r="X1996" s="95">
        <v>51703</v>
      </c>
    </row>
    <row r="1997" spans="1:24" x14ac:dyDescent="0.25">
      <c r="A1997" s="6" t="s">
        <v>6057</v>
      </c>
      <c r="B1997" s="94" t="s">
        <v>6218</v>
      </c>
      <c r="C1997" s="6" t="s">
        <v>6219</v>
      </c>
      <c r="D1997" s="140">
        <v>11159861</v>
      </c>
      <c r="E1997" s="6" t="s">
        <v>2206</v>
      </c>
      <c r="F1997" s="10" t="s">
        <v>44</v>
      </c>
      <c r="G1997" s="6" t="s">
        <v>6220</v>
      </c>
      <c r="H1997" s="8">
        <v>44820</v>
      </c>
      <c r="I1997" s="8">
        <v>44180</v>
      </c>
      <c r="J1997" s="8">
        <v>44203</v>
      </c>
      <c r="K1997" s="95">
        <v>44223</v>
      </c>
      <c r="L1997" s="95" t="s">
        <v>31</v>
      </c>
      <c r="M1997" s="8">
        <v>44225</v>
      </c>
      <c r="N1997" s="108">
        <v>44392</v>
      </c>
      <c r="O1997" s="108">
        <v>44376</v>
      </c>
      <c r="P1997" s="107" t="s">
        <v>35</v>
      </c>
      <c r="Q1997" s="110">
        <v>506</v>
      </c>
      <c r="R1997" s="97">
        <f t="shared" si="74"/>
        <v>1.3863013698630138</v>
      </c>
      <c r="S1997" s="75">
        <f t="shared" si="75"/>
        <v>11449.463013698631</v>
      </c>
      <c r="U1997" s="8">
        <v>44776</v>
      </c>
      <c r="W1997" s="6" t="s">
        <v>33</v>
      </c>
      <c r="X1997" s="95">
        <v>51451</v>
      </c>
    </row>
    <row r="1998" spans="1:24" x14ac:dyDescent="0.25">
      <c r="A1998" s="6" t="s">
        <v>6057</v>
      </c>
      <c r="B1998" s="94" t="s">
        <v>1057</v>
      </c>
      <c r="C1998" s="6" t="s">
        <v>6221</v>
      </c>
      <c r="D1998" s="140">
        <v>10226758</v>
      </c>
      <c r="E1998" s="6" t="s">
        <v>2589</v>
      </c>
      <c r="F1998" s="10" t="s">
        <v>44</v>
      </c>
      <c r="G1998" s="6" t="s">
        <v>6222</v>
      </c>
      <c r="H1998" s="8">
        <v>44767</v>
      </c>
      <c r="I1998" s="8">
        <v>44181</v>
      </c>
      <c r="J1998" s="8">
        <v>44181</v>
      </c>
      <c r="K1998" s="95">
        <v>44182</v>
      </c>
      <c r="L1998" s="95" t="s">
        <v>359</v>
      </c>
      <c r="R1998" s="97" t="str">
        <f t="shared" si="74"/>
        <v/>
      </c>
      <c r="S1998" s="75" t="str">
        <f t="shared" si="75"/>
        <v/>
      </c>
      <c r="W1998" s="6" t="s">
        <v>33</v>
      </c>
      <c r="X1998" s="95">
        <v>50576</v>
      </c>
    </row>
    <row r="1999" spans="1:24" x14ac:dyDescent="0.25">
      <c r="A1999" s="6" t="s">
        <v>6057</v>
      </c>
      <c r="B1999" s="94" t="s">
        <v>6223</v>
      </c>
      <c r="C1999" s="6" t="s">
        <v>6224</v>
      </c>
      <c r="D1999" s="140">
        <v>11099444</v>
      </c>
      <c r="E1999" s="6" t="s">
        <v>4366</v>
      </c>
      <c r="F1999" s="10" t="s">
        <v>44</v>
      </c>
      <c r="G1999" s="6" t="s">
        <v>6225</v>
      </c>
      <c r="H1999" s="8">
        <v>45001</v>
      </c>
      <c r="I1999" s="8">
        <v>44181</v>
      </c>
      <c r="J1999" s="8">
        <v>44181</v>
      </c>
      <c r="K1999" s="95">
        <v>44182</v>
      </c>
      <c r="L1999" s="95" t="s">
        <v>359</v>
      </c>
      <c r="R1999" s="97" t="str">
        <f t="shared" si="74"/>
        <v/>
      </c>
      <c r="S1999" s="75" t="str">
        <f t="shared" si="75"/>
        <v/>
      </c>
      <c r="W1999" s="6" t="s">
        <v>33</v>
      </c>
      <c r="X1999" s="95">
        <v>51630</v>
      </c>
    </row>
    <row r="2000" spans="1:24" x14ac:dyDescent="0.25">
      <c r="A2000" s="6" t="s">
        <v>168</v>
      </c>
      <c r="B2000" s="94" t="s">
        <v>6226</v>
      </c>
      <c r="C2000" s="6" t="s">
        <v>6227</v>
      </c>
      <c r="D2000" s="140">
        <v>11021427</v>
      </c>
      <c r="E2000" s="6" t="s">
        <v>171</v>
      </c>
      <c r="F2000" s="10" t="s">
        <v>121</v>
      </c>
      <c r="G2000" s="6" t="s">
        <v>6228</v>
      </c>
      <c r="H2000" s="8">
        <v>15089</v>
      </c>
      <c r="I2000" s="8">
        <v>43773</v>
      </c>
      <c r="J2000" s="8">
        <v>43802</v>
      </c>
      <c r="K2000" s="95">
        <v>43803</v>
      </c>
      <c r="L2000" s="95" t="s">
        <v>31</v>
      </c>
      <c r="M2000" s="8">
        <v>43811</v>
      </c>
      <c r="N2000" s="8">
        <v>43843</v>
      </c>
      <c r="O2000" s="8">
        <v>43826</v>
      </c>
      <c r="P2000" s="6" t="s">
        <v>52</v>
      </c>
      <c r="R2000" s="97" t="str">
        <f t="shared" si="74"/>
        <v/>
      </c>
      <c r="S2000" s="75" t="str">
        <f t="shared" si="75"/>
        <v/>
      </c>
      <c r="U2000" s="8">
        <v>43843</v>
      </c>
      <c r="W2000" s="6" t="s">
        <v>84</v>
      </c>
      <c r="X2000" s="95">
        <v>46698</v>
      </c>
    </row>
    <row r="2001" spans="1:24" x14ac:dyDescent="0.25">
      <c r="A2001" s="6" t="s">
        <v>6057</v>
      </c>
      <c r="B2001" s="94" t="s">
        <v>6229</v>
      </c>
      <c r="C2001" s="6" t="s">
        <v>6230</v>
      </c>
      <c r="D2001" s="140">
        <v>11143410</v>
      </c>
      <c r="E2001" s="6" t="s">
        <v>3243</v>
      </c>
      <c r="F2001" s="10" t="s">
        <v>29</v>
      </c>
      <c r="G2001" s="6" t="s">
        <v>6231</v>
      </c>
      <c r="H2001" s="8">
        <v>46309</v>
      </c>
      <c r="I2001" s="8">
        <v>44208</v>
      </c>
      <c r="J2001" s="8">
        <v>44209</v>
      </c>
      <c r="K2001" s="95">
        <v>44214</v>
      </c>
      <c r="L2001" s="95" t="s">
        <v>31</v>
      </c>
      <c r="M2001" s="8">
        <v>44225</v>
      </c>
      <c r="N2001" s="8">
        <v>44323</v>
      </c>
      <c r="O2001" s="8">
        <v>44279</v>
      </c>
      <c r="P2001" s="6" t="s">
        <v>75</v>
      </c>
      <c r="R2001" s="97" t="str">
        <f t="shared" si="74"/>
        <v/>
      </c>
      <c r="S2001" s="75" t="str">
        <f t="shared" si="75"/>
        <v/>
      </c>
      <c r="T2001" s="124" t="s">
        <v>3501</v>
      </c>
      <c r="U2001" s="8">
        <v>44323</v>
      </c>
      <c r="W2001" s="6" t="s">
        <v>33</v>
      </c>
      <c r="X2001" s="95">
        <v>51395</v>
      </c>
    </row>
    <row r="2002" spans="1:24" x14ac:dyDescent="0.25">
      <c r="A2002" s="6" t="s">
        <v>6057</v>
      </c>
      <c r="B2002" s="94" t="s">
        <v>6232</v>
      </c>
      <c r="C2002" s="6" t="s">
        <v>6233</v>
      </c>
      <c r="D2002" s="140">
        <v>11065379</v>
      </c>
      <c r="E2002" s="6" t="s">
        <v>4958</v>
      </c>
      <c r="F2002" s="10" t="s">
        <v>44</v>
      </c>
      <c r="G2002" s="6" t="s">
        <v>6234</v>
      </c>
      <c r="H2002" s="8">
        <v>45591</v>
      </c>
      <c r="I2002" s="8">
        <v>44208</v>
      </c>
      <c r="J2002" s="8">
        <v>44223</v>
      </c>
      <c r="K2002" s="95">
        <v>44228</v>
      </c>
      <c r="L2002" s="95" t="s">
        <v>31</v>
      </c>
      <c r="M2002" s="8">
        <v>44230</v>
      </c>
      <c r="N2002" s="108">
        <v>44362</v>
      </c>
      <c r="O2002" s="108">
        <v>44350</v>
      </c>
      <c r="P2002" s="107" t="s">
        <v>35</v>
      </c>
      <c r="Q2002" s="110">
        <v>1213</v>
      </c>
      <c r="R2002" s="97">
        <f t="shared" si="74"/>
        <v>3.3232876712328765</v>
      </c>
      <c r="S2002" s="75">
        <f t="shared" si="75"/>
        <v>27447.032876712328</v>
      </c>
      <c r="U2002" s="8">
        <v>44776</v>
      </c>
      <c r="W2002" s="6" t="s">
        <v>33</v>
      </c>
      <c r="X2002" s="95">
        <v>48013</v>
      </c>
    </row>
    <row r="2003" spans="1:24" x14ac:dyDescent="0.25">
      <c r="A2003" s="6" t="s">
        <v>6057</v>
      </c>
      <c r="B2003" s="94" t="s">
        <v>3444</v>
      </c>
      <c r="C2003" s="6" t="s">
        <v>6235</v>
      </c>
      <c r="D2003" s="140">
        <v>11158837</v>
      </c>
      <c r="E2003" s="6" t="s">
        <v>6192</v>
      </c>
      <c r="F2003" s="10" t="s">
        <v>44</v>
      </c>
      <c r="G2003" s="6" t="s">
        <v>6236</v>
      </c>
      <c r="H2003" s="8">
        <v>45930</v>
      </c>
      <c r="I2003" s="8">
        <v>44208</v>
      </c>
      <c r="J2003" s="8">
        <v>44223</v>
      </c>
      <c r="K2003" s="95">
        <v>44228</v>
      </c>
      <c r="L2003" s="95" t="s">
        <v>359</v>
      </c>
      <c r="R2003" s="97" t="str">
        <f t="shared" si="74"/>
        <v/>
      </c>
      <c r="S2003" s="75" t="str">
        <f t="shared" si="75"/>
        <v/>
      </c>
      <c r="W2003" s="6" t="s">
        <v>33</v>
      </c>
      <c r="X2003" s="95">
        <v>48127</v>
      </c>
    </row>
    <row r="2004" spans="1:24" x14ac:dyDescent="0.25">
      <c r="A2004" s="6" t="s">
        <v>6057</v>
      </c>
      <c r="B2004" s="94" t="s">
        <v>6237</v>
      </c>
      <c r="C2004" s="6" t="s">
        <v>6238</v>
      </c>
      <c r="D2004" s="140">
        <v>11125389</v>
      </c>
      <c r="E2004" s="6" t="s">
        <v>3290</v>
      </c>
      <c r="F2004" s="10" t="s">
        <v>1588</v>
      </c>
      <c r="G2004" s="6" t="s">
        <v>6239</v>
      </c>
      <c r="H2004" s="8">
        <v>44681</v>
      </c>
      <c r="I2004" s="8">
        <v>44208</v>
      </c>
      <c r="J2004" s="8">
        <v>44224</v>
      </c>
      <c r="K2004" s="95">
        <v>44225</v>
      </c>
      <c r="L2004" s="95" t="s">
        <v>31</v>
      </c>
      <c r="M2004" s="8">
        <v>44230</v>
      </c>
      <c r="R2004" s="97" t="str">
        <f t="shared" si="74"/>
        <v/>
      </c>
      <c r="S2004" s="75" t="str">
        <f t="shared" si="75"/>
        <v/>
      </c>
      <c r="T2004" s="129" t="s">
        <v>6240</v>
      </c>
      <c r="U2004" s="8">
        <v>44783</v>
      </c>
      <c r="W2004" s="6" t="s">
        <v>33</v>
      </c>
      <c r="X2004" s="95">
        <v>50700</v>
      </c>
    </row>
    <row r="2005" spans="1:24" x14ac:dyDescent="0.25">
      <c r="A2005" s="6" t="s">
        <v>6057</v>
      </c>
      <c r="B2005" s="94" t="s">
        <v>525</v>
      </c>
      <c r="C2005" s="6" t="s">
        <v>6241</v>
      </c>
      <c r="D2005" s="140">
        <v>11741841</v>
      </c>
      <c r="E2005" s="6" t="s">
        <v>4958</v>
      </c>
      <c r="F2005" s="10" t="s">
        <v>252</v>
      </c>
      <c r="G2005" s="6">
        <v>50103556</v>
      </c>
      <c r="H2005" s="8">
        <v>44695</v>
      </c>
      <c r="I2005" s="8">
        <v>44208</v>
      </c>
      <c r="J2005" s="8">
        <v>44223</v>
      </c>
      <c r="K2005" s="95">
        <v>44225</v>
      </c>
      <c r="L2005" s="95" t="s">
        <v>359</v>
      </c>
      <c r="R2005" s="97" t="str">
        <f t="shared" si="74"/>
        <v/>
      </c>
      <c r="S2005" s="75" t="str">
        <f t="shared" si="75"/>
        <v/>
      </c>
      <c r="W2005" s="6" t="s">
        <v>33</v>
      </c>
      <c r="X2005" s="95">
        <v>47126</v>
      </c>
    </row>
    <row r="2006" spans="1:24" x14ac:dyDescent="0.25">
      <c r="A2006" s="6" t="s">
        <v>6057</v>
      </c>
      <c r="B2006" s="94" t="s">
        <v>6242</v>
      </c>
      <c r="C2006" s="6" t="s">
        <v>6243</v>
      </c>
      <c r="D2006" s="140">
        <v>11172060</v>
      </c>
      <c r="E2006" s="6" t="s">
        <v>2206</v>
      </c>
      <c r="F2006" s="10" t="s">
        <v>44</v>
      </c>
      <c r="G2006" s="6" t="s">
        <v>6244</v>
      </c>
      <c r="H2006" s="8">
        <v>46537</v>
      </c>
      <c r="I2006" s="8">
        <v>44208</v>
      </c>
      <c r="J2006" s="8">
        <v>44213</v>
      </c>
      <c r="K2006" s="95">
        <v>44217</v>
      </c>
      <c r="L2006" s="95" t="s">
        <v>31</v>
      </c>
      <c r="M2006" s="8">
        <v>44230</v>
      </c>
      <c r="N2006" s="108">
        <v>44406</v>
      </c>
      <c r="O2006" s="108">
        <v>44404</v>
      </c>
      <c r="P2006" s="107" t="s">
        <v>35</v>
      </c>
      <c r="Q2006" s="110">
        <v>2108</v>
      </c>
      <c r="R2006" s="97">
        <f t="shared" si="74"/>
        <v>5.7753424657534245</v>
      </c>
      <c r="S2006" s="75">
        <f t="shared" si="75"/>
        <v>47698.553424657533</v>
      </c>
      <c r="U2006" s="8">
        <v>44776</v>
      </c>
      <c r="W2006" s="6" t="s">
        <v>33</v>
      </c>
      <c r="X2006" s="95">
        <v>46368</v>
      </c>
    </row>
    <row r="2007" spans="1:24" x14ac:dyDescent="0.25">
      <c r="A2007" s="6" t="s">
        <v>6057</v>
      </c>
      <c r="B2007" s="94" t="s">
        <v>1838</v>
      </c>
      <c r="C2007" s="6" t="s">
        <v>6245</v>
      </c>
      <c r="D2007" s="140">
        <v>11109387</v>
      </c>
      <c r="E2007" s="6" t="s">
        <v>839</v>
      </c>
      <c r="F2007" s="10" t="s">
        <v>44</v>
      </c>
      <c r="G2007" s="6" t="s">
        <v>6246</v>
      </c>
      <c r="H2007" s="8">
        <v>47542</v>
      </c>
      <c r="I2007" s="8">
        <v>44208</v>
      </c>
      <c r="J2007" s="8">
        <v>44223</v>
      </c>
      <c r="K2007" s="95">
        <v>44224</v>
      </c>
      <c r="L2007" s="95" t="s">
        <v>31</v>
      </c>
      <c r="M2007" s="8">
        <v>44230</v>
      </c>
      <c r="N2007" s="108">
        <v>44362</v>
      </c>
      <c r="O2007" s="108">
        <v>44350</v>
      </c>
      <c r="P2007" s="107" t="s">
        <v>35</v>
      </c>
      <c r="Q2007" s="110">
        <v>6570</v>
      </c>
      <c r="R2007" s="97">
        <f t="shared" si="74"/>
        <v>18</v>
      </c>
      <c r="S2007" s="75">
        <f t="shared" si="75"/>
        <v>148662</v>
      </c>
      <c r="U2007" s="8">
        <v>44776</v>
      </c>
      <c r="W2007" s="6" t="s">
        <v>33</v>
      </c>
      <c r="X2007" s="95">
        <v>47972</v>
      </c>
    </row>
    <row r="2008" spans="1:24" x14ac:dyDescent="0.25">
      <c r="A2008" s="6" t="s">
        <v>6057</v>
      </c>
      <c r="B2008" s="94" t="s">
        <v>2245</v>
      </c>
      <c r="C2008" s="6" t="s">
        <v>6247</v>
      </c>
      <c r="D2008" s="140">
        <v>11897375</v>
      </c>
      <c r="E2008" s="6" t="s">
        <v>5801</v>
      </c>
      <c r="F2008" s="10" t="s">
        <v>44</v>
      </c>
      <c r="G2008" s="6" t="s">
        <v>6248</v>
      </c>
      <c r="H2008" s="8">
        <v>45145</v>
      </c>
      <c r="I2008" s="8">
        <v>44208</v>
      </c>
      <c r="J2008" s="8">
        <v>44223</v>
      </c>
      <c r="K2008" s="95">
        <v>44224</v>
      </c>
      <c r="L2008" s="95" t="s">
        <v>31</v>
      </c>
      <c r="M2008" s="8">
        <v>44225</v>
      </c>
      <c r="N2008" s="8">
        <v>44320</v>
      </c>
      <c r="O2008" s="8">
        <v>44292</v>
      </c>
      <c r="P2008" s="6" t="s">
        <v>90</v>
      </c>
      <c r="Q2008" s="96">
        <v>844</v>
      </c>
      <c r="R2008" s="97">
        <f t="shared" si="74"/>
        <v>2.3123287671232875</v>
      </c>
      <c r="S2008" s="75">
        <f t="shared" si="75"/>
        <v>19097.523287671233</v>
      </c>
      <c r="T2008" s="124" t="s">
        <v>6249</v>
      </c>
      <c r="U2008" s="8">
        <v>44320</v>
      </c>
      <c r="V2008" s="6" t="s">
        <v>36</v>
      </c>
      <c r="W2008" s="6" t="s">
        <v>33</v>
      </c>
      <c r="X2008" s="95">
        <v>49029</v>
      </c>
    </row>
    <row r="2009" spans="1:24" x14ac:dyDescent="0.25">
      <c r="A2009" s="6" t="s">
        <v>6057</v>
      </c>
      <c r="B2009" s="94" t="s">
        <v>6250</v>
      </c>
      <c r="C2009" s="6" t="s">
        <v>6251</v>
      </c>
      <c r="D2009" s="140">
        <v>11490727</v>
      </c>
      <c r="E2009" s="6" t="s">
        <v>3335</v>
      </c>
      <c r="F2009" s="10" t="s">
        <v>44</v>
      </c>
      <c r="G2009" s="6" t="s">
        <v>6252</v>
      </c>
      <c r="H2009" s="8">
        <v>46425</v>
      </c>
      <c r="I2009" s="8">
        <v>44208</v>
      </c>
      <c r="J2009" s="8">
        <v>44223</v>
      </c>
      <c r="K2009" s="95">
        <v>44224</v>
      </c>
      <c r="L2009" s="95" t="s">
        <v>31</v>
      </c>
      <c r="M2009" s="8">
        <v>44225</v>
      </c>
      <c r="N2009" s="108">
        <v>44320</v>
      </c>
      <c r="O2009" s="108">
        <v>44315</v>
      </c>
      <c r="P2009" s="107" t="s">
        <v>35</v>
      </c>
      <c r="Q2009" s="110">
        <v>2102</v>
      </c>
      <c r="R2009" s="97">
        <f t="shared" si="74"/>
        <v>5.7589041095890412</v>
      </c>
      <c r="S2009" s="75">
        <f t="shared" si="75"/>
        <v>47562.789041095893</v>
      </c>
      <c r="U2009" s="8">
        <v>44776</v>
      </c>
      <c r="W2009" s="6" t="s">
        <v>33</v>
      </c>
      <c r="X2009" s="95">
        <v>47961</v>
      </c>
    </row>
    <row r="2010" spans="1:24" x14ac:dyDescent="0.25">
      <c r="A2010" s="6" t="s">
        <v>6057</v>
      </c>
      <c r="B2010" s="94" t="s">
        <v>6253</v>
      </c>
      <c r="C2010" s="6" t="s">
        <v>6254</v>
      </c>
      <c r="D2010" s="140">
        <v>11474868</v>
      </c>
      <c r="E2010" s="6" t="s">
        <v>5801</v>
      </c>
      <c r="F2010" s="10" t="s">
        <v>44</v>
      </c>
      <c r="G2010" s="6" t="s">
        <v>6255</v>
      </c>
      <c r="H2010" s="8">
        <v>45301</v>
      </c>
      <c r="I2010" s="8">
        <v>44208</v>
      </c>
      <c r="J2010" s="8">
        <v>44223</v>
      </c>
      <c r="K2010" s="95">
        <v>44224</v>
      </c>
      <c r="L2010" s="95" t="s">
        <v>31</v>
      </c>
      <c r="M2010" s="8">
        <v>44225</v>
      </c>
      <c r="N2010" s="8">
        <v>44320</v>
      </c>
      <c r="O2010" s="8">
        <v>44292</v>
      </c>
      <c r="P2010" s="6" t="s">
        <v>90</v>
      </c>
      <c r="Q2010" s="96">
        <v>995</v>
      </c>
      <c r="R2010" s="97">
        <f t="shared" si="74"/>
        <v>2.7260273972602738</v>
      </c>
      <c r="S2010" s="75">
        <f t="shared" si="75"/>
        <v>22514.260273972603</v>
      </c>
      <c r="T2010" s="124" t="s">
        <v>6256</v>
      </c>
      <c r="U2010" s="8">
        <v>44320</v>
      </c>
      <c r="V2010" s="6" t="s">
        <v>36</v>
      </c>
      <c r="W2010" s="6" t="s">
        <v>33</v>
      </c>
      <c r="X2010" s="95">
        <v>48742</v>
      </c>
    </row>
    <row r="2011" spans="1:24" x14ac:dyDescent="0.25">
      <c r="A2011" s="6" t="s">
        <v>6057</v>
      </c>
      <c r="B2011" s="94" t="s">
        <v>1234</v>
      </c>
      <c r="C2011" s="6" t="s">
        <v>6257</v>
      </c>
      <c r="D2011" s="140">
        <v>11461602</v>
      </c>
      <c r="E2011" s="6" t="s">
        <v>6258</v>
      </c>
      <c r="F2011" s="10" t="s">
        <v>44</v>
      </c>
      <c r="G2011" s="6" t="s">
        <v>6259</v>
      </c>
      <c r="H2011" s="8">
        <v>44991</v>
      </c>
      <c r="I2011" s="8">
        <v>44208</v>
      </c>
      <c r="J2011" s="8">
        <v>44221</v>
      </c>
      <c r="K2011" s="95">
        <v>44222</v>
      </c>
      <c r="L2011" s="95" t="s">
        <v>31</v>
      </c>
      <c r="M2011" s="8">
        <v>44225</v>
      </c>
      <c r="N2011" s="8">
        <v>44410</v>
      </c>
      <c r="O2011" s="8">
        <v>44376</v>
      </c>
      <c r="P2011" s="6" t="s">
        <v>90</v>
      </c>
      <c r="Q2011" s="96">
        <v>606</v>
      </c>
      <c r="R2011" s="97">
        <f t="shared" si="74"/>
        <v>1.6602739726027398</v>
      </c>
      <c r="S2011" s="75">
        <f t="shared" si="75"/>
        <v>13712.202739726028</v>
      </c>
      <c r="T2011" s="124" t="s">
        <v>6183</v>
      </c>
      <c r="U2011" s="8">
        <v>44410</v>
      </c>
      <c r="V2011" s="6" t="s">
        <v>36</v>
      </c>
      <c r="W2011" s="6" t="s">
        <v>33</v>
      </c>
      <c r="X2011" s="95">
        <v>46255</v>
      </c>
    </row>
    <row r="2012" spans="1:24" x14ac:dyDescent="0.25">
      <c r="A2012" s="6" t="s">
        <v>6057</v>
      </c>
      <c r="B2012" s="94" t="s">
        <v>1123</v>
      </c>
      <c r="C2012" s="6" t="s">
        <v>6260</v>
      </c>
      <c r="D2012" s="140">
        <v>10996812</v>
      </c>
      <c r="E2012" s="6" t="s">
        <v>171</v>
      </c>
      <c r="F2012" s="10" t="s">
        <v>121</v>
      </c>
      <c r="G2012" s="6" t="s">
        <v>6261</v>
      </c>
      <c r="H2012" s="8">
        <v>44762</v>
      </c>
      <c r="I2012" s="8">
        <v>44208</v>
      </c>
      <c r="J2012" s="8">
        <v>44221</v>
      </c>
      <c r="K2012" s="95">
        <v>44222</v>
      </c>
      <c r="L2012" s="95" t="s">
        <v>31</v>
      </c>
      <c r="M2012" s="8">
        <v>44223</v>
      </c>
      <c r="N2012" s="8">
        <v>44322</v>
      </c>
      <c r="O2012" s="8">
        <v>44270</v>
      </c>
      <c r="P2012" s="6" t="s">
        <v>75</v>
      </c>
      <c r="R2012" s="97" t="str">
        <f t="shared" si="74"/>
        <v/>
      </c>
      <c r="S2012" s="75" t="str">
        <f t="shared" si="75"/>
        <v/>
      </c>
      <c r="U2012" s="8">
        <v>44323</v>
      </c>
      <c r="W2012" s="6" t="s">
        <v>33</v>
      </c>
      <c r="X2012" s="95">
        <v>51575</v>
      </c>
    </row>
    <row r="2013" spans="1:24" x14ac:dyDescent="0.25">
      <c r="A2013" s="6" t="s">
        <v>6057</v>
      </c>
      <c r="B2013" s="94" t="s">
        <v>797</v>
      </c>
      <c r="C2013" s="6" t="s">
        <v>6262</v>
      </c>
      <c r="D2013" s="140">
        <v>11693256</v>
      </c>
      <c r="E2013" s="6" t="s">
        <v>5017</v>
      </c>
      <c r="F2013" s="10" t="s">
        <v>57</v>
      </c>
      <c r="G2013" s="6" t="s">
        <v>6263</v>
      </c>
      <c r="H2013" s="8">
        <v>47045</v>
      </c>
      <c r="I2013" s="8">
        <v>44208</v>
      </c>
      <c r="J2013" s="8">
        <v>44221</v>
      </c>
      <c r="K2013" s="95">
        <v>44222</v>
      </c>
      <c r="L2013" s="95" t="s">
        <v>31</v>
      </c>
      <c r="M2013" s="8">
        <v>44223</v>
      </c>
      <c r="R2013" s="97" t="str">
        <f t="shared" si="74"/>
        <v/>
      </c>
      <c r="S2013" s="75" t="str">
        <f t="shared" si="75"/>
        <v/>
      </c>
      <c r="W2013" s="6" t="s">
        <v>33</v>
      </c>
      <c r="X2013" s="95">
        <v>50212</v>
      </c>
    </row>
    <row r="2014" spans="1:24" ht="30" x14ac:dyDescent="0.25">
      <c r="A2014" s="6" t="s">
        <v>6057</v>
      </c>
      <c r="B2014" s="94" t="s">
        <v>6264</v>
      </c>
      <c r="C2014" s="6" t="s">
        <v>6265</v>
      </c>
      <c r="D2014" s="140">
        <v>11092448</v>
      </c>
      <c r="E2014" s="6" t="s">
        <v>5580</v>
      </c>
      <c r="F2014" s="10" t="s">
        <v>44</v>
      </c>
      <c r="G2014" s="6" t="s">
        <v>6266</v>
      </c>
      <c r="H2014" s="8">
        <v>44694</v>
      </c>
      <c r="I2014" s="8">
        <v>44208</v>
      </c>
      <c r="J2014" s="8">
        <v>44221</v>
      </c>
      <c r="K2014" s="95">
        <v>44222</v>
      </c>
      <c r="L2014" s="95" t="s">
        <v>31</v>
      </c>
      <c r="M2014" s="8">
        <v>44223</v>
      </c>
      <c r="N2014" s="8">
        <v>44362</v>
      </c>
      <c r="O2014" s="8">
        <v>44357</v>
      </c>
      <c r="P2014" s="6" t="s">
        <v>90</v>
      </c>
      <c r="Q2014" s="96">
        <v>325</v>
      </c>
      <c r="R2014" s="97">
        <f t="shared" si="74"/>
        <v>0.8904109589041096</v>
      </c>
      <c r="S2014" s="75">
        <f t="shared" si="75"/>
        <v>7353.9041095890416</v>
      </c>
      <c r="T2014" s="124" t="s">
        <v>6267</v>
      </c>
      <c r="U2014" s="8">
        <v>44378</v>
      </c>
      <c r="V2014" s="6" t="s">
        <v>581</v>
      </c>
      <c r="W2014" s="6" t="s">
        <v>33</v>
      </c>
      <c r="X2014" s="95">
        <v>46444</v>
      </c>
    </row>
    <row r="2015" spans="1:24" x14ac:dyDescent="0.25">
      <c r="A2015" s="6" t="s">
        <v>6057</v>
      </c>
      <c r="B2015" s="94" t="s">
        <v>6268</v>
      </c>
      <c r="C2015" s="6" t="s">
        <v>6269</v>
      </c>
      <c r="D2015" s="140">
        <v>11314182</v>
      </c>
      <c r="E2015" s="6" t="s">
        <v>3541</v>
      </c>
      <c r="F2015" s="10" t="s">
        <v>1225</v>
      </c>
      <c r="G2015" s="6" t="s">
        <v>6270</v>
      </c>
      <c r="H2015" s="8">
        <v>44948</v>
      </c>
      <c r="I2015" s="8">
        <v>44208</v>
      </c>
      <c r="J2015" s="8">
        <v>44221</v>
      </c>
      <c r="K2015" s="95">
        <v>44222</v>
      </c>
      <c r="L2015" s="95" t="s">
        <v>31</v>
      </c>
      <c r="M2015" s="8">
        <v>44223</v>
      </c>
      <c r="R2015" s="97" t="str">
        <f t="shared" si="74"/>
        <v/>
      </c>
      <c r="S2015" s="75" t="str">
        <f t="shared" si="75"/>
        <v/>
      </c>
      <c r="T2015" s="129" t="s">
        <v>6271</v>
      </c>
      <c r="U2015" s="8">
        <v>44783</v>
      </c>
      <c r="W2015" s="6" t="s">
        <v>33</v>
      </c>
      <c r="X2015" s="95">
        <v>50354</v>
      </c>
    </row>
    <row r="2016" spans="1:24" x14ac:dyDescent="0.25">
      <c r="A2016" s="6" t="s">
        <v>6057</v>
      </c>
      <c r="B2016" s="94" t="s">
        <v>6272</v>
      </c>
      <c r="C2016" s="6" t="s">
        <v>6273</v>
      </c>
      <c r="D2016" s="140">
        <v>11774185</v>
      </c>
      <c r="E2016" s="6" t="s">
        <v>4044</v>
      </c>
      <c r="F2016" s="10" t="s">
        <v>44</v>
      </c>
      <c r="G2016" s="6" t="s">
        <v>6274</v>
      </c>
      <c r="H2016" s="8">
        <v>46129</v>
      </c>
      <c r="I2016" s="8">
        <v>44208</v>
      </c>
      <c r="J2016" s="8">
        <v>44221</v>
      </c>
      <c r="K2016" s="95">
        <v>44222</v>
      </c>
      <c r="L2016" s="95" t="s">
        <v>31</v>
      </c>
      <c r="M2016" s="8">
        <v>44223</v>
      </c>
      <c r="N2016" s="8">
        <v>44410</v>
      </c>
      <c r="O2016" s="8">
        <v>44390</v>
      </c>
      <c r="P2016" s="6" t="s">
        <v>35</v>
      </c>
      <c r="Q2016" s="96">
        <v>1678</v>
      </c>
      <c r="R2016" s="97">
        <f t="shared" si="74"/>
        <v>4.5972602739726032</v>
      </c>
      <c r="S2016" s="75">
        <f t="shared" si="75"/>
        <v>37968.772602739729</v>
      </c>
      <c r="U2016" s="8">
        <v>44410</v>
      </c>
      <c r="W2016" s="6" t="s">
        <v>33</v>
      </c>
      <c r="X2016" s="95">
        <v>50814</v>
      </c>
    </row>
    <row r="2017" spans="1:24" x14ac:dyDescent="0.25">
      <c r="A2017" s="6" t="s">
        <v>6057</v>
      </c>
      <c r="B2017" s="94" t="s">
        <v>5941</v>
      </c>
      <c r="C2017" s="6" t="s">
        <v>6275</v>
      </c>
      <c r="D2017" s="140">
        <v>11806628</v>
      </c>
      <c r="E2017" s="6" t="s">
        <v>5545</v>
      </c>
      <c r="F2017" s="10" t="s">
        <v>143</v>
      </c>
      <c r="G2017" s="6" t="s">
        <v>6276</v>
      </c>
      <c r="H2017" s="8">
        <v>47002</v>
      </c>
      <c r="I2017" s="8">
        <v>44208</v>
      </c>
      <c r="J2017" s="8">
        <v>44221</v>
      </c>
      <c r="K2017" s="95">
        <v>44222</v>
      </c>
      <c r="L2017" s="95" t="s">
        <v>31</v>
      </c>
      <c r="M2017" s="8">
        <v>44223</v>
      </c>
      <c r="N2017" s="8">
        <v>44510</v>
      </c>
      <c r="O2017" s="8">
        <v>44477</v>
      </c>
      <c r="P2017" s="6" t="s">
        <v>35</v>
      </c>
      <c r="Q2017" s="96">
        <v>1929</v>
      </c>
      <c r="R2017" s="97">
        <f t="shared" si="74"/>
        <v>5.2849315068493148</v>
      </c>
      <c r="S2017" s="75">
        <f t="shared" si="75"/>
        <v>43648.249315068497</v>
      </c>
      <c r="T2017" s="124" t="s">
        <v>601</v>
      </c>
      <c r="U2017" s="8">
        <v>44512</v>
      </c>
      <c r="W2017" s="6" t="s">
        <v>33</v>
      </c>
      <c r="X2017" s="95">
        <v>50790</v>
      </c>
    </row>
    <row r="2018" spans="1:24" x14ac:dyDescent="0.25">
      <c r="A2018" s="6" t="s">
        <v>6057</v>
      </c>
      <c r="B2018" s="94" t="s">
        <v>6277</v>
      </c>
      <c r="C2018" s="6" t="s">
        <v>6278</v>
      </c>
      <c r="D2018" s="140">
        <v>11514481</v>
      </c>
      <c r="E2018" s="6" t="s">
        <v>2206</v>
      </c>
      <c r="F2018" s="10" t="s">
        <v>134</v>
      </c>
      <c r="G2018" s="6" t="s">
        <v>6279</v>
      </c>
      <c r="H2018" s="8">
        <v>44726</v>
      </c>
      <c r="I2018" s="8">
        <v>44208</v>
      </c>
      <c r="J2018" s="8">
        <v>44224</v>
      </c>
      <c r="K2018" s="95">
        <v>44225</v>
      </c>
      <c r="L2018" s="95" t="s">
        <v>31</v>
      </c>
      <c r="M2018" s="8">
        <v>44230</v>
      </c>
      <c r="N2018" s="8">
        <v>44320</v>
      </c>
      <c r="O2018" s="8">
        <v>44263</v>
      </c>
      <c r="P2018" s="6" t="s">
        <v>90</v>
      </c>
      <c r="Q2018" s="96">
        <v>448</v>
      </c>
      <c r="R2018" s="97">
        <f t="shared" si="74"/>
        <v>1.2273972602739727</v>
      </c>
      <c r="S2018" s="75">
        <f t="shared" si="75"/>
        <v>10137.07397260274</v>
      </c>
      <c r="T2018" s="124" t="s">
        <v>6280</v>
      </c>
      <c r="U2018" s="8">
        <v>44320</v>
      </c>
      <c r="V2018" s="6" t="s">
        <v>36</v>
      </c>
      <c r="W2018" s="6" t="s">
        <v>33</v>
      </c>
      <c r="X2018" s="95">
        <v>51907</v>
      </c>
    </row>
    <row r="2019" spans="1:24" x14ac:dyDescent="0.25">
      <c r="A2019" s="6" t="s">
        <v>6057</v>
      </c>
      <c r="B2019" s="94" t="s">
        <v>6281</v>
      </c>
      <c r="C2019" s="6" t="s">
        <v>6282</v>
      </c>
      <c r="D2019" s="140">
        <v>11124812</v>
      </c>
      <c r="E2019" s="6" t="s">
        <v>6283</v>
      </c>
      <c r="F2019" s="10" t="s">
        <v>148</v>
      </c>
      <c r="G2019" s="6" t="s">
        <v>6284</v>
      </c>
      <c r="H2019" s="8">
        <v>46626</v>
      </c>
      <c r="I2019" s="8">
        <v>44208</v>
      </c>
      <c r="J2019" s="8">
        <v>44221</v>
      </c>
      <c r="K2019" s="95">
        <v>44222</v>
      </c>
      <c r="L2019" s="95" t="s">
        <v>31</v>
      </c>
      <c r="M2019" s="8">
        <v>44223</v>
      </c>
      <c r="N2019" s="108">
        <v>44676</v>
      </c>
      <c r="O2019" s="108">
        <v>44662</v>
      </c>
      <c r="P2019" s="107" t="s">
        <v>35</v>
      </c>
      <c r="Q2019" s="110">
        <v>1217</v>
      </c>
      <c r="R2019" s="97">
        <f t="shared" si="74"/>
        <v>3.3342465753424659</v>
      </c>
      <c r="S2019" s="75">
        <f t="shared" si="75"/>
        <v>27537.542465753424</v>
      </c>
      <c r="U2019" s="8">
        <v>44776</v>
      </c>
      <c r="W2019" s="6" t="s">
        <v>33</v>
      </c>
      <c r="X2019" s="95">
        <v>49869</v>
      </c>
    </row>
    <row r="2020" spans="1:24" x14ac:dyDescent="0.25">
      <c r="A2020" s="6" t="s">
        <v>6057</v>
      </c>
      <c r="B2020" s="94" t="s">
        <v>6285</v>
      </c>
      <c r="C2020" s="6" t="s">
        <v>6286</v>
      </c>
      <c r="D2020" s="140">
        <v>11334772</v>
      </c>
      <c r="E2020" s="6" t="s">
        <v>2314</v>
      </c>
      <c r="F2020" s="10" t="s">
        <v>293</v>
      </c>
      <c r="G2020" s="6" t="s">
        <v>6287</v>
      </c>
      <c r="H2020" s="8">
        <v>46879</v>
      </c>
      <c r="I2020" s="8">
        <v>44208</v>
      </c>
      <c r="J2020" s="8">
        <v>44221</v>
      </c>
      <c r="K2020" s="95">
        <v>44222</v>
      </c>
      <c r="L2020" s="95" t="s">
        <v>31</v>
      </c>
      <c r="M2020" s="8">
        <v>44223</v>
      </c>
      <c r="N2020" s="8">
        <v>44501</v>
      </c>
      <c r="O2020" s="8">
        <v>44363</v>
      </c>
      <c r="P2020" s="6" t="s">
        <v>69</v>
      </c>
      <c r="R2020" s="97" t="str">
        <f t="shared" si="74"/>
        <v/>
      </c>
      <c r="S2020" s="75" t="str">
        <f t="shared" si="75"/>
        <v/>
      </c>
      <c r="T2020" s="124" t="s">
        <v>5808</v>
      </c>
      <c r="U2020" s="8">
        <v>44502</v>
      </c>
      <c r="W2020" s="6" t="s">
        <v>33</v>
      </c>
      <c r="X2020" s="95">
        <v>49184</v>
      </c>
    </row>
    <row r="2021" spans="1:24" x14ac:dyDescent="0.25">
      <c r="A2021" s="6" t="s">
        <v>6057</v>
      </c>
      <c r="B2021" s="94" t="s">
        <v>1187</v>
      </c>
      <c r="C2021" s="6" t="s">
        <v>4778</v>
      </c>
      <c r="D2021" s="140">
        <v>11134708</v>
      </c>
      <c r="E2021" s="6" t="s">
        <v>5479</v>
      </c>
      <c r="F2021" s="10" t="s">
        <v>148</v>
      </c>
      <c r="G2021" s="6" t="s">
        <v>6288</v>
      </c>
      <c r="H2021" s="8">
        <v>44665</v>
      </c>
      <c r="I2021" s="8">
        <v>44208</v>
      </c>
      <c r="J2021" s="8">
        <v>44209</v>
      </c>
      <c r="K2021" s="95">
        <v>44210</v>
      </c>
      <c r="L2021" s="95" t="s">
        <v>359</v>
      </c>
      <c r="R2021" s="97" t="str">
        <f t="shared" si="74"/>
        <v/>
      </c>
      <c r="S2021" s="75" t="str">
        <f t="shared" si="75"/>
        <v/>
      </c>
      <c r="W2021" s="6" t="s">
        <v>33</v>
      </c>
      <c r="X2021" s="95">
        <v>49492</v>
      </c>
    </row>
    <row r="2022" spans="1:24" x14ac:dyDescent="0.25">
      <c r="A2022" s="6" t="s">
        <v>6057</v>
      </c>
      <c r="B2022" s="94" t="s">
        <v>6242</v>
      </c>
      <c r="C2022" s="6" t="s">
        <v>6289</v>
      </c>
      <c r="D2022" s="140">
        <v>11192247</v>
      </c>
      <c r="E2022" s="6" t="s">
        <v>6290</v>
      </c>
      <c r="F2022" s="10" t="s">
        <v>44</v>
      </c>
      <c r="G2022" s="6" t="s">
        <v>6291</v>
      </c>
      <c r="H2022" s="8">
        <v>46752</v>
      </c>
      <c r="I2022" s="8">
        <v>44208</v>
      </c>
      <c r="J2022" s="8">
        <v>44221</v>
      </c>
      <c r="K2022" s="95">
        <v>44222</v>
      </c>
      <c r="L2022" s="95" t="s">
        <v>31</v>
      </c>
      <c r="M2022" s="8">
        <v>44223</v>
      </c>
      <c r="N2022" s="8">
        <v>44364</v>
      </c>
      <c r="O2022" s="8">
        <v>44350</v>
      </c>
      <c r="P2022" s="6" t="s">
        <v>90</v>
      </c>
      <c r="Q2022" s="96">
        <v>2383</v>
      </c>
      <c r="R2022" s="97">
        <f t="shared" si="74"/>
        <v>6.5287671232876709</v>
      </c>
      <c r="S2022" s="75">
        <f t="shared" si="75"/>
        <v>53921.087671232875</v>
      </c>
      <c r="T2022" s="124" t="s">
        <v>6292</v>
      </c>
      <c r="U2022" s="8">
        <v>44378</v>
      </c>
      <c r="V2022" s="6" t="s">
        <v>36</v>
      </c>
      <c r="W2022" s="6" t="s">
        <v>33</v>
      </c>
      <c r="X2022" s="95">
        <v>48289</v>
      </c>
    </row>
    <row r="2023" spans="1:24" x14ac:dyDescent="0.25">
      <c r="A2023" s="6" t="s">
        <v>6057</v>
      </c>
      <c r="B2023" s="94" t="s">
        <v>4617</v>
      </c>
      <c r="C2023" s="6" t="s">
        <v>4618</v>
      </c>
      <c r="D2023" s="140">
        <v>11511085</v>
      </c>
      <c r="E2023" s="6" t="s">
        <v>6290</v>
      </c>
      <c r="F2023" s="10" t="s">
        <v>205</v>
      </c>
      <c r="G2023" s="6" t="s">
        <v>4619</v>
      </c>
      <c r="H2023" s="8">
        <v>49119</v>
      </c>
      <c r="I2023" s="8">
        <v>44208</v>
      </c>
      <c r="J2023" s="8">
        <v>44224</v>
      </c>
      <c r="K2023" s="95">
        <v>44225</v>
      </c>
      <c r="L2023" s="95" t="s">
        <v>31</v>
      </c>
      <c r="M2023" s="8">
        <v>44230</v>
      </c>
      <c r="N2023" s="8">
        <v>44364</v>
      </c>
      <c r="O2023" s="8">
        <v>44264</v>
      </c>
      <c r="P2023" s="6" t="s">
        <v>52</v>
      </c>
      <c r="R2023" s="97" t="str">
        <f t="shared" si="74"/>
        <v/>
      </c>
      <c r="S2023" s="75" t="str">
        <f t="shared" si="75"/>
        <v/>
      </c>
      <c r="T2023" s="124" t="s">
        <v>6293</v>
      </c>
      <c r="U2023" s="8">
        <v>44364</v>
      </c>
      <c r="W2023" s="6" t="s">
        <v>33</v>
      </c>
      <c r="X2023" s="95">
        <v>49570</v>
      </c>
    </row>
    <row r="2024" spans="1:24" x14ac:dyDescent="0.25">
      <c r="A2024" s="6" t="s">
        <v>6057</v>
      </c>
      <c r="B2024" s="94" t="s">
        <v>2329</v>
      </c>
      <c r="C2024" s="6" t="s">
        <v>6294</v>
      </c>
      <c r="D2024" s="140">
        <v>11679829</v>
      </c>
      <c r="E2024" s="6" t="s">
        <v>6295</v>
      </c>
      <c r="F2024" s="10" t="s">
        <v>44</v>
      </c>
      <c r="G2024" s="6" t="s">
        <v>6296</v>
      </c>
      <c r="H2024" s="8">
        <v>45299</v>
      </c>
      <c r="I2024" s="8">
        <v>44208</v>
      </c>
      <c r="J2024" s="8">
        <v>44223</v>
      </c>
      <c r="K2024" s="95">
        <v>44224</v>
      </c>
      <c r="L2024" s="95" t="s">
        <v>31</v>
      </c>
      <c r="M2024" s="8">
        <v>44230</v>
      </c>
      <c r="N2024" s="108">
        <v>44754</v>
      </c>
      <c r="O2024" s="108">
        <v>44727</v>
      </c>
      <c r="P2024" s="107" t="s">
        <v>35</v>
      </c>
      <c r="Q2024" s="110">
        <v>347</v>
      </c>
      <c r="R2024" s="97">
        <f t="shared" si="74"/>
        <v>0.9506849315068493</v>
      </c>
      <c r="S2024" s="75">
        <f t="shared" si="75"/>
        <v>7851.7068493150691</v>
      </c>
      <c r="U2024" s="8">
        <v>44776</v>
      </c>
      <c r="W2024" s="6" t="s">
        <v>33</v>
      </c>
      <c r="X2024" s="95">
        <v>50093</v>
      </c>
    </row>
    <row r="2025" spans="1:24" x14ac:dyDescent="0.25">
      <c r="A2025" s="6" t="s">
        <v>6057</v>
      </c>
      <c r="B2025" s="94" t="s">
        <v>6297</v>
      </c>
      <c r="C2025" s="6" t="s">
        <v>6298</v>
      </c>
      <c r="D2025" s="140">
        <v>11653833</v>
      </c>
      <c r="E2025" s="6" t="s">
        <v>4404</v>
      </c>
      <c r="F2025" s="10" t="s">
        <v>44</v>
      </c>
      <c r="G2025" s="6" t="s">
        <v>6299</v>
      </c>
      <c r="H2025" s="8">
        <v>45785</v>
      </c>
      <c r="I2025" s="8">
        <v>44208</v>
      </c>
      <c r="J2025" s="8">
        <v>44209</v>
      </c>
      <c r="K2025" s="95">
        <v>44210</v>
      </c>
      <c r="L2025" s="95" t="s">
        <v>31</v>
      </c>
      <c r="M2025" s="8">
        <v>44223</v>
      </c>
      <c r="N2025" s="8">
        <v>44862</v>
      </c>
      <c r="O2025" s="8">
        <v>44852</v>
      </c>
      <c r="P2025" s="6" t="s">
        <v>35</v>
      </c>
      <c r="Q2025" s="96">
        <v>242</v>
      </c>
      <c r="R2025" s="97">
        <f t="shared" si="74"/>
        <v>0.66301369863013704</v>
      </c>
      <c r="S2025" s="75">
        <f t="shared" si="75"/>
        <v>5475.8301369863011</v>
      </c>
      <c r="U2025" s="8">
        <v>44883</v>
      </c>
      <c r="W2025" s="6" t="s">
        <v>33</v>
      </c>
      <c r="X2025" s="95">
        <v>47090</v>
      </c>
    </row>
    <row r="2026" spans="1:24" ht="30" x14ac:dyDescent="0.25">
      <c r="A2026" s="6" t="s">
        <v>37</v>
      </c>
      <c r="B2026" s="94" t="s">
        <v>6300</v>
      </c>
      <c r="C2026" s="6" t="s">
        <v>6301</v>
      </c>
      <c r="D2026" s="140">
        <v>11054345</v>
      </c>
      <c r="E2026" s="6" t="s">
        <v>3008</v>
      </c>
      <c r="F2026" s="10" t="s">
        <v>205</v>
      </c>
      <c r="G2026" s="6" t="s">
        <v>6302</v>
      </c>
      <c r="H2026" s="8">
        <v>45084</v>
      </c>
      <c r="I2026" s="8">
        <v>44180</v>
      </c>
      <c r="J2026" s="8">
        <v>44183</v>
      </c>
      <c r="K2026" s="95">
        <v>44181</v>
      </c>
      <c r="L2026" s="95" t="s">
        <v>31</v>
      </c>
      <c r="M2026" s="8">
        <v>44187</v>
      </c>
      <c r="N2026" s="8">
        <v>44484</v>
      </c>
      <c r="O2026" s="8">
        <v>44300</v>
      </c>
      <c r="P2026" s="6" t="s">
        <v>75</v>
      </c>
      <c r="R2026" s="97" t="str">
        <f t="shared" si="74"/>
        <v/>
      </c>
      <c r="S2026" s="75" t="str">
        <f t="shared" si="75"/>
        <v/>
      </c>
      <c r="T2026" s="124" t="s">
        <v>6303</v>
      </c>
      <c r="U2026" s="8">
        <v>44484</v>
      </c>
      <c r="W2026" s="6" t="s">
        <v>33</v>
      </c>
      <c r="X2026" s="95">
        <v>48853</v>
      </c>
    </row>
    <row r="2027" spans="1:24" x14ac:dyDescent="0.25">
      <c r="A2027" s="6" t="s">
        <v>37</v>
      </c>
      <c r="B2027" s="94" t="s">
        <v>6304</v>
      </c>
      <c r="C2027" s="6" t="s">
        <v>6305</v>
      </c>
      <c r="D2027" s="140">
        <v>11998053</v>
      </c>
      <c r="E2027" s="6" t="s">
        <v>2879</v>
      </c>
      <c r="F2027" s="10" t="s">
        <v>44</v>
      </c>
      <c r="G2027" s="6" t="s">
        <v>6306</v>
      </c>
      <c r="H2027" s="8">
        <v>45870</v>
      </c>
      <c r="I2027" s="8">
        <v>44117</v>
      </c>
      <c r="J2027" s="8">
        <v>44139</v>
      </c>
      <c r="K2027" s="95">
        <v>44144</v>
      </c>
      <c r="L2027" s="95" t="s">
        <v>31</v>
      </c>
      <c r="M2027" s="8">
        <v>44147</v>
      </c>
      <c r="N2027" s="108">
        <v>44742</v>
      </c>
      <c r="O2027" s="108">
        <v>44742</v>
      </c>
      <c r="P2027" s="107" t="s">
        <v>90</v>
      </c>
      <c r="Q2027" s="110">
        <v>1120</v>
      </c>
      <c r="R2027" s="97">
        <f t="shared" si="74"/>
        <v>3.0684931506849313</v>
      </c>
      <c r="S2027" s="75">
        <f t="shared" si="75"/>
        <v>25342.68493150685</v>
      </c>
      <c r="T2027" s="129" t="s">
        <v>6307</v>
      </c>
      <c r="U2027" s="8">
        <v>44783</v>
      </c>
      <c r="W2027" s="6" t="s">
        <v>33</v>
      </c>
      <c r="X2027" s="135">
        <v>45351</v>
      </c>
    </row>
    <row r="2028" spans="1:24" ht="30" x14ac:dyDescent="0.25">
      <c r="A2028" s="6" t="s">
        <v>6057</v>
      </c>
      <c r="B2028" s="94" t="s">
        <v>3305</v>
      </c>
      <c r="C2028" s="6" t="s">
        <v>6308</v>
      </c>
      <c r="D2028" s="140">
        <v>11117687</v>
      </c>
      <c r="E2028" s="6" t="s">
        <v>2146</v>
      </c>
      <c r="F2028" s="10" t="s">
        <v>29</v>
      </c>
      <c r="G2028" s="6" t="s">
        <v>6309</v>
      </c>
      <c r="H2028" s="8">
        <v>45371</v>
      </c>
      <c r="I2028" s="8">
        <v>44208</v>
      </c>
      <c r="J2028" s="8">
        <v>44221</v>
      </c>
      <c r="K2028" s="95">
        <v>44222</v>
      </c>
      <c r="L2028" s="95" t="s">
        <v>31</v>
      </c>
      <c r="M2028" s="8">
        <v>44223</v>
      </c>
      <c r="N2028" s="8">
        <v>44951</v>
      </c>
      <c r="O2028" s="8">
        <v>44950</v>
      </c>
      <c r="P2028" s="6" t="s">
        <v>90</v>
      </c>
      <c r="Q2028" s="96">
        <v>4147</v>
      </c>
      <c r="R2028" s="97">
        <f t="shared" si="74"/>
        <v>11.361643835616439</v>
      </c>
      <c r="S2028" s="75">
        <f t="shared" si="75"/>
        <v>93835.816438356167</v>
      </c>
      <c r="U2028" s="8">
        <v>44952</v>
      </c>
      <c r="V2028" s="6" t="s">
        <v>581</v>
      </c>
      <c r="W2028" s="6" t="s">
        <v>33</v>
      </c>
      <c r="X2028" s="95">
        <v>44953</v>
      </c>
    </row>
    <row r="2029" spans="1:24" x14ac:dyDescent="0.25">
      <c r="A2029" s="6" t="s">
        <v>6057</v>
      </c>
      <c r="B2029" s="94" t="s">
        <v>6310</v>
      </c>
      <c r="C2029" s="6" t="s">
        <v>6311</v>
      </c>
      <c r="D2029" s="140">
        <v>10246654</v>
      </c>
      <c r="E2029" s="6" t="s">
        <v>2968</v>
      </c>
      <c r="F2029" s="10" t="s">
        <v>44</v>
      </c>
      <c r="G2029" s="6" t="s">
        <v>6312</v>
      </c>
      <c r="H2029" s="8">
        <v>47582</v>
      </c>
      <c r="I2029" s="8">
        <v>44208</v>
      </c>
      <c r="J2029" s="8">
        <v>44221</v>
      </c>
      <c r="K2029" s="95">
        <v>44222</v>
      </c>
      <c r="L2029" s="95" t="s">
        <v>31</v>
      </c>
      <c r="M2029" s="8">
        <v>44223</v>
      </c>
      <c r="R2029" s="97" t="str">
        <f t="shared" si="74"/>
        <v/>
      </c>
      <c r="S2029" s="75" t="str">
        <f t="shared" si="75"/>
        <v/>
      </c>
      <c r="W2029" s="6" t="s">
        <v>33</v>
      </c>
      <c r="X2029" s="95">
        <v>51153</v>
      </c>
    </row>
    <row r="2030" spans="1:24" x14ac:dyDescent="0.25">
      <c r="A2030" s="6" t="s">
        <v>6057</v>
      </c>
      <c r="B2030" s="94" t="s">
        <v>6313</v>
      </c>
      <c r="C2030" s="6" t="s">
        <v>6314</v>
      </c>
      <c r="D2030" s="140">
        <v>11130327</v>
      </c>
      <c r="E2030" s="6" t="s">
        <v>4381</v>
      </c>
      <c r="F2030" s="10" t="s">
        <v>44</v>
      </c>
      <c r="G2030" s="6" t="s">
        <v>6315</v>
      </c>
      <c r="H2030" s="8">
        <v>45281</v>
      </c>
      <c r="I2030" s="8">
        <v>44208</v>
      </c>
      <c r="J2030" s="8">
        <v>44221</v>
      </c>
      <c r="K2030" s="95">
        <v>44222</v>
      </c>
      <c r="L2030" s="95" t="s">
        <v>31</v>
      </c>
      <c r="M2030" s="8">
        <v>44223</v>
      </c>
      <c r="N2030" s="108">
        <v>44384</v>
      </c>
      <c r="O2030" s="108">
        <v>44383</v>
      </c>
      <c r="P2030" s="107" t="s">
        <v>75</v>
      </c>
      <c r="Q2030" s="110"/>
      <c r="R2030" s="97" t="str">
        <f t="shared" si="74"/>
        <v/>
      </c>
      <c r="S2030" s="75" t="str">
        <f t="shared" si="75"/>
        <v/>
      </c>
      <c r="U2030" s="8">
        <v>44776</v>
      </c>
      <c r="W2030" s="6" t="s">
        <v>33</v>
      </c>
      <c r="X2030" s="95">
        <v>47577</v>
      </c>
    </row>
    <row r="2031" spans="1:24" x14ac:dyDescent="0.25">
      <c r="A2031" s="6" t="s">
        <v>168</v>
      </c>
      <c r="B2031" s="94" t="s">
        <v>6316</v>
      </c>
      <c r="C2031" s="6" t="s">
        <v>6317</v>
      </c>
      <c r="D2031" s="140">
        <v>11203313</v>
      </c>
      <c r="E2031" s="6" t="s">
        <v>962</v>
      </c>
      <c r="F2031" s="10" t="s">
        <v>134</v>
      </c>
      <c r="G2031" s="6" t="s">
        <v>6318</v>
      </c>
      <c r="H2031" s="8">
        <v>52097</v>
      </c>
      <c r="I2031" s="8">
        <v>44593</v>
      </c>
      <c r="J2031" s="8">
        <v>44608</v>
      </c>
      <c r="K2031" s="95">
        <v>44630</v>
      </c>
      <c r="L2031" s="95" t="s">
        <v>359</v>
      </c>
      <c r="R2031" s="97" t="str">
        <f t="shared" si="74"/>
        <v/>
      </c>
      <c r="S2031" s="75" t="str">
        <f t="shared" si="75"/>
        <v/>
      </c>
      <c r="W2031" s="6" t="s">
        <v>84</v>
      </c>
      <c r="X2031" s="7">
        <v>49003</v>
      </c>
    </row>
    <row r="2032" spans="1:24" x14ac:dyDescent="0.25">
      <c r="A2032" s="6" t="s">
        <v>37</v>
      </c>
      <c r="B2032" s="94" t="s">
        <v>6319</v>
      </c>
      <c r="C2032" s="6" t="s">
        <v>6320</v>
      </c>
      <c r="D2032" s="140" t="s">
        <v>6321</v>
      </c>
      <c r="E2032" s="6" t="s">
        <v>783</v>
      </c>
      <c r="F2032" s="10" t="s">
        <v>57</v>
      </c>
      <c r="G2032" s="6" t="s">
        <v>6322</v>
      </c>
      <c r="H2032" s="8">
        <v>45504</v>
      </c>
      <c r="I2032" s="8">
        <v>43494</v>
      </c>
      <c r="J2032" s="8">
        <v>43508</v>
      </c>
      <c r="K2032" s="95">
        <v>43515</v>
      </c>
      <c r="L2032" s="95" t="s">
        <v>31</v>
      </c>
      <c r="M2032" s="8">
        <v>43521</v>
      </c>
      <c r="N2032" s="8">
        <v>43742</v>
      </c>
      <c r="O2032" s="8">
        <v>43725</v>
      </c>
      <c r="P2032" s="6" t="s">
        <v>75</v>
      </c>
      <c r="R2032" s="97" t="str">
        <f t="shared" si="74"/>
        <v/>
      </c>
      <c r="S2032" s="75" t="str">
        <f t="shared" si="75"/>
        <v/>
      </c>
      <c r="U2032" s="8">
        <v>43745</v>
      </c>
      <c r="W2032" s="6" t="s">
        <v>33</v>
      </c>
      <c r="X2032" s="95">
        <v>51507</v>
      </c>
    </row>
    <row r="2033" spans="1:24" x14ac:dyDescent="0.25">
      <c r="A2033" s="6" t="s">
        <v>168</v>
      </c>
      <c r="B2033" s="94" t="s">
        <v>2113</v>
      </c>
      <c r="C2033" s="6" t="s">
        <v>6323</v>
      </c>
      <c r="D2033" s="140">
        <v>11173579</v>
      </c>
      <c r="E2033" s="6" t="s">
        <v>1927</v>
      </c>
      <c r="F2033" s="10" t="s">
        <v>134</v>
      </c>
      <c r="G2033" s="6" t="s">
        <v>6324</v>
      </c>
      <c r="H2033" s="8">
        <v>44262</v>
      </c>
      <c r="I2033" s="8">
        <v>43263</v>
      </c>
      <c r="J2033" s="8">
        <v>43265</v>
      </c>
      <c r="K2033" s="95">
        <v>43268</v>
      </c>
      <c r="L2033" s="95" t="s">
        <v>31</v>
      </c>
      <c r="M2033" s="8">
        <v>43270</v>
      </c>
      <c r="N2033" s="8">
        <v>43503</v>
      </c>
      <c r="O2033" s="8">
        <v>43503</v>
      </c>
      <c r="P2033" s="6" t="s">
        <v>90</v>
      </c>
      <c r="Q2033" s="96">
        <v>4748</v>
      </c>
      <c r="R2033" s="97">
        <f t="shared" si="74"/>
        <v>13.008219178082191</v>
      </c>
      <c r="S2033" s="75">
        <f t="shared" si="75"/>
        <v>107434.88219178082</v>
      </c>
      <c r="T2033" s="124" t="s">
        <v>6325</v>
      </c>
      <c r="U2033" s="8">
        <v>43507</v>
      </c>
      <c r="V2033" s="6" t="s">
        <v>36</v>
      </c>
      <c r="W2033" s="100" t="s">
        <v>84</v>
      </c>
      <c r="X2033" s="104">
        <v>47883</v>
      </c>
    </row>
    <row r="2034" spans="1:24" x14ac:dyDescent="0.25">
      <c r="A2034" s="6" t="s">
        <v>168</v>
      </c>
      <c r="B2034" s="94" t="s">
        <v>5030</v>
      </c>
      <c r="C2034" s="6" t="s">
        <v>6326</v>
      </c>
      <c r="D2034" s="140">
        <v>11132336</v>
      </c>
      <c r="E2034" s="6" t="s">
        <v>3232</v>
      </c>
      <c r="F2034" s="10" t="s">
        <v>57</v>
      </c>
      <c r="G2034" s="6" t="s">
        <v>6327</v>
      </c>
      <c r="H2034" s="8">
        <v>46348</v>
      </c>
      <c r="I2034" s="8">
        <v>44242</v>
      </c>
      <c r="J2034" s="8">
        <v>44267</v>
      </c>
      <c r="K2034" s="95">
        <v>44271</v>
      </c>
      <c r="L2034" s="95" t="s">
        <v>31</v>
      </c>
      <c r="N2034" s="8">
        <v>44379</v>
      </c>
      <c r="O2034" s="8">
        <v>44301</v>
      </c>
      <c r="P2034" s="6" t="s">
        <v>52</v>
      </c>
      <c r="R2034" s="97" t="str">
        <f t="shared" si="74"/>
        <v/>
      </c>
      <c r="S2034" s="75" t="str">
        <f t="shared" si="75"/>
        <v/>
      </c>
      <c r="T2034" s="124" t="s">
        <v>6328</v>
      </c>
      <c r="U2034" s="8">
        <v>44965</v>
      </c>
      <c r="W2034" s="6" t="s">
        <v>33</v>
      </c>
      <c r="X2034" s="7">
        <v>44403</v>
      </c>
    </row>
    <row r="2035" spans="1:24" x14ac:dyDescent="0.25">
      <c r="A2035" s="6" t="s">
        <v>168</v>
      </c>
      <c r="B2035" s="94" t="s">
        <v>5948</v>
      </c>
      <c r="C2035" s="6" t="s">
        <v>6329</v>
      </c>
      <c r="D2035" s="140">
        <v>11342293</v>
      </c>
      <c r="E2035" s="6" t="s">
        <v>175</v>
      </c>
      <c r="F2035" s="10" t="s">
        <v>2100</v>
      </c>
      <c r="G2035" s="6" t="s">
        <v>6330</v>
      </c>
      <c r="H2035" s="8">
        <v>45324</v>
      </c>
      <c r="I2035" s="8">
        <v>44520</v>
      </c>
      <c r="J2035" s="8">
        <v>44530</v>
      </c>
      <c r="K2035" s="95">
        <v>44530</v>
      </c>
      <c r="L2035" s="95" t="s">
        <v>31</v>
      </c>
      <c r="M2035" s="8">
        <v>44560</v>
      </c>
      <c r="P2035" s="6" t="s">
        <v>628</v>
      </c>
      <c r="R2035" s="97" t="str">
        <f t="shared" si="74"/>
        <v/>
      </c>
      <c r="S2035" s="75" t="str">
        <f t="shared" si="75"/>
        <v/>
      </c>
      <c r="T2035" s="8">
        <v>44630</v>
      </c>
    </row>
    <row r="2036" spans="1:24" x14ac:dyDescent="0.25">
      <c r="A2036" s="6" t="s">
        <v>168</v>
      </c>
      <c r="B2036" s="94" t="s">
        <v>6331</v>
      </c>
      <c r="C2036" s="6" t="s">
        <v>6332</v>
      </c>
      <c r="D2036" s="140">
        <v>11014705</v>
      </c>
      <c r="E2036" s="6" t="s">
        <v>2589</v>
      </c>
      <c r="F2036" s="10" t="s">
        <v>121</v>
      </c>
      <c r="G2036" s="6" t="s">
        <v>6333</v>
      </c>
      <c r="H2036" s="8">
        <v>50011</v>
      </c>
      <c r="I2036" s="8">
        <v>43965</v>
      </c>
      <c r="J2036" s="8">
        <v>44106</v>
      </c>
      <c r="K2036" s="95">
        <v>44106</v>
      </c>
      <c r="L2036" s="95" t="s">
        <v>31</v>
      </c>
      <c r="M2036" s="8">
        <v>44127</v>
      </c>
      <c r="N2036" s="108">
        <v>44322</v>
      </c>
      <c r="O2036" s="108">
        <v>44319</v>
      </c>
      <c r="P2036" s="107" t="s">
        <v>35</v>
      </c>
      <c r="Q2036" s="110">
        <v>1242</v>
      </c>
      <c r="R2036" s="97">
        <f t="shared" si="74"/>
        <v>3.4027397260273973</v>
      </c>
      <c r="S2036" s="75">
        <f t="shared" si="75"/>
        <v>28103.227397260274</v>
      </c>
      <c r="U2036" s="8">
        <v>44776</v>
      </c>
      <c r="W2036" s="6" t="s">
        <v>84</v>
      </c>
      <c r="X2036" s="135">
        <v>46557</v>
      </c>
    </row>
    <row r="2037" spans="1:24" x14ac:dyDescent="0.25">
      <c r="A2037" s="6" t="s">
        <v>6057</v>
      </c>
      <c r="B2037" s="94" t="s">
        <v>6334</v>
      </c>
      <c r="C2037" s="6" t="s">
        <v>6335</v>
      </c>
      <c r="D2037" s="140">
        <v>11094936</v>
      </c>
      <c r="E2037" s="6" t="s">
        <v>5655</v>
      </c>
      <c r="F2037" s="10" t="s">
        <v>3160</v>
      </c>
      <c r="G2037" s="6">
        <v>195758</v>
      </c>
      <c r="H2037" s="8">
        <v>46139</v>
      </c>
      <c r="I2037" s="8">
        <v>44208</v>
      </c>
      <c r="J2037" s="8">
        <v>44180</v>
      </c>
      <c r="K2037" s="95">
        <v>44238</v>
      </c>
      <c r="L2037" s="95" t="s">
        <v>31</v>
      </c>
      <c r="M2037" s="8">
        <v>44244</v>
      </c>
      <c r="N2037" s="108">
        <v>44652</v>
      </c>
      <c r="O2037" s="108">
        <v>44649</v>
      </c>
      <c r="P2037" s="107" t="s">
        <v>35</v>
      </c>
      <c r="Q2037" s="110">
        <v>810</v>
      </c>
      <c r="R2037" s="97">
        <f t="shared" si="74"/>
        <v>2.2191780821917808</v>
      </c>
      <c r="S2037" s="75">
        <f t="shared" si="75"/>
        <v>18328.191780821919</v>
      </c>
      <c r="U2037" s="8">
        <v>44776</v>
      </c>
      <c r="W2037" s="6" t="s">
        <v>33</v>
      </c>
      <c r="X2037" s="95">
        <v>47549</v>
      </c>
    </row>
    <row r="2038" spans="1:24" x14ac:dyDescent="0.25">
      <c r="A2038" s="6" t="s">
        <v>6057</v>
      </c>
      <c r="B2038" s="94" t="s">
        <v>6336</v>
      </c>
      <c r="C2038" s="6" t="s">
        <v>6337</v>
      </c>
      <c r="D2038" s="140">
        <v>11479194</v>
      </c>
      <c r="E2038" s="6" t="s">
        <v>6338</v>
      </c>
      <c r="F2038" s="10" t="s">
        <v>44</v>
      </c>
      <c r="G2038" s="6" t="s">
        <v>6339</v>
      </c>
      <c r="H2038" s="8">
        <v>45236</v>
      </c>
      <c r="I2038" s="8">
        <v>44208</v>
      </c>
      <c r="J2038" s="8">
        <v>44180</v>
      </c>
      <c r="K2038" s="95">
        <v>44180</v>
      </c>
      <c r="L2038" s="95" t="s">
        <v>31</v>
      </c>
      <c r="M2038" s="8">
        <v>44189</v>
      </c>
      <c r="N2038" s="108">
        <v>44319</v>
      </c>
      <c r="O2038" s="108">
        <v>44315</v>
      </c>
      <c r="P2038" s="107" t="s">
        <v>35</v>
      </c>
      <c r="Q2038" s="110">
        <v>886</v>
      </c>
      <c r="R2038" s="97">
        <f t="shared" si="74"/>
        <v>2.4273972602739726</v>
      </c>
      <c r="S2038" s="75">
        <f t="shared" si="75"/>
        <v>20047.873972602742</v>
      </c>
      <c r="U2038" s="8">
        <v>44776</v>
      </c>
      <c r="W2038" s="6" t="s">
        <v>33</v>
      </c>
      <c r="X2038" s="95">
        <v>49638</v>
      </c>
    </row>
    <row r="2039" spans="1:24" x14ac:dyDescent="0.25">
      <c r="A2039" s="6" t="s">
        <v>6057</v>
      </c>
      <c r="B2039" s="94" t="s">
        <v>4549</v>
      </c>
      <c r="C2039" s="6" t="s">
        <v>6340</v>
      </c>
      <c r="D2039" s="140">
        <v>11631500</v>
      </c>
      <c r="E2039" s="6" t="s">
        <v>6341</v>
      </c>
      <c r="F2039" s="10" t="s">
        <v>44</v>
      </c>
      <c r="G2039" s="6" t="s">
        <v>6342</v>
      </c>
      <c r="H2039" s="8">
        <v>45524</v>
      </c>
      <c r="I2039" s="8">
        <v>44208</v>
      </c>
      <c r="J2039" s="8">
        <v>44180</v>
      </c>
      <c r="K2039" s="95">
        <v>44180</v>
      </c>
      <c r="L2039" s="95" t="s">
        <v>31</v>
      </c>
      <c r="M2039" s="8">
        <v>44189</v>
      </c>
      <c r="N2039" s="8">
        <v>44243</v>
      </c>
      <c r="O2039" s="8">
        <v>44231</v>
      </c>
      <c r="P2039" s="6" t="s">
        <v>90</v>
      </c>
      <c r="Q2039" s="96">
        <v>1278</v>
      </c>
      <c r="R2039" s="97">
        <f t="shared" si="74"/>
        <v>3.5013698630136987</v>
      </c>
      <c r="S2039" s="75">
        <f t="shared" si="75"/>
        <v>28917.813698630136</v>
      </c>
      <c r="T2039" s="124" t="s">
        <v>6343</v>
      </c>
      <c r="U2039" s="8">
        <v>44246</v>
      </c>
      <c r="V2039" s="6" t="s">
        <v>36</v>
      </c>
      <c r="W2039" s="6" t="s">
        <v>33</v>
      </c>
      <c r="X2039" s="95">
        <v>49941</v>
      </c>
    </row>
    <row r="2040" spans="1:24" ht="30" x14ac:dyDescent="0.25">
      <c r="A2040" s="6" t="s">
        <v>6057</v>
      </c>
      <c r="B2040" s="94" t="s">
        <v>6344</v>
      </c>
      <c r="C2040" s="6" t="s">
        <v>6345</v>
      </c>
      <c r="D2040" s="140">
        <v>11286013</v>
      </c>
      <c r="E2040" s="6" t="s">
        <v>6346</v>
      </c>
      <c r="F2040" s="10" t="s">
        <v>62</v>
      </c>
      <c r="G2040" s="6" t="s">
        <v>6347</v>
      </c>
      <c r="H2040" s="8">
        <v>44590</v>
      </c>
      <c r="I2040" s="8">
        <v>44208</v>
      </c>
      <c r="J2040" s="8">
        <v>44180</v>
      </c>
      <c r="K2040" s="95">
        <v>44180</v>
      </c>
      <c r="L2040" s="95" t="s">
        <v>31</v>
      </c>
      <c r="M2040" s="8">
        <v>44189</v>
      </c>
      <c r="R2040" s="97" t="str">
        <f t="shared" si="74"/>
        <v/>
      </c>
      <c r="S2040" s="75" t="str">
        <f t="shared" si="75"/>
        <v/>
      </c>
      <c r="T2040" s="131" t="s">
        <v>6348</v>
      </c>
      <c r="U2040" s="8">
        <v>44783</v>
      </c>
      <c r="W2040" s="6" t="s">
        <v>33</v>
      </c>
      <c r="X2040" s="95">
        <v>49643</v>
      </c>
    </row>
    <row r="2041" spans="1:24" x14ac:dyDescent="0.25">
      <c r="A2041" s="6" t="s">
        <v>6057</v>
      </c>
      <c r="B2041" s="94" t="s">
        <v>564</v>
      </c>
      <c r="C2041" s="6" t="s">
        <v>6349</v>
      </c>
      <c r="D2041" s="140">
        <v>11296564</v>
      </c>
      <c r="E2041" s="6" t="s">
        <v>2206</v>
      </c>
      <c r="F2041" s="10" t="s">
        <v>44</v>
      </c>
      <c r="G2041" s="6" t="s">
        <v>6350</v>
      </c>
      <c r="H2041" s="8">
        <v>47782</v>
      </c>
      <c r="I2041" s="8">
        <v>44208</v>
      </c>
      <c r="J2041" s="8">
        <v>44180</v>
      </c>
      <c r="K2041" s="95">
        <v>44180</v>
      </c>
      <c r="L2041" s="95" t="s">
        <v>31</v>
      </c>
      <c r="M2041" s="8">
        <v>44189</v>
      </c>
      <c r="N2041" s="8">
        <v>44279</v>
      </c>
      <c r="O2041" s="8">
        <v>44259</v>
      </c>
      <c r="P2041" s="6" t="s">
        <v>90</v>
      </c>
      <c r="Q2041" s="96">
        <v>3514</v>
      </c>
      <c r="R2041" s="97">
        <f t="shared" si="74"/>
        <v>9.6273972602739732</v>
      </c>
      <c r="S2041" s="75">
        <f t="shared" si="75"/>
        <v>79512.673972602744</v>
      </c>
      <c r="T2041" s="124" t="s">
        <v>6351</v>
      </c>
      <c r="U2041" s="8">
        <v>44280</v>
      </c>
      <c r="V2041" s="6" t="s">
        <v>36</v>
      </c>
      <c r="W2041" s="6" t="s">
        <v>33</v>
      </c>
      <c r="X2041" s="95">
        <v>49164</v>
      </c>
    </row>
    <row r="2042" spans="1:24" x14ac:dyDescent="0.25">
      <c r="A2042" s="6" t="s">
        <v>6057</v>
      </c>
      <c r="B2042" s="94" t="s">
        <v>6352</v>
      </c>
      <c r="C2042" s="6" t="s">
        <v>6353</v>
      </c>
      <c r="D2042" s="140">
        <v>11229744</v>
      </c>
      <c r="E2042" s="6" t="s">
        <v>3243</v>
      </c>
      <c r="F2042" s="10" t="s">
        <v>62</v>
      </c>
      <c r="G2042" s="6">
        <v>6714828</v>
      </c>
      <c r="H2042" s="8">
        <v>44600</v>
      </c>
      <c r="I2042" s="8">
        <v>44208</v>
      </c>
      <c r="J2042" s="8">
        <v>44180</v>
      </c>
      <c r="K2042" s="95">
        <v>44180</v>
      </c>
      <c r="L2042" s="95" t="s">
        <v>31</v>
      </c>
      <c r="M2042" s="8">
        <v>44189</v>
      </c>
      <c r="N2042" s="108">
        <v>44438</v>
      </c>
      <c r="O2042" s="108">
        <v>44379</v>
      </c>
      <c r="P2042" s="107" t="s">
        <v>52</v>
      </c>
      <c r="Q2042" s="110"/>
      <c r="R2042" s="97" t="str">
        <f t="shared" si="74"/>
        <v/>
      </c>
      <c r="S2042" s="75" t="str">
        <f t="shared" si="75"/>
        <v/>
      </c>
      <c r="U2042" s="8">
        <v>44776</v>
      </c>
      <c r="W2042" s="6" t="s">
        <v>33</v>
      </c>
      <c r="X2042" s="95">
        <v>46500</v>
      </c>
    </row>
    <row r="2043" spans="1:24" x14ac:dyDescent="0.25">
      <c r="A2043" s="6" t="s">
        <v>6057</v>
      </c>
      <c r="B2043" s="94" t="s">
        <v>6354</v>
      </c>
      <c r="C2043" s="6" t="s">
        <v>6355</v>
      </c>
      <c r="D2043" s="140">
        <v>11102529</v>
      </c>
      <c r="E2043" s="6" t="s">
        <v>4223</v>
      </c>
      <c r="F2043" s="10" t="s">
        <v>44</v>
      </c>
      <c r="G2043" s="6" t="s">
        <v>6356</v>
      </c>
      <c r="H2043" s="8">
        <v>46498</v>
      </c>
      <c r="I2043" s="8">
        <v>44208</v>
      </c>
      <c r="J2043" s="8">
        <v>44180</v>
      </c>
      <c r="K2043" s="95">
        <v>44180</v>
      </c>
      <c r="L2043" s="95" t="s">
        <v>31</v>
      </c>
      <c r="M2043" s="8">
        <v>44189</v>
      </c>
      <c r="N2043" s="8">
        <v>44232</v>
      </c>
      <c r="O2043" s="8">
        <v>44231</v>
      </c>
      <c r="P2043" s="6" t="s">
        <v>90</v>
      </c>
      <c r="Q2043" s="96">
        <v>5478.75</v>
      </c>
      <c r="R2043" s="97">
        <f t="shared" si="74"/>
        <v>15.010273972602739</v>
      </c>
      <c r="S2043" s="75">
        <f t="shared" si="75"/>
        <v>123969.85273972603</v>
      </c>
      <c r="T2043" s="124" t="s">
        <v>6357</v>
      </c>
      <c r="U2043" s="8">
        <v>44232</v>
      </c>
      <c r="V2043" s="6" t="s">
        <v>36</v>
      </c>
      <c r="W2043" s="6" t="s">
        <v>33</v>
      </c>
      <c r="X2043" s="95">
        <v>46315</v>
      </c>
    </row>
    <row r="2044" spans="1:24" x14ac:dyDescent="0.25">
      <c r="A2044" s="6" t="s">
        <v>6057</v>
      </c>
      <c r="B2044" s="94" t="s">
        <v>2817</v>
      </c>
      <c r="C2044" s="6" t="s">
        <v>2818</v>
      </c>
      <c r="D2044" s="140">
        <v>11051991</v>
      </c>
      <c r="E2044" s="6" t="s">
        <v>3931</v>
      </c>
      <c r="F2044" s="10" t="s">
        <v>44</v>
      </c>
      <c r="G2044" s="6" t="s">
        <v>2819</v>
      </c>
      <c r="H2044" s="8">
        <v>48813</v>
      </c>
      <c r="I2044" s="8">
        <v>44208</v>
      </c>
      <c r="J2044" s="8">
        <v>44180</v>
      </c>
      <c r="K2044" s="95">
        <v>44180</v>
      </c>
      <c r="L2044" s="95" t="s">
        <v>31</v>
      </c>
      <c r="M2044" s="8">
        <v>44189</v>
      </c>
      <c r="N2044" s="8">
        <v>44263</v>
      </c>
      <c r="O2044" s="8">
        <v>44259</v>
      </c>
      <c r="P2044" s="6" t="s">
        <v>90</v>
      </c>
      <c r="Q2044" s="96">
        <v>4546</v>
      </c>
      <c r="R2044" s="97">
        <f t="shared" si="74"/>
        <v>12.454794520547946</v>
      </c>
      <c r="S2044" s="75">
        <f t="shared" si="75"/>
        <v>102864.14794520548</v>
      </c>
      <c r="T2044" s="124" t="s">
        <v>6358</v>
      </c>
      <c r="U2044" s="8">
        <v>44263</v>
      </c>
      <c r="W2044" s="6" t="s">
        <v>33</v>
      </c>
      <c r="X2044" s="95">
        <v>49083</v>
      </c>
    </row>
    <row r="2045" spans="1:24" x14ac:dyDescent="0.25">
      <c r="A2045" s="6" t="s">
        <v>6057</v>
      </c>
      <c r="B2045" s="94" t="s">
        <v>6359</v>
      </c>
      <c r="C2045" s="6" t="s">
        <v>6360</v>
      </c>
      <c r="D2045" s="140">
        <v>11360016</v>
      </c>
      <c r="E2045" s="6" t="s">
        <v>6361</v>
      </c>
      <c r="F2045" s="10" t="s">
        <v>176</v>
      </c>
      <c r="G2045" s="6">
        <v>2008012962</v>
      </c>
      <c r="H2045" s="8">
        <v>45278</v>
      </c>
      <c r="I2045" s="8">
        <v>44208</v>
      </c>
      <c r="J2045" s="8">
        <v>44180</v>
      </c>
      <c r="K2045" s="95">
        <v>44180</v>
      </c>
      <c r="L2045" s="95" t="s">
        <v>31</v>
      </c>
      <c r="M2045" s="8">
        <v>44189</v>
      </c>
      <c r="N2045" s="8">
        <v>44263</v>
      </c>
      <c r="O2045" s="8">
        <v>44229</v>
      </c>
      <c r="P2045" s="6" t="s">
        <v>52</v>
      </c>
      <c r="R2045" s="97" t="str">
        <f t="shared" si="74"/>
        <v/>
      </c>
      <c r="S2045" s="75" t="str">
        <f t="shared" si="75"/>
        <v/>
      </c>
      <c r="U2045" s="8">
        <v>44263</v>
      </c>
      <c r="W2045" s="6" t="s">
        <v>33</v>
      </c>
      <c r="X2045" s="95">
        <v>48669</v>
      </c>
    </row>
    <row r="2046" spans="1:24" x14ac:dyDescent="0.25">
      <c r="A2046" s="6" t="s">
        <v>6057</v>
      </c>
      <c r="B2046" s="94" t="s">
        <v>5425</v>
      </c>
      <c r="C2046" s="6" t="s">
        <v>6362</v>
      </c>
      <c r="D2046" s="140">
        <v>11937922</v>
      </c>
      <c r="E2046" s="6" t="s">
        <v>6290</v>
      </c>
      <c r="F2046" s="10" t="s">
        <v>134</v>
      </c>
      <c r="G2046" s="6" t="s">
        <v>6363</v>
      </c>
      <c r="H2046" s="8">
        <v>44869</v>
      </c>
      <c r="I2046" s="8">
        <v>44208</v>
      </c>
      <c r="J2046" s="8">
        <v>44180</v>
      </c>
      <c r="K2046" s="95">
        <v>44180</v>
      </c>
      <c r="L2046" s="95" t="s">
        <v>31</v>
      </c>
      <c r="M2046" s="8">
        <v>44189</v>
      </c>
      <c r="N2046" s="8">
        <v>44463</v>
      </c>
      <c r="O2046" s="8">
        <v>44446</v>
      </c>
      <c r="P2046" s="6" t="s">
        <v>75</v>
      </c>
      <c r="R2046" s="97" t="str">
        <f t="shared" si="74"/>
        <v/>
      </c>
      <c r="S2046" s="75" t="str">
        <f t="shared" si="75"/>
        <v/>
      </c>
      <c r="U2046" s="8">
        <v>44463</v>
      </c>
      <c r="W2046" s="6" t="s">
        <v>33</v>
      </c>
      <c r="X2046" s="95">
        <v>51767</v>
      </c>
    </row>
    <row r="2047" spans="1:24" x14ac:dyDescent="0.25">
      <c r="A2047" s="6" t="s">
        <v>6057</v>
      </c>
      <c r="B2047" s="94" t="s">
        <v>4082</v>
      </c>
      <c r="C2047" s="6" t="s">
        <v>6364</v>
      </c>
      <c r="D2047" s="140">
        <v>11129417</v>
      </c>
      <c r="E2047" s="6" t="s">
        <v>3931</v>
      </c>
      <c r="F2047" s="10" t="s">
        <v>62</v>
      </c>
      <c r="G2047" s="6" t="s">
        <v>6365</v>
      </c>
      <c r="H2047" s="8">
        <v>46433</v>
      </c>
      <c r="I2047" s="8">
        <v>44208</v>
      </c>
      <c r="J2047" s="8">
        <v>44180</v>
      </c>
      <c r="K2047" s="95">
        <v>44180</v>
      </c>
      <c r="L2047" s="95" t="s">
        <v>31</v>
      </c>
      <c r="M2047" s="8">
        <v>44189</v>
      </c>
      <c r="N2047" s="108">
        <v>44680</v>
      </c>
      <c r="O2047" s="108">
        <v>44680</v>
      </c>
      <c r="P2047" s="107" t="s">
        <v>90</v>
      </c>
      <c r="Q2047" s="110">
        <v>1379</v>
      </c>
      <c r="R2047" s="97">
        <f t="shared" si="74"/>
        <v>3.7780821917808218</v>
      </c>
      <c r="S2047" s="75">
        <f t="shared" si="75"/>
        <v>31203.180821917809</v>
      </c>
      <c r="T2047" s="129" t="s">
        <v>6366</v>
      </c>
      <c r="U2047" s="8">
        <v>44776</v>
      </c>
      <c r="W2047" s="6" t="s">
        <v>33</v>
      </c>
      <c r="X2047" s="95">
        <v>47803</v>
      </c>
    </row>
    <row r="2048" spans="1:24" x14ac:dyDescent="0.25">
      <c r="A2048" s="6" t="s">
        <v>6057</v>
      </c>
      <c r="B2048" s="94" t="s">
        <v>6367</v>
      </c>
      <c r="C2048" s="6" t="s">
        <v>6368</v>
      </c>
      <c r="D2048" s="140">
        <v>11150651</v>
      </c>
      <c r="E2048" s="6" t="s">
        <v>3008</v>
      </c>
      <c r="F2048" s="10" t="s">
        <v>44</v>
      </c>
      <c r="G2048" s="6" t="s">
        <v>6369</v>
      </c>
      <c r="H2048" s="8">
        <v>45407</v>
      </c>
      <c r="I2048" s="8">
        <v>44208</v>
      </c>
      <c r="J2048" s="8">
        <v>44180</v>
      </c>
      <c r="K2048" s="95">
        <v>44180</v>
      </c>
      <c r="L2048" s="95" t="s">
        <v>31</v>
      </c>
      <c r="M2048" s="8">
        <v>44189</v>
      </c>
      <c r="N2048" s="8">
        <v>44267</v>
      </c>
      <c r="O2048" s="8">
        <v>44230</v>
      </c>
      <c r="P2048" s="6" t="s">
        <v>90</v>
      </c>
      <c r="Q2048" s="96">
        <v>1167</v>
      </c>
      <c r="R2048" s="97">
        <f t="shared" si="74"/>
        <v>3.1972602739726028</v>
      </c>
      <c r="S2048" s="75">
        <f t="shared" si="75"/>
        <v>26406.172602739727</v>
      </c>
      <c r="T2048" s="124" t="s">
        <v>6150</v>
      </c>
      <c r="U2048" s="8">
        <v>44267</v>
      </c>
      <c r="W2048" s="6" t="s">
        <v>33</v>
      </c>
      <c r="X2048" s="95">
        <v>50792</v>
      </c>
    </row>
    <row r="2049" spans="1:24" x14ac:dyDescent="0.25">
      <c r="A2049" s="6" t="s">
        <v>6057</v>
      </c>
      <c r="B2049" s="94" t="s">
        <v>3305</v>
      </c>
      <c r="C2049" s="6" t="s">
        <v>6370</v>
      </c>
      <c r="D2049" s="140">
        <v>11100115</v>
      </c>
      <c r="E2049" s="6" t="s">
        <v>5655</v>
      </c>
      <c r="F2049" s="10" t="s">
        <v>148</v>
      </c>
      <c r="G2049" s="6" t="s">
        <v>6371</v>
      </c>
      <c r="H2049" s="8">
        <v>45442</v>
      </c>
      <c r="I2049" s="8">
        <v>44208</v>
      </c>
      <c r="J2049" s="8">
        <v>44180</v>
      </c>
      <c r="K2049" s="95">
        <v>44180</v>
      </c>
      <c r="L2049" s="95" t="s">
        <v>31</v>
      </c>
      <c r="M2049" s="8">
        <v>44189</v>
      </c>
      <c r="N2049" s="8">
        <v>44238</v>
      </c>
      <c r="O2049" s="8">
        <v>44222</v>
      </c>
      <c r="P2049" s="6" t="s">
        <v>75</v>
      </c>
      <c r="R2049" s="97" t="str">
        <f t="shared" si="74"/>
        <v/>
      </c>
      <c r="S2049" s="75" t="str">
        <f t="shared" si="75"/>
        <v/>
      </c>
      <c r="U2049" s="8">
        <v>44239</v>
      </c>
      <c r="W2049" s="6" t="s">
        <v>33</v>
      </c>
      <c r="X2049" s="95">
        <v>48214</v>
      </c>
    </row>
    <row r="2050" spans="1:24" x14ac:dyDescent="0.25">
      <c r="A2050" s="6" t="s">
        <v>6057</v>
      </c>
      <c r="B2050" s="94" t="s">
        <v>1793</v>
      </c>
      <c r="C2050" s="6" t="s">
        <v>6372</v>
      </c>
      <c r="D2050" s="140">
        <v>11075171</v>
      </c>
      <c r="E2050" s="6" t="s">
        <v>5479</v>
      </c>
      <c r="F2050" s="10" t="s">
        <v>1588</v>
      </c>
      <c r="G2050" s="6" t="s">
        <v>6373</v>
      </c>
      <c r="H2050" s="8">
        <v>45599</v>
      </c>
      <c r="I2050" s="8">
        <v>44208</v>
      </c>
      <c r="J2050" s="8">
        <v>44180</v>
      </c>
      <c r="K2050" s="95">
        <v>44180</v>
      </c>
      <c r="L2050" s="95" t="s">
        <v>31</v>
      </c>
      <c r="M2050" s="8">
        <v>44189</v>
      </c>
      <c r="N2050" s="108">
        <v>44435</v>
      </c>
      <c r="O2050" s="108">
        <v>44407</v>
      </c>
      <c r="P2050" s="107" t="s">
        <v>35</v>
      </c>
      <c r="Q2050" s="110">
        <v>1152</v>
      </c>
      <c r="R2050" s="97">
        <f t="shared" si="74"/>
        <v>3.1561643835616437</v>
      </c>
      <c r="S2050" s="75">
        <f t="shared" si="75"/>
        <v>26066.761643835616</v>
      </c>
      <c r="U2050" s="8">
        <v>44776</v>
      </c>
      <c r="W2050" s="6" t="s">
        <v>33</v>
      </c>
      <c r="X2050" s="95">
        <v>51216</v>
      </c>
    </row>
    <row r="2051" spans="1:24" x14ac:dyDescent="0.25">
      <c r="A2051" s="6" t="s">
        <v>6057</v>
      </c>
      <c r="B2051" s="94" t="s">
        <v>6374</v>
      </c>
      <c r="C2051" s="6" t="s">
        <v>6375</v>
      </c>
      <c r="D2051" s="140">
        <v>11138542</v>
      </c>
      <c r="E2051" s="6" t="s">
        <v>5655</v>
      </c>
      <c r="F2051" s="10" t="s">
        <v>134</v>
      </c>
      <c r="G2051" s="6" t="s">
        <v>6376</v>
      </c>
      <c r="H2051" s="8">
        <v>44857</v>
      </c>
      <c r="I2051" s="8">
        <v>44208</v>
      </c>
      <c r="J2051" s="8">
        <v>44180</v>
      </c>
      <c r="K2051" s="95">
        <v>44180</v>
      </c>
      <c r="L2051" s="95" t="s">
        <v>31</v>
      </c>
      <c r="M2051" s="8">
        <v>44189</v>
      </c>
      <c r="N2051" s="8">
        <v>44424</v>
      </c>
      <c r="O2051" s="8">
        <v>44396</v>
      </c>
      <c r="P2051" s="6" t="s">
        <v>90</v>
      </c>
      <c r="Q2051" s="96">
        <v>432</v>
      </c>
      <c r="R2051" s="97">
        <f t="shared" si="74"/>
        <v>1.1835616438356165</v>
      </c>
      <c r="S2051" s="75">
        <f t="shared" si="75"/>
        <v>9775.0356164383556</v>
      </c>
      <c r="T2051" s="124" t="s">
        <v>6377</v>
      </c>
      <c r="U2051" s="8">
        <v>44424</v>
      </c>
      <c r="V2051" s="6" t="s">
        <v>36</v>
      </c>
      <c r="W2051" s="6" t="s">
        <v>33</v>
      </c>
      <c r="X2051" s="95">
        <v>47448</v>
      </c>
    </row>
    <row r="2052" spans="1:24" x14ac:dyDescent="0.25">
      <c r="A2052" s="6" t="s">
        <v>6057</v>
      </c>
      <c r="B2052" s="94" t="s">
        <v>3940</v>
      </c>
      <c r="C2052" s="6" t="s">
        <v>3941</v>
      </c>
      <c r="D2052" s="140">
        <v>11133273</v>
      </c>
      <c r="E2052" s="6" t="s">
        <v>6290</v>
      </c>
      <c r="F2052" s="10" t="s">
        <v>3942</v>
      </c>
      <c r="G2052" s="6" t="s">
        <v>3943</v>
      </c>
      <c r="H2052" s="8">
        <v>47456</v>
      </c>
      <c r="I2052" s="8">
        <v>44208</v>
      </c>
      <c r="J2052" s="8">
        <v>44180</v>
      </c>
      <c r="K2052" s="95">
        <v>44180</v>
      </c>
      <c r="L2052" s="95" t="s">
        <v>31</v>
      </c>
      <c r="M2052" s="8">
        <v>44189</v>
      </c>
      <c r="N2052" s="8">
        <v>44320</v>
      </c>
      <c r="O2052" s="8">
        <v>44232</v>
      </c>
      <c r="P2052" s="6" t="s">
        <v>75</v>
      </c>
      <c r="R2052" s="97" t="str">
        <f t="shared" si="74"/>
        <v/>
      </c>
      <c r="S2052" s="75" t="str">
        <f t="shared" si="75"/>
        <v/>
      </c>
      <c r="U2052" s="8">
        <v>44320</v>
      </c>
      <c r="W2052" s="6" t="s">
        <v>33</v>
      </c>
      <c r="X2052" s="95">
        <v>49745</v>
      </c>
    </row>
    <row r="2053" spans="1:24" x14ac:dyDescent="0.25">
      <c r="A2053" s="6" t="s">
        <v>6057</v>
      </c>
      <c r="B2053" s="94" t="s">
        <v>6232</v>
      </c>
      <c r="C2053" s="6" t="s">
        <v>6378</v>
      </c>
      <c r="D2053" s="140">
        <v>11167069</v>
      </c>
      <c r="E2053" s="6" t="s">
        <v>2206</v>
      </c>
      <c r="F2053" s="10" t="s">
        <v>44</v>
      </c>
      <c r="G2053" s="6" t="s">
        <v>6379</v>
      </c>
      <c r="H2053" s="8">
        <v>44857</v>
      </c>
      <c r="I2053" s="8">
        <v>44208</v>
      </c>
      <c r="J2053" s="8">
        <v>44180</v>
      </c>
      <c r="K2053" s="95">
        <v>44180</v>
      </c>
      <c r="L2053" s="95" t="s">
        <v>31</v>
      </c>
      <c r="M2053" s="8">
        <v>44189</v>
      </c>
      <c r="N2053" s="8">
        <v>44302</v>
      </c>
      <c r="O2053" s="8">
        <v>44292</v>
      </c>
      <c r="P2053" s="6" t="s">
        <v>90</v>
      </c>
      <c r="Q2053" s="96">
        <v>555</v>
      </c>
      <c r="R2053" s="97">
        <f t="shared" ref="R2053:R2116" si="76">IF(Q2053&gt;0, Q2053/365, "")</f>
        <v>1.5205479452054795</v>
      </c>
      <c r="S2053" s="75">
        <f t="shared" ref="S2053:S2116" si="77">IF(Q2053&gt;0, SUM(Q2053)*(8259/365), "")</f>
        <v>12558.205479452055</v>
      </c>
      <c r="T2053" s="124" t="s">
        <v>6380</v>
      </c>
      <c r="U2053" s="8">
        <v>44302</v>
      </c>
      <c r="V2053" s="6" t="s">
        <v>36</v>
      </c>
      <c r="W2053" s="6" t="s">
        <v>33</v>
      </c>
      <c r="X2053" s="95">
        <v>52020</v>
      </c>
    </row>
    <row r="2054" spans="1:24" x14ac:dyDescent="0.25">
      <c r="A2054" s="6" t="s">
        <v>6057</v>
      </c>
      <c r="B2054" s="94" t="s">
        <v>3155</v>
      </c>
      <c r="C2054" s="6" t="s">
        <v>6381</v>
      </c>
      <c r="D2054" s="140">
        <v>11092634</v>
      </c>
      <c r="E2054" s="6" t="s">
        <v>3008</v>
      </c>
      <c r="F2054" s="10" t="s">
        <v>62</v>
      </c>
      <c r="G2054" s="6" t="s">
        <v>6365</v>
      </c>
      <c r="H2054" s="8">
        <v>50286</v>
      </c>
      <c r="I2054" s="8">
        <v>44208</v>
      </c>
      <c r="J2054" s="8">
        <v>44180</v>
      </c>
      <c r="K2054" s="95">
        <v>44180</v>
      </c>
      <c r="L2054" s="95" t="s">
        <v>31</v>
      </c>
      <c r="M2054" s="8">
        <v>44189</v>
      </c>
      <c r="N2054" s="8">
        <v>44777</v>
      </c>
      <c r="O2054" s="8">
        <v>44776</v>
      </c>
      <c r="P2054" s="107"/>
      <c r="Q2054" s="96">
        <v>9344</v>
      </c>
      <c r="R2054" s="97">
        <f t="shared" si="76"/>
        <v>25.6</v>
      </c>
      <c r="S2054" s="75">
        <f t="shared" si="77"/>
        <v>211430.39999999999</v>
      </c>
      <c r="T2054" s="129" t="s">
        <v>6382</v>
      </c>
      <c r="U2054" s="8">
        <v>44994</v>
      </c>
      <c r="V2054" s="6" t="s">
        <v>36</v>
      </c>
      <c r="W2054" s="6" t="s">
        <v>33</v>
      </c>
      <c r="X2054" s="95">
        <v>47440</v>
      </c>
    </row>
    <row r="2055" spans="1:24" x14ac:dyDescent="0.25">
      <c r="A2055" s="6" t="s">
        <v>6057</v>
      </c>
      <c r="B2055" s="94" t="s">
        <v>6383</v>
      </c>
      <c r="C2055" s="6" t="s">
        <v>6384</v>
      </c>
      <c r="D2055" s="140">
        <v>11097852</v>
      </c>
      <c r="E2055" s="6" t="s">
        <v>6290</v>
      </c>
      <c r="F2055" s="10" t="s">
        <v>62</v>
      </c>
      <c r="G2055" s="6" t="s">
        <v>6385</v>
      </c>
      <c r="H2055" s="8">
        <v>44844</v>
      </c>
      <c r="I2055" s="8">
        <v>44208</v>
      </c>
      <c r="J2055" s="8">
        <v>44180</v>
      </c>
      <c r="K2055" s="95">
        <v>44180</v>
      </c>
      <c r="L2055" s="95" t="s">
        <v>31</v>
      </c>
      <c r="M2055" s="8">
        <v>44189</v>
      </c>
      <c r="N2055" s="8">
        <v>44309</v>
      </c>
      <c r="O2055" s="8">
        <v>44288</v>
      </c>
      <c r="P2055" s="6" t="s">
        <v>52</v>
      </c>
      <c r="R2055" s="97" t="str">
        <f t="shared" si="76"/>
        <v/>
      </c>
      <c r="S2055" s="75" t="str">
        <f t="shared" si="77"/>
        <v/>
      </c>
      <c r="T2055" s="124" t="s">
        <v>3501</v>
      </c>
      <c r="U2055" s="8">
        <v>44309</v>
      </c>
      <c r="W2055" s="6" t="s">
        <v>33</v>
      </c>
      <c r="X2055" s="95">
        <v>51022</v>
      </c>
    </row>
    <row r="2056" spans="1:24" x14ac:dyDescent="0.25">
      <c r="A2056" s="6" t="s">
        <v>6057</v>
      </c>
      <c r="B2056" s="94" t="s">
        <v>6386</v>
      </c>
      <c r="C2056" s="6" t="s">
        <v>6387</v>
      </c>
      <c r="D2056" s="140">
        <v>11322390</v>
      </c>
      <c r="E2056" s="6" t="s">
        <v>2206</v>
      </c>
      <c r="F2056" s="10" t="s">
        <v>44</v>
      </c>
      <c r="G2056" s="6" t="s">
        <v>6388</v>
      </c>
      <c r="H2056" s="8">
        <v>45444</v>
      </c>
      <c r="I2056" s="8">
        <v>44208</v>
      </c>
      <c r="J2056" s="8">
        <v>44180</v>
      </c>
      <c r="K2056" s="95">
        <v>44180</v>
      </c>
      <c r="L2056" s="95" t="s">
        <v>31</v>
      </c>
      <c r="M2056" s="8">
        <v>44189</v>
      </c>
      <c r="N2056" s="8">
        <v>44300</v>
      </c>
      <c r="O2056" s="8">
        <v>44292</v>
      </c>
      <c r="P2056" s="6" t="s">
        <v>90</v>
      </c>
      <c r="Q2056" s="96">
        <v>1144</v>
      </c>
      <c r="R2056" s="97">
        <f t="shared" si="76"/>
        <v>3.1342465753424658</v>
      </c>
      <c r="S2056" s="75">
        <f t="shared" si="77"/>
        <v>25885.742465753425</v>
      </c>
      <c r="T2056" s="124" t="s">
        <v>6389</v>
      </c>
      <c r="U2056" s="8">
        <v>44300</v>
      </c>
      <c r="W2056" s="6" t="s">
        <v>33</v>
      </c>
      <c r="X2056" s="95">
        <v>49062</v>
      </c>
    </row>
    <row r="2057" spans="1:24" x14ac:dyDescent="0.25">
      <c r="A2057" s="6" t="s">
        <v>6057</v>
      </c>
      <c r="B2057" s="94" t="s">
        <v>145</v>
      </c>
      <c r="C2057" s="6" t="s">
        <v>6390</v>
      </c>
      <c r="D2057" s="140">
        <v>11108993</v>
      </c>
      <c r="E2057" s="6" t="s">
        <v>3201</v>
      </c>
      <c r="F2057" s="10" t="s">
        <v>44</v>
      </c>
      <c r="G2057" s="6" t="s">
        <v>6391</v>
      </c>
      <c r="H2057" s="8">
        <v>46731</v>
      </c>
      <c r="I2057" s="8">
        <v>44208</v>
      </c>
      <c r="J2057" s="8">
        <v>44180</v>
      </c>
      <c r="K2057" s="95">
        <v>44180</v>
      </c>
      <c r="L2057" s="95" t="s">
        <v>31</v>
      </c>
      <c r="M2057" s="8">
        <v>44189</v>
      </c>
      <c r="N2057" s="8">
        <v>44277</v>
      </c>
      <c r="O2057" s="8">
        <v>44259</v>
      </c>
      <c r="P2057" s="6" t="s">
        <v>90</v>
      </c>
      <c r="Q2057" s="96">
        <v>2461</v>
      </c>
      <c r="R2057" s="97">
        <f t="shared" si="76"/>
        <v>6.7424657534246579</v>
      </c>
      <c r="S2057" s="75">
        <f t="shared" si="77"/>
        <v>55686.024657534246</v>
      </c>
      <c r="T2057" s="124" t="s">
        <v>6392</v>
      </c>
      <c r="U2057" s="8">
        <v>44279</v>
      </c>
      <c r="W2057" s="6" t="s">
        <v>33</v>
      </c>
      <c r="X2057" s="95">
        <v>52142</v>
      </c>
    </row>
    <row r="2058" spans="1:24" x14ac:dyDescent="0.25">
      <c r="A2058" s="6" t="s">
        <v>6057</v>
      </c>
      <c r="B2058" s="94" t="s">
        <v>6393</v>
      </c>
      <c r="C2058" s="6" t="s">
        <v>6394</v>
      </c>
      <c r="D2058" s="140">
        <v>11490675</v>
      </c>
      <c r="E2058" s="6" t="s">
        <v>3008</v>
      </c>
      <c r="F2058" s="10" t="s">
        <v>44</v>
      </c>
      <c r="G2058" s="6" t="s">
        <v>6395</v>
      </c>
      <c r="H2058" s="8">
        <v>47483</v>
      </c>
      <c r="I2058" s="8">
        <v>44208</v>
      </c>
      <c r="J2058" s="8">
        <v>44180</v>
      </c>
      <c r="K2058" s="95">
        <v>44180</v>
      </c>
      <c r="L2058" s="95" t="s">
        <v>31</v>
      </c>
      <c r="M2058" s="8">
        <v>44189</v>
      </c>
      <c r="N2058" s="8">
        <v>44300</v>
      </c>
      <c r="O2058" s="8">
        <v>44287</v>
      </c>
      <c r="P2058" s="6" t="s">
        <v>35</v>
      </c>
      <c r="Q2058" s="96">
        <v>3146</v>
      </c>
      <c r="R2058" s="97">
        <f t="shared" si="76"/>
        <v>8.6191780821917803</v>
      </c>
      <c r="S2058" s="75">
        <f t="shared" si="77"/>
        <v>71185.791780821921</v>
      </c>
      <c r="T2058" s="124" t="s">
        <v>6396</v>
      </c>
      <c r="U2058" s="8">
        <v>44300</v>
      </c>
      <c r="W2058" s="6" t="s">
        <v>33</v>
      </c>
      <c r="X2058" s="95">
        <v>50861</v>
      </c>
    </row>
    <row r="2059" spans="1:24" x14ac:dyDescent="0.25">
      <c r="A2059" s="6" t="s">
        <v>6057</v>
      </c>
      <c r="B2059" s="94" t="s">
        <v>6397</v>
      </c>
      <c r="C2059" s="6" t="s">
        <v>6398</v>
      </c>
      <c r="D2059" s="140">
        <v>11079565</v>
      </c>
      <c r="E2059" s="6" t="s">
        <v>2206</v>
      </c>
      <c r="F2059" s="10" t="s">
        <v>134</v>
      </c>
      <c r="G2059" s="6" t="s">
        <v>6399</v>
      </c>
      <c r="H2059" s="8">
        <v>49292</v>
      </c>
      <c r="I2059" s="8">
        <v>44208</v>
      </c>
      <c r="J2059" s="8">
        <v>44180</v>
      </c>
      <c r="K2059" s="95">
        <v>44180</v>
      </c>
      <c r="L2059" s="95" t="s">
        <v>31</v>
      </c>
      <c r="M2059" s="8">
        <v>44189</v>
      </c>
      <c r="R2059" s="97" t="str">
        <f t="shared" si="76"/>
        <v/>
      </c>
      <c r="S2059" s="75" t="str">
        <f t="shared" si="77"/>
        <v/>
      </c>
      <c r="W2059" s="6" t="s">
        <v>33</v>
      </c>
      <c r="X2059" s="95">
        <v>46692</v>
      </c>
    </row>
    <row r="2060" spans="1:24" x14ac:dyDescent="0.25">
      <c r="A2060" s="6" t="s">
        <v>6057</v>
      </c>
      <c r="B2060" s="94" t="s">
        <v>6400</v>
      </c>
      <c r="C2060" s="6" t="s">
        <v>6401</v>
      </c>
      <c r="D2060" s="140">
        <v>11099424</v>
      </c>
      <c r="E2060" s="6" t="s">
        <v>3030</v>
      </c>
      <c r="F2060" s="10" t="s">
        <v>62</v>
      </c>
      <c r="G2060" s="6" t="s">
        <v>6402</v>
      </c>
      <c r="H2060" s="8">
        <v>44847</v>
      </c>
      <c r="I2060" s="8">
        <v>44208</v>
      </c>
      <c r="J2060" s="8">
        <v>44180</v>
      </c>
      <c r="K2060" s="95">
        <v>44180</v>
      </c>
      <c r="L2060" s="95" t="s">
        <v>31</v>
      </c>
      <c r="M2060" s="8">
        <v>44189</v>
      </c>
      <c r="N2060" s="8">
        <v>44713</v>
      </c>
      <c r="O2060" s="8">
        <v>44712</v>
      </c>
      <c r="P2060" s="6" t="s">
        <v>35</v>
      </c>
      <c r="Q2060" s="96">
        <v>730</v>
      </c>
      <c r="R2060" s="97">
        <f t="shared" si="76"/>
        <v>2</v>
      </c>
      <c r="S2060" s="75">
        <f t="shared" si="77"/>
        <v>16518</v>
      </c>
      <c r="T2060" s="8" t="s">
        <v>6403</v>
      </c>
      <c r="U2060" s="8">
        <v>45100</v>
      </c>
      <c r="V2060" s="6" t="s">
        <v>36</v>
      </c>
      <c r="W2060" s="6" t="s">
        <v>33</v>
      </c>
      <c r="X2060" s="95">
        <v>52036</v>
      </c>
    </row>
    <row r="2061" spans="1:24" x14ac:dyDescent="0.25">
      <c r="A2061" s="6" t="s">
        <v>6057</v>
      </c>
      <c r="B2061" s="94" t="s">
        <v>1239</v>
      </c>
      <c r="C2061" s="6" t="s">
        <v>6404</v>
      </c>
      <c r="D2061" s="140">
        <v>11176210</v>
      </c>
      <c r="E2061" s="6" t="s">
        <v>6405</v>
      </c>
      <c r="F2061" s="10" t="s">
        <v>44</v>
      </c>
      <c r="G2061" s="6" t="s">
        <v>6406</v>
      </c>
      <c r="H2061" s="8">
        <v>47206</v>
      </c>
      <c r="I2061" s="8">
        <v>44208</v>
      </c>
      <c r="J2061" s="8">
        <v>44180</v>
      </c>
      <c r="K2061" s="95">
        <v>44180</v>
      </c>
      <c r="L2061" s="95" t="s">
        <v>31</v>
      </c>
      <c r="M2061" s="8">
        <v>44189</v>
      </c>
      <c r="N2061" s="8">
        <v>44320</v>
      </c>
      <c r="O2061" s="8">
        <v>44298</v>
      </c>
      <c r="P2061" s="6" t="s">
        <v>90</v>
      </c>
      <c r="Q2061" s="96">
        <v>2904</v>
      </c>
      <c r="R2061" s="97">
        <f t="shared" si="76"/>
        <v>7.956164383561644</v>
      </c>
      <c r="S2061" s="75">
        <f t="shared" si="77"/>
        <v>65709.961643835617</v>
      </c>
      <c r="T2061" s="124" t="s">
        <v>6407</v>
      </c>
      <c r="U2061" s="8">
        <v>44320</v>
      </c>
      <c r="V2061" s="6" t="s">
        <v>36</v>
      </c>
      <c r="W2061" s="6" t="s">
        <v>33</v>
      </c>
      <c r="X2061" s="95">
        <v>51432</v>
      </c>
    </row>
    <row r="2062" spans="1:24" x14ac:dyDescent="0.25">
      <c r="A2062" s="6" t="s">
        <v>37</v>
      </c>
      <c r="B2062" s="94" t="s">
        <v>6408</v>
      </c>
      <c r="C2062" s="6" t="s">
        <v>6409</v>
      </c>
      <c r="D2062" s="140">
        <v>11359580</v>
      </c>
      <c r="E2062" s="6" t="s">
        <v>3266</v>
      </c>
      <c r="F2062" s="10" t="s">
        <v>57</v>
      </c>
      <c r="G2062" s="6" t="s">
        <v>6410</v>
      </c>
      <c r="H2062" s="8">
        <v>45413</v>
      </c>
      <c r="I2062" s="8">
        <v>44053</v>
      </c>
      <c r="J2062" s="8">
        <v>44084</v>
      </c>
      <c r="K2062" s="95">
        <v>44088</v>
      </c>
      <c r="L2062" s="95" t="s">
        <v>31</v>
      </c>
      <c r="M2062" s="8">
        <v>44099</v>
      </c>
      <c r="R2062" s="97" t="str">
        <f t="shared" si="76"/>
        <v/>
      </c>
      <c r="S2062" s="75" t="str">
        <f t="shared" si="77"/>
        <v/>
      </c>
      <c r="T2062" s="124" t="s">
        <v>6411</v>
      </c>
      <c r="U2062" s="8">
        <v>44965</v>
      </c>
      <c r="W2062" s="6" t="s">
        <v>33</v>
      </c>
      <c r="X2062" s="135">
        <v>45424</v>
      </c>
    </row>
    <row r="2063" spans="1:24" x14ac:dyDescent="0.25">
      <c r="A2063" s="6" t="s">
        <v>37</v>
      </c>
      <c r="B2063" s="94" t="s">
        <v>6412</v>
      </c>
      <c r="C2063" s="6" t="s">
        <v>6413</v>
      </c>
      <c r="D2063" s="140">
        <v>11573299</v>
      </c>
      <c r="E2063" s="6" t="s">
        <v>2922</v>
      </c>
      <c r="F2063" s="10" t="s">
        <v>44</v>
      </c>
      <c r="G2063" s="6" t="s">
        <v>6414</v>
      </c>
      <c r="H2063" s="8">
        <v>47810</v>
      </c>
      <c r="I2063" s="8">
        <v>44216</v>
      </c>
      <c r="J2063" s="8">
        <v>44224</v>
      </c>
      <c r="K2063" s="95">
        <v>44225</v>
      </c>
      <c r="L2063" s="95" t="s">
        <v>31</v>
      </c>
      <c r="M2063" s="8">
        <v>44230</v>
      </c>
      <c r="N2063" s="108">
        <v>44518</v>
      </c>
      <c r="O2063" s="108">
        <v>44505</v>
      </c>
      <c r="P2063" s="107" t="s">
        <v>90</v>
      </c>
      <c r="Q2063" s="110">
        <v>3359</v>
      </c>
      <c r="R2063" s="97">
        <f t="shared" si="76"/>
        <v>9.2027397260273975</v>
      </c>
      <c r="S2063" s="75">
        <f t="shared" si="77"/>
        <v>76005.427397260282</v>
      </c>
      <c r="U2063" s="8">
        <v>44776</v>
      </c>
      <c r="W2063" s="6" t="s">
        <v>84</v>
      </c>
      <c r="X2063" s="95">
        <v>48750</v>
      </c>
    </row>
    <row r="2064" spans="1:24" x14ac:dyDescent="0.25">
      <c r="A2064" s="6" t="s">
        <v>6057</v>
      </c>
      <c r="B2064" s="94" t="s">
        <v>145</v>
      </c>
      <c r="C2064" s="6" t="s">
        <v>3604</v>
      </c>
      <c r="D2064" s="140">
        <v>11052680</v>
      </c>
      <c r="E2064" s="6" t="s">
        <v>3290</v>
      </c>
      <c r="F2064" s="10" t="s">
        <v>44</v>
      </c>
      <c r="G2064" s="6" t="s">
        <v>3605</v>
      </c>
      <c r="H2064" s="8">
        <v>44933</v>
      </c>
      <c r="I2064" s="8">
        <v>44208</v>
      </c>
      <c r="J2064" s="8">
        <v>44223</v>
      </c>
      <c r="K2064" s="95">
        <v>44224</v>
      </c>
      <c r="L2064" s="95" t="s">
        <v>31</v>
      </c>
      <c r="M2064" s="8">
        <v>44230</v>
      </c>
      <c r="N2064" s="8">
        <v>44410</v>
      </c>
      <c r="O2064" s="8">
        <v>44376</v>
      </c>
      <c r="P2064" s="6" t="s">
        <v>90</v>
      </c>
      <c r="Q2064" s="96">
        <v>541</v>
      </c>
      <c r="R2064" s="97">
        <f t="shared" si="76"/>
        <v>1.4821917808219178</v>
      </c>
      <c r="S2064" s="75">
        <f t="shared" si="77"/>
        <v>12241.42191780822</v>
      </c>
      <c r="T2064" s="124" t="s">
        <v>6415</v>
      </c>
      <c r="U2064" s="8">
        <v>44410</v>
      </c>
      <c r="V2064" s="6" t="s">
        <v>36</v>
      </c>
      <c r="W2064" s="6" t="s">
        <v>33</v>
      </c>
      <c r="X2064" s="95">
        <v>50511</v>
      </c>
    </row>
    <row r="2065" spans="1:24" x14ac:dyDescent="0.25">
      <c r="A2065" s="6" t="s">
        <v>6057</v>
      </c>
      <c r="B2065" s="94" t="s">
        <v>6416</v>
      </c>
      <c r="C2065" s="6" t="s">
        <v>6417</v>
      </c>
      <c r="D2065" s="140">
        <v>11118696</v>
      </c>
      <c r="E2065" s="6" t="s">
        <v>3290</v>
      </c>
      <c r="F2065" s="10" t="s">
        <v>44</v>
      </c>
      <c r="G2065" s="6" t="s">
        <v>6418</v>
      </c>
      <c r="H2065" s="8">
        <v>45112</v>
      </c>
      <c r="I2065" s="8">
        <v>44208</v>
      </c>
      <c r="J2065" s="8">
        <v>44223</v>
      </c>
      <c r="K2065" s="95">
        <v>44224</v>
      </c>
      <c r="L2065" s="95" t="s">
        <v>31</v>
      </c>
      <c r="M2065" s="8">
        <v>44230</v>
      </c>
      <c r="N2065" s="108">
        <v>44397</v>
      </c>
      <c r="O2065" s="108">
        <v>44376</v>
      </c>
      <c r="P2065" s="107" t="s">
        <v>90</v>
      </c>
      <c r="Q2065" s="110">
        <v>807</v>
      </c>
      <c r="R2065" s="97">
        <f t="shared" si="76"/>
        <v>2.2109589041095892</v>
      </c>
      <c r="S2065" s="75">
        <f t="shared" si="77"/>
        <v>18260.309589041095</v>
      </c>
      <c r="T2065" s="124" t="s">
        <v>6419</v>
      </c>
      <c r="U2065" s="8">
        <v>44776</v>
      </c>
      <c r="W2065" s="6" t="s">
        <v>33</v>
      </c>
      <c r="X2065" s="95">
        <v>51041</v>
      </c>
    </row>
    <row r="2066" spans="1:24" x14ac:dyDescent="0.25">
      <c r="A2066" s="6" t="s">
        <v>6057</v>
      </c>
      <c r="B2066" s="94" t="s">
        <v>164</v>
      </c>
      <c r="C2066" s="6" t="s">
        <v>6420</v>
      </c>
      <c r="D2066" s="140">
        <v>11105456</v>
      </c>
      <c r="E2066" s="6" t="s">
        <v>4369</v>
      </c>
      <c r="F2066" s="10" t="s">
        <v>528</v>
      </c>
      <c r="G2066" s="6" t="s">
        <v>6421</v>
      </c>
      <c r="H2066" s="8">
        <v>44675</v>
      </c>
      <c r="I2066" s="8">
        <v>44208</v>
      </c>
      <c r="J2066" s="8">
        <v>44224</v>
      </c>
      <c r="K2066" s="95">
        <v>44225</v>
      </c>
      <c r="L2066" s="95" t="s">
        <v>31</v>
      </c>
      <c r="M2066" s="8">
        <v>44230</v>
      </c>
      <c r="N2066" s="8">
        <v>44517</v>
      </c>
      <c r="O2066" s="8">
        <v>44509</v>
      </c>
      <c r="P2066" s="6" t="s">
        <v>75</v>
      </c>
      <c r="R2066" s="97" t="str">
        <f t="shared" si="76"/>
        <v/>
      </c>
      <c r="S2066" s="75" t="str">
        <f t="shared" si="77"/>
        <v/>
      </c>
      <c r="U2066" s="8">
        <v>44519</v>
      </c>
      <c r="W2066" s="6" t="s">
        <v>33</v>
      </c>
      <c r="X2066" s="95">
        <v>47058</v>
      </c>
    </row>
    <row r="2067" spans="1:24" x14ac:dyDescent="0.25">
      <c r="A2067" s="6" t="s">
        <v>6057</v>
      </c>
      <c r="B2067" s="94" t="s">
        <v>1094</v>
      </c>
      <c r="C2067" s="6" t="s">
        <v>3619</v>
      </c>
      <c r="D2067" s="140">
        <v>11066732</v>
      </c>
      <c r="E2067" s="6" t="s">
        <v>6422</v>
      </c>
      <c r="F2067" s="10" t="s">
        <v>121</v>
      </c>
      <c r="G2067" s="6" t="s">
        <v>3620</v>
      </c>
      <c r="H2067" s="8">
        <v>46174</v>
      </c>
      <c r="I2067" s="8">
        <v>44224</v>
      </c>
      <c r="J2067" s="8">
        <v>44224</v>
      </c>
      <c r="K2067" s="95">
        <v>44225</v>
      </c>
      <c r="L2067" s="95" t="s">
        <v>31</v>
      </c>
      <c r="M2067" s="8">
        <v>44230</v>
      </c>
      <c r="N2067" s="108">
        <v>44434</v>
      </c>
      <c r="O2067" s="108">
        <v>44341</v>
      </c>
      <c r="P2067" s="107" t="s">
        <v>52</v>
      </c>
      <c r="Q2067" s="110"/>
      <c r="R2067" s="97" t="str">
        <f t="shared" si="76"/>
        <v/>
      </c>
      <c r="S2067" s="75" t="str">
        <f t="shared" si="77"/>
        <v/>
      </c>
      <c r="U2067" s="8">
        <v>44776</v>
      </c>
      <c r="W2067" s="6" t="s">
        <v>33</v>
      </c>
      <c r="X2067" s="95">
        <v>49416</v>
      </c>
    </row>
    <row r="2068" spans="1:24" x14ac:dyDescent="0.25">
      <c r="A2068" s="6" t="s">
        <v>6057</v>
      </c>
      <c r="B2068" s="94" t="s">
        <v>4280</v>
      </c>
      <c r="C2068" s="6" t="s">
        <v>6423</v>
      </c>
      <c r="D2068" s="140">
        <v>11238897</v>
      </c>
      <c r="E2068" s="6" t="s">
        <v>6205</v>
      </c>
      <c r="F2068" s="10" t="s">
        <v>121</v>
      </c>
      <c r="G2068" s="6" t="s">
        <v>6424</v>
      </c>
      <c r="H2068" s="8">
        <v>46761</v>
      </c>
      <c r="I2068" s="8">
        <v>44223</v>
      </c>
      <c r="J2068" s="8">
        <v>44224</v>
      </c>
      <c r="K2068" s="95">
        <v>44225</v>
      </c>
      <c r="L2068" s="95" t="s">
        <v>31</v>
      </c>
      <c r="M2068" s="8">
        <v>44230</v>
      </c>
      <c r="R2068" s="97" t="str">
        <f t="shared" si="76"/>
        <v/>
      </c>
      <c r="S2068" s="75" t="str">
        <f t="shared" si="77"/>
        <v/>
      </c>
      <c r="W2068" s="6" t="s">
        <v>33</v>
      </c>
      <c r="X2068" s="95">
        <v>47229</v>
      </c>
    </row>
    <row r="2069" spans="1:24" x14ac:dyDescent="0.25">
      <c r="A2069" s="6" t="s">
        <v>6057</v>
      </c>
      <c r="B2069" s="94" t="s">
        <v>6425</v>
      </c>
      <c r="C2069" s="6" t="s">
        <v>6426</v>
      </c>
      <c r="D2069" s="140">
        <v>11189858</v>
      </c>
      <c r="E2069" s="6" t="s">
        <v>362</v>
      </c>
      <c r="F2069" s="10" t="s">
        <v>62</v>
      </c>
      <c r="G2069" s="6" t="s">
        <v>6427</v>
      </c>
      <c r="H2069" s="8">
        <v>48409</v>
      </c>
      <c r="I2069" s="8">
        <v>44224</v>
      </c>
      <c r="J2069" s="8">
        <v>44225</v>
      </c>
      <c r="K2069" s="95">
        <v>44225</v>
      </c>
      <c r="L2069" s="95" t="s">
        <v>31</v>
      </c>
      <c r="M2069" s="8">
        <v>44230</v>
      </c>
      <c r="R2069" s="97" t="str">
        <f t="shared" si="76"/>
        <v/>
      </c>
      <c r="S2069" s="75" t="str">
        <f t="shared" si="77"/>
        <v/>
      </c>
      <c r="T2069" s="129" t="s">
        <v>6428</v>
      </c>
      <c r="U2069" s="8">
        <v>44783</v>
      </c>
      <c r="W2069" s="6" t="s">
        <v>33</v>
      </c>
      <c r="X2069" s="95">
        <v>50299</v>
      </c>
    </row>
    <row r="2070" spans="1:24" x14ac:dyDescent="0.25">
      <c r="A2070" s="6" t="s">
        <v>168</v>
      </c>
      <c r="B2070" s="94" t="s">
        <v>6429</v>
      </c>
      <c r="C2070" s="6" t="s">
        <v>6430</v>
      </c>
      <c r="D2070" s="140">
        <v>11969546</v>
      </c>
      <c r="E2070" s="6" t="s">
        <v>4044</v>
      </c>
      <c r="F2070" s="10" t="s">
        <v>299</v>
      </c>
      <c r="G2070" s="6" t="s">
        <v>6431</v>
      </c>
      <c r="H2070" s="8">
        <v>46404</v>
      </c>
      <c r="I2070" s="8">
        <v>44343</v>
      </c>
      <c r="J2070" s="8">
        <v>44355</v>
      </c>
      <c r="K2070" s="95">
        <v>44357</v>
      </c>
      <c r="L2070" s="95" t="s">
        <v>359</v>
      </c>
      <c r="R2070" s="97" t="str">
        <f t="shared" si="76"/>
        <v/>
      </c>
      <c r="S2070" s="75" t="str">
        <f t="shared" si="77"/>
        <v/>
      </c>
      <c r="W2070" s="6" t="s">
        <v>84</v>
      </c>
      <c r="X2070" s="7">
        <v>46546</v>
      </c>
    </row>
    <row r="2071" spans="1:24" x14ac:dyDescent="0.25">
      <c r="A2071" s="6" t="s">
        <v>37</v>
      </c>
      <c r="B2071" s="94" t="s">
        <v>5111</v>
      </c>
      <c r="C2071" s="6" t="s">
        <v>6432</v>
      </c>
      <c r="D2071" s="140">
        <v>11991988</v>
      </c>
      <c r="E2071" s="6" t="s">
        <v>6433</v>
      </c>
      <c r="F2071" s="10" t="s">
        <v>44</v>
      </c>
      <c r="G2071" s="6" t="s">
        <v>6434</v>
      </c>
      <c r="H2071" s="8">
        <v>54536</v>
      </c>
      <c r="I2071" s="8">
        <v>43789</v>
      </c>
      <c r="J2071" s="8">
        <v>43810</v>
      </c>
      <c r="K2071" s="95">
        <v>43810</v>
      </c>
      <c r="L2071" s="95" t="s">
        <v>31</v>
      </c>
      <c r="M2071" s="8">
        <v>43818</v>
      </c>
      <c r="N2071" s="8">
        <v>44267</v>
      </c>
      <c r="O2071" s="8">
        <v>44203</v>
      </c>
      <c r="P2071" s="6" t="s">
        <v>90</v>
      </c>
      <c r="Q2071" s="96">
        <v>10326</v>
      </c>
      <c r="R2071" s="97">
        <f t="shared" si="76"/>
        <v>28.290410958904111</v>
      </c>
      <c r="S2071" s="75">
        <f t="shared" si="77"/>
        <v>233650.50410958903</v>
      </c>
      <c r="T2071" s="124" t="s">
        <v>5014</v>
      </c>
      <c r="U2071" s="8">
        <v>44267</v>
      </c>
      <c r="V2071" s="6" t="s">
        <v>36</v>
      </c>
      <c r="W2071" s="6" t="s">
        <v>33</v>
      </c>
      <c r="X2071" s="95">
        <v>42863</v>
      </c>
    </row>
    <row r="2072" spans="1:24" x14ac:dyDescent="0.25">
      <c r="A2072" s="6" t="s">
        <v>168</v>
      </c>
      <c r="B2072" s="94" t="s">
        <v>6435</v>
      </c>
      <c r="C2072" s="6" t="s">
        <v>6436</v>
      </c>
      <c r="D2072" s="140">
        <v>11972282</v>
      </c>
      <c r="E2072" s="6" t="s">
        <v>4044</v>
      </c>
      <c r="F2072" s="10" t="s">
        <v>29</v>
      </c>
      <c r="G2072" s="6" t="s">
        <v>6437</v>
      </c>
      <c r="H2072" s="8">
        <v>45859</v>
      </c>
      <c r="I2072" s="8">
        <v>44083</v>
      </c>
      <c r="J2072" s="8">
        <v>44142</v>
      </c>
      <c r="K2072" s="95">
        <v>44148</v>
      </c>
      <c r="L2072" s="95" t="s">
        <v>31</v>
      </c>
      <c r="M2072" s="8">
        <v>44159</v>
      </c>
      <c r="N2072" s="8">
        <v>44433</v>
      </c>
      <c r="O2072" s="8">
        <v>44418</v>
      </c>
      <c r="P2072" s="6" t="s">
        <v>35</v>
      </c>
      <c r="Q2072" s="96">
        <v>19</v>
      </c>
      <c r="R2072" s="97">
        <f t="shared" si="76"/>
        <v>5.2054794520547946E-2</v>
      </c>
      <c r="S2072" s="75">
        <f t="shared" si="77"/>
        <v>429.9205479452055</v>
      </c>
      <c r="U2072" s="8">
        <v>44434</v>
      </c>
      <c r="W2072" s="6" t="s">
        <v>84</v>
      </c>
      <c r="X2072" s="135">
        <v>49490</v>
      </c>
    </row>
    <row r="2073" spans="1:24" s="112" customFormat="1" ht="45" x14ac:dyDescent="0.25">
      <c r="A2073" s="107" t="s">
        <v>6057</v>
      </c>
      <c r="B2073" s="106" t="s">
        <v>2701</v>
      </c>
      <c r="C2073" s="107" t="s">
        <v>6438</v>
      </c>
      <c r="D2073" s="142">
        <v>11089046</v>
      </c>
      <c r="E2073" s="107" t="s">
        <v>2502</v>
      </c>
      <c r="F2073" s="56" t="s">
        <v>205</v>
      </c>
      <c r="G2073" s="107" t="s">
        <v>6439</v>
      </c>
      <c r="H2073" s="108">
        <v>49884</v>
      </c>
      <c r="I2073" s="108">
        <v>44180</v>
      </c>
      <c r="J2073" s="108">
        <v>44182</v>
      </c>
      <c r="K2073" s="95">
        <v>44238</v>
      </c>
      <c r="L2073" s="95" t="s">
        <v>31</v>
      </c>
      <c r="M2073" s="108">
        <v>44244</v>
      </c>
      <c r="N2073" s="108">
        <v>44483</v>
      </c>
      <c r="O2073" s="108">
        <v>44278</v>
      </c>
      <c r="P2073" s="107" t="s">
        <v>52</v>
      </c>
      <c r="Q2073" s="110"/>
      <c r="R2073" s="97" t="str">
        <f t="shared" si="76"/>
        <v/>
      </c>
      <c r="S2073" s="75" t="str">
        <f t="shared" si="77"/>
        <v/>
      </c>
      <c r="T2073" s="129" t="s">
        <v>6440</v>
      </c>
      <c r="U2073" s="108">
        <v>44484</v>
      </c>
      <c r="V2073" s="107"/>
      <c r="W2073" s="107" t="s">
        <v>33</v>
      </c>
      <c r="X2073" s="55">
        <v>50298</v>
      </c>
    </row>
    <row r="2074" spans="1:24" ht="30" x14ac:dyDescent="0.25">
      <c r="A2074" s="6" t="s">
        <v>6057</v>
      </c>
      <c r="B2074" s="94" t="s">
        <v>6441</v>
      </c>
      <c r="C2074" s="6" t="s">
        <v>6442</v>
      </c>
      <c r="D2074" s="140">
        <v>11500247</v>
      </c>
      <c r="E2074" s="6" t="s">
        <v>6361</v>
      </c>
      <c r="F2074" s="10" t="s">
        <v>44</v>
      </c>
      <c r="G2074" s="6" t="s">
        <v>6443</v>
      </c>
      <c r="H2074" s="8">
        <v>47726</v>
      </c>
      <c r="I2074" s="8">
        <v>44214</v>
      </c>
      <c r="J2074" s="8">
        <v>44216</v>
      </c>
      <c r="K2074" s="95">
        <v>44223</v>
      </c>
      <c r="L2074" s="95" t="s">
        <v>31</v>
      </c>
      <c r="M2074" s="8">
        <v>44225</v>
      </c>
      <c r="N2074" s="8">
        <v>44302</v>
      </c>
      <c r="O2074" s="8">
        <v>44292</v>
      </c>
      <c r="P2074" s="6" t="s">
        <v>90</v>
      </c>
      <c r="Q2074" s="96">
        <v>3418</v>
      </c>
      <c r="R2074" s="97">
        <f t="shared" si="76"/>
        <v>9.3643835616438356</v>
      </c>
      <c r="S2074" s="75">
        <f t="shared" si="77"/>
        <v>77340.443835616446</v>
      </c>
      <c r="T2074" s="124" t="s">
        <v>6444</v>
      </c>
      <c r="U2074" s="8">
        <v>44302</v>
      </c>
      <c r="V2074" s="6" t="s">
        <v>581</v>
      </c>
      <c r="W2074" s="6" t="s">
        <v>33</v>
      </c>
      <c r="X2074" s="7">
        <v>48170</v>
      </c>
    </row>
    <row r="2075" spans="1:24" x14ac:dyDescent="0.25">
      <c r="A2075" s="6" t="s">
        <v>6057</v>
      </c>
      <c r="B2075" s="94" t="s">
        <v>6445</v>
      </c>
      <c r="C2075" s="6" t="s">
        <v>6446</v>
      </c>
      <c r="D2075" s="140">
        <v>11132068</v>
      </c>
      <c r="E2075" s="6" t="s">
        <v>5580</v>
      </c>
      <c r="F2075" s="10" t="s">
        <v>44</v>
      </c>
      <c r="G2075" s="6" t="s">
        <v>6447</v>
      </c>
      <c r="H2075" s="8">
        <v>45903</v>
      </c>
      <c r="I2075" s="8">
        <v>44180</v>
      </c>
      <c r="J2075" s="8">
        <v>44183</v>
      </c>
      <c r="K2075" s="95">
        <v>44238</v>
      </c>
      <c r="L2075" s="95" t="s">
        <v>31</v>
      </c>
      <c r="M2075" s="8">
        <v>44244</v>
      </c>
      <c r="N2075" s="8">
        <v>44442</v>
      </c>
      <c r="O2075" s="8">
        <v>44440</v>
      </c>
      <c r="P2075" s="6" t="s">
        <v>35</v>
      </c>
      <c r="Q2075" s="96">
        <v>1418</v>
      </c>
      <c r="R2075" s="97">
        <f t="shared" si="76"/>
        <v>3.8849315068493149</v>
      </c>
      <c r="S2075" s="75">
        <f t="shared" si="77"/>
        <v>32085.649315068495</v>
      </c>
      <c r="U2075" s="8">
        <v>44442</v>
      </c>
      <c r="W2075" s="6" t="s">
        <v>33</v>
      </c>
      <c r="X2075" s="7">
        <v>51396</v>
      </c>
    </row>
    <row r="2076" spans="1:24" x14ac:dyDescent="0.25">
      <c r="A2076" s="6" t="s">
        <v>6057</v>
      </c>
      <c r="B2076" s="94" t="s">
        <v>3305</v>
      </c>
      <c r="C2076" s="6" t="s">
        <v>6448</v>
      </c>
      <c r="D2076" s="140">
        <v>11776470</v>
      </c>
      <c r="E2076" s="6" t="s">
        <v>2146</v>
      </c>
      <c r="F2076" s="10" t="s">
        <v>134</v>
      </c>
      <c r="G2076" s="6" t="s">
        <v>6449</v>
      </c>
      <c r="H2076" s="8">
        <v>52339</v>
      </c>
      <c r="I2076" s="8">
        <v>44180</v>
      </c>
      <c r="J2076" s="8">
        <v>44183</v>
      </c>
      <c r="K2076" s="95">
        <v>44238</v>
      </c>
      <c r="L2076" s="95" t="s">
        <v>31</v>
      </c>
      <c r="M2076" s="8">
        <v>44244</v>
      </c>
      <c r="N2076" s="8">
        <v>44834</v>
      </c>
      <c r="O2076" s="8">
        <v>44833</v>
      </c>
      <c r="P2076" s="6" t="s">
        <v>75</v>
      </c>
      <c r="R2076" s="97" t="str">
        <f t="shared" si="76"/>
        <v/>
      </c>
      <c r="S2076" s="75" t="str">
        <f t="shared" si="77"/>
        <v/>
      </c>
      <c r="T2076" s="124" t="s">
        <v>4881</v>
      </c>
      <c r="U2076" s="8">
        <v>45100</v>
      </c>
      <c r="W2076" s="6" t="s">
        <v>33</v>
      </c>
      <c r="X2076" s="7">
        <v>44039</v>
      </c>
    </row>
    <row r="2077" spans="1:24" x14ac:dyDescent="0.25">
      <c r="A2077" s="6" t="s">
        <v>6057</v>
      </c>
      <c r="B2077" s="94" t="s">
        <v>6450</v>
      </c>
      <c r="C2077" s="6" t="s">
        <v>6451</v>
      </c>
      <c r="D2077" s="140">
        <v>11742167</v>
      </c>
      <c r="E2077" s="6" t="s">
        <v>6452</v>
      </c>
      <c r="F2077" s="10" t="s">
        <v>44</v>
      </c>
      <c r="G2077" s="6" t="s">
        <v>6453</v>
      </c>
      <c r="H2077" s="8">
        <v>45909</v>
      </c>
      <c r="I2077" s="8">
        <v>44180</v>
      </c>
      <c r="J2077" s="8">
        <v>44183</v>
      </c>
      <c r="K2077" s="95">
        <v>44238</v>
      </c>
      <c r="L2077" s="95" t="s">
        <v>31</v>
      </c>
      <c r="M2077" s="8">
        <v>44244</v>
      </c>
      <c r="R2077" s="97" t="str">
        <f t="shared" si="76"/>
        <v/>
      </c>
      <c r="S2077" s="75" t="str">
        <f t="shared" si="77"/>
        <v/>
      </c>
      <c r="T2077" s="129" t="s">
        <v>6454</v>
      </c>
      <c r="U2077" s="8">
        <v>44783</v>
      </c>
      <c r="W2077" s="6" t="s">
        <v>33</v>
      </c>
      <c r="X2077" s="7">
        <v>44475</v>
      </c>
    </row>
    <row r="2078" spans="1:24" x14ac:dyDescent="0.25">
      <c r="A2078" s="6" t="s">
        <v>6057</v>
      </c>
      <c r="B2078" s="94" t="s">
        <v>6455</v>
      </c>
      <c r="C2078" s="6" t="s">
        <v>6456</v>
      </c>
      <c r="D2078" s="140">
        <v>11663356</v>
      </c>
      <c r="E2078" s="6" t="s">
        <v>6457</v>
      </c>
      <c r="F2078" s="10" t="s">
        <v>293</v>
      </c>
      <c r="G2078" s="6" t="s">
        <v>6458</v>
      </c>
      <c r="H2078" s="8">
        <v>47758</v>
      </c>
      <c r="I2078" s="8">
        <v>44224</v>
      </c>
      <c r="J2078" s="8">
        <v>44229</v>
      </c>
      <c r="K2078" s="95">
        <v>44228</v>
      </c>
      <c r="L2078" s="95" t="s">
        <v>31</v>
      </c>
      <c r="M2078" s="8">
        <v>44244</v>
      </c>
      <c r="N2078" s="108">
        <v>44615</v>
      </c>
      <c r="O2078" s="108">
        <v>44607</v>
      </c>
      <c r="P2078" s="107" t="s">
        <v>35</v>
      </c>
      <c r="Q2078" s="110">
        <v>1271</v>
      </c>
      <c r="R2078" s="97">
        <f t="shared" si="76"/>
        <v>3.4821917808219176</v>
      </c>
      <c r="S2078" s="75">
        <f t="shared" si="77"/>
        <v>28759.42191780822</v>
      </c>
      <c r="U2078" s="8">
        <v>44776</v>
      </c>
      <c r="W2078" s="6" t="s">
        <v>33</v>
      </c>
      <c r="X2078" s="7">
        <v>48374</v>
      </c>
    </row>
    <row r="2079" spans="1:24" x14ac:dyDescent="0.25">
      <c r="A2079" s="6" t="s">
        <v>6057</v>
      </c>
      <c r="B2079" s="94" t="s">
        <v>6459</v>
      </c>
      <c r="C2079" s="6" t="s">
        <v>6460</v>
      </c>
      <c r="D2079" s="140">
        <v>11243825</v>
      </c>
      <c r="E2079" s="6" t="s">
        <v>5343</v>
      </c>
      <c r="F2079" s="10" t="s">
        <v>57</v>
      </c>
      <c r="G2079" s="6" t="s">
        <v>6461</v>
      </c>
      <c r="H2079" s="8">
        <v>48283</v>
      </c>
      <c r="I2079" s="8">
        <v>44222</v>
      </c>
      <c r="J2079" s="8">
        <v>44223</v>
      </c>
      <c r="K2079" s="95">
        <v>44225</v>
      </c>
      <c r="L2079" s="95" t="s">
        <v>359</v>
      </c>
      <c r="R2079" s="97" t="str">
        <f t="shared" si="76"/>
        <v/>
      </c>
      <c r="S2079" s="75" t="str">
        <f t="shared" si="77"/>
        <v/>
      </c>
      <c r="W2079" s="6" t="s">
        <v>33</v>
      </c>
      <c r="X2079" s="7">
        <v>49292</v>
      </c>
    </row>
    <row r="2080" spans="1:24" x14ac:dyDescent="0.25">
      <c r="A2080" s="6" t="s">
        <v>6057</v>
      </c>
      <c r="B2080" s="94" t="s">
        <v>590</v>
      </c>
      <c r="C2080" s="6" t="s">
        <v>4394</v>
      </c>
      <c r="D2080" s="140">
        <v>11205948</v>
      </c>
      <c r="E2080" s="6" t="s">
        <v>2206</v>
      </c>
      <c r="F2080" s="10" t="s">
        <v>29</v>
      </c>
      <c r="G2080" s="6" t="s">
        <v>4395</v>
      </c>
      <c r="H2080" s="8">
        <v>44607</v>
      </c>
      <c r="I2080" s="8">
        <v>44222</v>
      </c>
      <c r="J2080" s="8">
        <v>44225</v>
      </c>
      <c r="K2080" s="95">
        <v>44238</v>
      </c>
      <c r="L2080" s="95" t="s">
        <v>31</v>
      </c>
      <c r="M2080" s="8">
        <v>44246</v>
      </c>
      <c r="N2080" s="108">
        <v>44383</v>
      </c>
      <c r="O2080" s="108">
        <v>44376</v>
      </c>
      <c r="P2080" s="107" t="s">
        <v>52</v>
      </c>
      <c r="Q2080" s="110"/>
      <c r="R2080" s="97" t="str">
        <f t="shared" si="76"/>
        <v/>
      </c>
      <c r="S2080" s="75" t="str">
        <f t="shared" si="77"/>
        <v/>
      </c>
      <c r="T2080" s="129" t="s">
        <v>6462</v>
      </c>
      <c r="U2080" s="8">
        <v>44776</v>
      </c>
      <c r="W2080" s="6" t="s">
        <v>33</v>
      </c>
      <c r="X2080" s="7">
        <v>49229</v>
      </c>
    </row>
    <row r="2081" spans="1:24" x14ac:dyDescent="0.25">
      <c r="A2081" s="6" t="s">
        <v>6057</v>
      </c>
      <c r="B2081" s="94" t="s">
        <v>6463</v>
      </c>
      <c r="C2081" s="6" t="s">
        <v>6464</v>
      </c>
      <c r="D2081" s="140">
        <v>11144725</v>
      </c>
      <c r="E2081" s="6" t="s">
        <v>3319</v>
      </c>
      <c r="F2081" s="10" t="s">
        <v>29</v>
      </c>
      <c r="G2081" s="6" t="s">
        <v>6465</v>
      </c>
      <c r="H2081" s="8">
        <v>44729</v>
      </c>
      <c r="I2081" s="8">
        <v>44222</v>
      </c>
      <c r="J2081" s="8">
        <v>44225</v>
      </c>
      <c r="K2081" s="95">
        <v>44238</v>
      </c>
      <c r="L2081" s="95" t="s">
        <v>31</v>
      </c>
      <c r="M2081" s="8">
        <v>44244</v>
      </c>
      <c r="R2081" s="97" t="str">
        <f t="shared" si="76"/>
        <v/>
      </c>
      <c r="S2081" s="75" t="str">
        <f t="shared" si="77"/>
        <v/>
      </c>
      <c r="T2081" s="129" t="s">
        <v>6466</v>
      </c>
      <c r="U2081" s="8">
        <v>44783</v>
      </c>
      <c r="W2081" s="6" t="s">
        <v>33</v>
      </c>
      <c r="X2081" s="7">
        <v>45595</v>
      </c>
    </row>
    <row r="2082" spans="1:24" x14ac:dyDescent="0.25">
      <c r="A2082" s="6" t="s">
        <v>6057</v>
      </c>
      <c r="B2082" s="94" t="s">
        <v>4893</v>
      </c>
      <c r="C2082" s="6" t="s">
        <v>4894</v>
      </c>
      <c r="D2082" s="140">
        <v>11935553</v>
      </c>
      <c r="E2082" s="6" t="s">
        <v>5655</v>
      </c>
      <c r="F2082" s="10" t="s">
        <v>134</v>
      </c>
      <c r="G2082" s="6" t="s">
        <v>6467</v>
      </c>
      <c r="H2082" s="8">
        <v>45856</v>
      </c>
      <c r="I2082" s="8">
        <v>44222</v>
      </c>
      <c r="J2082" s="8">
        <v>44225</v>
      </c>
      <c r="K2082" s="95">
        <v>44238</v>
      </c>
      <c r="L2082" s="95" t="s">
        <v>31</v>
      </c>
      <c r="M2082" s="8">
        <v>44246</v>
      </c>
      <c r="N2082" s="8">
        <v>44350</v>
      </c>
      <c r="O2082" s="8">
        <v>44330</v>
      </c>
      <c r="P2082" s="6" t="s">
        <v>75</v>
      </c>
      <c r="R2082" s="97" t="str">
        <f t="shared" si="76"/>
        <v/>
      </c>
      <c r="S2082" s="75" t="str">
        <f t="shared" si="77"/>
        <v/>
      </c>
      <c r="U2082" s="8">
        <v>44354</v>
      </c>
      <c r="W2082" s="6" t="s">
        <v>33</v>
      </c>
      <c r="X2082" s="7">
        <v>49375</v>
      </c>
    </row>
    <row r="2083" spans="1:24" x14ac:dyDescent="0.25">
      <c r="A2083" s="6" t="s">
        <v>6057</v>
      </c>
      <c r="B2083" s="94" t="s">
        <v>6468</v>
      </c>
      <c r="C2083" s="6" t="s">
        <v>6469</v>
      </c>
      <c r="D2083" s="140">
        <v>11143602</v>
      </c>
      <c r="E2083" s="6" t="s">
        <v>6470</v>
      </c>
      <c r="F2083" s="10" t="s">
        <v>437</v>
      </c>
      <c r="G2083" s="6" t="s">
        <v>6471</v>
      </c>
      <c r="H2083" s="8">
        <v>46929</v>
      </c>
      <c r="I2083" s="8">
        <v>44222</v>
      </c>
      <c r="J2083" s="8">
        <v>44225</v>
      </c>
      <c r="K2083" s="95">
        <v>44238</v>
      </c>
      <c r="L2083" s="95" t="s">
        <v>31</v>
      </c>
      <c r="M2083" s="8">
        <v>44244</v>
      </c>
      <c r="N2083" s="8">
        <v>44782</v>
      </c>
      <c r="O2083" s="8">
        <v>44781</v>
      </c>
      <c r="P2083" s="6" t="s">
        <v>35</v>
      </c>
      <c r="Q2083" s="96">
        <v>1696</v>
      </c>
      <c r="R2083" s="97">
        <f t="shared" si="76"/>
        <v>4.646575342465753</v>
      </c>
      <c r="S2083" s="75">
        <f t="shared" si="77"/>
        <v>38376.065753424657</v>
      </c>
      <c r="T2083" s="8">
        <v>44496</v>
      </c>
      <c r="U2083" s="8">
        <v>44782</v>
      </c>
      <c r="W2083" s="6" t="s">
        <v>33</v>
      </c>
      <c r="X2083" s="7">
        <v>49587</v>
      </c>
    </row>
    <row r="2084" spans="1:24" x14ac:dyDescent="0.25">
      <c r="A2084" s="6" t="s">
        <v>6057</v>
      </c>
      <c r="B2084" s="94" t="s">
        <v>6472</v>
      </c>
      <c r="C2084" s="6" t="s">
        <v>5675</v>
      </c>
      <c r="D2084" s="140">
        <v>11094951</v>
      </c>
      <c r="E2084" s="6" t="s">
        <v>3008</v>
      </c>
      <c r="F2084" s="10" t="s">
        <v>44</v>
      </c>
      <c r="G2084" s="6" t="s">
        <v>5676</v>
      </c>
      <c r="H2084" s="8">
        <v>44760</v>
      </c>
      <c r="I2084" s="8">
        <v>44180</v>
      </c>
      <c r="J2084" s="8">
        <v>44187</v>
      </c>
      <c r="K2084" s="95">
        <v>44189</v>
      </c>
      <c r="L2084" s="95" t="s">
        <v>31</v>
      </c>
      <c r="M2084" s="8">
        <v>44195</v>
      </c>
      <c r="N2084" s="8">
        <v>44302</v>
      </c>
      <c r="O2084" s="8">
        <v>44293</v>
      </c>
      <c r="P2084" s="6" t="s">
        <v>90</v>
      </c>
      <c r="Q2084" s="96">
        <v>455</v>
      </c>
      <c r="R2084" s="97">
        <f t="shared" si="76"/>
        <v>1.2465753424657535</v>
      </c>
      <c r="S2084" s="75">
        <f t="shared" si="77"/>
        <v>10295.465753424658</v>
      </c>
      <c r="T2084" s="124" t="s">
        <v>6473</v>
      </c>
      <c r="U2084" s="8">
        <v>44302</v>
      </c>
      <c r="V2084" s="6" t="s">
        <v>36</v>
      </c>
      <c r="W2084" s="6" t="s">
        <v>33</v>
      </c>
      <c r="X2084" s="7">
        <v>50370</v>
      </c>
    </row>
    <row r="2085" spans="1:24" x14ac:dyDescent="0.25">
      <c r="A2085" s="6" t="s">
        <v>6057</v>
      </c>
      <c r="B2085" s="94" t="s">
        <v>86</v>
      </c>
      <c r="C2085" s="6" t="s">
        <v>6474</v>
      </c>
      <c r="D2085" s="140">
        <v>11094398</v>
      </c>
      <c r="E2085" s="6" t="s">
        <v>2206</v>
      </c>
      <c r="F2085" s="10" t="s">
        <v>29</v>
      </c>
      <c r="G2085" s="6" t="s">
        <v>6475</v>
      </c>
      <c r="H2085" s="8">
        <v>45992</v>
      </c>
      <c r="I2085" s="8">
        <v>44222</v>
      </c>
      <c r="J2085" s="8">
        <v>44225</v>
      </c>
      <c r="K2085" s="95">
        <v>44238</v>
      </c>
      <c r="L2085" s="95" t="s">
        <v>31</v>
      </c>
      <c r="M2085" s="8">
        <v>44244</v>
      </c>
      <c r="N2085" s="8">
        <v>44320</v>
      </c>
      <c r="O2085" s="8">
        <v>44288</v>
      </c>
      <c r="P2085" s="6" t="s">
        <v>35</v>
      </c>
      <c r="Q2085" s="96">
        <v>1168</v>
      </c>
      <c r="R2085" s="97">
        <f t="shared" si="76"/>
        <v>3.2</v>
      </c>
      <c r="S2085" s="75">
        <f t="shared" si="77"/>
        <v>26428.799999999999</v>
      </c>
      <c r="U2085" s="8">
        <v>44320</v>
      </c>
      <c r="W2085" s="6" t="s">
        <v>33</v>
      </c>
      <c r="X2085" s="7">
        <v>49473</v>
      </c>
    </row>
    <row r="2086" spans="1:24" x14ac:dyDescent="0.25">
      <c r="A2086" s="6" t="s">
        <v>6057</v>
      </c>
      <c r="B2086" s="94" t="s">
        <v>635</v>
      </c>
      <c r="C2086" s="6" t="s">
        <v>4843</v>
      </c>
      <c r="D2086" s="140">
        <v>11510626</v>
      </c>
      <c r="E2086" s="6" t="s">
        <v>6476</v>
      </c>
      <c r="F2086" s="10" t="s">
        <v>44</v>
      </c>
      <c r="G2086" s="6" t="s">
        <v>4844</v>
      </c>
      <c r="H2086" s="8">
        <v>44979</v>
      </c>
      <c r="I2086" s="8">
        <v>44222</v>
      </c>
      <c r="J2086" s="8">
        <v>44236</v>
      </c>
      <c r="K2086" s="95">
        <v>44238</v>
      </c>
      <c r="L2086" s="95" t="s">
        <v>31</v>
      </c>
      <c r="M2086" s="8">
        <v>44244</v>
      </c>
      <c r="N2086" s="8">
        <v>44363</v>
      </c>
      <c r="O2086" s="8">
        <v>44354</v>
      </c>
      <c r="P2086" s="6" t="s">
        <v>90</v>
      </c>
      <c r="Q2086" s="96">
        <v>615</v>
      </c>
      <c r="R2086" s="97">
        <f t="shared" si="76"/>
        <v>1.6849315068493151</v>
      </c>
      <c r="S2086" s="75">
        <f t="shared" si="77"/>
        <v>13915.849315068494</v>
      </c>
      <c r="T2086" s="124" t="s">
        <v>6477</v>
      </c>
      <c r="U2086" s="8">
        <v>44378</v>
      </c>
      <c r="V2086" s="6" t="s">
        <v>36</v>
      </c>
      <c r="W2086" s="6" t="s">
        <v>33</v>
      </c>
      <c r="X2086" s="7">
        <v>50515</v>
      </c>
    </row>
    <row r="2087" spans="1:24" x14ac:dyDescent="0.25">
      <c r="A2087" s="6" t="s">
        <v>6057</v>
      </c>
      <c r="B2087" s="94" t="s">
        <v>6478</v>
      </c>
      <c r="C2087" s="6" t="s">
        <v>6479</v>
      </c>
      <c r="D2087" s="140">
        <v>11873801</v>
      </c>
      <c r="E2087" s="6" t="s">
        <v>4369</v>
      </c>
      <c r="F2087" s="10" t="s">
        <v>100</v>
      </c>
      <c r="G2087" s="6">
        <v>112230</v>
      </c>
      <c r="H2087" s="8">
        <v>45584</v>
      </c>
      <c r="I2087" s="8">
        <v>44222</v>
      </c>
      <c r="J2087" s="8">
        <v>44228</v>
      </c>
      <c r="K2087" s="95">
        <v>44238</v>
      </c>
      <c r="L2087" s="95" t="s">
        <v>31</v>
      </c>
      <c r="M2087" s="8">
        <v>44244</v>
      </c>
      <c r="N2087" s="8">
        <v>44466</v>
      </c>
      <c r="O2087" s="8">
        <v>44452</v>
      </c>
      <c r="P2087" s="6" t="s">
        <v>90</v>
      </c>
      <c r="Q2087" s="96">
        <v>1117</v>
      </c>
      <c r="R2087" s="97">
        <f t="shared" si="76"/>
        <v>3.0602739726027397</v>
      </c>
      <c r="S2087" s="75">
        <f t="shared" si="77"/>
        <v>25274.802739726027</v>
      </c>
      <c r="T2087" s="124" t="s">
        <v>6480</v>
      </c>
      <c r="U2087" s="8">
        <v>44466</v>
      </c>
      <c r="V2087" s="6" t="s">
        <v>36</v>
      </c>
      <c r="W2087" s="6" t="s">
        <v>33</v>
      </c>
      <c r="X2087" s="7">
        <v>50305</v>
      </c>
    </row>
    <row r="2088" spans="1:24" x14ac:dyDescent="0.25">
      <c r="A2088" s="6" t="s">
        <v>6057</v>
      </c>
      <c r="B2088" s="94" t="s">
        <v>1239</v>
      </c>
      <c r="C2088" s="6" t="s">
        <v>6481</v>
      </c>
      <c r="D2088" s="140">
        <v>11889718</v>
      </c>
      <c r="E2088" s="6" t="s">
        <v>839</v>
      </c>
      <c r="F2088" s="10" t="s">
        <v>57</v>
      </c>
      <c r="G2088" s="6" t="s">
        <v>6482</v>
      </c>
      <c r="H2088" s="8">
        <v>46990</v>
      </c>
      <c r="I2088" s="8">
        <v>44222</v>
      </c>
      <c r="J2088" s="8">
        <v>44229</v>
      </c>
      <c r="K2088" s="95">
        <v>44232</v>
      </c>
      <c r="L2088" s="95" t="s">
        <v>31</v>
      </c>
      <c r="M2088" s="8">
        <v>44246</v>
      </c>
      <c r="N2088" s="8">
        <v>44638</v>
      </c>
      <c r="O2088" s="8">
        <v>44631</v>
      </c>
      <c r="P2088" s="6" t="s">
        <v>35</v>
      </c>
      <c r="Q2088" s="96">
        <v>1678</v>
      </c>
      <c r="R2088" s="97">
        <f t="shared" si="76"/>
        <v>4.5972602739726032</v>
      </c>
      <c r="S2088" s="75">
        <f t="shared" si="77"/>
        <v>37968.772602739729</v>
      </c>
      <c r="U2088" s="8">
        <v>44652</v>
      </c>
      <c r="W2088" s="6" t="s">
        <v>33</v>
      </c>
      <c r="X2088" s="7">
        <v>47795</v>
      </c>
    </row>
    <row r="2089" spans="1:24" x14ac:dyDescent="0.25">
      <c r="A2089" s="6" t="s">
        <v>6057</v>
      </c>
      <c r="B2089" s="94" t="s">
        <v>2235</v>
      </c>
      <c r="C2089" s="6" t="s">
        <v>6483</v>
      </c>
      <c r="D2089" s="140">
        <v>11866358</v>
      </c>
      <c r="E2089" s="6" t="s">
        <v>6295</v>
      </c>
      <c r="F2089" s="10" t="s">
        <v>57</v>
      </c>
      <c r="G2089" s="6" t="s">
        <v>6484</v>
      </c>
      <c r="H2089" s="8">
        <v>44859</v>
      </c>
      <c r="I2089" s="8">
        <v>44177</v>
      </c>
      <c r="J2089" s="8">
        <v>44179</v>
      </c>
      <c r="K2089" s="95">
        <v>44238</v>
      </c>
      <c r="L2089" s="95" t="s">
        <v>31</v>
      </c>
      <c r="M2089" s="8">
        <v>44244</v>
      </c>
      <c r="R2089" s="97" t="str">
        <f t="shared" si="76"/>
        <v/>
      </c>
      <c r="S2089" s="75" t="str">
        <f t="shared" si="77"/>
        <v/>
      </c>
      <c r="T2089" s="129" t="s">
        <v>6485</v>
      </c>
      <c r="U2089" s="8">
        <v>44783</v>
      </c>
      <c r="W2089" s="6" t="s">
        <v>33</v>
      </c>
      <c r="X2089" s="7">
        <v>50512</v>
      </c>
    </row>
    <row r="2090" spans="1:24" x14ac:dyDescent="0.25">
      <c r="A2090" s="6" t="s">
        <v>6057</v>
      </c>
      <c r="B2090" s="94" t="s">
        <v>890</v>
      </c>
      <c r="C2090" s="6" t="s">
        <v>6486</v>
      </c>
      <c r="D2090" s="140">
        <v>11086047</v>
      </c>
      <c r="E2090" s="6" t="s">
        <v>4506</v>
      </c>
      <c r="F2090" s="10" t="s">
        <v>44</v>
      </c>
      <c r="G2090" s="6" t="s">
        <v>6487</v>
      </c>
      <c r="H2090" s="8">
        <v>46428</v>
      </c>
      <c r="I2090" s="8">
        <v>44177</v>
      </c>
      <c r="J2090" s="8">
        <v>44182</v>
      </c>
      <c r="K2090" s="95">
        <v>44238</v>
      </c>
      <c r="L2090" s="95" t="s">
        <v>31</v>
      </c>
      <c r="M2090" s="8">
        <v>44252</v>
      </c>
      <c r="N2090" s="8">
        <v>44411</v>
      </c>
      <c r="O2090" s="8">
        <v>44405</v>
      </c>
      <c r="P2090" s="6" t="s">
        <v>90</v>
      </c>
      <c r="Q2090" s="96">
        <v>1962</v>
      </c>
      <c r="R2090" s="97">
        <f t="shared" si="76"/>
        <v>5.375342465753425</v>
      </c>
      <c r="S2090" s="75">
        <f t="shared" si="77"/>
        <v>44394.953424657535</v>
      </c>
      <c r="T2090" s="124" t="s">
        <v>6488</v>
      </c>
      <c r="U2090" s="8">
        <v>44411</v>
      </c>
      <c r="V2090" s="6" t="s">
        <v>36</v>
      </c>
      <c r="W2090" s="6" t="s">
        <v>33</v>
      </c>
      <c r="X2090" s="7">
        <v>44100</v>
      </c>
    </row>
    <row r="2091" spans="1:24" x14ac:dyDescent="0.25">
      <c r="A2091" s="6" t="s">
        <v>6057</v>
      </c>
      <c r="B2091" s="94" t="s">
        <v>6489</v>
      </c>
      <c r="C2091" s="6" t="s">
        <v>6490</v>
      </c>
      <c r="D2091" s="140">
        <v>11534668</v>
      </c>
      <c r="E2091" s="6" t="s">
        <v>4506</v>
      </c>
      <c r="F2091" s="10" t="s">
        <v>134</v>
      </c>
      <c r="G2091" s="6" t="s">
        <v>6491</v>
      </c>
      <c r="H2091" s="8">
        <v>45211</v>
      </c>
      <c r="I2091" s="8">
        <v>44222</v>
      </c>
      <c r="J2091" s="8">
        <v>44228</v>
      </c>
      <c r="K2091" s="95">
        <v>44238</v>
      </c>
      <c r="L2091" s="95" t="s">
        <v>31</v>
      </c>
      <c r="M2091" s="8">
        <v>44244</v>
      </c>
      <c r="N2091" s="8">
        <v>44449</v>
      </c>
      <c r="O2091" s="8">
        <v>44426</v>
      </c>
      <c r="P2091" s="6" t="s">
        <v>90</v>
      </c>
      <c r="Q2091" s="96">
        <v>601</v>
      </c>
      <c r="R2091" s="97">
        <f t="shared" si="76"/>
        <v>1.6465753424657534</v>
      </c>
      <c r="S2091" s="75">
        <f t="shared" si="77"/>
        <v>13599.065753424658</v>
      </c>
      <c r="T2091" s="124" t="s">
        <v>6492</v>
      </c>
      <c r="U2091" s="8">
        <v>44449</v>
      </c>
      <c r="V2091" s="6" t="s">
        <v>36</v>
      </c>
      <c r="W2091" s="6" t="s">
        <v>33</v>
      </c>
      <c r="X2091" s="7">
        <v>48493</v>
      </c>
    </row>
    <row r="2092" spans="1:24" x14ac:dyDescent="0.25">
      <c r="A2092" s="6" t="s">
        <v>6057</v>
      </c>
      <c r="B2092" s="94" t="s">
        <v>6493</v>
      </c>
      <c r="C2092" s="6" t="s">
        <v>6494</v>
      </c>
      <c r="D2092" s="140">
        <v>11474765</v>
      </c>
      <c r="E2092" s="6" t="s">
        <v>5916</v>
      </c>
      <c r="F2092" s="10" t="s">
        <v>44</v>
      </c>
      <c r="G2092" s="6" t="s">
        <v>6495</v>
      </c>
      <c r="H2092" s="8">
        <v>44517</v>
      </c>
      <c r="I2092" s="8">
        <v>44170</v>
      </c>
      <c r="J2092" s="8">
        <v>44174</v>
      </c>
      <c r="K2092" s="95">
        <v>44238</v>
      </c>
      <c r="L2092" s="95" t="s">
        <v>31</v>
      </c>
      <c r="M2092" s="8">
        <v>44272</v>
      </c>
      <c r="N2092" s="8">
        <v>44364</v>
      </c>
      <c r="O2092" s="8">
        <v>44337</v>
      </c>
      <c r="P2092" s="6" t="s">
        <v>75</v>
      </c>
      <c r="R2092" s="97" t="str">
        <f t="shared" si="76"/>
        <v/>
      </c>
      <c r="S2092" s="75" t="str">
        <f t="shared" si="77"/>
        <v/>
      </c>
      <c r="T2092" s="124" t="s">
        <v>6496</v>
      </c>
      <c r="U2092" s="8">
        <v>44364</v>
      </c>
      <c r="W2092" s="6" t="s">
        <v>33</v>
      </c>
      <c r="X2092" s="7">
        <v>51704</v>
      </c>
    </row>
    <row r="2093" spans="1:24" x14ac:dyDescent="0.25">
      <c r="A2093" s="6" t="s">
        <v>6057</v>
      </c>
      <c r="B2093" s="94" t="s">
        <v>323</v>
      </c>
      <c r="C2093" s="6" t="s">
        <v>6122</v>
      </c>
      <c r="D2093" s="140">
        <v>11606668</v>
      </c>
      <c r="E2093" s="6" t="s">
        <v>2314</v>
      </c>
      <c r="F2093" s="10" t="s">
        <v>44</v>
      </c>
      <c r="G2093" s="6" t="s">
        <v>6123</v>
      </c>
      <c r="H2093" s="8">
        <v>49770</v>
      </c>
      <c r="I2093" s="8">
        <v>44177</v>
      </c>
      <c r="J2093" s="8">
        <v>44188</v>
      </c>
      <c r="K2093" s="95">
        <v>44189</v>
      </c>
      <c r="L2093" s="95" t="s">
        <v>31</v>
      </c>
      <c r="M2093" s="8">
        <v>44183</v>
      </c>
      <c r="P2093" s="6" t="s">
        <v>628</v>
      </c>
      <c r="R2093" s="97" t="str">
        <f t="shared" si="76"/>
        <v/>
      </c>
      <c r="S2093" s="75" t="str">
        <f t="shared" si="77"/>
        <v/>
      </c>
      <c r="T2093" s="124" t="s">
        <v>6497</v>
      </c>
      <c r="W2093" s="6" t="s">
        <v>33</v>
      </c>
      <c r="X2093" s="7">
        <v>48220</v>
      </c>
    </row>
    <row r="2094" spans="1:24" x14ac:dyDescent="0.25">
      <c r="A2094" s="6" t="s">
        <v>6057</v>
      </c>
      <c r="B2094" s="94" t="s">
        <v>6498</v>
      </c>
      <c r="C2094" s="6" t="s">
        <v>6499</v>
      </c>
      <c r="D2094" s="140">
        <v>11122307</v>
      </c>
      <c r="E2094" s="6" t="s">
        <v>4506</v>
      </c>
      <c r="F2094" s="10" t="s">
        <v>57</v>
      </c>
      <c r="G2094" s="6" t="s">
        <v>6500</v>
      </c>
      <c r="H2094" s="8">
        <v>49096</v>
      </c>
      <c r="I2094" s="8">
        <v>44177</v>
      </c>
      <c r="J2094" s="8">
        <v>44188</v>
      </c>
      <c r="K2094" s="95">
        <v>44238</v>
      </c>
      <c r="L2094" s="95" t="s">
        <v>31</v>
      </c>
      <c r="M2094" s="8">
        <v>44244</v>
      </c>
      <c r="N2094" s="108">
        <v>44588</v>
      </c>
      <c r="O2094" s="108">
        <v>44575</v>
      </c>
      <c r="P2094" s="107" t="s">
        <v>90</v>
      </c>
      <c r="Q2094" s="110">
        <v>4502</v>
      </c>
      <c r="R2094" s="97">
        <f t="shared" si="76"/>
        <v>12.334246575342465</v>
      </c>
      <c r="S2094" s="75">
        <f t="shared" si="77"/>
        <v>101868.54246575343</v>
      </c>
      <c r="T2094" s="129" t="s">
        <v>6501</v>
      </c>
      <c r="U2094" s="8">
        <v>44776</v>
      </c>
      <c r="W2094" s="6" t="s">
        <v>33</v>
      </c>
      <c r="X2094" s="7">
        <v>47832</v>
      </c>
    </row>
    <row r="2095" spans="1:24" x14ac:dyDescent="0.25">
      <c r="A2095" s="6" t="s">
        <v>6057</v>
      </c>
      <c r="B2095" s="94" t="s">
        <v>6502</v>
      </c>
      <c r="C2095" s="6" t="s">
        <v>6503</v>
      </c>
      <c r="D2095" s="140">
        <v>11129661</v>
      </c>
      <c r="E2095" s="6" t="s">
        <v>2314</v>
      </c>
      <c r="F2095" s="10" t="s">
        <v>29</v>
      </c>
      <c r="G2095" s="6" t="s">
        <v>6504</v>
      </c>
      <c r="H2095" s="8">
        <v>45138</v>
      </c>
      <c r="I2095" s="8">
        <v>44177</v>
      </c>
      <c r="J2095" s="8">
        <v>44188</v>
      </c>
      <c r="K2095" s="95">
        <v>44238</v>
      </c>
      <c r="L2095" s="95" t="s">
        <v>31</v>
      </c>
      <c r="M2095" s="8">
        <v>44244</v>
      </c>
      <c r="R2095" s="97" t="str">
        <f t="shared" si="76"/>
        <v/>
      </c>
      <c r="S2095" s="75" t="str">
        <f t="shared" si="77"/>
        <v/>
      </c>
      <c r="T2095" s="129" t="s">
        <v>5454</v>
      </c>
      <c r="U2095" s="8">
        <v>44783</v>
      </c>
      <c r="W2095" s="6" t="s">
        <v>33</v>
      </c>
      <c r="X2095" s="7">
        <v>51149</v>
      </c>
    </row>
    <row r="2096" spans="1:24" x14ac:dyDescent="0.25">
      <c r="A2096" s="6" t="s">
        <v>6057</v>
      </c>
      <c r="B2096" s="94" t="s">
        <v>3123</v>
      </c>
      <c r="C2096" s="6" t="s">
        <v>6505</v>
      </c>
      <c r="D2096" s="140">
        <v>11173504</v>
      </c>
      <c r="E2096" s="6" t="s">
        <v>2206</v>
      </c>
      <c r="F2096" s="10" t="s">
        <v>293</v>
      </c>
      <c r="G2096" s="6">
        <v>153928</v>
      </c>
      <c r="H2096" s="8">
        <v>44803</v>
      </c>
      <c r="I2096" s="8">
        <v>44222</v>
      </c>
      <c r="J2096" s="8">
        <v>44225</v>
      </c>
      <c r="K2096" s="95">
        <v>44238</v>
      </c>
      <c r="L2096" s="95" t="s">
        <v>31</v>
      </c>
      <c r="M2096" s="8">
        <v>44244</v>
      </c>
      <c r="N2096" s="8">
        <v>44320</v>
      </c>
      <c r="O2096" s="8">
        <v>44307</v>
      </c>
      <c r="P2096" s="6" t="s">
        <v>90</v>
      </c>
      <c r="Q2096" s="96">
        <v>490</v>
      </c>
      <c r="R2096" s="97">
        <f t="shared" si="76"/>
        <v>1.3424657534246576</v>
      </c>
      <c r="S2096" s="75">
        <f t="shared" si="77"/>
        <v>11087.424657534248</v>
      </c>
      <c r="U2096" s="8">
        <v>44320</v>
      </c>
      <c r="V2096" s="6" t="s">
        <v>36</v>
      </c>
      <c r="W2096" s="6" t="s">
        <v>33</v>
      </c>
      <c r="X2096" s="7">
        <v>48010</v>
      </c>
    </row>
    <row r="2097" spans="1:24" ht="30" x14ac:dyDescent="0.25">
      <c r="A2097" s="6" t="s">
        <v>6057</v>
      </c>
      <c r="B2097" s="94" t="s">
        <v>6506</v>
      </c>
      <c r="C2097" s="6" t="s">
        <v>6507</v>
      </c>
      <c r="D2097" s="140">
        <v>11535982</v>
      </c>
      <c r="E2097" s="6" t="s">
        <v>6361</v>
      </c>
      <c r="F2097" s="10" t="s">
        <v>293</v>
      </c>
      <c r="G2097" s="6">
        <v>140444</v>
      </c>
      <c r="H2097" s="8">
        <v>46461</v>
      </c>
      <c r="I2097" s="8">
        <v>44222</v>
      </c>
      <c r="J2097" s="8">
        <v>44229</v>
      </c>
      <c r="K2097" s="95">
        <v>44238</v>
      </c>
      <c r="L2097" s="95" t="s">
        <v>31</v>
      </c>
      <c r="M2097" s="8">
        <v>44244</v>
      </c>
      <c r="N2097" s="8">
        <v>44342</v>
      </c>
      <c r="O2097" s="8">
        <v>44301</v>
      </c>
      <c r="P2097" s="6" t="s">
        <v>90</v>
      </c>
      <c r="Q2097" s="96">
        <v>2147</v>
      </c>
      <c r="R2097" s="97">
        <f t="shared" si="76"/>
        <v>5.882191780821918</v>
      </c>
      <c r="S2097" s="75">
        <f t="shared" si="77"/>
        <v>48581.021917808219</v>
      </c>
      <c r="U2097" s="8">
        <v>44314</v>
      </c>
      <c r="V2097" s="6" t="s">
        <v>581</v>
      </c>
      <c r="W2097" s="6" t="s">
        <v>33</v>
      </c>
      <c r="X2097" s="7">
        <v>48101</v>
      </c>
    </row>
    <row r="2098" spans="1:24" x14ac:dyDescent="0.25">
      <c r="A2098" s="6" t="s">
        <v>37</v>
      </c>
      <c r="B2098" s="94" t="s">
        <v>5111</v>
      </c>
      <c r="C2098" s="6" t="s">
        <v>6508</v>
      </c>
      <c r="D2098" s="140">
        <v>12105142</v>
      </c>
      <c r="E2098" s="6" t="s">
        <v>3386</v>
      </c>
      <c r="F2098" s="10" t="s">
        <v>44</v>
      </c>
      <c r="G2098" s="6" t="s">
        <v>6509</v>
      </c>
      <c r="H2098" s="8">
        <v>48609</v>
      </c>
      <c r="I2098" s="8">
        <v>43847</v>
      </c>
      <c r="J2098" s="8">
        <v>43864</v>
      </c>
      <c r="K2098" s="95">
        <v>43879</v>
      </c>
      <c r="L2098" s="95" t="s">
        <v>31</v>
      </c>
      <c r="M2098" s="8">
        <v>43895</v>
      </c>
      <c r="N2098" s="8">
        <v>44018</v>
      </c>
      <c r="O2098" s="8">
        <v>43929</v>
      </c>
      <c r="P2098" s="6" t="s">
        <v>52</v>
      </c>
      <c r="R2098" s="97" t="str">
        <f t="shared" si="76"/>
        <v/>
      </c>
      <c r="S2098" s="75" t="str">
        <f t="shared" si="77"/>
        <v/>
      </c>
      <c r="T2098" s="124" t="s">
        <v>6510</v>
      </c>
      <c r="U2098" s="8">
        <v>44018</v>
      </c>
      <c r="W2098" s="6" t="s">
        <v>33</v>
      </c>
      <c r="X2098" s="95">
        <v>46053</v>
      </c>
    </row>
    <row r="2099" spans="1:24" x14ac:dyDescent="0.25">
      <c r="A2099" s="6" t="s">
        <v>168</v>
      </c>
      <c r="B2099" s="94" t="s">
        <v>6511</v>
      </c>
      <c r="C2099" s="6" t="s">
        <v>6512</v>
      </c>
      <c r="D2099" s="140">
        <v>11102008</v>
      </c>
      <c r="E2099" s="6" t="s">
        <v>6513</v>
      </c>
      <c r="F2099" s="10" t="s">
        <v>205</v>
      </c>
      <c r="G2099" s="6" t="s">
        <v>6514</v>
      </c>
      <c r="H2099" s="8">
        <v>50223</v>
      </c>
      <c r="I2099" s="8">
        <v>43616</v>
      </c>
      <c r="J2099" s="8">
        <v>43739</v>
      </c>
      <c r="K2099" s="95">
        <v>43741</v>
      </c>
      <c r="L2099" s="95" t="s">
        <v>31</v>
      </c>
      <c r="M2099" s="8">
        <v>43753</v>
      </c>
      <c r="N2099" s="8">
        <v>44253</v>
      </c>
      <c r="O2099" s="8">
        <v>43959</v>
      </c>
      <c r="P2099" s="6" t="s">
        <v>90</v>
      </c>
      <c r="Q2099" s="96">
        <v>6257</v>
      </c>
      <c r="R2099" s="97">
        <f t="shared" si="76"/>
        <v>17.142465753424659</v>
      </c>
      <c r="S2099" s="75">
        <f t="shared" si="77"/>
        <v>141579.62465753424</v>
      </c>
      <c r="T2099" s="124" t="s">
        <v>6515</v>
      </c>
      <c r="U2099" s="8">
        <v>44253</v>
      </c>
      <c r="V2099" s="6" t="s">
        <v>36</v>
      </c>
      <c r="W2099" s="6" t="s">
        <v>84</v>
      </c>
      <c r="X2099" s="95">
        <v>37646</v>
      </c>
    </row>
    <row r="2100" spans="1:24" x14ac:dyDescent="0.25">
      <c r="A2100" s="6" t="s">
        <v>168</v>
      </c>
      <c r="B2100" s="94" t="s">
        <v>6516</v>
      </c>
      <c r="C2100" s="6" t="s">
        <v>6517</v>
      </c>
      <c r="D2100" s="140">
        <v>11067149</v>
      </c>
      <c r="E2100" s="6" t="s">
        <v>839</v>
      </c>
      <c r="F2100" s="10" t="s">
        <v>205</v>
      </c>
      <c r="G2100" s="6" t="s">
        <v>6518</v>
      </c>
      <c r="H2100" s="8">
        <v>48679</v>
      </c>
      <c r="I2100" s="8">
        <v>44242</v>
      </c>
      <c r="L2100" s="95" t="s">
        <v>359</v>
      </c>
      <c r="R2100" s="97" t="str">
        <f t="shared" si="76"/>
        <v/>
      </c>
      <c r="S2100" s="75" t="str">
        <f t="shared" si="77"/>
        <v/>
      </c>
      <c r="T2100" s="124" t="s">
        <v>6519</v>
      </c>
      <c r="W2100" s="6" t="s">
        <v>33</v>
      </c>
      <c r="X2100" s="7">
        <v>49176</v>
      </c>
    </row>
    <row r="2101" spans="1:24" x14ac:dyDescent="0.25">
      <c r="A2101" s="6" t="s">
        <v>168</v>
      </c>
      <c r="B2101" s="94" t="s">
        <v>6520</v>
      </c>
      <c r="C2101" s="6" t="s">
        <v>6521</v>
      </c>
      <c r="D2101" s="140">
        <v>11008816</v>
      </c>
      <c r="E2101" s="6" t="s">
        <v>386</v>
      </c>
      <c r="F2101" s="10" t="s">
        <v>44</v>
      </c>
      <c r="G2101" s="6" t="s">
        <v>6522</v>
      </c>
      <c r="H2101" s="8">
        <v>44538</v>
      </c>
      <c r="I2101" s="8">
        <v>43649</v>
      </c>
      <c r="J2101" s="8">
        <v>43655</v>
      </c>
      <c r="K2101" s="95">
        <v>43655</v>
      </c>
      <c r="L2101" s="95" t="s">
        <v>359</v>
      </c>
      <c r="R2101" s="97" t="str">
        <f t="shared" si="76"/>
        <v/>
      </c>
      <c r="S2101" s="75" t="str">
        <f t="shared" si="77"/>
        <v/>
      </c>
      <c r="W2101" s="6" t="s">
        <v>33</v>
      </c>
      <c r="X2101" s="95">
        <v>50381</v>
      </c>
    </row>
    <row r="2102" spans="1:24" x14ac:dyDescent="0.25">
      <c r="A2102" s="6" t="s">
        <v>168</v>
      </c>
      <c r="B2102" s="94" t="s">
        <v>1234</v>
      </c>
      <c r="C2102" s="6" t="s">
        <v>6523</v>
      </c>
      <c r="D2102" s="140">
        <v>1940270</v>
      </c>
      <c r="E2102" s="6" t="s">
        <v>1662</v>
      </c>
      <c r="F2102" s="10" t="s">
        <v>528</v>
      </c>
      <c r="G2102" s="6" t="s">
        <v>6524</v>
      </c>
      <c r="H2102" s="8">
        <v>45580</v>
      </c>
      <c r="I2102" s="8">
        <v>43643</v>
      </c>
      <c r="J2102" s="8">
        <v>43657</v>
      </c>
      <c r="K2102" s="95">
        <v>43657</v>
      </c>
      <c r="L2102" s="95" t="s">
        <v>359</v>
      </c>
      <c r="R2102" s="97" t="str">
        <f t="shared" si="76"/>
        <v/>
      </c>
      <c r="S2102" s="75" t="str">
        <f t="shared" si="77"/>
        <v/>
      </c>
      <c r="W2102" s="6" t="s">
        <v>84</v>
      </c>
      <c r="X2102" s="95">
        <v>44181</v>
      </c>
    </row>
    <row r="2103" spans="1:24" ht="30" x14ac:dyDescent="0.25">
      <c r="A2103" s="6" t="s">
        <v>168</v>
      </c>
      <c r="B2103" s="94" t="s">
        <v>5988</v>
      </c>
      <c r="C2103" s="6" t="s">
        <v>6525</v>
      </c>
      <c r="D2103" s="140">
        <v>11161761</v>
      </c>
      <c r="E2103" s="6" t="s">
        <v>2206</v>
      </c>
      <c r="F2103" s="10" t="s">
        <v>3160</v>
      </c>
      <c r="G2103" s="6">
        <v>196199</v>
      </c>
      <c r="H2103" s="8">
        <v>45394</v>
      </c>
      <c r="I2103" s="8">
        <v>44049</v>
      </c>
      <c r="J2103" s="8">
        <v>44106</v>
      </c>
      <c r="K2103" s="95">
        <v>44106</v>
      </c>
      <c r="L2103" s="95" t="s">
        <v>31</v>
      </c>
      <c r="M2103" s="8">
        <v>44141</v>
      </c>
      <c r="N2103" s="8">
        <v>44175</v>
      </c>
      <c r="O2103" s="8">
        <v>44172</v>
      </c>
      <c r="P2103" s="6" t="s">
        <v>90</v>
      </c>
      <c r="Q2103" s="96">
        <v>1215</v>
      </c>
      <c r="R2103" s="97">
        <f t="shared" si="76"/>
        <v>3.3287671232876712</v>
      </c>
      <c r="S2103" s="75">
        <f t="shared" si="77"/>
        <v>27492.287671232876</v>
      </c>
      <c r="T2103" s="124" t="s">
        <v>6526</v>
      </c>
      <c r="U2103" s="8">
        <v>44176</v>
      </c>
      <c r="V2103" s="6" t="s">
        <v>581</v>
      </c>
      <c r="W2103" s="6" t="s">
        <v>33</v>
      </c>
      <c r="X2103" s="135">
        <v>47055</v>
      </c>
    </row>
    <row r="2104" spans="1:24" ht="30" x14ac:dyDescent="0.25">
      <c r="A2104" s="6" t="s">
        <v>168</v>
      </c>
      <c r="B2104" s="94" t="s">
        <v>3632</v>
      </c>
      <c r="C2104" s="6" t="s">
        <v>6527</v>
      </c>
      <c r="D2104" s="140">
        <v>1186770</v>
      </c>
      <c r="E2104" s="6" t="s">
        <v>43</v>
      </c>
      <c r="F2104" s="10" t="s">
        <v>442</v>
      </c>
      <c r="G2104" s="6" t="s">
        <v>6528</v>
      </c>
      <c r="H2104" s="8">
        <v>47750</v>
      </c>
      <c r="I2104" s="8">
        <v>43503</v>
      </c>
      <c r="J2104" s="8">
        <v>43516</v>
      </c>
      <c r="K2104" s="95">
        <v>43516</v>
      </c>
      <c r="L2104" s="95" t="s">
        <v>31</v>
      </c>
      <c r="M2104" s="8">
        <v>43522</v>
      </c>
      <c r="N2104" s="8">
        <v>43581</v>
      </c>
      <c r="O2104" s="8">
        <v>43581</v>
      </c>
      <c r="P2104" s="6" t="s">
        <v>90</v>
      </c>
      <c r="Q2104" s="96">
        <v>4165</v>
      </c>
      <c r="R2104" s="97">
        <f t="shared" si="76"/>
        <v>11.41095890410959</v>
      </c>
      <c r="S2104" s="75">
        <f t="shared" si="77"/>
        <v>94243.109589041094</v>
      </c>
      <c r="T2104" s="124" t="s">
        <v>6529</v>
      </c>
      <c r="U2104" s="8">
        <v>43586</v>
      </c>
      <c r="V2104" s="6" t="s">
        <v>581</v>
      </c>
      <c r="W2104" s="6" t="s">
        <v>84</v>
      </c>
      <c r="X2104" s="95">
        <v>44109</v>
      </c>
    </row>
    <row r="2105" spans="1:24" x14ac:dyDescent="0.25">
      <c r="A2105" s="6" t="s">
        <v>168</v>
      </c>
      <c r="B2105" s="94" t="s">
        <v>6530</v>
      </c>
      <c r="C2105" s="6" t="s">
        <v>6531</v>
      </c>
      <c r="D2105" s="140">
        <v>10998802</v>
      </c>
      <c r="E2105" s="6" t="s">
        <v>304</v>
      </c>
      <c r="F2105" s="10" t="s">
        <v>299</v>
      </c>
      <c r="G2105" s="6" t="s">
        <v>6532</v>
      </c>
      <c r="H2105" s="8">
        <v>44636</v>
      </c>
      <c r="I2105" s="8">
        <v>43525</v>
      </c>
      <c r="J2105" s="8">
        <v>43545</v>
      </c>
      <c r="K2105" s="95">
        <v>43545</v>
      </c>
      <c r="L2105" s="95" t="s">
        <v>359</v>
      </c>
      <c r="R2105" s="97" t="str">
        <f t="shared" si="76"/>
        <v/>
      </c>
      <c r="S2105" s="75" t="str">
        <f t="shared" si="77"/>
        <v/>
      </c>
      <c r="W2105" s="6" t="s">
        <v>84</v>
      </c>
      <c r="X2105" s="95">
        <v>45432</v>
      </c>
    </row>
    <row r="2106" spans="1:24" x14ac:dyDescent="0.25">
      <c r="A2106" s="6" t="s">
        <v>37</v>
      </c>
      <c r="B2106" s="94" t="s">
        <v>6533</v>
      </c>
      <c r="C2106" s="6" t="s">
        <v>6534</v>
      </c>
      <c r="D2106" s="140">
        <v>11743607</v>
      </c>
      <c r="E2106" s="6" t="s">
        <v>6535</v>
      </c>
      <c r="F2106" s="10" t="s">
        <v>299</v>
      </c>
      <c r="G2106" s="6" t="s">
        <v>6536</v>
      </c>
      <c r="H2106" s="8">
        <v>45050</v>
      </c>
      <c r="I2106" s="8">
        <v>44256</v>
      </c>
      <c r="J2106" s="8">
        <v>44267</v>
      </c>
      <c r="K2106" s="95">
        <v>44271</v>
      </c>
      <c r="L2106" s="95" t="s">
        <v>31</v>
      </c>
      <c r="M2106" s="8">
        <v>44281</v>
      </c>
      <c r="N2106" s="8">
        <v>44336</v>
      </c>
      <c r="O2106" s="8">
        <v>44319</v>
      </c>
      <c r="P2106" s="6" t="s">
        <v>75</v>
      </c>
      <c r="R2106" s="97" t="str">
        <f t="shared" si="76"/>
        <v/>
      </c>
      <c r="S2106" s="75" t="str">
        <f t="shared" si="77"/>
        <v/>
      </c>
      <c r="U2106" s="8">
        <v>44336</v>
      </c>
      <c r="W2106" s="6" t="s">
        <v>33</v>
      </c>
      <c r="X2106" s="7">
        <v>49071</v>
      </c>
    </row>
    <row r="2107" spans="1:24" x14ac:dyDescent="0.25">
      <c r="A2107" s="6" t="s">
        <v>168</v>
      </c>
      <c r="B2107" s="94" t="s">
        <v>1838</v>
      </c>
      <c r="C2107" s="6" t="s">
        <v>6245</v>
      </c>
      <c r="D2107" s="140">
        <v>11109387</v>
      </c>
      <c r="E2107" s="6" t="s">
        <v>839</v>
      </c>
      <c r="F2107" s="10" t="s">
        <v>44</v>
      </c>
      <c r="G2107" s="6" t="s">
        <v>6246</v>
      </c>
      <c r="H2107" s="8">
        <v>47542</v>
      </c>
      <c r="I2107" s="8">
        <v>44120</v>
      </c>
      <c r="R2107" s="97" t="str">
        <f t="shared" si="76"/>
        <v/>
      </c>
      <c r="S2107" s="75" t="str">
        <f t="shared" si="77"/>
        <v/>
      </c>
      <c r="W2107" s="6" t="s">
        <v>33</v>
      </c>
      <c r="X2107" s="135">
        <v>47972</v>
      </c>
    </row>
    <row r="2108" spans="1:24" x14ac:dyDescent="0.25">
      <c r="A2108" s="6" t="s">
        <v>168</v>
      </c>
      <c r="B2108" s="94" t="s">
        <v>6537</v>
      </c>
      <c r="C2108" s="6" t="s">
        <v>6538</v>
      </c>
      <c r="D2108" s="140">
        <v>11168416</v>
      </c>
      <c r="E2108" s="6" t="s">
        <v>2146</v>
      </c>
      <c r="F2108" s="10" t="s">
        <v>44</v>
      </c>
      <c r="G2108" s="6" t="s">
        <v>6539</v>
      </c>
      <c r="H2108" s="8">
        <v>45142</v>
      </c>
      <c r="I2108" s="8">
        <v>44076</v>
      </c>
      <c r="J2108" s="8">
        <v>44267</v>
      </c>
      <c r="K2108" s="95">
        <v>44271</v>
      </c>
      <c r="L2108" s="95" t="s">
        <v>31</v>
      </c>
      <c r="M2108" s="8">
        <v>44281</v>
      </c>
      <c r="N2108" s="8">
        <v>44530</v>
      </c>
      <c r="O2108" s="8">
        <v>44517</v>
      </c>
      <c r="P2108" s="6" t="s">
        <v>90</v>
      </c>
      <c r="Q2108" s="96">
        <v>606</v>
      </c>
      <c r="R2108" s="97">
        <f t="shared" si="76"/>
        <v>1.6602739726027398</v>
      </c>
      <c r="S2108" s="75">
        <f t="shared" si="77"/>
        <v>13712.202739726028</v>
      </c>
      <c r="T2108" s="124" t="s">
        <v>6540</v>
      </c>
      <c r="U2108" s="8">
        <v>44531</v>
      </c>
      <c r="V2108" s="6" t="s">
        <v>36</v>
      </c>
      <c r="W2108" s="6" t="s">
        <v>33</v>
      </c>
      <c r="X2108" s="95">
        <v>47718</v>
      </c>
    </row>
    <row r="2109" spans="1:24" x14ac:dyDescent="0.25">
      <c r="A2109" s="6" t="s">
        <v>168</v>
      </c>
      <c r="B2109" s="94" t="s">
        <v>6541</v>
      </c>
      <c r="C2109" s="6" t="s">
        <v>6542</v>
      </c>
      <c r="D2109" s="140">
        <v>11588683</v>
      </c>
      <c r="E2109" s="6" t="s">
        <v>3290</v>
      </c>
      <c r="F2109" s="10" t="s">
        <v>1588</v>
      </c>
      <c r="G2109" s="6" t="s">
        <v>6543</v>
      </c>
      <c r="H2109" s="8">
        <v>46585</v>
      </c>
      <c r="I2109" s="8">
        <v>43899</v>
      </c>
      <c r="J2109" s="8">
        <v>44106</v>
      </c>
      <c r="K2109" s="95">
        <v>44106</v>
      </c>
      <c r="L2109" s="95" t="s">
        <v>359</v>
      </c>
      <c r="R2109" s="97" t="str">
        <f t="shared" si="76"/>
        <v/>
      </c>
      <c r="S2109" s="75" t="str">
        <f t="shared" si="77"/>
        <v/>
      </c>
      <c r="W2109" s="6" t="s">
        <v>33</v>
      </c>
      <c r="X2109" s="95">
        <v>47765</v>
      </c>
    </row>
    <row r="2110" spans="1:24" x14ac:dyDescent="0.25">
      <c r="A2110" s="6" t="s">
        <v>168</v>
      </c>
      <c r="B2110" s="94" t="s">
        <v>6541</v>
      </c>
      <c r="C2110" s="6" t="s">
        <v>6542</v>
      </c>
      <c r="D2110" s="140">
        <v>11588683</v>
      </c>
      <c r="E2110" s="6" t="s">
        <v>3290</v>
      </c>
      <c r="F2110" s="10" t="s">
        <v>1588</v>
      </c>
      <c r="G2110" s="6" t="s">
        <v>6543</v>
      </c>
      <c r="H2110" s="8">
        <v>46382</v>
      </c>
      <c r="I2110" s="8">
        <v>44418</v>
      </c>
      <c r="J2110" s="8">
        <v>44425</v>
      </c>
      <c r="K2110" s="95">
        <v>44425</v>
      </c>
      <c r="L2110" s="95" t="s">
        <v>359</v>
      </c>
      <c r="R2110" s="97" t="str">
        <f t="shared" si="76"/>
        <v/>
      </c>
      <c r="S2110" s="75" t="str">
        <f t="shared" si="77"/>
        <v/>
      </c>
      <c r="W2110" s="6" t="s">
        <v>33</v>
      </c>
      <c r="X2110" s="7">
        <v>47765</v>
      </c>
    </row>
    <row r="2111" spans="1:24" x14ac:dyDescent="0.25">
      <c r="A2111" s="6" t="s">
        <v>168</v>
      </c>
      <c r="B2111" s="94" t="s">
        <v>1258</v>
      </c>
      <c r="C2111" s="89" t="s">
        <v>6544</v>
      </c>
      <c r="D2111" s="140">
        <v>11583211</v>
      </c>
      <c r="E2111" s="6" t="s">
        <v>1927</v>
      </c>
      <c r="F2111" s="10" t="s">
        <v>205</v>
      </c>
      <c r="G2111" s="6" t="s">
        <v>6545</v>
      </c>
      <c r="H2111" s="8">
        <v>44194</v>
      </c>
      <c r="I2111" s="8">
        <v>43266</v>
      </c>
      <c r="J2111" s="8">
        <v>43269</v>
      </c>
      <c r="K2111" s="95">
        <v>43269</v>
      </c>
      <c r="L2111" s="95" t="s">
        <v>31</v>
      </c>
      <c r="M2111" s="8">
        <v>43271</v>
      </c>
      <c r="N2111" s="8">
        <v>43360</v>
      </c>
      <c r="O2111" s="8">
        <v>43343</v>
      </c>
      <c r="P2111" s="6" t="s">
        <v>69</v>
      </c>
      <c r="R2111" s="97" t="str">
        <f t="shared" si="76"/>
        <v/>
      </c>
      <c r="S2111" s="75" t="str">
        <f t="shared" si="77"/>
        <v/>
      </c>
      <c r="U2111" s="8">
        <v>43360</v>
      </c>
      <c r="W2111" s="6" t="s">
        <v>84</v>
      </c>
      <c r="X2111" s="95">
        <v>50252</v>
      </c>
    </row>
    <row r="2112" spans="1:24" ht="30" x14ac:dyDescent="0.25">
      <c r="A2112" s="6" t="s">
        <v>6057</v>
      </c>
      <c r="B2112" s="94" t="s">
        <v>6546</v>
      </c>
      <c r="C2112" s="6" t="s">
        <v>6547</v>
      </c>
      <c r="D2112" s="140">
        <v>11838938</v>
      </c>
      <c r="E2112" s="6" t="s">
        <v>6346</v>
      </c>
      <c r="F2112" s="10" t="s">
        <v>134</v>
      </c>
      <c r="G2112" s="6" t="s">
        <v>6548</v>
      </c>
      <c r="H2112" s="8">
        <v>44443</v>
      </c>
      <c r="I2112" s="8">
        <v>44177</v>
      </c>
      <c r="J2112" s="8">
        <v>44183</v>
      </c>
      <c r="K2112" s="95">
        <v>44183</v>
      </c>
      <c r="L2112" s="95" t="s">
        <v>31</v>
      </c>
      <c r="M2112" s="8">
        <v>44183</v>
      </c>
      <c r="N2112" s="8">
        <v>44238</v>
      </c>
      <c r="O2112" s="8">
        <v>44211</v>
      </c>
      <c r="P2112" s="6" t="s">
        <v>75</v>
      </c>
      <c r="R2112" s="97" t="str">
        <f t="shared" si="76"/>
        <v/>
      </c>
      <c r="S2112" s="75" t="str">
        <f t="shared" si="77"/>
        <v/>
      </c>
      <c r="U2112" s="8">
        <v>44246</v>
      </c>
      <c r="W2112" s="6" t="s">
        <v>33</v>
      </c>
      <c r="X2112" s="7">
        <v>51785</v>
      </c>
    </row>
    <row r="2113" spans="1:24" x14ac:dyDescent="0.25">
      <c r="A2113" s="6" t="s">
        <v>25</v>
      </c>
      <c r="B2113" s="94" t="s">
        <v>449</v>
      </c>
      <c r="C2113" s="6" t="s">
        <v>6549</v>
      </c>
      <c r="D2113" s="140">
        <v>11233892</v>
      </c>
      <c r="E2113" s="6" t="s">
        <v>1650</v>
      </c>
      <c r="F2113" s="10" t="s">
        <v>57</v>
      </c>
      <c r="G2113" s="6" t="s">
        <v>6550</v>
      </c>
      <c r="H2113" s="8">
        <v>45256</v>
      </c>
      <c r="I2113" s="8">
        <v>43804</v>
      </c>
      <c r="J2113" s="8">
        <v>43805</v>
      </c>
      <c r="K2113" s="95">
        <v>43875</v>
      </c>
      <c r="L2113" s="95" t="s">
        <v>31</v>
      </c>
      <c r="M2113" s="8">
        <v>43885</v>
      </c>
      <c r="N2113" s="8">
        <v>44256</v>
      </c>
      <c r="O2113" s="8">
        <v>44012</v>
      </c>
      <c r="P2113" s="6" t="s">
        <v>75</v>
      </c>
      <c r="R2113" s="97" t="str">
        <f t="shared" si="76"/>
        <v/>
      </c>
      <c r="S2113" s="75" t="str">
        <f t="shared" si="77"/>
        <v/>
      </c>
      <c r="T2113" s="124">
        <v>44012</v>
      </c>
      <c r="U2113" s="8">
        <v>44256</v>
      </c>
      <c r="W2113" s="6" t="s">
        <v>33</v>
      </c>
      <c r="X2113" s="95">
        <v>50509</v>
      </c>
    </row>
    <row r="2114" spans="1:24" x14ac:dyDescent="0.25">
      <c r="A2114" s="6" t="s">
        <v>37</v>
      </c>
      <c r="B2114" s="94" t="s">
        <v>6551</v>
      </c>
      <c r="C2114" s="6" t="s">
        <v>6552</v>
      </c>
      <c r="D2114" s="140">
        <v>11256786</v>
      </c>
      <c r="E2114" s="6" t="s">
        <v>4369</v>
      </c>
      <c r="F2114" s="10" t="s">
        <v>143</v>
      </c>
      <c r="G2114" s="6" t="s">
        <v>6553</v>
      </c>
      <c r="H2114" s="8">
        <v>45049</v>
      </c>
      <c r="I2114" s="8">
        <v>44256</v>
      </c>
      <c r="J2114" s="8">
        <v>44267</v>
      </c>
      <c r="K2114" s="95">
        <v>44272</v>
      </c>
      <c r="L2114" s="95" t="s">
        <v>31</v>
      </c>
      <c r="M2114" s="8">
        <v>44295</v>
      </c>
      <c r="N2114" s="8">
        <v>44483</v>
      </c>
      <c r="O2114" s="8">
        <v>44467</v>
      </c>
      <c r="P2114" s="6" t="s">
        <v>90</v>
      </c>
      <c r="Q2114" s="96">
        <v>559</v>
      </c>
      <c r="R2114" s="97">
        <f t="shared" si="76"/>
        <v>1.5315068493150685</v>
      </c>
      <c r="S2114" s="75">
        <f t="shared" si="77"/>
        <v>12648.715068493151</v>
      </c>
      <c r="T2114" t="s">
        <v>6554</v>
      </c>
      <c r="U2114" s="8">
        <v>44484</v>
      </c>
      <c r="V2114" s="6" t="s">
        <v>36</v>
      </c>
      <c r="W2114" s="6" t="s">
        <v>33</v>
      </c>
      <c r="X2114" s="7">
        <v>47814</v>
      </c>
    </row>
    <row r="2115" spans="1:24" x14ac:dyDescent="0.25">
      <c r="A2115" s="6" t="s">
        <v>37</v>
      </c>
      <c r="B2115" s="94" t="s">
        <v>1265</v>
      </c>
      <c r="C2115" s="6" t="s">
        <v>6555</v>
      </c>
      <c r="D2115" s="140">
        <v>110447915</v>
      </c>
      <c r="E2115" s="6" t="s">
        <v>5974</v>
      </c>
      <c r="F2115" s="10" t="s">
        <v>1384</v>
      </c>
      <c r="G2115" s="6" t="s">
        <v>6556</v>
      </c>
      <c r="H2115" s="8">
        <v>44837</v>
      </c>
      <c r="I2115" s="8">
        <v>44027</v>
      </c>
      <c r="J2115" s="8">
        <v>44064</v>
      </c>
      <c r="K2115" s="95">
        <v>44070</v>
      </c>
      <c r="L2115" s="95" t="s">
        <v>31</v>
      </c>
      <c r="M2115" s="8">
        <v>44099</v>
      </c>
      <c r="R2115" s="97" t="str">
        <f t="shared" si="76"/>
        <v/>
      </c>
      <c r="S2115" s="75" t="str">
        <f t="shared" si="77"/>
        <v/>
      </c>
      <c r="T2115" s="129" t="s">
        <v>6557</v>
      </c>
      <c r="U2115" s="8">
        <v>44783</v>
      </c>
      <c r="W2115" s="6" t="s">
        <v>33</v>
      </c>
      <c r="X2115" s="135">
        <v>52188</v>
      </c>
    </row>
    <row r="2116" spans="1:24" x14ac:dyDescent="0.25">
      <c r="A2116" s="6" t="s">
        <v>168</v>
      </c>
      <c r="B2116" s="94" t="s">
        <v>1668</v>
      </c>
      <c r="C2116" s="6" t="s">
        <v>6558</v>
      </c>
      <c r="D2116" s="140">
        <v>11950168</v>
      </c>
      <c r="E2116" s="6" t="s">
        <v>1539</v>
      </c>
      <c r="F2116" s="10" t="s">
        <v>44</v>
      </c>
      <c r="G2116" s="6" t="s">
        <v>6559</v>
      </c>
      <c r="H2116" s="8">
        <v>56476</v>
      </c>
      <c r="I2116" s="8">
        <v>43314</v>
      </c>
      <c r="J2116" s="8">
        <v>43315</v>
      </c>
      <c r="K2116" s="8">
        <v>43328</v>
      </c>
      <c r="L2116" s="95" t="s">
        <v>31</v>
      </c>
      <c r="M2116" s="8">
        <v>43329</v>
      </c>
      <c r="N2116" s="8">
        <v>43875</v>
      </c>
      <c r="O2116" s="8">
        <v>43774</v>
      </c>
      <c r="P2116" s="6" t="s">
        <v>75</v>
      </c>
      <c r="R2116" s="97" t="str">
        <f t="shared" si="76"/>
        <v/>
      </c>
      <c r="S2116" s="75" t="str">
        <f t="shared" si="77"/>
        <v/>
      </c>
      <c r="U2116" s="8">
        <v>43875</v>
      </c>
      <c r="W2116" s="6" t="s">
        <v>84</v>
      </c>
      <c r="X2116" s="95">
        <v>44111</v>
      </c>
    </row>
    <row r="2117" spans="1:24" x14ac:dyDescent="0.25">
      <c r="A2117" s="6" t="s">
        <v>168</v>
      </c>
      <c r="B2117" s="94" t="s">
        <v>6560</v>
      </c>
      <c r="C2117" s="6" t="s">
        <v>6561</v>
      </c>
      <c r="D2117" s="140">
        <v>11697487</v>
      </c>
      <c r="E2117" s="6" t="s">
        <v>6562</v>
      </c>
      <c r="F2117" s="10" t="s">
        <v>205</v>
      </c>
      <c r="G2117" s="6" t="s">
        <v>6563</v>
      </c>
      <c r="H2117" s="8">
        <v>80532</v>
      </c>
      <c r="I2117" s="8">
        <v>43727</v>
      </c>
      <c r="J2117" s="8">
        <v>43752</v>
      </c>
      <c r="K2117" s="95">
        <v>43753</v>
      </c>
      <c r="L2117" s="95" t="s">
        <v>31</v>
      </c>
      <c r="M2117" s="8">
        <v>43755</v>
      </c>
      <c r="N2117" s="8">
        <v>44141</v>
      </c>
      <c r="O2117" s="8">
        <v>44064</v>
      </c>
      <c r="P2117" s="6" t="s">
        <v>90</v>
      </c>
      <c r="Q2117" s="96">
        <v>1278</v>
      </c>
      <c r="R2117" s="97">
        <f t="shared" ref="R2117:R2180" si="78">IF(Q2117&gt;0, Q2117/365, "")</f>
        <v>3.5013698630136987</v>
      </c>
      <c r="S2117" s="75">
        <f t="shared" ref="S2117:S2180" si="79">IF(Q2117&gt;0, SUM(Q2117)*(8259/365), "")</f>
        <v>28917.813698630136</v>
      </c>
      <c r="T2117" s="124" t="s">
        <v>6564</v>
      </c>
      <c r="U2117" s="8">
        <v>44141</v>
      </c>
      <c r="V2117" s="6" t="s">
        <v>36</v>
      </c>
      <c r="W2117" s="6" t="s">
        <v>84</v>
      </c>
      <c r="X2117" s="95">
        <v>45353</v>
      </c>
    </row>
    <row r="2118" spans="1:24" x14ac:dyDescent="0.25">
      <c r="A2118" s="6" t="s">
        <v>168</v>
      </c>
      <c r="B2118" s="94" t="s">
        <v>6565</v>
      </c>
      <c r="C2118" s="6" t="s">
        <v>6566</v>
      </c>
      <c r="D2118" s="140">
        <v>11012024</v>
      </c>
      <c r="E2118" s="6" t="s">
        <v>4015</v>
      </c>
      <c r="F2118" s="10" t="s">
        <v>44</v>
      </c>
      <c r="G2118" s="6" t="s">
        <v>6567</v>
      </c>
      <c r="H2118" s="8">
        <v>44642</v>
      </c>
      <c r="I2118" s="8">
        <v>43602</v>
      </c>
      <c r="J2118" s="8">
        <v>43620</v>
      </c>
      <c r="K2118" s="95">
        <v>43622</v>
      </c>
      <c r="L2118" s="95" t="s">
        <v>31</v>
      </c>
      <c r="M2118" s="8">
        <v>43627</v>
      </c>
      <c r="N2118" s="8">
        <v>44253</v>
      </c>
      <c r="O2118" s="8">
        <v>44099</v>
      </c>
      <c r="P2118" s="6" t="s">
        <v>75</v>
      </c>
      <c r="R2118" s="97" t="str">
        <f t="shared" si="78"/>
        <v/>
      </c>
      <c r="S2118" s="75" t="str">
        <f t="shared" si="79"/>
        <v/>
      </c>
      <c r="U2118" s="8">
        <v>44253</v>
      </c>
      <c r="W2118" s="6" t="s">
        <v>84</v>
      </c>
      <c r="X2118" s="95">
        <v>46852</v>
      </c>
    </row>
    <row r="2119" spans="1:24" x14ac:dyDescent="0.25">
      <c r="A2119" s="6" t="s">
        <v>168</v>
      </c>
      <c r="B2119" s="94" t="s">
        <v>6568</v>
      </c>
      <c r="C2119" s="6" t="s">
        <v>6569</v>
      </c>
      <c r="D2119" s="140">
        <v>10250370</v>
      </c>
      <c r="E2119" s="6" t="s">
        <v>171</v>
      </c>
      <c r="F2119" s="10" t="s">
        <v>44</v>
      </c>
      <c r="G2119" s="6" t="s">
        <v>6570</v>
      </c>
      <c r="H2119" s="8">
        <v>49816</v>
      </c>
      <c r="I2119" s="8">
        <v>44116</v>
      </c>
      <c r="J2119" s="8">
        <v>44151</v>
      </c>
      <c r="K2119" s="95">
        <v>44152</v>
      </c>
      <c r="L2119" s="95" t="s">
        <v>31</v>
      </c>
      <c r="M2119" s="8">
        <v>44175</v>
      </c>
      <c r="N2119" s="8">
        <v>44239</v>
      </c>
      <c r="O2119" s="8">
        <v>44218</v>
      </c>
      <c r="P2119" s="6" t="s">
        <v>69</v>
      </c>
      <c r="R2119" s="97" t="str">
        <f t="shared" si="78"/>
        <v/>
      </c>
      <c r="S2119" s="75" t="str">
        <f t="shared" si="79"/>
        <v/>
      </c>
      <c r="T2119" s="124" t="s">
        <v>6571</v>
      </c>
      <c r="U2119" s="8">
        <v>45023</v>
      </c>
      <c r="W2119" s="6" t="s">
        <v>84</v>
      </c>
      <c r="X2119" s="135">
        <v>48786</v>
      </c>
    </row>
    <row r="2120" spans="1:24" x14ac:dyDescent="0.25">
      <c r="A2120" s="6" t="s">
        <v>168</v>
      </c>
      <c r="B2120" s="94" t="s">
        <v>6572</v>
      </c>
      <c r="C2120" s="6" t="s">
        <v>6573</v>
      </c>
      <c r="D2120" s="140">
        <v>11912038</v>
      </c>
      <c r="E2120" s="6" t="s">
        <v>5545</v>
      </c>
      <c r="F2120" s="10" t="s">
        <v>979</v>
      </c>
      <c r="G2120" s="6" t="s">
        <v>6574</v>
      </c>
      <c r="H2120" s="8">
        <v>52345</v>
      </c>
      <c r="I2120" s="8">
        <v>44368</v>
      </c>
      <c r="J2120" s="8">
        <v>44391</v>
      </c>
      <c r="K2120" s="95">
        <v>44399</v>
      </c>
      <c r="L2120" s="95" t="s">
        <v>359</v>
      </c>
      <c r="R2120" s="97" t="str">
        <f t="shared" si="78"/>
        <v/>
      </c>
      <c r="S2120" s="75" t="str">
        <f t="shared" si="79"/>
        <v/>
      </c>
      <c r="W2120" s="6" t="s">
        <v>84</v>
      </c>
      <c r="X2120" s="7">
        <v>45589</v>
      </c>
    </row>
    <row r="2121" spans="1:24" x14ac:dyDescent="0.25">
      <c r="A2121" s="6" t="s">
        <v>37</v>
      </c>
      <c r="B2121" s="94" t="s">
        <v>792</v>
      </c>
      <c r="C2121" s="6" t="s">
        <v>3565</v>
      </c>
      <c r="D2121" s="140">
        <v>11249659</v>
      </c>
      <c r="E2121" s="6" t="s">
        <v>3266</v>
      </c>
      <c r="F2121" s="10" t="s">
        <v>121</v>
      </c>
      <c r="G2121" s="6" t="s">
        <v>3566</v>
      </c>
      <c r="H2121" s="8">
        <v>46675</v>
      </c>
      <c r="I2121" s="8">
        <v>44130</v>
      </c>
      <c r="J2121" s="8">
        <v>44147</v>
      </c>
      <c r="K2121" s="95">
        <v>44148</v>
      </c>
      <c r="L2121" s="95" t="s">
        <v>31</v>
      </c>
      <c r="M2121" s="8">
        <v>44154</v>
      </c>
      <c r="N2121" s="108">
        <v>44314</v>
      </c>
      <c r="O2121" s="108">
        <v>44257</v>
      </c>
      <c r="P2121" s="107" t="s">
        <v>52</v>
      </c>
      <c r="Q2121" s="110"/>
      <c r="R2121" s="97" t="str">
        <f t="shared" si="78"/>
        <v/>
      </c>
      <c r="S2121" s="75" t="str">
        <f t="shared" si="79"/>
        <v/>
      </c>
      <c r="U2121" s="8">
        <v>44776</v>
      </c>
      <c r="W2121" s="6" t="s">
        <v>33</v>
      </c>
      <c r="X2121" s="135">
        <v>48091</v>
      </c>
    </row>
    <row r="2122" spans="1:24" x14ac:dyDescent="0.25">
      <c r="A2122" s="6" t="s">
        <v>37</v>
      </c>
      <c r="B2122" s="94" t="s">
        <v>6575</v>
      </c>
      <c r="C2122" s="6" t="s">
        <v>6576</v>
      </c>
      <c r="D2122" s="140">
        <v>11361505</v>
      </c>
      <c r="E2122" s="6" t="s">
        <v>130</v>
      </c>
      <c r="F2122" s="10" t="s">
        <v>62</v>
      </c>
      <c r="G2122" s="6" t="s">
        <v>2894</v>
      </c>
      <c r="H2122" s="8">
        <v>48704</v>
      </c>
      <c r="I2122" s="8">
        <v>43474</v>
      </c>
      <c r="J2122" s="8">
        <v>43479</v>
      </c>
      <c r="K2122" s="95">
        <v>43490</v>
      </c>
      <c r="L2122" s="95" t="s">
        <v>31</v>
      </c>
      <c r="M2122" s="8">
        <v>43493</v>
      </c>
      <c r="N2122" s="8">
        <v>43669</v>
      </c>
      <c r="O2122" s="8">
        <v>43657</v>
      </c>
      <c r="P2122" s="6" t="s">
        <v>52</v>
      </c>
      <c r="R2122" s="97" t="str">
        <f t="shared" si="78"/>
        <v/>
      </c>
      <c r="S2122" s="75" t="str">
        <f t="shared" si="79"/>
        <v/>
      </c>
      <c r="U2122" s="8">
        <v>43669</v>
      </c>
      <c r="W2122" s="6" t="s">
        <v>33</v>
      </c>
      <c r="X2122" s="95">
        <v>52353</v>
      </c>
    </row>
    <row r="2123" spans="1:24" x14ac:dyDescent="0.25">
      <c r="A2123" s="6" t="s">
        <v>37</v>
      </c>
      <c r="B2123" s="94" t="s">
        <v>6577</v>
      </c>
      <c r="C2123" s="6" t="s">
        <v>6578</v>
      </c>
      <c r="D2123" s="140">
        <v>11624766</v>
      </c>
      <c r="E2123" s="6" t="s">
        <v>4202</v>
      </c>
      <c r="F2123" s="10" t="s">
        <v>44</v>
      </c>
      <c r="G2123" s="6" t="s">
        <v>6579</v>
      </c>
      <c r="H2123" s="8">
        <v>44305</v>
      </c>
      <c r="I2123" s="8">
        <v>43684</v>
      </c>
      <c r="J2123" s="8">
        <v>43685</v>
      </c>
      <c r="K2123" s="95">
        <v>43693</v>
      </c>
      <c r="L2123" s="95" t="s">
        <v>31</v>
      </c>
      <c r="M2123" s="8">
        <v>43706</v>
      </c>
      <c r="R2123" s="97" t="str">
        <f t="shared" si="78"/>
        <v/>
      </c>
      <c r="S2123" s="75" t="str">
        <f t="shared" si="79"/>
        <v/>
      </c>
      <c r="T2123" s="124" t="s">
        <v>6580</v>
      </c>
      <c r="U2123" s="8">
        <v>44272</v>
      </c>
      <c r="V2123" s="6" t="s">
        <v>36</v>
      </c>
      <c r="W2123" s="6" t="s">
        <v>33</v>
      </c>
      <c r="X2123" s="95">
        <v>48556</v>
      </c>
    </row>
    <row r="2124" spans="1:24" ht="30" x14ac:dyDescent="0.25">
      <c r="A2124" s="6" t="s">
        <v>37</v>
      </c>
      <c r="B2124" s="94" t="s">
        <v>6581</v>
      </c>
      <c r="C2124" s="6" t="s">
        <v>6582</v>
      </c>
      <c r="D2124" s="140">
        <v>12125830</v>
      </c>
      <c r="E2124" s="6" t="s">
        <v>6290</v>
      </c>
      <c r="F2124" s="10" t="s">
        <v>44</v>
      </c>
      <c r="G2124" s="6" t="s">
        <v>6583</v>
      </c>
      <c r="H2124" s="8">
        <v>46100</v>
      </c>
      <c r="I2124" s="8">
        <v>44098</v>
      </c>
      <c r="J2124" s="8">
        <v>44111</v>
      </c>
      <c r="K2124" s="95">
        <v>44112</v>
      </c>
      <c r="L2124" s="95" t="s">
        <v>31</v>
      </c>
      <c r="M2124" s="8">
        <v>44127</v>
      </c>
      <c r="N2124" s="8">
        <v>44307</v>
      </c>
      <c r="O2124" s="8">
        <v>44285</v>
      </c>
      <c r="P2124" s="6" t="s">
        <v>90</v>
      </c>
      <c r="Q2124" s="96">
        <v>1792</v>
      </c>
      <c r="R2124" s="97">
        <f t="shared" si="78"/>
        <v>4.9095890410958907</v>
      </c>
      <c r="S2124" s="75">
        <f t="shared" si="79"/>
        <v>40548.295890410962</v>
      </c>
      <c r="T2124" s="124" t="s">
        <v>6584</v>
      </c>
      <c r="U2124" s="8">
        <v>44307</v>
      </c>
      <c r="V2124" s="6" t="s">
        <v>581</v>
      </c>
      <c r="W2124" s="6" t="s">
        <v>33</v>
      </c>
      <c r="X2124" s="135">
        <v>52228</v>
      </c>
    </row>
    <row r="2125" spans="1:24" x14ac:dyDescent="0.25">
      <c r="A2125" s="6" t="s">
        <v>168</v>
      </c>
      <c r="B2125" s="94" t="s">
        <v>6585</v>
      </c>
      <c r="C2125" s="6" t="s">
        <v>6586</v>
      </c>
      <c r="D2125" s="140">
        <v>11125716</v>
      </c>
      <c r="E2125" s="6" t="s">
        <v>3290</v>
      </c>
      <c r="F2125" s="10" t="s">
        <v>134</v>
      </c>
      <c r="G2125" s="6" t="s">
        <v>6587</v>
      </c>
      <c r="H2125" s="8">
        <v>52290</v>
      </c>
      <c r="I2125" s="8">
        <v>44418</v>
      </c>
      <c r="J2125" s="8">
        <v>44425</v>
      </c>
      <c r="K2125" s="95">
        <v>44425</v>
      </c>
      <c r="L2125" s="95" t="s">
        <v>31</v>
      </c>
      <c r="M2125" s="8">
        <v>44426</v>
      </c>
      <c r="N2125" s="8">
        <v>44620</v>
      </c>
      <c r="O2125" s="8">
        <v>44615</v>
      </c>
      <c r="P2125" s="6" t="s">
        <v>35</v>
      </c>
      <c r="Q2125" s="96">
        <v>4422</v>
      </c>
      <c r="R2125" s="97">
        <f t="shared" si="78"/>
        <v>12.115068493150686</v>
      </c>
      <c r="S2125" s="75">
        <f t="shared" si="79"/>
        <v>100058.35068493152</v>
      </c>
      <c r="U2125" s="8">
        <v>44620</v>
      </c>
      <c r="W2125" s="6" t="s">
        <v>84</v>
      </c>
      <c r="X2125" s="7">
        <v>49049</v>
      </c>
    </row>
    <row r="2126" spans="1:24" ht="30" x14ac:dyDescent="0.25">
      <c r="A2126" s="6" t="s">
        <v>168</v>
      </c>
      <c r="B2126" s="94" t="s">
        <v>2635</v>
      </c>
      <c r="C2126" s="6" t="s">
        <v>6588</v>
      </c>
      <c r="D2126" s="140">
        <v>11954029</v>
      </c>
      <c r="E2126" s="6" t="s">
        <v>4398</v>
      </c>
      <c r="F2126" s="10" t="s">
        <v>44</v>
      </c>
      <c r="G2126" s="6" t="s">
        <v>6589</v>
      </c>
      <c r="H2126" s="8">
        <v>47655</v>
      </c>
      <c r="I2126" s="8">
        <v>43888</v>
      </c>
      <c r="J2126" s="8">
        <v>43906</v>
      </c>
      <c r="K2126" s="95">
        <v>43908</v>
      </c>
      <c r="L2126" s="95" t="s">
        <v>31</v>
      </c>
      <c r="M2126" s="8">
        <v>44056</v>
      </c>
      <c r="N2126" s="8">
        <v>44374</v>
      </c>
      <c r="O2126" s="8">
        <v>44368</v>
      </c>
      <c r="P2126" s="6" t="s">
        <v>90</v>
      </c>
      <c r="Q2126" s="96">
        <v>1286</v>
      </c>
      <c r="R2126" s="97">
        <f t="shared" si="78"/>
        <v>3.5232876712328767</v>
      </c>
      <c r="S2126" s="75">
        <f t="shared" si="79"/>
        <v>29098.832876712331</v>
      </c>
      <c r="T2126" s="124" t="s">
        <v>6590</v>
      </c>
      <c r="U2126" s="8">
        <v>44375</v>
      </c>
      <c r="V2126" s="6" t="s">
        <v>581</v>
      </c>
      <c r="W2126" s="6" t="s">
        <v>84</v>
      </c>
      <c r="X2126" s="95">
        <v>45663</v>
      </c>
    </row>
    <row r="2127" spans="1:24" x14ac:dyDescent="0.25">
      <c r="A2127" s="6" t="s">
        <v>37</v>
      </c>
      <c r="B2127" s="94" t="s">
        <v>573</v>
      </c>
      <c r="C2127" s="6" t="s">
        <v>6591</v>
      </c>
      <c r="D2127" s="140" t="s">
        <v>6592</v>
      </c>
      <c r="E2127" s="6" t="s">
        <v>3421</v>
      </c>
      <c r="F2127" s="10" t="s">
        <v>44</v>
      </c>
      <c r="G2127" s="6" t="s">
        <v>6593</v>
      </c>
      <c r="H2127" s="8">
        <v>45248</v>
      </c>
      <c r="I2127" s="8">
        <v>43586</v>
      </c>
      <c r="J2127" s="8">
        <v>43592</v>
      </c>
      <c r="K2127" s="95">
        <v>43592</v>
      </c>
      <c r="L2127" s="95" t="s">
        <v>31</v>
      </c>
      <c r="M2127" s="8">
        <v>43607</v>
      </c>
      <c r="N2127" s="8">
        <v>43671</v>
      </c>
      <c r="O2127" s="8">
        <v>43658</v>
      </c>
      <c r="P2127" s="6" t="s">
        <v>182</v>
      </c>
      <c r="R2127" s="97" t="str">
        <f t="shared" si="78"/>
        <v/>
      </c>
      <c r="S2127" s="75" t="str">
        <f t="shared" si="79"/>
        <v/>
      </c>
      <c r="U2127" s="8">
        <v>43671</v>
      </c>
      <c r="W2127" s="6" t="s">
        <v>33</v>
      </c>
      <c r="X2127" s="95">
        <v>49682</v>
      </c>
    </row>
    <row r="2128" spans="1:24" x14ac:dyDescent="0.25">
      <c r="A2128" s="6" t="s">
        <v>37</v>
      </c>
      <c r="B2128" s="94" t="s">
        <v>6594</v>
      </c>
      <c r="C2128" s="6" t="s">
        <v>6595</v>
      </c>
      <c r="D2128" s="140">
        <v>12142575</v>
      </c>
      <c r="E2128" s="6" t="s">
        <v>6596</v>
      </c>
      <c r="F2128" s="10" t="s">
        <v>143</v>
      </c>
      <c r="G2128" s="6" t="s">
        <v>6597</v>
      </c>
      <c r="H2128" s="8">
        <v>47250</v>
      </c>
      <c r="I2128" s="8">
        <v>44285</v>
      </c>
      <c r="J2128" s="8">
        <v>44306</v>
      </c>
      <c r="K2128" s="95">
        <v>44307</v>
      </c>
      <c r="L2128" s="95" t="s">
        <v>31</v>
      </c>
      <c r="M2128" s="8">
        <v>44309</v>
      </c>
      <c r="N2128" s="8">
        <v>44501</v>
      </c>
      <c r="O2128" s="8">
        <v>44501</v>
      </c>
      <c r="P2128" s="6" t="s">
        <v>75</v>
      </c>
      <c r="R2128" s="97" t="str">
        <f t="shared" si="78"/>
        <v/>
      </c>
      <c r="S2128" s="75" t="str">
        <f t="shared" si="79"/>
        <v/>
      </c>
      <c r="U2128" s="8">
        <v>44501</v>
      </c>
      <c r="W2128" s="6" t="s">
        <v>33</v>
      </c>
      <c r="X2128" s="7">
        <v>46601</v>
      </c>
    </row>
    <row r="2129" spans="1:24" x14ac:dyDescent="0.25">
      <c r="A2129" s="6" t="s">
        <v>37</v>
      </c>
      <c r="B2129" s="94" t="s">
        <v>6598</v>
      </c>
      <c r="C2129" s="6" t="s">
        <v>6599</v>
      </c>
      <c r="D2129" s="140">
        <v>11264147</v>
      </c>
      <c r="E2129" s="6" t="s">
        <v>6600</v>
      </c>
      <c r="F2129" s="10" t="s">
        <v>299</v>
      </c>
      <c r="G2129" s="6" t="s">
        <v>6601</v>
      </c>
      <c r="H2129" s="8">
        <v>45782</v>
      </c>
      <c r="I2129" s="8">
        <v>44147</v>
      </c>
      <c r="J2129" s="8">
        <v>44180</v>
      </c>
      <c r="K2129" s="95">
        <v>44175</v>
      </c>
      <c r="L2129" s="95" t="s">
        <v>31</v>
      </c>
      <c r="M2129" s="8">
        <v>44218</v>
      </c>
      <c r="N2129" s="8">
        <v>44350</v>
      </c>
      <c r="O2129" s="8">
        <v>44335</v>
      </c>
      <c r="P2129" s="6" t="s">
        <v>52</v>
      </c>
      <c r="R2129" s="97" t="str">
        <f t="shared" si="78"/>
        <v/>
      </c>
      <c r="S2129" s="75" t="str">
        <f t="shared" si="79"/>
        <v/>
      </c>
      <c r="T2129" s="124" t="s">
        <v>6602</v>
      </c>
      <c r="W2129" s="6" t="s">
        <v>33</v>
      </c>
      <c r="X2129" s="95">
        <v>48650</v>
      </c>
    </row>
    <row r="2130" spans="1:24" x14ac:dyDescent="0.25">
      <c r="A2130" s="6" t="s">
        <v>37</v>
      </c>
      <c r="B2130" s="94" t="s">
        <v>6603</v>
      </c>
      <c r="C2130" s="6" t="s">
        <v>6604</v>
      </c>
      <c r="D2130" s="140">
        <v>11193202</v>
      </c>
      <c r="E2130" s="6" t="s">
        <v>839</v>
      </c>
      <c r="F2130" s="10" t="s">
        <v>44</v>
      </c>
      <c r="G2130" s="6" t="s">
        <v>6605</v>
      </c>
      <c r="H2130" s="8">
        <v>45380</v>
      </c>
      <c r="I2130" s="8">
        <v>44242</v>
      </c>
      <c r="J2130" s="8">
        <v>44249</v>
      </c>
      <c r="K2130" s="95">
        <v>44256</v>
      </c>
      <c r="L2130" s="95" t="s">
        <v>31</v>
      </c>
      <c r="M2130" s="8">
        <v>44295</v>
      </c>
      <c r="R2130" s="97" t="str">
        <f t="shared" si="78"/>
        <v/>
      </c>
      <c r="S2130" s="75" t="str">
        <f t="shared" si="79"/>
        <v/>
      </c>
      <c r="T2130" s="124" t="s">
        <v>6606</v>
      </c>
      <c r="U2130" s="8">
        <v>44792</v>
      </c>
      <c r="W2130" s="6" t="s">
        <v>33</v>
      </c>
      <c r="X2130" s="7">
        <v>50529</v>
      </c>
    </row>
    <row r="2131" spans="1:24" ht="30" x14ac:dyDescent="0.25">
      <c r="A2131" s="6" t="s">
        <v>37</v>
      </c>
      <c r="B2131" s="94" t="s">
        <v>449</v>
      </c>
      <c r="C2131" s="6" t="s">
        <v>6607</v>
      </c>
      <c r="D2131" s="140">
        <v>11352155</v>
      </c>
      <c r="E2131" s="6" t="s">
        <v>6608</v>
      </c>
      <c r="F2131" s="10" t="s">
        <v>29</v>
      </c>
      <c r="G2131" s="6" t="s">
        <v>6609</v>
      </c>
      <c r="H2131" s="8">
        <v>44103</v>
      </c>
      <c r="I2131" s="8">
        <v>43515</v>
      </c>
      <c r="J2131" s="8">
        <v>43524</v>
      </c>
      <c r="K2131" s="8">
        <v>43524</v>
      </c>
      <c r="L2131" s="95" t="s">
        <v>31</v>
      </c>
      <c r="M2131" s="8">
        <v>43531</v>
      </c>
      <c r="R2131" s="97" t="str">
        <f t="shared" si="78"/>
        <v/>
      </c>
      <c r="S2131" s="75" t="str">
        <f t="shared" si="79"/>
        <v/>
      </c>
      <c r="T2131" s="124" t="s">
        <v>6610</v>
      </c>
      <c r="U2131" s="8">
        <v>44272</v>
      </c>
      <c r="W2131" s="6" t="s">
        <v>33</v>
      </c>
      <c r="X2131" s="95">
        <v>50513</v>
      </c>
    </row>
    <row r="2132" spans="1:24" x14ac:dyDescent="0.25">
      <c r="A2132" s="6" t="s">
        <v>37</v>
      </c>
      <c r="B2132" s="94" t="s">
        <v>6611</v>
      </c>
      <c r="C2132" s="6" t="s">
        <v>6612</v>
      </c>
      <c r="D2132" s="140">
        <v>12125054</v>
      </c>
      <c r="E2132" s="6" t="s">
        <v>34</v>
      </c>
      <c r="F2132" s="10" t="s">
        <v>6126</v>
      </c>
      <c r="G2132" s="6" t="s">
        <v>6613</v>
      </c>
      <c r="H2132" s="8">
        <v>45076</v>
      </c>
      <c r="I2132" s="8">
        <v>44097</v>
      </c>
      <c r="J2132" s="8">
        <v>44111</v>
      </c>
      <c r="K2132" s="95">
        <v>44112</v>
      </c>
      <c r="L2132" s="95" t="s">
        <v>31</v>
      </c>
      <c r="M2132" s="8">
        <v>44127</v>
      </c>
      <c r="R2132" s="97" t="str">
        <f t="shared" si="78"/>
        <v/>
      </c>
      <c r="S2132" s="75" t="str">
        <f t="shared" si="79"/>
        <v/>
      </c>
      <c r="T2132" s="129" t="s">
        <v>6614</v>
      </c>
      <c r="U2132" s="8">
        <v>44783</v>
      </c>
      <c r="W2132" s="6" t="s">
        <v>33</v>
      </c>
      <c r="X2132" s="135">
        <v>46823</v>
      </c>
    </row>
    <row r="2133" spans="1:24" x14ac:dyDescent="0.25">
      <c r="A2133" s="6" t="s">
        <v>37</v>
      </c>
      <c r="B2133" s="94" t="s">
        <v>6352</v>
      </c>
      <c r="C2133" s="6" t="s">
        <v>6615</v>
      </c>
      <c r="D2133" s="140">
        <v>11276265</v>
      </c>
      <c r="E2133" s="6" t="s">
        <v>5017</v>
      </c>
      <c r="F2133" s="10" t="s">
        <v>143</v>
      </c>
      <c r="G2133" s="6" t="s">
        <v>6616</v>
      </c>
      <c r="H2133" s="8">
        <v>45214</v>
      </c>
      <c r="I2133" s="8">
        <v>44256</v>
      </c>
      <c r="J2133" s="8">
        <v>44267</v>
      </c>
      <c r="K2133" s="95">
        <v>44271</v>
      </c>
      <c r="L2133" s="95" t="s">
        <v>359</v>
      </c>
      <c r="R2133" s="97" t="str">
        <f t="shared" si="78"/>
        <v/>
      </c>
      <c r="S2133" s="75" t="str">
        <f t="shared" si="79"/>
        <v/>
      </c>
      <c r="W2133" s="6" t="s">
        <v>33</v>
      </c>
      <c r="X2133" s="7">
        <v>45411</v>
      </c>
    </row>
    <row r="2134" spans="1:24" x14ac:dyDescent="0.25">
      <c r="A2134" s="6" t="s">
        <v>168</v>
      </c>
      <c r="B2134" s="94" t="s">
        <v>568</v>
      </c>
      <c r="C2134" s="6" t="s">
        <v>6617</v>
      </c>
      <c r="D2134" s="140">
        <v>11904834</v>
      </c>
      <c r="E2134" s="6" t="s">
        <v>2314</v>
      </c>
      <c r="F2134" s="10" t="s">
        <v>252</v>
      </c>
      <c r="G2134" s="6">
        <v>9910738</v>
      </c>
      <c r="H2134" s="8">
        <v>52158</v>
      </c>
      <c r="I2134" s="8">
        <v>43802</v>
      </c>
      <c r="J2134" s="8">
        <v>43846</v>
      </c>
      <c r="K2134" s="95">
        <v>43846</v>
      </c>
      <c r="L2134" s="95" t="s">
        <v>31</v>
      </c>
      <c r="M2134" s="8">
        <v>43853</v>
      </c>
      <c r="N2134" s="8">
        <v>44246</v>
      </c>
      <c r="O2134" s="8">
        <v>44141</v>
      </c>
      <c r="P2134" s="6" t="s">
        <v>75</v>
      </c>
      <c r="R2134" s="97" t="str">
        <f t="shared" si="78"/>
        <v/>
      </c>
      <c r="S2134" s="75" t="str">
        <f t="shared" si="79"/>
        <v/>
      </c>
      <c r="T2134" s="124" t="s">
        <v>6618</v>
      </c>
      <c r="U2134" s="8">
        <v>44246</v>
      </c>
      <c r="W2134" s="6" t="s">
        <v>84</v>
      </c>
      <c r="X2134" s="95">
        <v>45024</v>
      </c>
    </row>
    <row r="2135" spans="1:24" x14ac:dyDescent="0.25">
      <c r="A2135" s="6" t="s">
        <v>37</v>
      </c>
      <c r="B2135" s="94" t="s">
        <v>6619</v>
      </c>
      <c r="C2135" s="6" t="s">
        <v>6620</v>
      </c>
      <c r="D2135" s="140">
        <v>11918455</v>
      </c>
      <c r="E2135" s="6" t="s">
        <v>6621</v>
      </c>
      <c r="F2135" s="10" t="s">
        <v>44</v>
      </c>
      <c r="G2135" s="6" t="s">
        <v>5018</v>
      </c>
      <c r="H2135" s="8">
        <v>52818</v>
      </c>
      <c r="I2135" s="8">
        <v>43738</v>
      </c>
      <c r="J2135" s="8">
        <v>43769</v>
      </c>
      <c r="K2135" s="95">
        <v>43769</v>
      </c>
      <c r="L2135" s="95" t="s">
        <v>31</v>
      </c>
      <c r="M2135" s="8">
        <v>43774</v>
      </c>
      <c r="P2135" s="6" t="s">
        <v>628</v>
      </c>
      <c r="R2135" s="97" t="str">
        <f t="shared" si="78"/>
        <v/>
      </c>
      <c r="S2135" s="75" t="str">
        <f t="shared" si="79"/>
        <v/>
      </c>
      <c r="T2135" s="124" t="s">
        <v>6622</v>
      </c>
      <c r="W2135" s="6" t="s">
        <v>33</v>
      </c>
      <c r="X2135" s="95">
        <v>51361</v>
      </c>
    </row>
    <row r="2136" spans="1:24" x14ac:dyDescent="0.25">
      <c r="A2136" s="6" t="s">
        <v>37</v>
      </c>
      <c r="B2136" s="94" t="s">
        <v>6623</v>
      </c>
      <c r="C2136" s="6" t="s">
        <v>6624</v>
      </c>
      <c r="D2136" s="140">
        <v>11596416</v>
      </c>
      <c r="E2136" s="6" t="s">
        <v>1331</v>
      </c>
      <c r="F2136" s="10" t="s">
        <v>44</v>
      </c>
      <c r="G2136" s="6" t="s">
        <v>6625</v>
      </c>
      <c r="H2136" s="8">
        <v>47784</v>
      </c>
      <c r="I2136" s="8">
        <v>43524</v>
      </c>
      <c r="J2136" s="8">
        <v>43560</v>
      </c>
      <c r="K2136" s="95">
        <v>43563</v>
      </c>
      <c r="L2136" s="95" t="s">
        <v>31</v>
      </c>
      <c r="M2136" s="8">
        <v>43570</v>
      </c>
      <c r="N2136" s="8">
        <v>43636</v>
      </c>
      <c r="O2136" s="8">
        <v>43622</v>
      </c>
      <c r="P2136" s="6" t="s">
        <v>75</v>
      </c>
      <c r="R2136" s="97" t="str">
        <f t="shared" si="78"/>
        <v/>
      </c>
      <c r="S2136" s="75" t="str">
        <f t="shared" si="79"/>
        <v/>
      </c>
      <c r="U2136" s="8">
        <v>43649</v>
      </c>
      <c r="W2136" s="6" t="s">
        <v>33</v>
      </c>
      <c r="X2136" s="95">
        <v>45936</v>
      </c>
    </row>
    <row r="2137" spans="1:24" x14ac:dyDescent="0.25">
      <c r="A2137" s="6" t="s">
        <v>37</v>
      </c>
      <c r="B2137" s="94" t="s">
        <v>6626</v>
      </c>
      <c r="C2137" s="6" t="s">
        <v>6627</v>
      </c>
      <c r="D2137" s="140">
        <v>11969384</v>
      </c>
      <c r="E2137" s="6" t="s">
        <v>6628</v>
      </c>
      <c r="F2137" s="10" t="s">
        <v>1225</v>
      </c>
      <c r="G2137" s="6" t="s">
        <v>6629</v>
      </c>
      <c r="H2137" s="8">
        <v>46883</v>
      </c>
      <c r="I2137" s="8">
        <v>43783</v>
      </c>
      <c r="J2137" s="8">
        <v>43810</v>
      </c>
      <c r="K2137" s="95">
        <v>43810</v>
      </c>
      <c r="L2137" s="95" t="s">
        <v>31</v>
      </c>
      <c r="M2137" s="8">
        <v>43818</v>
      </c>
      <c r="N2137" s="8">
        <v>43846</v>
      </c>
      <c r="O2137" s="8">
        <v>43840</v>
      </c>
      <c r="P2137" s="6" t="s">
        <v>52</v>
      </c>
      <c r="R2137" s="97" t="str">
        <f t="shared" si="78"/>
        <v/>
      </c>
      <c r="S2137" s="75" t="str">
        <f t="shared" si="79"/>
        <v/>
      </c>
      <c r="T2137" s="124" t="s">
        <v>6630</v>
      </c>
      <c r="U2137" s="8">
        <v>43846</v>
      </c>
      <c r="W2137" s="6" t="s">
        <v>33</v>
      </c>
      <c r="X2137" s="6"/>
    </row>
    <row r="2138" spans="1:24" ht="30" x14ac:dyDescent="0.25">
      <c r="A2138" s="6" t="s">
        <v>37</v>
      </c>
      <c r="B2138" s="94" t="s">
        <v>291</v>
      </c>
      <c r="C2138" s="6" t="s">
        <v>3930</v>
      </c>
      <c r="D2138" s="140">
        <v>11049002</v>
      </c>
      <c r="E2138" s="6" t="s">
        <v>6631</v>
      </c>
      <c r="F2138" s="10" t="s">
        <v>44</v>
      </c>
      <c r="G2138" s="6" t="s">
        <v>6632</v>
      </c>
      <c r="H2138" s="8">
        <v>46297</v>
      </c>
      <c r="I2138" s="8">
        <v>43577</v>
      </c>
      <c r="J2138" s="8">
        <v>43580</v>
      </c>
      <c r="K2138" s="95">
        <v>43580</v>
      </c>
      <c r="L2138" s="95" t="s">
        <v>31</v>
      </c>
      <c r="M2138" s="8">
        <v>43607</v>
      </c>
      <c r="N2138" s="8">
        <v>43647</v>
      </c>
      <c r="O2138" s="8">
        <v>43637</v>
      </c>
      <c r="P2138" s="6" t="s">
        <v>75</v>
      </c>
      <c r="R2138" s="97" t="str">
        <f t="shared" si="78"/>
        <v/>
      </c>
      <c r="S2138" s="75" t="str">
        <f t="shared" si="79"/>
        <v/>
      </c>
      <c r="U2138" s="8">
        <v>43647</v>
      </c>
      <c r="W2138" s="6" t="s">
        <v>33</v>
      </c>
      <c r="X2138" s="95">
        <v>48961</v>
      </c>
    </row>
    <row r="2139" spans="1:24" x14ac:dyDescent="0.25">
      <c r="A2139" s="6" t="s">
        <v>37</v>
      </c>
      <c r="B2139" s="94" t="s">
        <v>5836</v>
      </c>
      <c r="C2139" s="6" t="s">
        <v>6633</v>
      </c>
      <c r="D2139" s="140">
        <v>11374440</v>
      </c>
      <c r="E2139" s="6" t="s">
        <v>6361</v>
      </c>
      <c r="F2139" s="10" t="s">
        <v>143</v>
      </c>
      <c r="G2139" s="6" t="s">
        <v>6634</v>
      </c>
      <c r="H2139" s="8">
        <v>45412</v>
      </c>
      <c r="I2139" s="8">
        <v>44256</v>
      </c>
      <c r="J2139" s="8">
        <v>44279</v>
      </c>
      <c r="K2139" s="95">
        <v>44281</v>
      </c>
      <c r="L2139" s="95" t="s">
        <v>359</v>
      </c>
      <c r="R2139" s="97" t="str">
        <f t="shared" si="78"/>
        <v/>
      </c>
      <c r="S2139" s="75" t="str">
        <f t="shared" si="79"/>
        <v/>
      </c>
      <c r="W2139" s="6" t="s">
        <v>33</v>
      </c>
      <c r="X2139" s="7">
        <v>45458</v>
      </c>
    </row>
    <row r="2140" spans="1:24" ht="30" x14ac:dyDescent="0.25">
      <c r="A2140" s="6" t="s">
        <v>37</v>
      </c>
      <c r="B2140" s="94" t="s">
        <v>6635</v>
      </c>
      <c r="C2140" s="6" t="s">
        <v>6636</v>
      </c>
      <c r="D2140" s="140">
        <v>11571178</v>
      </c>
      <c r="E2140" s="6" t="s">
        <v>3671</v>
      </c>
      <c r="F2140" s="10" t="s">
        <v>29</v>
      </c>
      <c r="G2140" s="6" t="s">
        <v>6637</v>
      </c>
      <c r="H2140" s="8">
        <v>46199</v>
      </c>
      <c r="I2140" s="8">
        <v>43671</v>
      </c>
      <c r="J2140" s="8">
        <v>43677</v>
      </c>
      <c r="K2140" s="95">
        <v>43677</v>
      </c>
      <c r="L2140" s="95" t="s">
        <v>31</v>
      </c>
      <c r="M2140" s="8">
        <v>43678</v>
      </c>
      <c r="N2140" s="8">
        <v>44831</v>
      </c>
      <c r="O2140" s="8">
        <v>44830</v>
      </c>
      <c r="P2140" s="6" t="s">
        <v>35</v>
      </c>
      <c r="Q2140" s="96">
        <v>183</v>
      </c>
      <c r="R2140" s="97">
        <f t="shared" si="78"/>
        <v>0.50136986301369868</v>
      </c>
      <c r="S2140" s="75">
        <f t="shared" si="79"/>
        <v>4140.813698630137</v>
      </c>
      <c r="U2140" s="8">
        <v>44952</v>
      </c>
      <c r="V2140" s="6" t="s">
        <v>36</v>
      </c>
      <c r="W2140" s="6" t="s">
        <v>33</v>
      </c>
      <c r="X2140" s="95">
        <v>52079</v>
      </c>
    </row>
    <row r="2141" spans="1:24" ht="30" x14ac:dyDescent="0.25">
      <c r="A2141" s="6" t="s">
        <v>37</v>
      </c>
      <c r="B2141" s="94" t="s">
        <v>202</v>
      </c>
      <c r="C2141" s="6" t="s">
        <v>6638</v>
      </c>
      <c r="D2141" s="140">
        <v>11028914</v>
      </c>
      <c r="E2141" s="6" t="s">
        <v>386</v>
      </c>
      <c r="F2141" s="10" t="s">
        <v>148</v>
      </c>
      <c r="G2141" s="6" t="s">
        <v>6639</v>
      </c>
      <c r="H2141" s="8">
        <v>50090</v>
      </c>
      <c r="I2141" s="8">
        <v>43895</v>
      </c>
      <c r="J2141" s="8">
        <v>44056</v>
      </c>
      <c r="K2141" s="95">
        <v>44056</v>
      </c>
      <c r="L2141" s="95" t="s">
        <v>31</v>
      </c>
      <c r="M2141" s="8">
        <v>44077</v>
      </c>
      <c r="R2141" s="97" t="str">
        <f t="shared" si="78"/>
        <v/>
      </c>
      <c r="S2141" s="75" t="str">
        <f t="shared" si="79"/>
        <v/>
      </c>
      <c r="T2141" s="124" t="s">
        <v>6640</v>
      </c>
      <c r="W2141" s="6" t="s">
        <v>84</v>
      </c>
      <c r="X2141" s="95">
        <v>50570</v>
      </c>
    </row>
    <row r="2142" spans="1:24" x14ac:dyDescent="0.25">
      <c r="A2142" s="6" t="s">
        <v>37</v>
      </c>
      <c r="B2142" s="94" t="s">
        <v>6641</v>
      </c>
      <c r="C2142" s="6" t="s">
        <v>6642</v>
      </c>
      <c r="D2142" s="140" t="s">
        <v>6643</v>
      </c>
      <c r="E2142" s="6" t="s">
        <v>332</v>
      </c>
      <c r="F2142" s="10" t="s">
        <v>44</v>
      </c>
      <c r="G2142" s="6" t="s">
        <v>6644</v>
      </c>
      <c r="H2142" s="8">
        <v>46310</v>
      </c>
      <c r="I2142" s="8">
        <v>43494</v>
      </c>
      <c r="J2142" s="8">
        <v>43501</v>
      </c>
      <c r="K2142" s="95">
        <v>43501</v>
      </c>
      <c r="L2142" s="95" t="s">
        <v>31</v>
      </c>
      <c r="M2142" s="8">
        <v>43507</v>
      </c>
      <c r="N2142" s="8">
        <v>43537</v>
      </c>
      <c r="O2142" s="8">
        <v>43523</v>
      </c>
      <c r="P2142" s="101" t="s">
        <v>182</v>
      </c>
      <c r="R2142" s="97" t="str">
        <f t="shared" si="78"/>
        <v/>
      </c>
      <c r="S2142" s="75" t="str">
        <f t="shared" si="79"/>
        <v/>
      </c>
      <c r="U2142" s="8">
        <v>43537</v>
      </c>
      <c r="W2142" s="6" t="s">
        <v>33</v>
      </c>
      <c r="X2142" s="95">
        <v>51878</v>
      </c>
    </row>
    <row r="2143" spans="1:24" x14ac:dyDescent="0.25">
      <c r="A2143" s="6" t="s">
        <v>37</v>
      </c>
      <c r="B2143" s="94" t="s">
        <v>6645</v>
      </c>
      <c r="C2143" s="6" t="s">
        <v>6646</v>
      </c>
      <c r="D2143" s="140">
        <v>12138591</v>
      </c>
      <c r="E2143" s="6" t="s">
        <v>5479</v>
      </c>
      <c r="F2143" s="10" t="s">
        <v>143</v>
      </c>
      <c r="G2143" s="6" t="s">
        <v>6647</v>
      </c>
      <c r="H2143" s="8">
        <v>45421</v>
      </c>
      <c r="I2143" s="8">
        <v>44256</v>
      </c>
      <c r="J2143" s="8">
        <v>44279</v>
      </c>
      <c r="K2143" s="95">
        <v>44281</v>
      </c>
      <c r="L2143" s="95" t="s">
        <v>31</v>
      </c>
      <c r="M2143" s="8">
        <v>44292</v>
      </c>
      <c r="N2143" s="8">
        <v>45022</v>
      </c>
      <c r="O2143" s="8">
        <v>45021</v>
      </c>
      <c r="P2143" s="6" t="s">
        <v>75</v>
      </c>
      <c r="R2143" s="97" t="str">
        <f t="shared" si="78"/>
        <v/>
      </c>
      <c r="S2143" s="75" t="str">
        <f t="shared" si="79"/>
        <v/>
      </c>
      <c r="U2143" s="8">
        <v>45023</v>
      </c>
      <c r="W2143" s="6" t="s">
        <v>33</v>
      </c>
      <c r="X2143" s="7">
        <v>47154</v>
      </c>
    </row>
    <row r="2144" spans="1:24" x14ac:dyDescent="0.25">
      <c r="A2144" s="6" t="s">
        <v>168</v>
      </c>
      <c r="B2144" s="94" t="s">
        <v>2250</v>
      </c>
      <c r="C2144" s="6" t="s">
        <v>6648</v>
      </c>
      <c r="D2144" s="140">
        <v>11815230</v>
      </c>
      <c r="E2144" s="6" t="s">
        <v>4366</v>
      </c>
      <c r="F2144" s="10" t="s">
        <v>44</v>
      </c>
      <c r="G2144" s="6" t="s">
        <v>6649</v>
      </c>
      <c r="H2144" s="8">
        <v>47096</v>
      </c>
      <c r="I2144" s="8">
        <v>44134</v>
      </c>
      <c r="J2144" s="8">
        <v>44174</v>
      </c>
      <c r="K2144" s="95">
        <v>44175</v>
      </c>
      <c r="L2144" s="95" t="s">
        <v>31</v>
      </c>
      <c r="M2144" s="8">
        <v>44193</v>
      </c>
      <c r="N2144" s="8">
        <v>44516</v>
      </c>
      <c r="O2144" s="8">
        <v>44354</v>
      </c>
      <c r="P2144" s="6" t="s">
        <v>90</v>
      </c>
      <c r="Q2144" s="96">
        <v>2710</v>
      </c>
      <c r="R2144" s="97">
        <f t="shared" si="78"/>
        <v>7.4246575342465757</v>
      </c>
      <c r="S2144" s="75">
        <f t="shared" si="79"/>
        <v>61320.246575342469</v>
      </c>
      <c r="T2144" s="124" t="s">
        <v>6650</v>
      </c>
      <c r="U2144" s="8">
        <v>44519</v>
      </c>
      <c r="V2144" s="6" t="s">
        <v>36</v>
      </c>
      <c r="W2144" s="6" t="s">
        <v>84</v>
      </c>
      <c r="X2144" s="135">
        <v>49635</v>
      </c>
    </row>
    <row r="2145" spans="1:24" x14ac:dyDescent="0.25">
      <c r="A2145" s="6" t="s">
        <v>37</v>
      </c>
      <c r="B2145" s="94" t="s">
        <v>6651</v>
      </c>
      <c r="C2145" s="6" t="s">
        <v>6652</v>
      </c>
      <c r="D2145" s="140">
        <v>12140894</v>
      </c>
      <c r="E2145" s="6" t="s">
        <v>5801</v>
      </c>
      <c r="F2145" s="10" t="s">
        <v>299</v>
      </c>
      <c r="G2145" s="6" t="s">
        <v>6653</v>
      </c>
      <c r="H2145" s="8">
        <v>45633</v>
      </c>
      <c r="I2145" s="8">
        <v>44256</v>
      </c>
      <c r="J2145" s="8">
        <v>44267</v>
      </c>
      <c r="K2145" s="95">
        <v>44272</v>
      </c>
      <c r="L2145" s="95" t="s">
        <v>31</v>
      </c>
      <c r="M2145" s="8">
        <v>44295</v>
      </c>
      <c r="N2145" s="8">
        <v>44336</v>
      </c>
      <c r="O2145" s="8">
        <v>44315</v>
      </c>
      <c r="P2145" s="6" t="s">
        <v>75</v>
      </c>
      <c r="R2145" s="97" t="str">
        <f t="shared" si="78"/>
        <v/>
      </c>
      <c r="S2145" s="75" t="str">
        <f t="shared" si="79"/>
        <v/>
      </c>
      <c r="U2145" s="8">
        <v>44336</v>
      </c>
      <c r="W2145" s="6" t="s">
        <v>33</v>
      </c>
      <c r="X2145" s="7">
        <v>47044</v>
      </c>
    </row>
    <row r="2146" spans="1:24" x14ac:dyDescent="0.25">
      <c r="A2146" s="6" t="s">
        <v>37</v>
      </c>
      <c r="B2146" s="94" t="s">
        <v>6654</v>
      </c>
      <c r="C2146" s="6" t="s">
        <v>6655</v>
      </c>
      <c r="D2146" s="140">
        <v>11297915</v>
      </c>
      <c r="E2146" s="6" t="s">
        <v>3290</v>
      </c>
      <c r="F2146" s="10" t="s">
        <v>299</v>
      </c>
      <c r="G2146" s="6" t="s">
        <v>6656</v>
      </c>
      <c r="H2146" s="8">
        <v>46060</v>
      </c>
      <c r="I2146" s="8">
        <v>44277</v>
      </c>
      <c r="J2146" s="8">
        <v>44279</v>
      </c>
      <c r="K2146" s="95">
        <v>44291</v>
      </c>
      <c r="L2146" s="95" t="s">
        <v>359</v>
      </c>
      <c r="R2146" s="97" t="str">
        <f t="shared" si="78"/>
        <v/>
      </c>
      <c r="S2146" s="75" t="str">
        <f t="shared" si="79"/>
        <v/>
      </c>
      <c r="W2146" s="6" t="s">
        <v>33</v>
      </c>
      <c r="X2146" s="7">
        <v>45472</v>
      </c>
    </row>
    <row r="2147" spans="1:24" x14ac:dyDescent="0.25">
      <c r="A2147" s="6" t="s">
        <v>37</v>
      </c>
      <c r="B2147" s="94" t="s">
        <v>6657</v>
      </c>
      <c r="C2147" s="6" t="s">
        <v>6658</v>
      </c>
      <c r="D2147" s="140">
        <v>11986865</v>
      </c>
      <c r="E2147" s="6" t="s">
        <v>3008</v>
      </c>
      <c r="F2147" s="10" t="s">
        <v>44</v>
      </c>
      <c r="G2147" s="6" t="s">
        <v>6659</v>
      </c>
      <c r="H2147" s="8">
        <v>50367</v>
      </c>
      <c r="I2147" s="8">
        <v>44116</v>
      </c>
      <c r="J2147" s="8">
        <v>44138</v>
      </c>
      <c r="K2147" s="95">
        <v>44139</v>
      </c>
      <c r="L2147" s="95" t="s">
        <v>31</v>
      </c>
      <c r="M2147" s="8">
        <v>44141</v>
      </c>
      <c r="N2147" s="8">
        <v>45184</v>
      </c>
      <c r="O2147" s="8">
        <v>45155</v>
      </c>
      <c r="P2147" s="6" t="s">
        <v>35</v>
      </c>
      <c r="Q2147" s="96">
        <v>7665</v>
      </c>
      <c r="R2147" s="97">
        <f t="shared" si="78"/>
        <v>21</v>
      </c>
      <c r="S2147" s="75">
        <f t="shared" si="79"/>
        <v>173439</v>
      </c>
      <c r="U2147" s="8">
        <v>45338</v>
      </c>
      <c r="W2147" s="6" t="s">
        <v>84</v>
      </c>
      <c r="X2147" s="135">
        <v>46829</v>
      </c>
    </row>
    <row r="2148" spans="1:24" x14ac:dyDescent="0.25">
      <c r="A2148" s="6" t="s">
        <v>37</v>
      </c>
      <c r="B2148" s="94" t="s">
        <v>770</v>
      </c>
      <c r="C2148" s="6" t="s">
        <v>6660</v>
      </c>
      <c r="D2148" s="140">
        <v>11922218</v>
      </c>
      <c r="E2148" s="6" t="s">
        <v>4848</v>
      </c>
      <c r="F2148" s="10" t="s">
        <v>44</v>
      </c>
      <c r="G2148" s="6" t="s">
        <v>6661</v>
      </c>
      <c r="H2148" s="8">
        <v>44955</v>
      </c>
      <c r="I2148" s="8">
        <v>43749</v>
      </c>
      <c r="J2148" s="8">
        <v>43833</v>
      </c>
      <c r="K2148" s="95">
        <v>43836</v>
      </c>
      <c r="L2148" s="95" t="s">
        <v>31</v>
      </c>
      <c r="M2148" s="8">
        <v>43846</v>
      </c>
      <c r="N2148" s="8">
        <v>43861</v>
      </c>
      <c r="O2148" s="8">
        <v>43852</v>
      </c>
      <c r="P2148" s="6" t="s">
        <v>75</v>
      </c>
      <c r="R2148" s="97" t="str">
        <f t="shared" si="78"/>
        <v/>
      </c>
      <c r="S2148" s="75" t="str">
        <f t="shared" si="79"/>
        <v/>
      </c>
      <c r="U2148" s="8">
        <v>43920</v>
      </c>
      <c r="W2148" s="6" t="s">
        <v>33</v>
      </c>
      <c r="X2148" s="95">
        <v>46398</v>
      </c>
    </row>
    <row r="2149" spans="1:24" x14ac:dyDescent="0.25">
      <c r="A2149" s="6" t="s">
        <v>37</v>
      </c>
      <c r="B2149" s="94" t="s">
        <v>770</v>
      </c>
      <c r="C2149" s="6" t="s">
        <v>6662</v>
      </c>
      <c r="D2149" s="140">
        <v>11279677</v>
      </c>
      <c r="E2149" s="6" t="s">
        <v>3290</v>
      </c>
      <c r="F2149" s="10" t="s">
        <v>44</v>
      </c>
      <c r="G2149" s="6" t="s">
        <v>6663</v>
      </c>
      <c r="H2149" s="8">
        <v>44872</v>
      </c>
      <c r="I2149" s="8">
        <v>44130</v>
      </c>
      <c r="J2149" s="8">
        <v>44147</v>
      </c>
      <c r="K2149" s="95">
        <v>44148</v>
      </c>
      <c r="L2149" s="95" t="s">
        <v>31</v>
      </c>
      <c r="M2149" s="8">
        <v>44154</v>
      </c>
      <c r="R2149" s="97" t="str">
        <f t="shared" si="78"/>
        <v/>
      </c>
      <c r="S2149" s="75" t="str">
        <f t="shared" si="79"/>
        <v/>
      </c>
      <c r="T2149" s="129" t="s">
        <v>6664</v>
      </c>
      <c r="U2149" s="8">
        <v>44783</v>
      </c>
      <c r="W2149" s="6" t="s">
        <v>33</v>
      </c>
      <c r="X2149" s="135">
        <v>45600</v>
      </c>
    </row>
    <row r="2150" spans="1:24" x14ac:dyDescent="0.25">
      <c r="A2150" s="6" t="s">
        <v>37</v>
      </c>
      <c r="B2150" s="94" t="s">
        <v>6665</v>
      </c>
      <c r="C2150" s="6" t="s">
        <v>6666</v>
      </c>
      <c r="D2150" s="140">
        <v>12130470</v>
      </c>
      <c r="E2150" s="6" t="s">
        <v>5763</v>
      </c>
      <c r="F2150" s="10" t="s">
        <v>299</v>
      </c>
      <c r="G2150" s="6" t="s">
        <v>6667</v>
      </c>
      <c r="H2150" s="8">
        <v>46148</v>
      </c>
      <c r="I2150" s="8">
        <v>44256</v>
      </c>
      <c r="J2150" s="8">
        <v>44279</v>
      </c>
      <c r="K2150" s="95">
        <v>44281</v>
      </c>
      <c r="L2150" s="95" t="s">
        <v>31</v>
      </c>
      <c r="M2150" s="8">
        <v>44291</v>
      </c>
      <c r="N2150" s="8">
        <v>44623</v>
      </c>
      <c r="O2150" s="8">
        <v>44544</v>
      </c>
      <c r="P2150" s="6" t="s">
        <v>75</v>
      </c>
      <c r="R2150" s="97" t="str">
        <f t="shared" si="78"/>
        <v/>
      </c>
      <c r="S2150" s="75" t="str">
        <f t="shared" si="79"/>
        <v/>
      </c>
      <c r="U2150" s="8">
        <v>44624</v>
      </c>
      <c r="W2150" s="6" t="s">
        <v>33</v>
      </c>
      <c r="X2150" s="7">
        <v>46993</v>
      </c>
    </row>
    <row r="2151" spans="1:24" x14ac:dyDescent="0.25">
      <c r="A2151" s="6" t="s">
        <v>37</v>
      </c>
      <c r="B2151" s="94" t="s">
        <v>6668</v>
      </c>
      <c r="C2151" s="6" t="s">
        <v>6669</v>
      </c>
      <c r="D2151" s="140">
        <v>11962468</v>
      </c>
      <c r="E2151" s="6" t="s">
        <v>232</v>
      </c>
      <c r="F2151" s="10" t="s">
        <v>29</v>
      </c>
      <c r="G2151" s="6" t="s">
        <v>6670</v>
      </c>
      <c r="H2151" s="8">
        <v>46133</v>
      </c>
      <c r="I2151" s="8">
        <v>43892</v>
      </c>
      <c r="J2151" s="8">
        <v>43892</v>
      </c>
      <c r="K2151" s="95">
        <v>44070</v>
      </c>
      <c r="L2151" s="95" t="s">
        <v>31</v>
      </c>
      <c r="M2151" s="8">
        <v>44099</v>
      </c>
      <c r="R2151" s="97" t="str">
        <f t="shared" si="78"/>
        <v/>
      </c>
      <c r="S2151" s="75" t="str">
        <f t="shared" si="79"/>
        <v/>
      </c>
      <c r="T2151" s="124" t="s">
        <v>2810</v>
      </c>
      <c r="W2151" s="6" t="s">
        <v>33</v>
      </c>
      <c r="X2151" s="95">
        <v>51809</v>
      </c>
    </row>
    <row r="2152" spans="1:24" x14ac:dyDescent="0.25">
      <c r="A2152" s="6" t="s">
        <v>37</v>
      </c>
      <c r="B2152" s="94" t="s">
        <v>3749</v>
      </c>
      <c r="C2152" s="6" t="s">
        <v>6671</v>
      </c>
      <c r="D2152" s="140">
        <v>11362793</v>
      </c>
      <c r="E2152" s="6" t="s">
        <v>6452</v>
      </c>
      <c r="F2152" s="10" t="s">
        <v>44</v>
      </c>
      <c r="G2152" s="6" t="s">
        <v>6672</v>
      </c>
      <c r="H2152" s="8">
        <v>48672</v>
      </c>
      <c r="I2152" s="8">
        <v>44251</v>
      </c>
      <c r="J2152" s="8">
        <v>44267</v>
      </c>
      <c r="K2152" s="95">
        <v>44271</v>
      </c>
      <c r="L2152" s="95" t="s">
        <v>31</v>
      </c>
      <c r="M2152" s="8">
        <v>44281</v>
      </c>
      <c r="N2152" s="108">
        <v>44733</v>
      </c>
      <c r="O2152" s="108">
        <v>44726</v>
      </c>
      <c r="P2152" s="107" t="s">
        <v>35</v>
      </c>
      <c r="Q2152" s="110">
        <v>2363</v>
      </c>
      <c r="R2152" s="97">
        <f t="shared" si="78"/>
        <v>6.4739726027397264</v>
      </c>
      <c r="S2152" s="75">
        <f t="shared" si="79"/>
        <v>53468.539726027397</v>
      </c>
      <c r="U2152" s="8">
        <v>44776</v>
      </c>
      <c r="W2152" s="6" t="s">
        <v>33</v>
      </c>
      <c r="X2152" s="7">
        <v>49030</v>
      </c>
    </row>
    <row r="2153" spans="1:24" x14ac:dyDescent="0.25">
      <c r="A2153" s="6" t="s">
        <v>37</v>
      </c>
      <c r="B2153" s="94" t="s">
        <v>1664</v>
      </c>
      <c r="C2153" s="6" t="s">
        <v>6673</v>
      </c>
      <c r="D2153" s="140">
        <v>12130420</v>
      </c>
      <c r="E2153" s="6" t="s">
        <v>2968</v>
      </c>
      <c r="F2153" s="10" t="s">
        <v>2296</v>
      </c>
      <c r="G2153" s="6">
        <v>62128110</v>
      </c>
      <c r="H2153" s="8">
        <v>46902</v>
      </c>
      <c r="I2153" s="8">
        <v>44112</v>
      </c>
      <c r="J2153" s="8">
        <v>44119</v>
      </c>
      <c r="K2153" s="95">
        <v>44120</v>
      </c>
      <c r="L2153" s="95" t="s">
        <v>31</v>
      </c>
      <c r="M2153" s="8">
        <v>44141</v>
      </c>
      <c r="N2153" s="108">
        <v>44691</v>
      </c>
      <c r="O2153" s="108">
        <v>44665</v>
      </c>
      <c r="P2153" s="107" t="s">
        <v>35</v>
      </c>
      <c r="Q2153" s="110">
        <v>1456</v>
      </c>
      <c r="R2153" s="97">
        <f t="shared" si="78"/>
        <v>3.989041095890411</v>
      </c>
      <c r="S2153" s="75">
        <f t="shared" si="79"/>
        <v>32945.490410958904</v>
      </c>
      <c r="U2153" s="8">
        <v>44776</v>
      </c>
      <c r="W2153" s="6" t="s">
        <v>33</v>
      </c>
      <c r="X2153" s="135">
        <v>53774</v>
      </c>
    </row>
    <row r="2154" spans="1:24" x14ac:dyDescent="0.25">
      <c r="A2154" s="6" t="s">
        <v>37</v>
      </c>
      <c r="B2154" s="94" t="s">
        <v>1664</v>
      </c>
      <c r="C2154" s="6" t="s">
        <v>6674</v>
      </c>
      <c r="D2154" s="140">
        <v>12001173</v>
      </c>
      <c r="E2154" s="6" t="s">
        <v>4044</v>
      </c>
      <c r="F2154" s="10" t="s">
        <v>44</v>
      </c>
      <c r="G2154" s="6" t="s">
        <v>6675</v>
      </c>
      <c r="H2154" s="8">
        <v>49176</v>
      </c>
      <c r="I2154" s="8">
        <v>44117</v>
      </c>
      <c r="J2154" s="8">
        <v>44139</v>
      </c>
      <c r="K2154" s="95">
        <v>44144</v>
      </c>
      <c r="L2154" s="95" t="s">
        <v>31</v>
      </c>
      <c r="M2154" s="8">
        <v>44147</v>
      </c>
      <c r="N2154" s="8">
        <v>44475</v>
      </c>
      <c r="O2154" s="8">
        <v>44432</v>
      </c>
      <c r="P2154" s="6" t="s">
        <v>35</v>
      </c>
      <c r="Q2154" s="96">
        <v>1705</v>
      </c>
      <c r="R2154" s="97">
        <f t="shared" si="78"/>
        <v>4.6712328767123283</v>
      </c>
      <c r="S2154" s="75">
        <f t="shared" si="79"/>
        <v>38579.712328767127</v>
      </c>
      <c r="U2154" s="8">
        <v>44476</v>
      </c>
      <c r="W2154" s="6" t="s">
        <v>33</v>
      </c>
      <c r="X2154" s="135">
        <v>51149</v>
      </c>
    </row>
    <row r="2155" spans="1:24" x14ac:dyDescent="0.25">
      <c r="A2155" s="6" t="s">
        <v>37</v>
      </c>
      <c r="B2155" s="94" t="s">
        <v>6676</v>
      </c>
      <c r="C2155" s="6" t="s">
        <v>6677</v>
      </c>
      <c r="D2155" s="140">
        <v>11334940</v>
      </c>
      <c r="E2155" s="6" t="s">
        <v>3386</v>
      </c>
      <c r="F2155" s="10" t="s">
        <v>62</v>
      </c>
      <c r="G2155" s="6" t="s">
        <v>6678</v>
      </c>
      <c r="H2155" s="8">
        <v>45444</v>
      </c>
      <c r="I2155" s="8">
        <v>44050</v>
      </c>
      <c r="J2155" s="8">
        <v>44082</v>
      </c>
      <c r="K2155" s="95">
        <v>44082</v>
      </c>
      <c r="L2155" s="95" t="s">
        <v>31</v>
      </c>
      <c r="M2155" s="8">
        <v>44099</v>
      </c>
      <c r="R2155" s="97" t="str">
        <f t="shared" si="78"/>
        <v/>
      </c>
      <c r="S2155" s="75" t="str">
        <f t="shared" si="79"/>
        <v/>
      </c>
      <c r="W2155" s="6" t="s">
        <v>33</v>
      </c>
      <c r="X2155" s="135">
        <v>46779</v>
      </c>
    </row>
    <row r="2156" spans="1:24" x14ac:dyDescent="0.25">
      <c r="A2156" s="6" t="s">
        <v>37</v>
      </c>
      <c r="B2156" s="94" t="s">
        <v>6679</v>
      </c>
      <c r="C2156" s="6" t="s">
        <v>6680</v>
      </c>
      <c r="D2156" s="140">
        <v>11062083</v>
      </c>
      <c r="E2156" s="6" t="s">
        <v>1960</v>
      </c>
      <c r="F2156" s="10" t="s">
        <v>299</v>
      </c>
      <c r="G2156" s="6" t="s">
        <v>5857</v>
      </c>
      <c r="H2156" s="8">
        <v>45384</v>
      </c>
      <c r="I2156" s="8">
        <v>44277</v>
      </c>
      <c r="J2156" s="8">
        <v>44279</v>
      </c>
      <c r="K2156" s="95">
        <v>44279</v>
      </c>
      <c r="L2156" s="95" t="s">
        <v>359</v>
      </c>
      <c r="R2156" s="97" t="str">
        <f t="shared" si="78"/>
        <v/>
      </c>
      <c r="S2156" s="75" t="str">
        <f t="shared" si="79"/>
        <v/>
      </c>
      <c r="W2156" s="6" t="s">
        <v>33</v>
      </c>
      <c r="X2156" s="7">
        <v>48685</v>
      </c>
    </row>
    <row r="2157" spans="1:24" x14ac:dyDescent="0.25">
      <c r="A2157" s="6" t="s">
        <v>37</v>
      </c>
      <c r="B2157" s="94" t="s">
        <v>6681</v>
      </c>
      <c r="C2157" s="6" t="s">
        <v>6682</v>
      </c>
      <c r="D2157" s="140">
        <v>12118888</v>
      </c>
      <c r="E2157" s="6" t="s">
        <v>6470</v>
      </c>
      <c r="F2157" s="10" t="s">
        <v>205</v>
      </c>
      <c r="G2157" s="6" t="s">
        <v>5978</v>
      </c>
      <c r="H2157" s="8">
        <v>45408</v>
      </c>
      <c r="I2157" s="8">
        <v>44130</v>
      </c>
      <c r="J2157" s="8">
        <v>44147</v>
      </c>
      <c r="K2157" s="95">
        <v>44148</v>
      </c>
      <c r="L2157" s="95" t="s">
        <v>31</v>
      </c>
      <c r="M2157" s="8">
        <v>44159</v>
      </c>
      <c r="R2157" s="97" t="str">
        <f t="shared" si="78"/>
        <v/>
      </c>
      <c r="S2157" s="75" t="str">
        <f t="shared" si="79"/>
        <v/>
      </c>
      <c r="T2157" s="124" t="s">
        <v>6683</v>
      </c>
      <c r="U2157" s="8">
        <v>45100</v>
      </c>
      <c r="W2157" s="6" t="s">
        <v>33</v>
      </c>
      <c r="X2157" s="7">
        <v>46538</v>
      </c>
    </row>
    <row r="2158" spans="1:24" ht="45" x14ac:dyDescent="0.25">
      <c r="A2158" s="6" t="s">
        <v>37</v>
      </c>
      <c r="B2158" s="94" t="s">
        <v>6684</v>
      </c>
      <c r="C2158" s="6" t="s">
        <v>6685</v>
      </c>
      <c r="D2158" s="140">
        <v>11361539</v>
      </c>
      <c r="E2158" s="6" t="s">
        <v>1756</v>
      </c>
      <c r="F2158" s="10" t="s">
        <v>44</v>
      </c>
      <c r="G2158" s="6" t="s">
        <v>6686</v>
      </c>
      <c r="H2158" s="8">
        <v>51645</v>
      </c>
      <c r="I2158" s="8">
        <v>43474</v>
      </c>
      <c r="J2158" s="8">
        <v>43479</v>
      </c>
      <c r="K2158" s="95">
        <v>43497</v>
      </c>
      <c r="L2158" s="95" t="s">
        <v>31</v>
      </c>
      <c r="M2158" s="8">
        <v>43507</v>
      </c>
      <c r="N2158" s="8">
        <v>43564</v>
      </c>
      <c r="O2158" s="8">
        <v>43552</v>
      </c>
      <c r="P2158" s="6" t="s">
        <v>52</v>
      </c>
      <c r="R2158" s="97" t="str">
        <f t="shared" si="78"/>
        <v/>
      </c>
      <c r="S2158" s="75" t="str">
        <f t="shared" si="79"/>
        <v/>
      </c>
      <c r="T2158" s="124" t="s">
        <v>6687</v>
      </c>
      <c r="U2158" s="8">
        <v>43565</v>
      </c>
      <c r="W2158" s="6" t="s">
        <v>33</v>
      </c>
      <c r="X2158" s="95">
        <v>52314</v>
      </c>
    </row>
    <row r="2159" spans="1:24" x14ac:dyDescent="0.25">
      <c r="A2159" s="6" t="s">
        <v>37</v>
      </c>
      <c r="B2159" s="94" t="s">
        <v>6688</v>
      </c>
      <c r="C2159" s="6" t="s">
        <v>6689</v>
      </c>
      <c r="D2159" s="140">
        <v>12134777</v>
      </c>
      <c r="E2159" s="6" t="s">
        <v>5847</v>
      </c>
      <c r="F2159" s="10" t="s">
        <v>139</v>
      </c>
      <c r="G2159" s="6" t="s">
        <v>6690</v>
      </c>
      <c r="H2159" s="8">
        <v>45341</v>
      </c>
      <c r="I2159" s="8">
        <v>44142</v>
      </c>
      <c r="J2159" s="8">
        <v>44174</v>
      </c>
      <c r="K2159" s="95">
        <v>44173</v>
      </c>
      <c r="L2159" s="95" t="s">
        <v>31</v>
      </c>
      <c r="M2159" s="8">
        <v>44183</v>
      </c>
      <c r="N2159" s="8">
        <v>44238</v>
      </c>
      <c r="O2159" s="8">
        <v>44208</v>
      </c>
      <c r="P2159" s="6" t="s">
        <v>75</v>
      </c>
      <c r="R2159" s="97" t="str">
        <f t="shared" si="78"/>
        <v/>
      </c>
      <c r="S2159" s="75" t="str">
        <f t="shared" si="79"/>
        <v/>
      </c>
      <c r="U2159" s="8">
        <v>44239</v>
      </c>
      <c r="W2159" s="6" t="s">
        <v>33</v>
      </c>
      <c r="X2159" s="95">
        <v>47137</v>
      </c>
    </row>
    <row r="2160" spans="1:24" x14ac:dyDescent="0.25">
      <c r="A2160" s="6" t="s">
        <v>37</v>
      </c>
      <c r="B2160" s="94" t="s">
        <v>6691</v>
      </c>
      <c r="C2160" s="6" t="s">
        <v>6692</v>
      </c>
      <c r="D2160" s="140">
        <v>11163832</v>
      </c>
      <c r="E2160" s="6" t="s">
        <v>3163</v>
      </c>
      <c r="F2160" s="10" t="s">
        <v>143</v>
      </c>
      <c r="G2160" s="6" t="s">
        <v>6693</v>
      </c>
      <c r="H2160" s="8">
        <v>44920</v>
      </c>
      <c r="I2160" s="8">
        <v>43592</v>
      </c>
      <c r="J2160" s="8">
        <v>43599</v>
      </c>
      <c r="K2160" s="95">
        <v>43602</v>
      </c>
      <c r="L2160" s="95" t="s">
        <v>31</v>
      </c>
      <c r="M2160" s="8">
        <v>43607</v>
      </c>
      <c r="N2160" s="8">
        <v>43802</v>
      </c>
      <c r="O2160" s="8">
        <v>43790</v>
      </c>
      <c r="P2160" s="6" t="s">
        <v>52</v>
      </c>
      <c r="R2160" s="97" t="str">
        <f t="shared" si="78"/>
        <v/>
      </c>
      <c r="S2160" s="75" t="str">
        <f t="shared" si="79"/>
        <v/>
      </c>
      <c r="U2160" s="8">
        <v>43803</v>
      </c>
      <c r="W2160" s="6" t="s">
        <v>33</v>
      </c>
      <c r="X2160" s="6"/>
    </row>
    <row r="2161" spans="1:24" x14ac:dyDescent="0.25">
      <c r="A2161" s="6" t="s">
        <v>37</v>
      </c>
      <c r="B2161" s="94" t="s">
        <v>6694</v>
      </c>
      <c r="C2161" s="6" t="s">
        <v>6695</v>
      </c>
      <c r="D2161" s="140">
        <v>11615543</v>
      </c>
      <c r="E2161" s="6" t="s">
        <v>4044</v>
      </c>
      <c r="F2161" s="10" t="s">
        <v>143</v>
      </c>
      <c r="G2161" s="6" t="s">
        <v>6696</v>
      </c>
      <c r="H2161" s="8">
        <v>47969</v>
      </c>
      <c r="I2161" s="8">
        <v>44642</v>
      </c>
      <c r="J2161" s="8">
        <v>44650</v>
      </c>
      <c r="K2161" s="95">
        <v>44684</v>
      </c>
      <c r="L2161" s="95" t="s">
        <v>359</v>
      </c>
      <c r="R2161" s="97" t="str">
        <f t="shared" si="78"/>
        <v/>
      </c>
      <c r="S2161" s="75" t="str">
        <f t="shared" si="79"/>
        <v/>
      </c>
      <c r="W2161" s="6" t="s">
        <v>33</v>
      </c>
      <c r="X2161" s="7">
        <v>47493</v>
      </c>
    </row>
    <row r="2162" spans="1:24" x14ac:dyDescent="0.25">
      <c r="A2162" s="6" t="s">
        <v>37</v>
      </c>
      <c r="B2162" s="94" t="s">
        <v>6697</v>
      </c>
      <c r="C2162" s="6" t="s">
        <v>6698</v>
      </c>
      <c r="D2162" s="140">
        <v>12140579</v>
      </c>
      <c r="E2162" s="6" t="s">
        <v>6699</v>
      </c>
      <c r="F2162" s="10" t="s">
        <v>277</v>
      </c>
      <c r="G2162" s="6" t="s">
        <v>6700</v>
      </c>
      <c r="H2162" s="8">
        <v>44867</v>
      </c>
      <c r="I2162" s="8">
        <v>44139</v>
      </c>
      <c r="J2162" s="8">
        <v>44174</v>
      </c>
      <c r="K2162" s="95">
        <v>44173</v>
      </c>
      <c r="L2162" s="95" t="s">
        <v>31</v>
      </c>
      <c r="M2162" s="8">
        <v>44183</v>
      </c>
      <c r="N2162" s="8">
        <v>44305</v>
      </c>
      <c r="O2162" s="8">
        <v>44298</v>
      </c>
      <c r="P2162" s="6" t="s">
        <v>90</v>
      </c>
      <c r="Q2162" s="96">
        <v>648</v>
      </c>
      <c r="R2162" s="97">
        <f t="shared" si="78"/>
        <v>1.7753424657534247</v>
      </c>
      <c r="S2162" s="75">
        <f t="shared" si="79"/>
        <v>14662.553424657535</v>
      </c>
      <c r="T2162" s="124" t="s">
        <v>6701</v>
      </c>
      <c r="U2162" s="8">
        <v>44305</v>
      </c>
      <c r="W2162" s="6" t="s">
        <v>33</v>
      </c>
      <c r="X2162" s="95">
        <v>47141</v>
      </c>
    </row>
    <row r="2163" spans="1:24" x14ac:dyDescent="0.25">
      <c r="A2163" s="6" t="s">
        <v>168</v>
      </c>
      <c r="B2163" s="94" t="s">
        <v>6702</v>
      </c>
      <c r="C2163" s="6" t="s">
        <v>6703</v>
      </c>
      <c r="D2163" s="140">
        <v>11164253</v>
      </c>
      <c r="E2163" s="6" t="s">
        <v>3644</v>
      </c>
      <c r="F2163" s="10" t="s">
        <v>44</v>
      </c>
      <c r="G2163" s="6" t="s">
        <v>6704</v>
      </c>
      <c r="H2163" s="8">
        <v>63353</v>
      </c>
      <c r="I2163" s="8">
        <v>44586</v>
      </c>
      <c r="J2163" s="8">
        <v>44627</v>
      </c>
      <c r="K2163" s="95">
        <v>44630</v>
      </c>
      <c r="L2163" s="95" t="s">
        <v>359</v>
      </c>
      <c r="R2163" s="97" t="str">
        <f t="shared" si="78"/>
        <v/>
      </c>
      <c r="S2163" s="75" t="str">
        <f t="shared" si="79"/>
        <v/>
      </c>
      <c r="W2163" s="6" t="s">
        <v>84</v>
      </c>
      <c r="X2163" s="7">
        <v>46438</v>
      </c>
    </row>
    <row r="2164" spans="1:24" x14ac:dyDescent="0.25">
      <c r="A2164" s="6" t="s">
        <v>37</v>
      </c>
      <c r="B2164" s="94" t="s">
        <v>4082</v>
      </c>
      <c r="C2164" s="6" t="s">
        <v>6705</v>
      </c>
      <c r="D2164" s="140">
        <v>12012800</v>
      </c>
      <c r="E2164" s="6" t="s">
        <v>6706</v>
      </c>
      <c r="F2164" s="10" t="s">
        <v>44</v>
      </c>
      <c r="G2164" s="6" t="s">
        <v>6707</v>
      </c>
      <c r="H2164" s="8">
        <v>45511</v>
      </c>
      <c r="I2164" s="8">
        <v>43837</v>
      </c>
      <c r="J2164" s="8">
        <v>43846</v>
      </c>
      <c r="K2164" s="95">
        <v>43846</v>
      </c>
      <c r="L2164" s="95" t="s">
        <v>31</v>
      </c>
      <c r="M2164" s="8">
        <v>43853</v>
      </c>
      <c r="N2164" s="8">
        <v>43935</v>
      </c>
      <c r="O2164" s="8">
        <v>43917</v>
      </c>
      <c r="P2164" s="6" t="s">
        <v>52</v>
      </c>
      <c r="R2164" s="97" t="str">
        <f t="shared" si="78"/>
        <v/>
      </c>
      <c r="S2164" s="75" t="str">
        <f t="shared" si="79"/>
        <v/>
      </c>
      <c r="U2164" s="8">
        <v>43950</v>
      </c>
      <c r="W2164" s="6" t="s">
        <v>33</v>
      </c>
      <c r="X2164" s="95">
        <v>47084</v>
      </c>
    </row>
    <row r="2165" spans="1:24" x14ac:dyDescent="0.25">
      <c r="A2165" s="6" t="s">
        <v>37</v>
      </c>
      <c r="B2165" s="94" t="s">
        <v>6708</v>
      </c>
      <c r="C2165" s="6" t="s">
        <v>6709</v>
      </c>
      <c r="D2165" s="140">
        <v>12102743</v>
      </c>
      <c r="E2165" s="6" t="s">
        <v>3008</v>
      </c>
      <c r="F2165" s="10" t="s">
        <v>252</v>
      </c>
      <c r="G2165" s="6">
        <v>51310770</v>
      </c>
      <c r="H2165" s="8">
        <v>45375</v>
      </c>
      <c r="I2165" s="8">
        <v>44291</v>
      </c>
      <c r="J2165" s="8">
        <v>44314</v>
      </c>
      <c r="R2165" s="97" t="str">
        <f t="shared" si="78"/>
        <v/>
      </c>
      <c r="S2165" s="75" t="str">
        <f t="shared" si="79"/>
        <v/>
      </c>
      <c r="T2165" s="124" t="s">
        <v>6710</v>
      </c>
      <c r="U2165" s="8">
        <v>45208</v>
      </c>
      <c r="W2165" s="6" t="s">
        <v>33</v>
      </c>
      <c r="X2165" s="7">
        <v>51358</v>
      </c>
    </row>
    <row r="2166" spans="1:24" x14ac:dyDescent="0.25">
      <c r="A2166" s="6" t="s">
        <v>37</v>
      </c>
      <c r="B2166" s="94" t="s">
        <v>145</v>
      </c>
      <c r="C2166" s="6" t="s">
        <v>6711</v>
      </c>
      <c r="D2166" s="140">
        <v>11296586</v>
      </c>
      <c r="E2166" s="6" t="s">
        <v>3303</v>
      </c>
      <c r="F2166" s="10" t="s">
        <v>252</v>
      </c>
      <c r="G2166" s="6">
        <v>51113273</v>
      </c>
      <c r="H2166" s="8">
        <v>45653</v>
      </c>
      <c r="I2166" s="8">
        <v>44291</v>
      </c>
      <c r="J2166" s="8">
        <v>44314</v>
      </c>
      <c r="R2166" s="97" t="str">
        <f t="shared" si="78"/>
        <v/>
      </c>
      <c r="S2166" s="75" t="str">
        <f t="shared" si="79"/>
        <v/>
      </c>
      <c r="T2166" s="124" t="s">
        <v>6712</v>
      </c>
      <c r="U2166" s="8">
        <v>45117</v>
      </c>
      <c r="W2166" s="6" t="s">
        <v>33</v>
      </c>
      <c r="X2166" s="7">
        <v>45542</v>
      </c>
    </row>
    <row r="2167" spans="1:24" x14ac:dyDescent="0.25">
      <c r="A2167" s="6" t="s">
        <v>37</v>
      </c>
      <c r="B2167" s="94" t="s">
        <v>6713</v>
      </c>
      <c r="C2167" s="6" t="s">
        <v>6714</v>
      </c>
      <c r="D2167" s="140">
        <v>11265300</v>
      </c>
      <c r="E2167" s="6" t="s">
        <v>3008</v>
      </c>
      <c r="F2167" s="10" t="s">
        <v>44</v>
      </c>
      <c r="G2167" s="6" t="s">
        <v>6715</v>
      </c>
      <c r="H2167" s="8">
        <v>48184</v>
      </c>
      <c r="I2167" s="8">
        <v>44152</v>
      </c>
      <c r="J2167" s="8">
        <v>44180</v>
      </c>
      <c r="K2167" s="95">
        <v>44175</v>
      </c>
      <c r="L2167" s="95" t="s">
        <v>31</v>
      </c>
      <c r="M2167" s="8">
        <v>44218</v>
      </c>
      <c r="R2167" s="97" t="str">
        <f t="shared" si="78"/>
        <v/>
      </c>
      <c r="S2167" s="75" t="str">
        <f t="shared" si="79"/>
        <v/>
      </c>
      <c r="T2167" s="124" t="s">
        <v>6716</v>
      </c>
      <c r="W2167" s="6" t="s">
        <v>84</v>
      </c>
      <c r="X2167" s="95">
        <v>44709</v>
      </c>
    </row>
    <row r="2168" spans="1:24" x14ac:dyDescent="0.25">
      <c r="A2168" s="6" t="s">
        <v>37</v>
      </c>
      <c r="B2168" s="94" t="s">
        <v>6717</v>
      </c>
      <c r="C2168" s="6" t="s">
        <v>6718</v>
      </c>
      <c r="D2168" s="140">
        <v>11598721</v>
      </c>
      <c r="E2168" s="6" t="s">
        <v>2764</v>
      </c>
      <c r="F2168" s="10" t="s">
        <v>143</v>
      </c>
      <c r="G2168" s="6" t="s">
        <v>6719</v>
      </c>
      <c r="H2168" s="8">
        <v>46497</v>
      </c>
      <c r="I2168" s="8">
        <v>44270</v>
      </c>
      <c r="J2168" s="8">
        <v>44284</v>
      </c>
      <c r="K2168" s="95">
        <v>44285</v>
      </c>
      <c r="L2168" s="95" t="s">
        <v>359</v>
      </c>
      <c r="R2168" s="97" t="str">
        <f t="shared" si="78"/>
        <v/>
      </c>
      <c r="S2168" s="75" t="str">
        <f t="shared" si="79"/>
        <v/>
      </c>
      <c r="W2168" s="6" t="s">
        <v>33</v>
      </c>
      <c r="X2168" s="7">
        <v>47977</v>
      </c>
    </row>
    <row r="2169" spans="1:24" ht="30" x14ac:dyDescent="0.25">
      <c r="A2169" s="6" t="s">
        <v>37</v>
      </c>
      <c r="B2169" s="94" t="s">
        <v>944</v>
      </c>
      <c r="C2169" s="6" t="s">
        <v>6720</v>
      </c>
      <c r="D2169" s="140">
        <v>11604411</v>
      </c>
      <c r="E2169" s="6" t="s">
        <v>6721</v>
      </c>
      <c r="F2169" s="10" t="s">
        <v>134</v>
      </c>
      <c r="G2169" s="6" t="s">
        <v>6722</v>
      </c>
      <c r="H2169" s="8">
        <v>47324</v>
      </c>
      <c r="I2169" s="8">
        <v>43654</v>
      </c>
      <c r="J2169" s="8">
        <v>43664</v>
      </c>
      <c r="K2169" s="95">
        <v>43665</v>
      </c>
      <c r="L2169" s="95" t="s">
        <v>31</v>
      </c>
      <c r="M2169" s="8">
        <v>43671</v>
      </c>
      <c r="N2169" s="8">
        <v>44252</v>
      </c>
      <c r="O2169" s="8">
        <v>44248</v>
      </c>
      <c r="P2169" s="6" t="s">
        <v>90</v>
      </c>
      <c r="Q2169" s="96">
        <v>2973</v>
      </c>
      <c r="R2169" s="97">
        <f t="shared" si="78"/>
        <v>8.1452054794520556</v>
      </c>
      <c r="S2169" s="75">
        <f t="shared" si="79"/>
        <v>67271.252054794517</v>
      </c>
      <c r="T2169" s="124" t="s">
        <v>6723</v>
      </c>
      <c r="U2169" s="8">
        <v>44252</v>
      </c>
      <c r="V2169" s="6" t="s">
        <v>36</v>
      </c>
      <c r="W2169" s="6" t="s">
        <v>33</v>
      </c>
      <c r="X2169" s="95">
        <v>44340</v>
      </c>
    </row>
    <row r="2170" spans="1:24" x14ac:dyDescent="0.25">
      <c r="A2170" s="6" t="s">
        <v>37</v>
      </c>
      <c r="B2170" s="94" t="s">
        <v>944</v>
      </c>
      <c r="C2170" s="6" t="s">
        <v>6724</v>
      </c>
      <c r="D2170" s="140">
        <v>12121269</v>
      </c>
      <c r="E2170" s="6" t="s">
        <v>6596</v>
      </c>
      <c r="F2170" s="10" t="s">
        <v>143</v>
      </c>
      <c r="G2170" s="6" t="s">
        <v>6725</v>
      </c>
      <c r="H2170" s="8">
        <v>46554</v>
      </c>
      <c r="I2170" s="8">
        <v>44277</v>
      </c>
      <c r="J2170" s="8">
        <v>44279</v>
      </c>
      <c r="K2170" s="95">
        <v>44279</v>
      </c>
      <c r="L2170" s="95" t="s">
        <v>31</v>
      </c>
      <c r="M2170" s="8">
        <v>44292</v>
      </c>
      <c r="N2170" s="8">
        <v>44350</v>
      </c>
      <c r="O2170" s="8">
        <v>44330</v>
      </c>
      <c r="P2170" s="6" t="s">
        <v>75</v>
      </c>
      <c r="R2170" s="97" t="str">
        <f t="shared" si="78"/>
        <v/>
      </c>
      <c r="S2170" s="75" t="str">
        <f t="shared" si="79"/>
        <v/>
      </c>
      <c r="U2170" s="8">
        <v>44364</v>
      </c>
      <c r="W2170" s="6" t="s">
        <v>33</v>
      </c>
      <c r="X2170" s="7">
        <v>46262</v>
      </c>
    </row>
    <row r="2171" spans="1:24" x14ac:dyDescent="0.25">
      <c r="A2171" s="6" t="s">
        <v>37</v>
      </c>
      <c r="B2171" s="94" t="s">
        <v>6726</v>
      </c>
      <c r="C2171" s="6" t="s">
        <v>6727</v>
      </c>
      <c r="D2171" s="140">
        <v>11339745</v>
      </c>
      <c r="E2171" s="6" t="s">
        <v>1047</v>
      </c>
      <c r="F2171" s="10" t="s">
        <v>44</v>
      </c>
      <c r="G2171" s="6" t="s">
        <v>6728</v>
      </c>
      <c r="H2171" s="8">
        <v>44986</v>
      </c>
      <c r="I2171" s="8">
        <v>44314</v>
      </c>
      <c r="R2171" s="97" t="str">
        <f t="shared" si="78"/>
        <v/>
      </c>
      <c r="S2171" s="75" t="str">
        <f t="shared" si="79"/>
        <v/>
      </c>
      <c r="U2171" s="8">
        <v>45100</v>
      </c>
      <c r="W2171" s="6" t="s">
        <v>33</v>
      </c>
      <c r="X2171" s="7">
        <v>45121</v>
      </c>
    </row>
    <row r="2172" spans="1:24" x14ac:dyDescent="0.25">
      <c r="A2172" s="6" t="s">
        <v>37</v>
      </c>
      <c r="B2172" s="94" t="s">
        <v>5448</v>
      </c>
      <c r="C2172" s="6" t="s">
        <v>6729</v>
      </c>
      <c r="D2172" s="140">
        <v>11658043</v>
      </c>
      <c r="E2172" s="6" t="s">
        <v>5769</v>
      </c>
      <c r="F2172" s="10" t="s">
        <v>44</v>
      </c>
      <c r="G2172" s="6" t="s">
        <v>6730</v>
      </c>
      <c r="H2172" s="8">
        <v>45073</v>
      </c>
      <c r="I2172" s="8">
        <v>44314</v>
      </c>
      <c r="R2172" s="97" t="str">
        <f t="shared" si="78"/>
        <v/>
      </c>
      <c r="S2172" s="75" t="str">
        <f t="shared" si="79"/>
        <v/>
      </c>
      <c r="U2172" s="8">
        <v>45100</v>
      </c>
      <c r="W2172" s="6" t="s">
        <v>33</v>
      </c>
      <c r="X2172" s="7">
        <v>48176</v>
      </c>
    </row>
    <row r="2173" spans="1:24" x14ac:dyDescent="0.25">
      <c r="A2173" s="6" t="s">
        <v>37</v>
      </c>
      <c r="B2173" s="94" t="s">
        <v>6731</v>
      </c>
      <c r="C2173" s="6" t="s">
        <v>6732</v>
      </c>
      <c r="D2173" s="140">
        <v>11278393</v>
      </c>
      <c r="E2173" s="6" t="s">
        <v>3030</v>
      </c>
      <c r="F2173" s="10" t="s">
        <v>252</v>
      </c>
      <c r="G2173" s="6">
        <v>51000389</v>
      </c>
      <c r="H2173" s="8">
        <v>46964</v>
      </c>
      <c r="I2173" s="8">
        <v>44314</v>
      </c>
      <c r="R2173" s="97" t="str">
        <f t="shared" si="78"/>
        <v/>
      </c>
      <c r="S2173" s="75" t="str">
        <f t="shared" si="79"/>
        <v/>
      </c>
      <c r="W2173" s="6" t="s">
        <v>33</v>
      </c>
      <c r="X2173" s="7">
        <v>49281</v>
      </c>
    </row>
    <row r="2174" spans="1:24" ht="45" x14ac:dyDescent="0.25">
      <c r="A2174" s="6" t="s">
        <v>37</v>
      </c>
      <c r="B2174" s="94" t="s">
        <v>6733</v>
      </c>
      <c r="C2174" s="6" t="s">
        <v>6734</v>
      </c>
      <c r="D2174" s="140">
        <v>11634371</v>
      </c>
      <c r="E2174" s="6" t="s">
        <v>2976</v>
      </c>
      <c r="F2174" s="10" t="s">
        <v>44</v>
      </c>
      <c r="G2174" s="6" t="s">
        <v>6735</v>
      </c>
      <c r="H2174" s="8">
        <v>49786</v>
      </c>
      <c r="I2174" s="8">
        <v>43683</v>
      </c>
      <c r="J2174" s="8">
        <v>43689</v>
      </c>
      <c r="K2174" s="95">
        <v>43691</v>
      </c>
      <c r="L2174" s="95" t="s">
        <v>31</v>
      </c>
      <c r="M2174" s="8">
        <v>43693</v>
      </c>
      <c r="R2174" s="97" t="str">
        <f t="shared" si="78"/>
        <v/>
      </c>
      <c r="S2174" s="75" t="str">
        <f t="shared" si="79"/>
        <v/>
      </c>
      <c r="W2174" s="6" t="s">
        <v>33</v>
      </c>
      <c r="X2174" s="95">
        <v>48487</v>
      </c>
    </row>
    <row r="2175" spans="1:24" x14ac:dyDescent="0.25">
      <c r="A2175" s="6" t="s">
        <v>37</v>
      </c>
      <c r="B2175" s="94" t="s">
        <v>6736</v>
      </c>
      <c r="C2175" s="6" t="s">
        <v>6737</v>
      </c>
      <c r="D2175" s="140">
        <v>11295626</v>
      </c>
      <c r="E2175" s="6" t="s">
        <v>3665</v>
      </c>
      <c r="F2175" s="10" t="s">
        <v>299</v>
      </c>
      <c r="G2175" s="6" t="s">
        <v>6738</v>
      </c>
      <c r="H2175" s="8">
        <v>45380</v>
      </c>
      <c r="I2175" s="8">
        <v>44244</v>
      </c>
      <c r="J2175" s="8">
        <v>44244</v>
      </c>
      <c r="K2175" s="95">
        <v>44244</v>
      </c>
      <c r="L2175" s="95" t="s">
        <v>31</v>
      </c>
      <c r="M2175" s="8">
        <v>44272</v>
      </c>
      <c r="N2175" s="8">
        <v>44306</v>
      </c>
      <c r="O2175" s="8">
        <v>44279</v>
      </c>
      <c r="P2175" s="6" t="s">
        <v>182</v>
      </c>
      <c r="R2175" s="97" t="str">
        <f t="shared" si="78"/>
        <v/>
      </c>
      <c r="S2175" s="75" t="str">
        <f t="shared" si="79"/>
        <v/>
      </c>
      <c r="U2175" s="8">
        <v>44307</v>
      </c>
      <c r="W2175" s="6" t="s">
        <v>33</v>
      </c>
      <c r="X2175" s="7">
        <v>50695</v>
      </c>
    </row>
    <row r="2176" spans="1:24" x14ac:dyDescent="0.25">
      <c r="A2176" s="6" t="s">
        <v>168</v>
      </c>
      <c r="B2176" s="94" t="s">
        <v>323</v>
      </c>
      <c r="C2176" s="6" t="s">
        <v>6739</v>
      </c>
      <c r="D2176" s="140">
        <v>11352734</v>
      </c>
      <c r="E2176" s="6" t="s">
        <v>6740</v>
      </c>
      <c r="F2176" s="10" t="s">
        <v>134</v>
      </c>
      <c r="G2176" s="6" t="s">
        <v>6741</v>
      </c>
      <c r="H2176" s="8">
        <v>44321</v>
      </c>
      <c r="I2176" s="8">
        <v>43543</v>
      </c>
      <c r="J2176" s="8">
        <v>43557</v>
      </c>
      <c r="K2176" s="95">
        <v>43557</v>
      </c>
      <c r="L2176" s="95" t="s">
        <v>31</v>
      </c>
      <c r="M2176" s="8">
        <v>43570</v>
      </c>
      <c r="R2176" s="97" t="str">
        <f t="shared" si="78"/>
        <v/>
      </c>
      <c r="S2176" s="75" t="str">
        <f t="shared" si="79"/>
        <v/>
      </c>
      <c r="T2176" s="124" t="s">
        <v>6742</v>
      </c>
      <c r="U2176" s="8">
        <v>44187</v>
      </c>
      <c r="W2176" s="6" t="s">
        <v>84</v>
      </c>
      <c r="X2176" s="95">
        <v>46509</v>
      </c>
    </row>
    <row r="2177" spans="1:24" x14ac:dyDescent="0.25">
      <c r="A2177" s="6" t="s">
        <v>168</v>
      </c>
      <c r="B2177" s="94" t="s">
        <v>112</v>
      </c>
      <c r="C2177" s="6" t="s">
        <v>6743</v>
      </c>
      <c r="D2177" s="140">
        <v>11795635</v>
      </c>
      <c r="E2177" s="6" t="s">
        <v>6744</v>
      </c>
      <c r="F2177" s="10" t="s">
        <v>134</v>
      </c>
      <c r="G2177" s="6" t="s">
        <v>6745</v>
      </c>
      <c r="H2177" s="8">
        <v>48367</v>
      </c>
      <c r="I2177" s="8">
        <v>44243</v>
      </c>
      <c r="J2177" s="8">
        <v>44267</v>
      </c>
      <c r="K2177" s="95">
        <v>44271</v>
      </c>
      <c r="L2177" s="95" t="s">
        <v>359</v>
      </c>
      <c r="R2177" s="97" t="str">
        <f t="shared" si="78"/>
        <v/>
      </c>
      <c r="S2177" s="75" t="str">
        <f t="shared" si="79"/>
        <v/>
      </c>
      <c r="W2177" s="6" t="s">
        <v>33</v>
      </c>
      <c r="X2177" s="7">
        <v>48278</v>
      </c>
    </row>
    <row r="2178" spans="1:24" x14ac:dyDescent="0.25">
      <c r="A2178" s="6" t="s">
        <v>168</v>
      </c>
      <c r="B2178" s="94" t="s">
        <v>6746</v>
      </c>
      <c r="C2178" s="6" t="s">
        <v>6747</v>
      </c>
      <c r="D2178" s="140">
        <v>10226115</v>
      </c>
      <c r="E2178" s="6" t="s">
        <v>892</v>
      </c>
      <c r="F2178" s="10" t="s">
        <v>2600</v>
      </c>
      <c r="G2178" s="6">
        <v>1213918</v>
      </c>
      <c r="H2178" s="8">
        <v>47314</v>
      </c>
      <c r="I2178" s="8">
        <v>43293</v>
      </c>
      <c r="J2178" s="8">
        <v>43307</v>
      </c>
      <c r="K2178" s="95">
        <v>43307</v>
      </c>
      <c r="L2178" s="95" t="s">
        <v>31</v>
      </c>
      <c r="M2178" s="8">
        <v>43308</v>
      </c>
      <c r="N2178" s="8">
        <v>43531</v>
      </c>
      <c r="O2178" s="8">
        <v>43530</v>
      </c>
      <c r="P2178" s="6" t="s">
        <v>90</v>
      </c>
      <c r="Q2178" s="96">
        <v>6019</v>
      </c>
      <c r="R2178" s="97">
        <f t="shared" si="78"/>
        <v>16.490410958904111</v>
      </c>
      <c r="S2178" s="75">
        <f t="shared" si="79"/>
        <v>136194.30410958905</v>
      </c>
      <c r="T2178" s="124" t="s">
        <v>6748</v>
      </c>
      <c r="U2178" s="8">
        <v>43531</v>
      </c>
      <c r="V2178" s="6" t="s">
        <v>36</v>
      </c>
      <c r="W2178" s="6" t="s">
        <v>84</v>
      </c>
      <c r="X2178" s="95">
        <v>44227</v>
      </c>
    </row>
    <row r="2179" spans="1:24" x14ac:dyDescent="0.25">
      <c r="A2179" s="6" t="s">
        <v>168</v>
      </c>
      <c r="B2179" s="94" t="s">
        <v>6749</v>
      </c>
      <c r="C2179" s="6" t="s">
        <v>6750</v>
      </c>
      <c r="D2179" s="140">
        <v>11014504</v>
      </c>
      <c r="E2179" s="6" t="s">
        <v>171</v>
      </c>
      <c r="F2179" s="10" t="s">
        <v>134</v>
      </c>
      <c r="G2179" s="6" t="s">
        <v>6751</v>
      </c>
      <c r="H2179" s="8">
        <v>47382</v>
      </c>
      <c r="I2179" s="8">
        <v>44251</v>
      </c>
      <c r="J2179" s="8">
        <v>44267</v>
      </c>
      <c r="K2179" s="95">
        <v>44271</v>
      </c>
      <c r="L2179" s="95" t="s">
        <v>31</v>
      </c>
      <c r="M2179" s="8">
        <v>44281</v>
      </c>
      <c r="N2179" s="8">
        <v>44399</v>
      </c>
      <c r="O2179" s="8">
        <v>44397</v>
      </c>
      <c r="P2179" s="6" t="s">
        <v>90</v>
      </c>
      <c r="Q2179" s="96">
        <v>2976</v>
      </c>
      <c r="R2179" s="97">
        <f t="shared" si="78"/>
        <v>8.1534246575342468</v>
      </c>
      <c r="S2179" s="75">
        <f t="shared" si="79"/>
        <v>67339.134246575341</v>
      </c>
      <c r="T2179" s="124" t="s">
        <v>6752</v>
      </c>
      <c r="U2179" s="8">
        <v>44407</v>
      </c>
      <c r="V2179" s="6" t="s">
        <v>36</v>
      </c>
      <c r="W2179" s="6" t="s">
        <v>84</v>
      </c>
      <c r="X2179" s="7">
        <v>46537</v>
      </c>
    </row>
    <row r="2180" spans="1:24" x14ac:dyDescent="0.25">
      <c r="A2180" s="6" t="s">
        <v>168</v>
      </c>
      <c r="B2180" s="94" t="s">
        <v>6753</v>
      </c>
      <c r="C2180" s="6" t="s">
        <v>6754</v>
      </c>
      <c r="D2180" s="140">
        <v>12000161</v>
      </c>
      <c r="E2180" s="6" t="s">
        <v>5553</v>
      </c>
      <c r="F2180" s="10" t="s">
        <v>205</v>
      </c>
      <c r="G2180" s="6" t="s">
        <v>6755</v>
      </c>
      <c r="H2180" s="8">
        <v>45882</v>
      </c>
      <c r="I2180" s="8">
        <v>43699</v>
      </c>
      <c r="J2180" s="8">
        <v>43721</v>
      </c>
      <c r="K2180" s="95">
        <v>43724</v>
      </c>
      <c r="L2180" s="95" t="s">
        <v>31</v>
      </c>
      <c r="M2180" s="8">
        <v>43728</v>
      </c>
      <c r="N2180" s="8">
        <v>43825</v>
      </c>
      <c r="O2180" s="8">
        <v>43822</v>
      </c>
      <c r="P2180" s="6" t="s">
        <v>75</v>
      </c>
      <c r="R2180" s="97" t="str">
        <f t="shared" si="78"/>
        <v/>
      </c>
      <c r="S2180" s="75" t="str">
        <f t="shared" si="79"/>
        <v/>
      </c>
      <c r="U2180" s="8">
        <v>43899</v>
      </c>
      <c r="W2180" s="6" t="s">
        <v>84</v>
      </c>
      <c r="X2180" s="95">
        <v>44626</v>
      </c>
    </row>
    <row r="2181" spans="1:24" x14ac:dyDescent="0.25">
      <c r="A2181" s="6" t="s">
        <v>168</v>
      </c>
      <c r="B2181" s="94" t="s">
        <v>5111</v>
      </c>
      <c r="C2181" s="6" t="s">
        <v>6756</v>
      </c>
      <c r="D2181" s="140">
        <v>11878059</v>
      </c>
      <c r="E2181" s="6" t="s">
        <v>1927</v>
      </c>
      <c r="F2181" s="10" t="s">
        <v>44</v>
      </c>
      <c r="G2181" s="6" t="s">
        <v>6757</v>
      </c>
      <c r="H2181" s="8">
        <v>44258</v>
      </c>
      <c r="I2181" s="8">
        <v>43262</v>
      </c>
      <c r="J2181" s="8">
        <v>43262</v>
      </c>
      <c r="K2181" s="95">
        <v>43262</v>
      </c>
      <c r="L2181" s="95" t="s">
        <v>31</v>
      </c>
      <c r="M2181" s="8">
        <v>43263</v>
      </c>
      <c r="N2181" s="8">
        <v>43557</v>
      </c>
      <c r="O2181" s="8">
        <v>43557</v>
      </c>
      <c r="P2181" s="6" t="s">
        <v>35</v>
      </c>
      <c r="Q2181" s="96">
        <v>365</v>
      </c>
      <c r="R2181" s="97">
        <f t="shared" ref="R2181:R2244" si="80">IF(Q2181&gt;0, Q2181/365, "")</f>
        <v>1</v>
      </c>
      <c r="S2181" s="75">
        <f t="shared" ref="S2181:S2244" si="81">IF(Q2181&gt;0, SUM(Q2181)*(8259/365), "")</f>
        <v>8259</v>
      </c>
      <c r="T2181" s="124" t="s">
        <v>159</v>
      </c>
      <c r="U2181" s="8">
        <v>43564</v>
      </c>
      <c r="W2181" s="6" t="s">
        <v>33</v>
      </c>
      <c r="X2181" s="95">
        <v>44209</v>
      </c>
    </row>
    <row r="2182" spans="1:24" x14ac:dyDescent="0.25">
      <c r="A2182" s="6" t="s">
        <v>168</v>
      </c>
      <c r="B2182" s="94" t="s">
        <v>1616</v>
      </c>
      <c r="C2182" s="6" t="s">
        <v>6758</v>
      </c>
      <c r="D2182" s="140">
        <v>11567052</v>
      </c>
      <c r="E2182" s="6" t="s">
        <v>5433</v>
      </c>
      <c r="F2182" s="10" t="s">
        <v>148</v>
      </c>
      <c r="G2182" s="6" t="s">
        <v>6759</v>
      </c>
      <c r="H2182" s="8">
        <v>48244</v>
      </c>
      <c r="I2182" s="8">
        <v>44336</v>
      </c>
      <c r="J2182" s="8">
        <v>44344</v>
      </c>
      <c r="K2182" s="95">
        <v>44344</v>
      </c>
      <c r="L2182" s="95" t="s">
        <v>359</v>
      </c>
      <c r="R2182" s="97" t="str">
        <f t="shared" si="80"/>
        <v/>
      </c>
      <c r="S2182" s="75" t="str">
        <f t="shared" si="81"/>
        <v/>
      </c>
      <c r="W2182" s="6" t="s">
        <v>84</v>
      </c>
      <c r="X2182" s="7">
        <v>48209</v>
      </c>
    </row>
    <row r="2183" spans="1:24" x14ac:dyDescent="0.25">
      <c r="A2183" s="6" t="s">
        <v>168</v>
      </c>
      <c r="B2183" s="94" t="s">
        <v>1202</v>
      </c>
      <c r="C2183" s="6" t="s">
        <v>6760</v>
      </c>
      <c r="D2183" s="140">
        <v>11464218</v>
      </c>
      <c r="E2183" s="6" t="s">
        <v>2314</v>
      </c>
      <c r="F2183" s="10" t="s">
        <v>44</v>
      </c>
      <c r="G2183" s="6" t="s">
        <v>6761</v>
      </c>
      <c r="H2183" s="8">
        <v>65577</v>
      </c>
      <c r="I2183" s="8">
        <v>44350</v>
      </c>
      <c r="J2183" s="8">
        <v>44370</v>
      </c>
      <c r="K2183" s="95">
        <v>44372</v>
      </c>
      <c r="L2183" s="95" t="s">
        <v>359</v>
      </c>
      <c r="R2183" s="97" t="str">
        <f t="shared" si="80"/>
        <v/>
      </c>
      <c r="S2183" s="75" t="str">
        <f t="shared" si="81"/>
        <v/>
      </c>
      <c r="W2183" s="6" t="s">
        <v>84</v>
      </c>
      <c r="X2183" s="7">
        <v>46097</v>
      </c>
    </row>
    <row r="2184" spans="1:24" x14ac:dyDescent="0.25">
      <c r="A2184" s="6" t="s">
        <v>168</v>
      </c>
      <c r="B2184" s="94" t="s">
        <v>6762</v>
      </c>
      <c r="C2184" s="6" t="s">
        <v>6763</v>
      </c>
      <c r="D2184" s="140">
        <v>11921719</v>
      </c>
      <c r="E2184" s="6" t="s">
        <v>6764</v>
      </c>
      <c r="F2184" s="10" t="s">
        <v>252</v>
      </c>
      <c r="G2184" s="6">
        <v>3947</v>
      </c>
      <c r="H2184" s="8">
        <v>52344</v>
      </c>
      <c r="I2184" s="8">
        <v>43872</v>
      </c>
      <c r="J2184" s="8">
        <v>43893</v>
      </c>
      <c r="K2184" s="95">
        <v>43893</v>
      </c>
      <c r="L2184" s="95" t="s">
        <v>31</v>
      </c>
      <c r="M2184" s="8">
        <v>44041</v>
      </c>
      <c r="R2184" s="97" t="str">
        <f t="shared" si="80"/>
        <v/>
      </c>
      <c r="S2184" s="75" t="str">
        <f t="shared" si="81"/>
        <v/>
      </c>
      <c r="W2184" s="6" t="s">
        <v>84</v>
      </c>
      <c r="X2184" s="95">
        <v>45672</v>
      </c>
    </row>
    <row r="2185" spans="1:24" x14ac:dyDescent="0.25">
      <c r="A2185" s="6" t="s">
        <v>168</v>
      </c>
      <c r="B2185" s="94" t="s">
        <v>792</v>
      </c>
      <c r="C2185" s="6" t="s">
        <v>6765</v>
      </c>
      <c r="D2185" s="140">
        <v>11216528</v>
      </c>
      <c r="E2185" s="6" t="s">
        <v>3465</v>
      </c>
      <c r="F2185" s="10" t="s">
        <v>57</v>
      </c>
      <c r="G2185" s="6" t="s">
        <v>6766</v>
      </c>
      <c r="H2185" s="8">
        <v>49717</v>
      </c>
      <c r="I2185" s="8">
        <v>43880</v>
      </c>
      <c r="J2185" s="8">
        <v>43895</v>
      </c>
      <c r="K2185" s="95">
        <v>43899</v>
      </c>
      <c r="L2185" s="95" t="s">
        <v>31</v>
      </c>
      <c r="M2185" s="8">
        <v>44041</v>
      </c>
      <c r="N2185" s="8">
        <v>44320</v>
      </c>
      <c r="O2185" s="8">
        <v>44090</v>
      </c>
      <c r="P2185" s="6" t="s">
        <v>75</v>
      </c>
      <c r="R2185" s="97" t="str">
        <f t="shared" si="80"/>
        <v/>
      </c>
      <c r="S2185" s="75" t="str">
        <f t="shared" si="81"/>
        <v/>
      </c>
      <c r="U2185" s="8">
        <v>44320</v>
      </c>
      <c r="W2185" s="6" t="s">
        <v>84</v>
      </c>
      <c r="X2185" s="95">
        <v>49803</v>
      </c>
    </row>
    <row r="2186" spans="1:24" x14ac:dyDescent="0.25">
      <c r="A2186" s="6" t="s">
        <v>168</v>
      </c>
      <c r="B2186" s="94" t="s">
        <v>792</v>
      </c>
      <c r="C2186" s="6" t="s">
        <v>6767</v>
      </c>
      <c r="D2186" s="140">
        <v>11076162</v>
      </c>
      <c r="E2186" s="6" t="s">
        <v>4044</v>
      </c>
      <c r="F2186" s="10" t="s">
        <v>44</v>
      </c>
      <c r="G2186" s="6" t="s">
        <v>6768</v>
      </c>
      <c r="H2186" s="8">
        <v>57920</v>
      </c>
      <c r="I2186" s="8">
        <v>44517</v>
      </c>
      <c r="J2186" s="8">
        <v>44539</v>
      </c>
      <c r="K2186" s="95">
        <v>44539</v>
      </c>
      <c r="L2186" s="95" t="s">
        <v>31</v>
      </c>
      <c r="M2186" s="8">
        <v>44560</v>
      </c>
      <c r="N2186" s="8">
        <v>44966</v>
      </c>
      <c r="O2186" s="8">
        <v>44951</v>
      </c>
      <c r="P2186" s="6" t="s">
        <v>35</v>
      </c>
      <c r="Q2186" s="96">
        <v>10950</v>
      </c>
      <c r="R2186" s="97">
        <f t="shared" si="80"/>
        <v>30</v>
      </c>
      <c r="S2186" s="75">
        <f t="shared" si="81"/>
        <v>247770</v>
      </c>
      <c r="U2186" s="8">
        <v>45063</v>
      </c>
      <c r="W2186" s="6" t="s">
        <v>84</v>
      </c>
      <c r="X2186" s="7">
        <v>44592</v>
      </c>
    </row>
    <row r="2187" spans="1:24" ht="30" x14ac:dyDescent="0.25">
      <c r="A2187" s="6" t="s">
        <v>168</v>
      </c>
      <c r="B2187" s="94" t="s">
        <v>1441</v>
      </c>
      <c r="C2187" s="6" t="s">
        <v>6769</v>
      </c>
      <c r="D2187" s="140">
        <v>11250502</v>
      </c>
      <c r="E2187" s="6" t="s">
        <v>714</v>
      </c>
      <c r="F2187" s="10" t="s">
        <v>148</v>
      </c>
      <c r="G2187" s="6" t="s">
        <v>6770</v>
      </c>
      <c r="H2187" s="8">
        <v>46598</v>
      </c>
      <c r="I2187" s="8">
        <v>43488</v>
      </c>
      <c r="J2187" s="8">
        <v>43494</v>
      </c>
      <c r="K2187" s="95">
        <v>43501</v>
      </c>
      <c r="L2187" s="95" t="s">
        <v>31</v>
      </c>
      <c r="M2187" s="8">
        <v>43507</v>
      </c>
      <c r="N2187" s="8">
        <v>43774</v>
      </c>
      <c r="O2187" s="8">
        <v>43760</v>
      </c>
      <c r="P2187" s="6" t="s">
        <v>90</v>
      </c>
      <c r="Q2187" s="96">
        <v>410</v>
      </c>
      <c r="R2187" s="97">
        <f t="shared" si="80"/>
        <v>1.1232876712328768</v>
      </c>
      <c r="S2187" s="75">
        <f t="shared" si="81"/>
        <v>9277.232876712329</v>
      </c>
      <c r="T2187" s="124" t="s">
        <v>6771</v>
      </c>
      <c r="U2187" s="8">
        <v>43788</v>
      </c>
      <c r="V2187" s="6" t="s">
        <v>581</v>
      </c>
      <c r="W2187" s="6" t="s">
        <v>84</v>
      </c>
      <c r="X2187" s="95">
        <v>46012</v>
      </c>
    </row>
    <row r="2188" spans="1:24" ht="30" x14ac:dyDescent="0.25">
      <c r="A2188" s="6" t="s">
        <v>168</v>
      </c>
      <c r="B2188" s="94" t="s">
        <v>2179</v>
      </c>
      <c r="C2188" s="6" t="s">
        <v>6772</v>
      </c>
      <c r="D2188" s="140">
        <v>11610125</v>
      </c>
      <c r="E2188" s="6" t="s">
        <v>3431</v>
      </c>
      <c r="F2188" s="10" t="s">
        <v>44</v>
      </c>
      <c r="G2188" s="6" t="s">
        <v>6773</v>
      </c>
      <c r="H2188" s="8">
        <v>50184</v>
      </c>
      <c r="I2188" s="8">
        <v>43993</v>
      </c>
      <c r="J2188" s="8">
        <v>44056</v>
      </c>
      <c r="K2188" s="95">
        <v>44062</v>
      </c>
      <c r="L2188" s="95" t="s">
        <v>31</v>
      </c>
      <c r="M2188" s="8">
        <v>44077</v>
      </c>
      <c r="N2188" s="8">
        <v>44172</v>
      </c>
      <c r="O2188" s="8">
        <v>44099</v>
      </c>
      <c r="P2188" s="6" t="s">
        <v>52</v>
      </c>
      <c r="R2188" s="97" t="str">
        <f t="shared" si="80"/>
        <v/>
      </c>
      <c r="S2188" s="75" t="str">
        <f t="shared" si="81"/>
        <v/>
      </c>
      <c r="T2188" s="124" t="s">
        <v>6774</v>
      </c>
      <c r="U2188" s="8">
        <v>44172</v>
      </c>
      <c r="W2188" s="6" t="s">
        <v>84</v>
      </c>
      <c r="X2188" s="135">
        <v>45972</v>
      </c>
    </row>
    <row r="2189" spans="1:24" x14ac:dyDescent="0.25">
      <c r="A2189" s="6" t="s">
        <v>168</v>
      </c>
      <c r="B2189" s="94" t="s">
        <v>6775</v>
      </c>
      <c r="C2189" s="6" t="s">
        <v>6776</v>
      </c>
      <c r="D2189" s="140">
        <v>11806068</v>
      </c>
      <c r="E2189" s="6" t="s">
        <v>3362</v>
      </c>
      <c r="F2189" s="10" t="s">
        <v>44</v>
      </c>
      <c r="G2189" s="6" t="s">
        <v>6777</v>
      </c>
      <c r="H2189" s="8">
        <v>47752</v>
      </c>
      <c r="I2189" s="8">
        <v>44222</v>
      </c>
      <c r="J2189" s="8">
        <v>44236</v>
      </c>
      <c r="K2189" s="95">
        <v>44238</v>
      </c>
      <c r="L2189" s="95" t="s">
        <v>31</v>
      </c>
      <c r="M2189" s="8">
        <v>44246</v>
      </c>
      <c r="N2189" s="8">
        <v>44949</v>
      </c>
      <c r="O2189" s="8">
        <v>44945</v>
      </c>
      <c r="P2189" s="6" t="s">
        <v>35</v>
      </c>
      <c r="Q2189" s="96">
        <v>2275</v>
      </c>
      <c r="R2189" s="97">
        <f t="shared" si="80"/>
        <v>6.2328767123287667</v>
      </c>
      <c r="S2189" s="75">
        <f t="shared" si="81"/>
        <v>51477.32876712329</v>
      </c>
      <c r="U2189" s="8">
        <v>44952</v>
      </c>
      <c r="W2189" s="6" t="s">
        <v>33</v>
      </c>
      <c r="X2189" s="7">
        <v>44956</v>
      </c>
    </row>
    <row r="2190" spans="1:24" x14ac:dyDescent="0.25">
      <c r="A2190" s="6" t="s">
        <v>168</v>
      </c>
      <c r="B2190" s="94" t="s">
        <v>6778</v>
      </c>
      <c r="C2190" s="6" t="s">
        <v>6779</v>
      </c>
      <c r="D2190" s="140">
        <v>11018709</v>
      </c>
      <c r="E2190" s="6" t="s">
        <v>6780</v>
      </c>
      <c r="F2190" s="10" t="s">
        <v>121</v>
      </c>
      <c r="G2190" s="6" t="s">
        <v>6781</v>
      </c>
      <c r="H2190" s="8">
        <v>45030</v>
      </c>
      <c r="I2190" s="8">
        <v>43727</v>
      </c>
      <c r="R2190" s="97" t="str">
        <f t="shared" si="80"/>
        <v/>
      </c>
      <c r="S2190" s="75" t="str">
        <f t="shared" si="81"/>
        <v/>
      </c>
      <c r="T2190" s="124" t="s">
        <v>6782</v>
      </c>
      <c r="U2190" s="8">
        <v>44095</v>
      </c>
      <c r="W2190" s="6" t="s">
        <v>84</v>
      </c>
      <c r="X2190" s="95">
        <v>46326</v>
      </c>
    </row>
    <row r="2191" spans="1:24" x14ac:dyDescent="0.25">
      <c r="A2191" s="6" t="s">
        <v>168</v>
      </c>
      <c r="B2191" s="94" t="s">
        <v>6783</v>
      </c>
      <c r="C2191" s="6" t="s">
        <v>6784</v>
      </c>
      <c r="D2191" s="140">
        <v>12000205</v>
      </c>
      <c r="E2191" s="6" t="s">
        <v>714</v>
      </c>
      <c r="F2191" s="10" t="s">
        <v>2296</v>
      </c>
      <c r="G2191" s="6">
        <v>62098019</v>
      </c>
      <c r="H2191" s="8">
        <v>48205</v>
      </c>
      <c r="I2191" s="8">
        <v>44489</v>
      </c>
      <c r="J2191" s="8">
        <v>44539</v>
      </c>
      <c r="K2191" s="95">
        <v>44546</v>
      </c>
      <c r="L2191" s="95" t="s">
        <v>31</v>
      </c>
      <c r="M2191" s="8">
        <v>44560</v>
      </c>
      <c r="N2191" s="8">
        <v>44924</v>
      </c>
      <c r="O2191" s="8">
        <v>44909</v>
      </c>
      <c r="P2191" s="6" t="s">
        <v>52</v>
      </c>
      <c r="R2191" s="97" t="str">
        <f t="shared" si="80"/>
        <v/>
      </c>
      <c r="S2191" s="75" t="str">
        <f t="shared" si="81"/>
        <v/>
      </c>
      <c r="U2191" s="8">
        <v>44980</v>
      </c>
      <c r="W2191" s="6" t="s">
        <v>84</v>
      </c>
      <c r="X2191" s="7">
        <v>47043</v>
      </c>
    </row>
    <row r="2192" spans="1:24" x14ac:dyDescent="0.25">
      <c r="A2192" s="6" t="s">
        <v>168</v>
      </c>
      <c r="B2192" s="94" t="s">
        <v>6242</v>
      </c>
      <c r="C2192" s="6" t="s">
        <v>6785</v>
      </c>
      <c r="D2192" s="140">
        <v>11544948</v>
      </c>
      <c r="E2192" s="6" t="s">
        <v>5479</v>
      </c>
      <c r="F2192" s="10" t="s">
        <v>693</v>
      </c>
      <c r="G2192" s="6" t="s">
        <v>6786</v>
      </c>
      <c r="H2192" s="8">
        <v>50380</v>
      </c>
      <c r="I2192" s="8">
        <v>44354</v>
      </c>
      <c r="J2192" s="8">
        <v>44372</v>
      </c>
      <c r="K2192" s="95">
        <v>44375</v>
      </c>
      <c r="L2192" s="95" t="s">
        <v>31</v>
      </c>
      <c r="M2192" s="8">
        <v>44386</v>
      </c>
      <c r="N2192" s="8">
        <v>44596</v>
      </c>
      <c r="O2192" s="8">
        <v>44595</v>
      </c>
      <c r="P2192" s="6" t="s">
        <v>35</v>
      </c>
      <c r="Q2192" s="96">
        <v>4647</v>
      </c>
      <c r="R2192" s="97">
        <f t="shared" si="80"/>
        <v>12.731506849315069</v>
      </c>
      <c r="S2192" s="75">
        <f t="shared" si="81"/>
        <v>105149.51506849316</v>
      </c>
      <c r="U2192" s="8">
        <v>44608</v>
      </c>
      <c r="W2192" s="6" t="s">
        <v>33</v>
      </c>
      <c r="X2192" s="7">
        <v>47389</v>
      </c>
    </row>
    <row r="2193" spans="1:24" x14ac:dyDescent="0.25">
      <c r="A2193" s="6" t="s">
        <v>168</v>
      </c>
      <c r="B2193" s="94" t="s">
        <v>6787</v>
      </c>
      <c r="C2193" s="6" t="s">
        <v>6788</v>
      </c>
      <c r="D2193" s="140">
        <v>11087943</v>
      </c>
      <c r="E2193" s="6" t="s">
        <v>2314</v>
      </c>
      <c r="F2193" s="10" t="s">
        <v>29</v>
      </c>
      <c r="G2193" s="6" t="s">
        <v>6789</v>
      </c>
      <c r="H2193" s="8">
        <v>57733</v>
      </c>
      <c r="I2193" s="8">
        <v>44364</v>
      </c>
      <c r="J2193" s="8">
        <v>44371</v>
      </c>
      <c r="K2193" s="95">
        <v>44372</v>
      </c>
      <c r="L2193" s="95" t="s">
        <v>359</v>
      </c>
      <c r="R2193" s="97" t="str">
        <f t="shared" si="80"/>
        <v/>
      </c>
      <c r="S2193" s="75" t="str">
        <f t="shared" si="81"/>
        <v/>
      </c>
      <c r="W2193" s="6" t="s">
        <v>84</v>
      </c>
      <c r="X2193" s="7">
        <v>46759</v>
      </c>
    </row>
    <row r="2194" spans="1:24" x14ac:dyDescent="0.25">
      <c r="A2194" s="6" t="s">
        <v>168</v>
      </c>
      <c r="B2194" s="94" t="s">
        <v>6790</v>
      </c>
      <c r="C2194" s="6" t="s">
        <v>6791</v>
      </c>
      <c r="D2194" s="140">
        <v>11663571</v>
      </c>
      <c r="E2194" s="6" t="s">
        <v>714</v>
      </c>
      <c r="F2194" s="10" t="s">
        <v>134</v>
      </c>
      <c r="G2194" s="6" t="s">
        <v>6792</v>
      </c>
      <c r="H2194" s="8">
        <v>57123</v>
      </c>
      <c r="I2194" s="8">
        <v>43488</v>
      </c>
      <c r="J2194" s="8">
        <v>43494</v>
      </c>
      <c r="K2194" s="95">
        <v>43501</v>
      </c>
      <c r="L2194" s="95" t="s">
        <v>31</v>
      </c>
      <c r="M2194" s="8">
        <v>43507</v>
      </c>
      <c r="N2194" s="8">
        <v>43712</v>
      </c>
      <c r="O2194" s="8">
        <v>43706</v>
      </c>
      <c r="P2194" s="6" t="s">
        <v>90</v>
      </c>
      <c r="Q2194" s="96">
        <v>53</v>
      </c>
      <c r="R2194" s="97">
        <f t="shared" si="80"/>
        <v>0.14520547945205478</v>
      </c>
      <c r="S2194" s="75">
        <f t="shared" si="81"/>
        <v>1199.2520547945205</v>
      </c>
      <c r="T2194" s="124" t="s">
        <v>6793</v>
      </c>
      <c r="U2194" s="8">
        <v>43712</v>
      </c>
      <c r="V2194" s="6" t="s">
        <v>36</v>
      </c>
      <c r="W2194" s="6" t="s">
        <v>84</v>
      </c>
      <c r="X2194" s="95">
        <v>37291</v>
      </c>
    </row>
    <row r="2195" spans="1:24" x14ac:dyDescent="0.25">
      <c r="A2195" s="6" t="s">
        <v>168</v>
      </c>
      <c r="B2195" s="94" t="s">
        <v>6794</v>
      </c>
      <c r="C2195" s="6" t="s">
        <v>6795</v>
      </c>
      <c r="D2195" s="140">
        <v>11913933</v>
      </c>
      <c r="E2195" s="6" t="s">
        <v>4044</v>
      </c>
      <c r="F2195" s="10" t="s">
        <v>121</v>
      </c>
      <c r="G2195" s="6" t="s">
        <v>6796</v>
      </c>
      <c r="H2195" s="8">
        <v>51670</v>
      </c>
      <c r="I2195" s="8">
        <v>44000</v>
      </c>
      <c r="J2195" s="8">
        <v>44056</v>
      </c>
      <c r="K2195" s="95">
        <v>44070</v>
      </c>
      <c r="L2195" s="95" t="s">
        <v>359</v>
      </c>
      <c r="R2195" s="97" t="str">
        <f t="shared" si="80"/>
        <v/>
      </c>
      <c r="S2195" s="75" t="str">
        <f t="shared" si="81"/>
        <v/>
      </c>
      <c r="W2195" s="6" t="s">
        <v>84</v>
      </c>
      <c r="X2195" s="135">
        <v>44946</v>
      </c>
    </row>
    <row r="2196" spans="1:24" x14ac:dyDescent="0.25">
      <c r="A2196" s="6" t="s">
        <v>168</v>
      </c>
      <c r="B2196" s="94" t="s">
        <v>6797</v>
      </c>
      <c r="C2196" s="6" t="s">
        <v>6798</v>
      </c>
      <c r="D2196" s="140">
        <v>11029041</v>
      </c>
      <c r="E2196" s="6" t="s">
        <v>6780</v>
      </c>
      <c r="F2196" s="10" t="s">
        <v>205</v>
      </c>
      <c r="G2196" s="6" t="s">
        <v>6799</v>
      </c>
      <c r="H2196" s="8">
        <v>44488</v>
      </c>
      <c r="I2196" s="8">
        <v>43634</v>
      </c>
      <c r="J2196" s="8">
        <v>43654</v>
      </c>
      <c r="K2196" s="95">
        <v>43654</v>
      </c>
      <c r="L2196" s="95" t="s">
        <v>31</v>
      </c>
      <c r="M2196" s="8">
        <v>43656</v>
      </c>
      <c r="N2196" s="8">
        <v>43809</v>
      </c>
      <c r="O2196" s="8">
        <v>43784</v>
      </c>
      <c r="P2196" s="6" t="s">
        <v>35</v>
      </c>
      <c r="Q2196" s="96">
        <v>487</v>
      </c>
      <c r="R2196" s="97">
        <f t="shared" si="80"/>
        <v>1.3342465753424657</v>
      </c>
      <c r="S2196" s="75">
        <f t="shared" si="81"/>
        <v>11019.542465753426</v>
      </c>
      <c r="U2196" s="8">
        <v>43809</v>
      </c>
      <c r="W2196" s="6" t="s">
        <v>33</v>
      </c>
      <c r="X2196" s="6"/>
    </row>
    <row r="2197" spans="1:24" x14ac:dyDescent="0.25">
      <c r="A2197" s="6" t="s">
        <v>168</v>
      </c>
      <c r="B2197" s="94" t="s">
        <v>449</v>
      </c>
      <c r="C2197" s="6" t="s">
        <v>6800</v>
      </c>
      <c r="D2197" s="140">
        <v>11530795</v>
      </c>
      <c r="E2197" s="6" t="s">
        <v>4044</v>
      </c>
      <c r="F2197" s="10" t="s">
        <v>29</v>
      </c>
      <c r="G2197" s="6" t="s">
        <v>6801</v>
      </c>
      <c r="H2197" s="8">
        <v>48850</v>
      </c>
      <c r="I2197" s="8">
        <v>44243</v>
      </c>
      <c r="J2197" s="8">
        <v>44267</v>
      </c>
      <c r="K2197" s="95">
        <v>44271</v>
      </c>
      <c r="L2197" s="95" t="s">
        <v>31</v>
      </c>
      <c r="M2197" s="8">
        <v>44281</v>
      </c>
      <c r="N2197" s="8">
        <v>44392</v>
      </c>
      <c r="O2197" s="8">
        <v>44385</v>
      </c>
      <c r="P2197" s="6" t="s">
        <v>90</v>
      </c>
      <c r="Q2197" s="96">
        <v>4452</v>
      </c>
      <c r="R2197" s="97">
        <f t="shared" si="80"/>
        <v>12.197260273972603</v>
      </c>
      <c r="S2197" s="75">
        <f t="shared" si="81"/>
        <v>100737.17260273972</v>
      </c>
      <c r="T2197" s="124" t="s">
        <v>6802</v>
      </c>
      <c r="U2197" s="8">
        <v>44407</v>
      </c>
      <c r="V2197" s="6" t="s">
        <v>36</v>
      </c>
      <c r="W2197" s="6" t="s">
        <v>84</v>
      </c>
      <c r="X2197" s="7">
        <v>47212</v>
      </c>
    </row>
    <row r="2198" spans="1:24" x14ac:dyDescent="0.25">
      <c r="A2198" s="6" t="s">
        <v>168</v>
      </c>
      <c r="B2198" s="94" t="s">
        <v>449</v>
      </c>
      <c r="C2198" s="6" t="s">
        <v>6803</v>
      </c>
      <c r="D2198" s="140">
        <v>11928090</v>
      </c>
      <c r="E2198" s="6" t="s">
        <v>4044</v>
      </c>
      <c r="F2198" s="10" t="s">
        <v>29</v>
      </c>
      <c r="G2198" s="6" t="s">
        <v>6804</v>
      </c>
      <c r="H2198" s="8">
        <v>47095</v>
      </c>
      <c r="I2198" s="8">
        <v>44391</v>
      </c>
      <c r="J2198" s="8">
        <v>44413</v>
      </c>
      <c r="K2198" s="95">
        <v>44414</v>
      </c>
      <c r="L2198" s="95" t="s">
        <v>359</v>
      </c>
      <c r="R2198" s="97" t="str">
        <f t="shared" si="80"/>
        <v/>
      </c>
      <c r="S2198" s="75" t="str">
        <f t="shared" si="81"/>
        <v/>
      </c>
      <c r="W2198" s="6" t="s">
        <v>84</v>
      </c>
      <c r="X2198" s="7">
        <v>45934</v>
      </c>
    </row>
    <row r="2199" spans="1:24" x14ac:dyDescent="0.25">
      <c r="A2199" s="6" t="s">
        <v>168</v>
      </c>
      <c r="B2199" s="94" t="s">
        <v>6805</v>
      </c>
      <c r="C2199" s="6" t="s">
        <v>6806</v>
      </c>
      <c r="D2199" s="140">
        <v>11282041</v>
      </c>
      <c r="E2199" s="6" t="s">
        <v>3980</v>
      </c>
      <c r="F2199" s="10" t="s">
        <v>299</v>
      </c>
      <c r="G2199" s="6" t="s">
        <v>6807</v>
      </c>
      <c r="H2199" s="8">
        <v>43303</v>
      </c>
      <c r="I2199" s="8">
        <v>43588</v>
      </c>
      <c r="J2199" s="8">
        <v>43591</v>
      </c>
      <c r="K2199" s="95">
        <v>43593</v>
      </c>
      <c r="L2199" s="95" t="s">
        <v>359</v>
      </c>
      <c r="R2199" s="97" t="str">
        <f t="shared" si="80"/>
        <v/>
      </c>
      <c r="S2199" s="75" t="str">
        <f t="shared" si="81"/>
        <v/>
      </c>
      <c r="W2199" s="6" t="s">
        <v>84</v>
      </c>
      <c r="X2199" s="95">
        <v>44820</v>
      </c>
    </row>
    <row r="2200" spans="1:24" x14ac:dyDescent="0.25">
      <c r="A2200" s="6" t="s">
        <v>168</v>
      </c>
      <c r="B2200" s="94" t="s">
        <v>1894</v>
      </c>
      <c r="C2200" s="6" t="s">
        <v>6808</v>
      </c>
      <c r="D2200" s="140">
        <v>10998250</v>
      </c>
      <c r="E2200" s="6" t="s">
        <v>2589</v>
      </c>
      <c r="F2200" s="10" t="s">
        <v>176</v>
      </c>
      <c r="G2200" s="6" t="s">
        <v>6809</v>
      </c>
      <c r="H2200" s="8">
        <v>52647</v>
      </c>
      <c r="I2200" s="8">
        <v>43887</v>
      </c>
      <c r="J2200" s="8">
        <v>44106</v>
      </c>
      <c r="K2200" s="95">
        <v>44106</v>
      </c>
      <c r="L2200" s="95" t="s">
        <v>359</v>
      </c>
      <c r="R2200" s="97" t="str">
        <f t="shared" si="80"/>
        <v/>
      </c>
      <c r="S2200" s="75" t="str">
        <f t="shared" si="81"/>
        <v/>
      </c>
      <c r="W2200" s="6" t="s">
        <v>84</v>
      </c>
      <c r="X2200" s="135">
        <v>45338</v>
      </c>
    </row>
    <row r="2201" spans="1:24" x14ac:dyDescent="0.25">
      <c r="A2201" s="6" t="s">
        <v>168</v>
      </c>
      <c r="B2201" s="94" t="s">
        <v>6810</v>
      </c>
      <c r="C2201" s="6" t="s">
        <v>6811</v>
      </c>
      <c r="D2201" s="140">
        <v>11033528</v>
      </c>
      <c r="E2201" s="6" t="s">
        <v>171</v>
      </c>
      <c r="F2201" s="10" t="s">
        <v>44</v>
      </c>
      <c r="G2201" s="6" t="s">
        <v>6812</v>
      </c>
      <c r="H2201" s="8">
        <v>54281</v>
      </c>
      <c r="I2201" s="8">
        <v>44517</v>
      </c>
      <c r="J2201" s="8">
        <v>44536</v>
      </c>
      <c r="K2201" s="95">
        <v>44546</v>
      </c>
      <c r="L2201" s="95" t="s">
        <v>359</v>
      </c>
      <c r="R2201" s="97" t="str">
        <f t="shared" si="80"/>
        <v/>
      </c>
      <c r="S2201" s="75" t="str">
        <f t="shared" si="81"/>
        <v/>
      </c>
    </row>
    <row r="2202" spans="1:24" x14ac:dyDescent="0.25">
      <c r="A2202" s="6" t="s">
        <v>168</v>
      </c>
      <c r="B2202" s="94" t="s">
        <v>3698</v>
      </c>
      <c r="C2202" s="6" t="s">
        <v>6813</v>
      </c>
      <c r="D2202" s="140">
        <v>11780584</v>
      </c>
      <c r="E2202" s="6" t="s">
        <v>5794</v>
      </c>
      <c r="F2202" s="10" t="s">
        <v>293</v>
      </c>
      <c r="G2202" s="6">
        <v>22752</v>
      </c>
      <c r="H2202" s="8">
        <v>51987</v>
      </c>
      <c r="I2202" s="8">
        <v>44173</v>
      </c>
      <c r="J2202" s="8">
        <v>44163</v>
      </c>
      <c r="K2202" s="95">
        <v>44164</v>
      </c>
      <c r="L2202" s="95" t="s">
        <v>359</v>
      </c>
      <c r="R2202" s="97" t="str">
        <f t="shared" si="80"/>
        <v/>
      </c>
      <c r="S2202" s="75" t="str">
        <f t="shared" si="81"/>
        <v/>
      </c>
      <c r="W2202" s="6" t="s">
        <v>84</v>
      </c>
      <c r="X2202" s="95">
        <v>47961</v>
      </c>
    </row>
    <row r="2203" spans="1:24" x14ac:dyDescent="0.25">
      <c r="A2203" s="6" t="s">
        <v>168</v>
      </c>
      <c r="B2203" s="94" t="s">
        <v>6814</v>
      </c>
      <c r="C2203" s="6" t="s">
        <v>6815</v>
      </c>
      <c r="D2203" s="140">
        <v>11223884</v>
      </c>
      <c r="E2203" s="6" t="s">
        <v>2764</v>
      </c>
      <c r="F2203" s="10" t="s">
        <v>121</v>
      </c>
      <c r="G2203" s="6" t="s">
        <v>6816</v>
      </c>
      <c r="H2203" s="8">
        <v>45390</v>
      </c>
      <c r="I2203" s="8">
        <v>44027</v>
      </c>
      <c r="J2203" s="8">
        <v>44106</v>
      </c>
      <c r="K2203" s="95">
        <v>44106</v>
      </c>
      <c r="L2203" s="95" t="s">
        <v>359</v>
      </c>
      <c r="R2203" s="97" t="str">
        <f t="shared" si="80"/>
        <v/>
      </c>
      <c r="S2203" s="75" t="str">
        <f t="shared" si="81"/>
        <v/>
      </c>
      <c r="W2203" s="6" t="s">
        <v>33</v>
      </c>
      <c r="X2203" s="135">
        <v>49832</v>
      </c>
    </row>
    <row r="2204" spans="1:24" x14ac:dyDescent="0.25">
      <c r="A2204" s="6" t="s">
        <v>168</v>
      </c>
      <c r="B2204" s="94" t="s">
        <v>6817</v>
      </c>
      <c r="C2204" s="6" t="s">
        <v>6818</v>
      </c>
      <c r="D2204" s="140">
        <v>11259322</v>
      </c>
      <c r="E2204" s="6" t="s">
        <v>362</v>
      </c>
      <c r="F2204" s="10" t="s">
        <v>134</v>
      </c>
      <c r="G2204" s="6" t="s">
        <v>6819</v>
      </c>
      <c r="H2204" s="8">
        <v>49213</v>
      </c>
      <c r="I2204" s="8">
        <v>44385</v>
      </c>
      <c r="J2204" s="8">
        <v>44413</v>
      </c>
      <c r="K2204" s="95">
        <v>44414</v>
      </c>
      <c r="L2204" s="95" t="s">
        <v>359</v>
      </c>
      <c r="R2204" s="97" t="str">
        <f t="shared" si="80"/>
        <v/>
      </c>
      <c r="S2204" s="75" t="str">
        <f t="shared" si="81"/>
        <v/>
      </c>
      <c r="W2204" s="6" t="s">
        <v>84</v>
      </c>
      <c r="X2204" s="7">
        <v>49161</v>
      </c>
    </row>
    <row r="2205" spans="1:24" x14ac:dyDescent="0.25">
      <c r="A2205" s="6" t="s">
        <v>168</v>
      </c>
      <c r="B2205" s="94" t="s">
        <v>6393</v>
      </c>
      <c r="C2205" s="6" t="s">
        <v>6820</v>
      </c>
      <c r="D2205" s="140">
        <v>11443939</v>
      </c>
      <c r="E2205" s="6" t="s">
        <v>6821</v>
      </c>
      <c r="F2205" s="10" t="s">
        <v>44</v>
      </c>
      <c r="G2205" s="6" t="s">
        <v>6822</v>
      </c>
      <c r="H2205" s="8">
        <v>51312</v>
      </c>
      <c r="I2205" s="8">
        <v>43346</v>
      </c>
      <c r="J2205" s="8">
        <v>43350</v>
      </c>
      <c r="K2205" s="95">
        <v>43353</v>
      </c>
      <c r="L2205" s="95" t="s">
        <v>31</v>
      </c>
      <c r="M2205" s="8">
        <v>43355</v>
      </c>
      <c r="N2205" s="8">
        <v>43606</v>
      </c>
      <c r="O2205" s="8">
        <v>43595</v>
      </c>
      <c r="P2205" s="6" t="s">
        <v>35</v>
      </c>
      <c r="Q2205" s="96">
        <v>6095</v>
      </c>
      <c r="R2205" s="97">
        <f t="shared" si="80"/>
        <v>16.698630136986303</v>
      </c>
      <c r="S2205" s="75">
        <f t="shared" si="81"/>
        <v>137913.98630136988</v>
      </c>
      <c r="U2205" s="8">
        <v>43608</v>
      </c>
      <c r="W2205" s="6" t="s">
        <v>33</v>
      </c>
      <c r="X2205" s="95">
        <v>48499</v>
      </c>
    </row>
    <row r="2206" spans="1:24" x14ac:dyDescent="0.25">
      <c r="A2206" s="6" t="s">
        <v>168</v>
      </c>
      <c r="B2206" s="94" t="s">
        <v>6393</v>
      </c>
      <c r="C2206" s="6" t="s">
        <v>6823</v>
      </c>
      <c r="D2206" s="140">
        <v>11972373</v>
      </c>
      <c r="E2206" s="6" t="s">
        <v>839</v>
      </c>
      <c r="F2206" s="10" t="s">
        <v>44</v>
      </c>
      <c r="G2206" s="6" t="s">
        <v>6824</v>
      </c>
      <c r="H2206" s="8">
        <v>48762</v>
      </c>
      <c r="I2206" s="8">
        <v>44242</v>
      </c>
      <c r="J2206" s="8">
        <v>44267</v>
      </c>
      <c r="K2206" s="95">
        <v>44271</v>
      </c>
      <c r="L2206" s="95" t="s">
        <v>31</v>
      </c>
      <c r="M2206" s="8">
        <v>44273</v>
      </c>
      <c r="N2206" s="8">
        <v>44847</v>
      </c>
      <c r="O2206" s="8">
        <v>44844</v>
      </c>
      <c r="P2206" s="6" t="s">
        <v>35</v>
      </c>
      <c r="Q2206" s="96">
        <v>2966</v>
      </c>
      <c r="R2206" s="97">
        <f t="shared" si="80"/>
        <v>8.1260273972602732</v>
      </c>
      <c r="S2206" s="75">
        <f t="shared" si="81"/>
        <v>67112.860273972605</v>
      </c>
      <c r="T2206" s="8">
        <v>44279</v>
      </c>
      <c r="U2206" s="8">
        <v>44853</v>
      </c>
      <c r="W2206" s="6" t="s">
        <v>33</v>
      </c>
      <c r="X2206" s="7">
        <v>51628</v>
      </c>
    </row>
    <row r="2207" spans="1:24" x14ac:dyDescent="0.25">
      <c r="A2207" s="6" t="s">
        <v>168</v>
      </c>
      <c r="B2207" s="94" t="s">
        <v>6393</v>
      </c>
      <c r="C2207" s="6" t="s">
        <v>6825</v>
      </c>
      <c r="D2207" s="140">
        <v>11055038</v>
      </c>
      <c r="E2207" s="6" t="s">
        <v>3362</v>
      </c>
      <c r="F2207" s="10" t="s">
        <v>1225</v>
      </c>
      <c r="G2207" s="6" t="s">
        <v>6826</v>
      </c>
      <c r="H2207" s="8">
        <v>48474</v>
      </c>
      <c r="I2207" s="8">
        <v>44343</v>
      </c>
      <c r="J2207" s="8">
        <v>44355</v>
      </c>
      <c r="K2207" s="95">
        <v>44357</v>
      </c>
      <c r="L2207" s="95" t="s">
        <v>359</v>
      </c>
      <c r="R2207" s="97" t="str">
        <f t="shared" si="80"/>
        <v/>
      </c>
      <c r="S2207" s="75" t="str">
        <f t="shared" si="81"/>
        <v/>
      </c>
      <c r="W2207" s="6" t="s">
        <v>84</v>
      </c>
      <c r="X2207" s="7">
        <v>50449</v>
      </c>
    </row>
    <row r="2208" spans="1:24" x14ac:dyDescent="0.25">
      <c r="A2208" s="6" t="s">
        <v>168</v>
      </c>
      <c r="B2208" s="94" t="s">
        <v>6827</v>
      </c>
      <c r="C2208" s="6" t="s">
        <v>6828</v>
      </c>
      <c r="D2208" s="140">
        <v>10246074</v>
      </c>
      <c r="E2208" s="6" t="s">
        <v>3256</v>
      </c>
      <c r="F2208" s="10" t="s">
        <v>57</v>
      </c>
      <c r="G2208" s="6" t="s">
        <v>6829</v>
      </c>
      <c r="H2208" s="8">
        <v>46338</v>
      </c>
      <c r="I2208" s="8">
        <v>43592</v>
      </c>
      <c r="J2208" s="8">
        <v>43600</v>
      </c>
      <c r="K2208" s="95">
        <v>43600</v>
      </c>
      <c r="L2208" s="95" t="s">
        <v>31</v>
      </c>
      <c r="M2208" s="8">
        <v>43607</v>
      </c>
      <c r="N2208" s="8">
        <v>44253</v>
      </c>
      <c r="O2208" s="8">
        <v>44060</v>
      </c>
      <c r="P2208" s="6" t="s">
        <v>35</v>
      </c>
      <c r="Q2208" s="96">
        <v>5478</v>
      </c>
      <c r="R2208" s="97">
        <f t="shared" si="80"/>
        <v>15.008219178082191</v>
      </c>
      <c r="S2208" s="75">
        <f t="shared" si="81"/>
        <v>123952.88219178082</v>
      </c>
      <c r="T2208" s="124" t="s">
        <v>6830</v>
      </c>
      <c r="U2208" s="8">
        <v>44253</v>
      </c>
      <c r="W2208" s="6" t="s">
        <v>84</v>
      </c>
      <c r="X2208" s="95">
        <v>36889</v>
      </c>
    </row>
    <row r="2209" spans="1:24" x14ac:dyDescent="0.25">
      <c r="A2209" s="6" t="s">
        <v>168</v>
      </c>
      <c r="B2209" s="94" t="s">
        <v>291</v>
      </c>
      <c r="C2209" s="6" t="s">
        <v>6831</v>
      </c>
      <c r="D2209" s="140">
        <v>10247671</v>
      </c>
      <c r="E2209" s="6" t="s">
        <v>4776</v>
      </c>
      <c r="F2209" s="10" t="s">
        <v>2600</v>
      </c>
      <c r="G2209" s="6">
        <v>1101530</v>
      </c>
      <c r="H2209" s="8">
        <v>45016</v>
      </c>
      <c r="I2209" s="8">
        <v>43641</v>
      </c>
      <c r="J2209" s="8">
        <v>43656</v>
      </c>
      <c r="K2209" s="95">
        <v>43657</v>
      </c>
      <c r="L2209" s="95" t="s">
        <v>31</v>
      </c>
      <c r="M2209" s="8">
        <v>43661</v>
      </c>
      <c r="N2209" s="8">
        <v>43833</v>
      </c>
      <c r="O2209" s="8">
        <v>43810</v>
      </c>
      <c r="P2209" s="6" t="s">
        <v>35</v>
      </c>
      <c r="Q2209" s="96">
        <v>2191</v>
      </c>
      <c r="R2209" s="97">
        <f t="shared" si="80"/>
        <v>6.0027397260273974</v>
      </c>
      <c r="S2209" s="75">
        <f t="shared" si="81"/>
        <v>49576.627397260272</v>
      </c>
      <c r="T2209" s="124" t="s">
        <v>6832</v>
      </c>
      <c r="U2209" s="8">
        <v>43833</v>
      </c>
      <c r="V2209" s="6" t="s">
        <v>36</v>
      </c>
      <c r="W2209" s="6" t="s">
        <v>33</v>
      </c>
      <c r="X2209" s="6"/>
    </row>
    <row r="2210" spans="1:24" x14ac:dyDescent="0.25">
      <c r="A2210" s="6" t="s">
        <v>37</v>
      </c>
      <c r="B2210" s="94" t="s">
        <v>173</v>
      </c>
      <c r="C2210" s="6" t="s">
        <v>6833</v>
      </c>
      <c r="D2210" s="140">
        <v>11174144</v>
      </c>
      <c r="E2210" s="6" t="s">
        <v>6834</v>
      </c>
      <c r="F2210" s="10" t="s">
        <v>299</v>
      </c>
      <c r="G2210" s="6" t="s">
        <v>6835</v>
      </c>
      <c r="H2210" s="8">
        <v>52065</v>
      </c>
      <c r="I2210" s="8">
        <v>44281</v>
      </c>
      <c r="J2210" s="8">
        <v>44298</v>
      </c>
      <c r="K2210" s="95">
        <v>44298</v>
      </c>
      <c r="L2210" s="95" t="s">
        <v>359</v>
      </c>
      <c r="R2210" s="97" t="str">
        <f t="shared" si="80"/>
        <v/>
      </c>
      <c r="S2210" s="75" t="str">
        <f t="shared" si="81"/>
        <v/>
      </c>
      <c r="W2210" s="6" t="s">
        <v>33</v>
      </c>
      <c r="X2210" s="7">
        <v>50285</v>
      </c>
    </row>
    <row r="2211" spans="1:24" ht="30" x14ac:dyDescent="0.25">
      <c r="A2211" s="6" t="s">
        <v>168</v>
      </c>
      <c r="B2211" s="94" t="s">
        <v>4968</v>
      </c>
      <c r="C2211" s="6" t="s">
        <v>6836</v>
      </c>
      <c r="D2211" s="140">
        <v>10971431</v>
      </c>
      <c r="E2211" s="6" t="s">
        <v>892</v>
      </c>
      <c r="F2211" s="10" t="s">
        <v>44</v>
      </c>
      <c r="G2211" s="6" t="s">
        <v>6837</v>
      </c>
      <c r="H2211" s="8">
        <v>45417</v>
      </c>
      <c r="I2211" s="8">
        <v>43290</v>
      </c>
      <c r="J2211" s="8">
        <v>43290</v>
      </c>
      <c r="K2211" s="8">
        <v>43290</v>
      </c>
      <c r="L2211" s="95" t="s">
        <v>31</v>
      </c>
      <c r="M2211" s="8">
        <v>43298</v>
      </c>
      <c r="N2211" s="8">
        <v>43360</v>
      </c>
      <c r="O2211" s="8">
        <v>43371</v>
      </c>
      <c r="P2211" s="6" t="s">
        <v>90</v>
      </c>
      <c r="Q2211" s="96">
        <v>4991.75</v>
      </c>
      <c r="R2211" s="97">
        <f t="shared" si="80"/>
        <v>13.676027397260274</v>
      </c>
      <c r="S2211" s="75">
        <f t="shared" si="81"/>
        <v>112950.3102739726</v>
      </c>
      <c r="T2211" s="124" t="s">
        <v>6838</v>
      </c>
      <c r="U2211" s="8">
        <v>43377</v>
      </c>
      <c r="V2211" s="100" t="s">
        <v>581</v>
      </c>
      <c r="W2211" s="6" t="s">
        <v>84</v>
      </c>
      <c r="X2211" s="95">
        <v>44994</v>
      </c>
    </row>
    <row r="2212" spans="1:24" x14ac:dyDescent="0.25">
      <c r="A2212" s="6" t="s">
        <v>168</v>
      </c>
      <c r="B2212" s="94" t="s">
        <v>4968</v>
      </c>
      <c r="C2212" s="6" t="s">
        <v>6839</v>
      </c>
      <c r="D2212" s="140">
        <v>11524302</v>
      </c>
      <c r="E2212" s="6" t="s">
        <v>6721</v>
      </c>
      <c r="F2212" s="10" t="s">
        <v>44</v>
      </c>
      <c r="G2212" s="6" t="s">
        <v>6840</v>
      </c>
      <c r="H2212" s="8">
        <v>50263</v>
      </c>
      <c r="I2212" s="8">
        <v>43634</v>
      </c>
      <c r="J2212" s="8">
        <v>43648</v>
      </c>
      <c r="K2212" s="95">
        <v>43648</v>
      </c>
      <c r="L2212" s="95" t="s">
        <v>31</v>
      </c>
      <c r="M2212" s="8">
        <v>43656</v>
      </c>
      <c r="N2212" s="8">
        <v>44076</v>
      </c>
      <c r="O2212" s="8">
        <v>44046</v>
      </c>
      <c r="P2212" s="6" t="s">
        <v>35</v>
      </c>
      <c r="Q2212" s="96">
        <v>1826</v>
      </c>
      <c r="R2212" s="97">
        <f t="shared" si="80"/>
        <v>5.0027397260273974</v>
      </c>
      <c r="S2212" s="75">
        <f t="shared" si="81"/>
        <v>41317.627397260272</v>
      </c>
      <c r="U2212" s="8">
        <v>44076</v>
      </c>
      <c r="W2212" s="6" t="s">
        <v>84</v>
      </c>
      <c r="X2212" s="95">
        <v>47145</v>
      </c>
    </row>
    <row r="2213" spans="1:24" x14ac:dyDescent="0.25">
      <c r="A2213" s="6" t="s">
        <v>168</v>
      </c>
      <c r="B2213" s="94" t="s">
        <v>3131</v>
      </c>
      <c r="C2213" s="6" t="s">
        <v>6841</v>
      </c>
      <c r="D2213" s="140">
        <v>11041464</v>
      </c>
      <c r="E2213" s="6" t="s">
        <v>171</v>
      </c>
      <c r="F2213" s="10" t="s">
        <v>299</v>
      </c>
      <c r="G2213" s="6" t="s">
        <v>6842</v>
      </c>
      <c r="H2213" s="8">
        <v>45126</v>
      </c>
      <c r="I2213" s="8">
        <v>44173</v>
      </c>
      <c r="J2213" s="8">
        <v>44218</v>
      </c>
      <c r="K2213" s="95">
        <v>44224</v>
      </c>
      <c r="L2213" s="95" t="s">
        <v>31</v>
      </c>
      <c r="M2213" s="8">
        <v>44230</v>
      </c>
      <c r="R2213" s="97" t="str">
        <f t="shared" si="80"/>
        <v/>
      </c>
      <c r="S2213" s="75" t="str">
        <f t="shared" si="81"/>
        <v/>
      </c>
      <c r="T2213" s="8" t="s">
        <v>6843</v>
      </c>
      <c r="U2213" s="8">
        <v>45100</v>
      </c>
      <c r="W2213" s="6" t="s">
        <v>33</v>
      </c>
      <c r="X2213" s="95">
        <v>52876</v>
      </c>
    </row>
    <row r="2214" spans="1:24" x14ac:dyDescent="0.25">
      <c r="A2214" s="6" t="s">
        <v>168</v>
      </c>
      <c r="B2214" s="94" t="s">
        <v>6844</v>
      </c>
      <c r="C2214" s="6" t="s">
        <v>6845</v>
      </c>
      <c r="D2214" s="140">
        <v>11167965</v>
      </c>
      <c r="E2214" s="6" t="s">
        <v>1752</v>
      </c>
      <c r="F2214" s="10" t="s">
        <v>528</v>
      </c>
      <c r="G2214" s="6" t="s">
        <v>6846</v>
      </c>
      <c r="H2214" s="8">
        <v>52139</v>
      </c>
      <c r="I2214" s="8">
        <v>43454</v>
      </c>
      <c r="J2214" s="8">
        <v>43488</v>
      </c>
      <c r="K2214" s="95">
        <v>43490</v>
      </c>
      <c r="L2214" s="95" t="s">
        <v>31</v>
      </c>
      <c r="M2214" s="8">
        <v>43493</v>
      </c>
      <c r="N2214" s="8">
        <v>43602</v>
      </c>
      <c r="O2214" s="8">
        <v>43592</v>
      </c>
      <c r="P2214" s="6" t="s">
        <v>35</v>
      </c>
      <c r="Q2214" s="96">
        <v>991</v>
      </c>
      <c r="R2214" s="97">
        <f t="shared" si="80"/>
        <v>2.7150684931506848</v>
      </c>
      <c r="S2214" s="75">
        <f t="shared" si="81"/>
        <v>22423.750684931507</v>
      </c>
      <c r="T2214" s="124" t="s">
        <v>6847</v>
      </c>
      <c r="U2214" s="8">
        <v>43602</v>
      </c>
      <c r="V2214" s="6" t="s">
        <v>36</v>
      </c>
      <c r="W2214" s="6" t="s">
        <v>84</v>
      </c>
      <c r="X2214" s="95">
        <v>44116</v>
      </c>
    </row>
    <row r="2215" spans="1:24" x14ac:dyDescent="0.25">
      <c r="A2215" s="6" t="s">
        <v>168</v>
      </c>
      <c r="B2215" s="94" t="s">
        <v>202</v>
      </c>
      <c r="C2215" s="6" t="s">
        <v>6848</v>
      </c>
      <c r="D2215" s="140">
        <v>11561624</v>
      </c>
      <c r="E2215" s="6" t="s">
        <v>3266</v>
      </c>
      <c r="F2215" s="10" t="s">
        <v>44</v>
      </c>
      <c r="G2215" s="6" t="s">
        <v>6849</v>
      </c>
      <c r="H2215" s="8">
        <v>45614</v>
      </c>
      <c r="I2215" s="8">
        <v>43900</v>
      </c>
      <c r="J2215" s="8">
        <v>44064</v>
      </c>
      <c r="K2215" s="95">
        <v>44070</v>
      </c>
      <c r="L2215" s="95" t="s">
        <v>31</v>
      </c>
      <c r="M2215" s="8">
        <v>44099</v>
      </c>
      <c r="N2215" s="8">
        <v>44148</v>
      </c>
      <c r="O2215" s="8">
        <v>44117</v>
      </c>
      <c r="P2215" s="6" t="s">
        <v>75</v>
      </c>
      <c r="R2215" s="97" t="str">
        <f t="shared" si="80"/>
        <v/>
      </c>
      <c r="S2215" s="75" t="str">
        <f t="shared" si="81"/>
        <v/>
      </c>
      <c r="U2215" s="8">
        <v>44148</v>
      </c>
      <c r="W2215" s="6" t="s">
        <v>33</v>
      </c>
      <c r="X2215" s="95">
        <v>43324</v>
      </c>
    </row>
    <row r="2216" spans="1:24" x14ac:dyDescent="0.25">
      <c r="A2216" s="6" t="s">
        <v>168</v>
      </c>
      <c r="B2216" s="94" t="s">
        <v>6850</v>
      </c>
      <c r="C2216" s="6" t="s">
        <v>6851</v>
      </c>
      <c r="D2216" s="140">
        <v>11989320</v>
      </c>
      <c r="E2216" s="6" t="s">
        <v>3008</v>
      </c>
      <c r="F2216" s="10" t="s">
        <v>139</v>
      </c>
      <c r="G2216" s="6" t="s">
        <v>6852</v>
      </c>
      <c r="H2216" s="8">
        <v>46933</v>
      </c>
      <c r="I2216" s="8">
        <v>44208</v>
      </c>
      <c r="J2216" s="8">
        <v>44242</v>
      </c>
      <c r="K2216" s="95">
        <v>44258</v>
      </c>
      <c r="L2216" s="95" t="s">
        <v>31</v>
      </c>
      <c r="M2216" s="8">
        <v>44295</v>
      </c>
      <c r="N2216" s="108">
        <v>44531</v>
      </c>
      <c r="O2216" s="108">
        <v>44491</v>
      </c>
      <c r="P2216" s="107" t="s">
        <v>35</v>
      </c>
      <c r="Q2216" s="110">
        <v>1217</v>
      </c>
      <c r="R2216" s="97">
        <f t="shared" si="80"/>
        <v>3.3342465753424659</v>
      </c>
      <c r="S2216" s="75">
        <f t="shared" si="81"/>
        <v>27537.542465753424</v>
      </c>
      <c r="U2216" s="8">
        <v>44776</v>
      </c>
      <c r="W2216" s="6" t="s">
        <v>33</v>
      </c>
      <c r="X2216" s="95">
        <v>51235</v>
      </c>
    </row>
    <row r="2217" spans="1:24" x14ac:dyDescent="0.25">
      <c r="A2217" s="6" t="s">
        <v>168</v>
      </c>
      <c r="B2217" s="94" t="s">
        <v>6853</v>
      </c>
      <c r="C2217" s="6" t="s">
        <v>6854</v>
      </c>
      <c r="D2217" s="140">
        <v>11912612</v>
      </c>
      <c r="E2217" s="6" t="s">
        <v>2691</v>
      </c>
      <c r="F2217" s="10" t="s">
        <v>44</v>
      </c>
      <c r="G2217" s="6" t="s">
        <v>6855</v>
      </c>
      <c r="H2217" s="8">
        <v>46692</v>
      </c>
      <c r="I2217" s="8">
        <v>43591</v>
      </c>
      <c r="J2217" s="8">
        <v>43620</v>
      </c>
      <c r="K2217" s="95">
        <v>43622</v>
      </c>
      <c r="L2217" s="95" t="s">
        <v>31</v>
      </c>
      <c r="M2217" s="8">
        <v>43627</v>
      </c>
      <c r="N2217" s="8">
        <v>44141</v>
      </c>
      <c r="O2217" s="8">
        <v>44041</v>
      </c>
      <c r="P2217" s="6" t="s">
        <v>90</v>
      </c>
      <c r="Q2217" s="96">
        <v>2645</v>
      </c>
      <c r="R2217" s="97">
        <f t="shared" si="80"/>
        <v>7.2465753424657535</v>
      </c>
      <c r="S2217" s="75">
        <f t="shared" si="81"/>
        <v>59849.465753424658</v>
      </c>
      <c r="T2217" s="124" t="s">
        <v>3585</v>
      </c>
      <c r="U2217" s="8">
        <v>44141</v>
      </c>
      <c r="V2217" s="6" t="s">
        <v>36</v>
      </c>
      <c r="W2217" s="6" t="s">
        <v>33</v>
      </c>
      <c r="X2217" s="95">
        <v>46223</v>
      </c>
    </row>
    <row r="2218" spans="1:24" x14ac:dyDescent="0.25">
      <c r="A2218" s="6" t="s">
        <v>168</v>
      </c>
      <c r="B2218" s="94" t="s">
        <v>6856</v>
      </c>
      <c r="C2218" s="6" t="s">
        <v>6857</v>
      </c>
      <c r="D2218" s="140">
        <v>11925831</v>
      </c>
      <c r="E2218" s="6" t="s">
        <v>6858</v>
      </c>
      <c r="F2218" s="10" t="s">
        <v>205</v>
      </c>
      <c r="G2218" s="6" t="s">
        <v>6859</v>
      </c>
      <c r="H2218" s="8">
        <v>49820</v>
      </c>
      <c r="I2218" s="8">
        <v>43508</v>
      </c>
      <c r="J2218" s="8">
        <v>43516</v>
      </c>
      <c r="K2218" s="95">
        <v>43516</v>
      </c>
      <c r="L2218" s="95" t="s">
        <v>31</v>
      </c>
      <c r="M2218" s="8">
        <v>43522</v>
      </c>
      <c r="N2218" s="8">
        <v>43791</v>
      </c>
      <c r="O2218" s="8">
        <v>43784</v>
      </c>
      <c r="P2218" s="6" t="s">
        <v>35</v>
      </c>
      <c r="Q2218" s="96">
        <v>5478</v>
      </c>
      <c r="R2218" s="97">
        <f t="shared" si="80"/>
        <v>15.008219178082191</v>
      </c>
      <c r="S2218" s="75">
        <f t="shared" si="81"/>
        <v>123952.88219178082</v>
      </c>
      <c r="T2218" s="124">
        <v>43784</v>
      </c>
      <c r="U2218" s="8">
        <v>43804</v>
      </c>
      <c r="W2218" s="6" t="s">
        <v>84</v>
      </c>
      <c r="X2218" s="95">
        <v>45420</v>
      </c>
    </row>
    <row r="2219" spans="1:24" x14ac:dyDescent="0.25">
      <c r="A2219" s="6" t="s">
        <v>168</v>
      </c>
      <c r="B2219" s="94" t="s">
        <v>6860</v>
      </c>
      <c r="C2219" s="6" t="s">
        <v>6861</v>
      </c>
      <c r="D2219" s="140">
        <v>11094904</v>
      </c>
      <c r="E2219" s="6" t="s">
        <v>3362</v>
      </c>
      <c r="F2219" s="10" t="s">
        <v>105</v>
      </c>
      <c r="G2219" s="6" t="s">
        <v>6862</v>
      </c>
      <c r="H2219" s="8">
        <v>46010</v>
      </c>
      <c r="I2219" s="8">
        <v>44322</v>
      </c>
      <c r="J2219" s="8">
        <v>44334</v>
      </c>
      <c r="K2219" s="95">
        <v>44334</v>
      </c>
      <c r="L2219" s="95" t="s">
        <v>359</v>
      </c>
      <c r="R2219" s="97" t="str">
        <f t="shared" si="80"/>
        <v/>
      </c>
      <c r="S2219" s="75" t="str">
        <f t="shared" si="81"/>
        <v/>
      </c>
      <c r="W2219" s="6" t="s">
        <v>33</v>
      </c>
      <c r="X2219" s="7">
        <v>47278</v>
      </c>
    </row>
    <row r="2220" spans="1:24" x14ac:dyDescent="0.25">
      <c r="A2220" s="6" t="s">
        <v>168</v>
      </c>
      <c r="B2220" s="94" t="s">
        <v>6863</v>
      </c>
      <c r="C2220" s="6" t="s">
        <v>6864</v>
      </c>
      <c r="D2220" s="140">
        <v>12015261</v>
      </c>
      <c r="E2220" s="6" t="s">
        <v>5433</v>
      </c>
      <c r="F2220" s="10" t="s">
        <v>44</v>
      </c>
      <c r="G2220" s="6" t="s">
        <v>6865</v>
      </c>
      <c r="H2220" s="8">
        <v>54307</v>
      </c>
      <c r="I2220" s="8">
        <v>44397</v>
      </c>
      <c r="J2220" s="8">
        <v>44414</v>
      </c>
      <c r="K2220" s="95">
        <v>44419</v>
      </c>
      <c r="L2220" s="95" t="s">
        <v>359</v>
      </c>
      <c r="R2220" s="97" t="str">
        <f t="shared" si="80"/>
        <v/>
      </c>
      <c r="S2220" s="75" t="str">
        <f t="shared" si="81"/>
        <v/>
      </c>
      <c r="W2220" s="6" t="s">
        <v>84</v>
      </c>
      <c r="X2220" s="7">
        <v>47578</v>
      </c>
    </row>
    <row r="2221" spans="1:24" x14ac:dyDescent="0.25">
      <c r="A2221" s="6" t="s">
        <v>168</v>
      </c>
      <c r="B2221" s="94" t="s">
        <v>6866</v>
      </c>
      <c r="C2221" s="6" t="s">
        <v>6867</v>
      </c>
      <c r="D2221" s="140">
        <v>11322526</v>
      </c>
      <c r="E2221" s="6" t="s">
        <v>5798</v>
      </c>
      <c r="F2221" s="10" t="s">
        <v>29</v>
      </c>
      <c r="G2221" s="6" t="s">
        <v>6868</v>
      </c>
      <c r="H2221" s="8">
        <v>46910</v>
      </c>
      <c r="I2221" s="8">
        <v>43749</v>
      </c>
      <c r="J2221" s="8">
        <v>43769</v>
      </c>
      <c r="K2221" s="95">
        <v>43769</v>
      </c>
      <c r="L2221" s="95" t="s">
        <v>359</v>
      </c>
      <c r="R2221" s="97" t="str">
        <f t="shared" si="80"/>
        <v/>
      </c>
      <c r="S2221" s="75" t="str">
        <f t="shared" si="81"/>
        <v/>
      </c>
      <c r="W2221" s="6" t="s">
        <v>33</v>
      </c>
      <c r="X2221" s="95">
        <v>48041</v>
      </c>
    </row>
    <row r="2222" spans="1:24" x14ac:dyDescent="0.25">
      <c r="A2222" s="6" t="s">
        <v>168</v>
      </c>
      <c r="B2222" s="94" t="s">
        <v>6869</v>
      </c>
      <c r="C2222" s="6" t="s">
        <v>6870</v>
      </c>
      <c r="D2222" s="140">
        <v>11997262</v>
      </c>
      <c r="E2222" s="6" t="s">
        <v>714</v>
      </c>
      <c r="F2222" s="10" t="s">
        <v>44</v>
      </c>
      <c r="G2222" s="6" t="s">
        <v>6871</v>
      </c>
      <c r="H2222" s="8">
        <v>62852</v>
      </c>
      <c r="I2222" s="8">
        <v>44559</v>
      </c>
      <c r="J2222" s="8">
        <v>44585</v>
      </c>
      <c r="K2222" s="95">
        <v>44586</v>
      </c>
      <c r="L2222" s="95" t="s">
        <v>31</v>
      </c>
      <c r="M2222" s="8">
        <v>44607</v>
      </c>
      <c r="N2222" s="8">
        <v>44685</v>
      </c>
      <c r="O2222" s="8">
        <v>44671</v>
      </c>
      <c r="P2222" s="6" t="s">
        <v>35</v>
      </c>
      <c r="Q2222" s="96">
        <v>0</v>
      </c>
      <c r="R2222" s="97" t="str">
        <f t="shared" si="80"/>
        <v/>
      </c>
      <c r="S2222" s="75" t="str">
        <f t="shared" si="81"/>
        <v/>
      </c>
      <c r="U2222" s="8">
        <v>44741</v>
      </c>
    </row>
    <row r="2223" spans="1:24" x14ac:dyDescent="0.25">
      <c r="A2223" s="6" t="s">
        <v>168</v>
      </c>
      <c r="B2223" s="94" t="s">
        <v>1110</v>
      </c>
      <c r="C2223" s="6" t="s">
        <v>6872</v>
      </c>
      <c r="D2223" s="140">
        <v>11119037</v>
      </c>
      <c r="E2223" s="6" t="s">
        <v>6873</v>
      </c>
      <c r="F2223" s="10" t="s">
        <v>29</v>
      </c>
      <c r="G2223" s="6" t="s">
        <v>6874</v>
      </c>
      <c r="H2223" s="8">
        <v>49680</v>
      </c>
      <c r="I2223" s="8">
        <v>44118</v>
      </c>
      <c r="J2223" s="8">
        <v>44144</v>
      </c>
      <c r="K2223" s="95">
        <v>44144</v>
      </c>
      <c r="L2223" s="95" t="s">
        <v>31</v>
      </c>
      <c r="M2223" s="8">
        <v>44159</v>
      </c>
      <c r="R2223" s="97" t="str">
        <f t="shared" si="80"/>
        <v/>
      </c>
      <c r="S2223" s="75" t="str">
        <f t="shared" si="81"/>
        <v/>
      </c>
      <c r="T2223" s="129" t="s">
        <v>6875</v>
      </c>
      <c r="U2223" s="8">
        <v>44783</v>
      </c>
      <c r="W2223" s="6" t="s">
        <v>84</v>
      </c>
      <c r="X2223" s="135">
        <v>48432</v>
      </c>
    </row>
    <row r="2224" spans="1:24" x14ac:dyDescent="0.25">
      <c r="A2224" s="6" t="s">
        <v>25</v>
      </c>
      <c r="B2224" s="94" t="s">
        <v>6876</v>
      </c>
      <c r="C2224" s="6" t="s">
        <v>6877</v>
      </c>
      <c r="D2224" s="140">
        <v>11133890</v>
      </c>
      <c r="E2224" s="6" t="s">
        <v>6405</v>
      </c>
      <c r="F2224" s="10" t="s">
        <v>252</v>
      </c>
      <c r="G2224" s="6">
        <v>51511989</v>
      </c>
      <c r="H2224" s="8">
        <v>45198</v>
      </c>
      <c r="I2224" s="8">
        <v>44406</v>
      </c>
      <c r="R2224" s="97" t="str">
        <f t="shared" si="80"/>
        <v/>
      </c>
      <c r="S2224" s="75" t="str">
        <f t="shared" si="81"/>
        <v/>
      </c>
      <c r="T2224" s="124" t="s">
        <v>6878</v>
      </c>
      <c r="W2224" s="6" t="s">
        <v>33</v>
      </c>
      <c r="X2224" s="7">
        <v>50944</v>
      </c>
    </row>
    <row r="2225" spans="1:24" x14ac:dyDescent="0.25">
      <c r="A2225" s="6" t="s">
        <v>25</v>
      </c>
      <c r="B2225" s="94" t="s">
        <v>1441</v>
      </c>
      <c r="C2225" s="6" t="s">
        <v>6879</v>
      </c>
      <c r="D2225" s="140">
        <v>11849610</v>
      </c>
      <c r="E2225" s="6" t="s">
        <v>3290</v>
      </c>
      <c r="F2225" s="10" t="s">
        <v>44</v>
      </c>
      <c r="G2225" s="6" t="s">
        <v>6880</v>
      </c>
      <c r="H2225" s="8">
        <v>45297</v>
      </c>
      <c r="I2225" s="8">
        <v>44407</v>
      </c>
      <c r="J2225" s="8">
        <v>44426</v>
      </c>
      <c r="K2225" s="95">
        <v>44432</v>
      </c>
      <c r="L2225" s="95" t="s">
        <v>31</v>
      </c>
      <c r="M2225" s="8">
        <v>44442</v>
      </c>
      <c r="R2225" s="97" t="str">
        <f t="shared" si="80"/>
        <v/>
      </c>
      <c r="S2225" s="75" t="str">
        <f t="shared" si="81"/>
        <v/>
      </c>
      <c r="T2225" s="124" t="s">
        <v>6881</v>
      </c>
      <c r="U2225" s="8">
        <v>45063</v>
      </c>
      <c r="W2225" s="6" t="s">
        <v>33</v>
      </c>
      <c r="X2225" s="7">
        <v>50685</v>
      </c>
    </row>
    <row r="2226" spans="1:24" x14ac:dyDescent="0.25">
      <c r="A2226" s="6" t="s">
        <v>168</v>
      </c>
      <c r="B2226" s="94" t="s">
        <v>1110</v>
      </c>
      <c r="C2226" s="6" t="s">
        <v>6882</v>
      </c>
      <c r="D2226" s="140">
        <v>11327845</v>
      </c>
      <c r="E2226" s="6" t="s">
        <v>2568</v>
      </c>
      <c r="F2226" s="10" t="s">
        <v>44</v>
      </c>
      <c r="G2226" s="6" t="s">
        <v>6883</v>
      </c>
      <c r="H2226" s="8">
        <v>48782</v>
      </c>
      <c r="I2226" s="8">
        <v>44127</v>
      </c>
      <c r="J2226" s="8">
        <v>44154</v>
      </c>
      <c r="K2226" s="95">
        <v>44154</v>
      </c>
      <c r="L2226" s="95" t="s">
        <v>31</v>
      </c>
      <c r="M2226" s="8">
        <v>44173</v>
      </c>
      <c r="P2226" s="6" t="s">
        <v>628</v>
      </c>
      <c r="R2226" s="97" t="str">
        <f t="shared" si="80"/>
        <v/>
      </c>
      <c r="S2226" s="75" t="str">
        <f t="shared" si="81"/>
        <v/>
      </c>
      <c r="T2226" s="124" t="s">
        <v>6884</v>
      </c>
      <c r="W2226" s="6" t="s">
        <v>84</v>
      </c>
      <c r="X2226" s="7">
        <v>49978</v>
      </c>
    </row>
    <row r="2227" spans="1:24" x14ac:dyDescent="0.25">
      <c r="A2227" s="6" t="s">
        <v>168</v>
      </c>
      <c r="B2227" s="94" t="s">
        <v>6885</v>
      </c>
      <c r="C2227" s="6" t="s">
        <v>6886</v>
      </c>
      <c r="D2227" s="140">
        <v>11562326</v>
      </c>
      <c r="E2227" s="6" t="s">
        <v>4044</v>
      </c>
      <c r="F2227" s="10" t="s">
        <v>134</v>
      </c>
      <c r="G2227" s="6" t="s">
        <v>6887</v>
      </c>
      <c r="H2227" s="8">
        <v>46129</v>
      </c>
      <c r="I2227" s="8">
        <v>44112</v>
      </c>
      <c r="J2227" s="8">
        <v>44118</v>
      </c>
      <c r="K2227" s="95">
        <v>44148</v>
      </c>
      <c r="L2227" s="95" t="s">
        <v>359</v>
      </c>
      <c r="R2227" s="97" t="str">
        <f t="shared" si="80"/>
        <v/>
      </c>
      <c r="S2227" s="75" t="str">
        <f t="shared" si="81"/>
        <v/>
      </c>
      <c r="W2227" s="6" t="s">
        <v>84</v>
      </c>
      <c r="X2227" s="135">
        <v>49046</v>
      </c>
    </row>
    <row r="2228" spans="1:24" x14ac:dyDescent="0.25">
      <c r="A2228" s="6" t="s">
        <v>25</v>
      </c>
      <c r="B2228" s="94" t="s">
        <v>4984</v>
      </c>
      <c r="C2228" s="6" t="s">
        <v>6888</v>
      </c>
      <c r="D2228" s="4">
        <v>11258108</v>
      </c>
      <c r="E2228" s="6" t="s">
        <v>5479</v>
      </c>
      <c r="F2228" s="10" t="s">
        <v>44</v>
      </c>
      <c r="G2228" s="6" t="s">
        <v>6889</v>
      </c>
      <c r="H2228" s="8">
        <v>49347</v>
      </c>
      <c r="I2228" s="8">
        <v>44418</v>
      </c>
      <c r="J2228" s="8">
        <v>44433</v>
      </c>
      <c r="K2228" s="95">
        <v>44434</v>
      </c>
      <c r="L2228" s="95" t="s">
        <v>31</v>
      </c>
      <c r="M2228" s="8">
        <v>44442</v>
      </c>
      <c r="P2228" s="6" t="s">
        <v>628</v>
      </c>
      <c r="R2228" s="97" t="str">
        <f t="shared" si="80"/>
        <v/>
      </c>
      <c r="S2228" s="75" t="str">
        <f t="shared" si="81"/>
        <v/>
      </c>
      <c r="T2228" s="124" t="s">
        <v>6890</v>
      </c>
      <c r="W2228" s="6" t="s">
        <v>33</v>
      </c>
      <c r="X2228" s="7">
        <v>51374</v>
      </c>
    </row>
    <row r="2229" spans="1:24" x14ac:dyDescent="0.25">
      <c r="A2229" s="6" t="s">
        <v>25</v>
      </c>
      <c r="B2229" s="94" t="s">
        <v>2428</v>
      </c>
      <c r="C2229" s="6" t="s">
        <v>6891</v>
      </c>
      <c r="D2229" s="140">
        <v>11197400</v>
      </c>
      <c r="E2229" s="6" t="s">
        <v>4044</v>
      </c>
      <c r="F2229" s="10" t="s">
        <v>44</v>
      </c>
      <c r="G2229" s="6" t="s">
        <v>6892</v>
      </c>
      <c r="H2229" s="8">
        <v>42468</v>
      </c>
      <c r="I2229" s="8">
        <v>44418</v>
      </c>
      <c r="J2229" s="8">
        <v>44433</v>
      </c>
      <c r="K2229" s="95">
        <v>44434</v>
      </c>
      <c r="L2229" s="95" t="s">
        <v>31</v>
      </c>
      <c r="M2229" s="8">
        <v>44442</v>
      </c>
      <c r="N2229" s="8">
        <v>44886</v>
      </c>
      <c r="O2229" s="8">
        <v>44879</v>
      </c>
      <c r="P2229" s="6" t="s">
        <v>35</v>
      </c>
      <c r="Q2229" s="96">
        <v>1218</v>
      </c>
      <c r="R2229" s="97">
        <f t="shared" si="80"/>
        <v>3.3369863013698629</v>
      </c>
      <c r="S2229" s="75">
        <f t="shared" si="81"/>
        <v>27560.1698630137</v>
      </c>
      <c r="U2229" s="8">
        <v>44896</v>
      </c>
      <c r="W2229" s="6" t="s">
        <v>33</v>
      </c>
      <c r="X2229" s="7">
        <v>51352</v>
      </c>
    </row>
    <row r="2230" spans="1:24" x14ac:dyDescent="0.25">
      <c r="A2230" s="6" t="s">
        <v>25</v>
      </c>
      <c r="B2230" s="94" t="s">
        <v>1395</v>
      </c>
      <c r="C2230" s="6" t="s">
        <v>6893</v>
      </c>
      <c r="D2230" s="140">
        <v>11211123</v>
      </c>
      <c r="E2230" s="6" t="s">
        <v>3266</v>
      </c>
      <c r="F2230" s="10" t="s">
        <v>44</v>
      </c>
      <c r="G2230" s="6" t="s">
        <v>6894</v>
      </c>
      <c r="H2230" s="8">
        <v>47304</v>
      </c>
      <c r="I2230" s="8">
        <v>44418</v>
      </c>
      <c r="J2230" s="8">
        <v>44426</v>
      </c>
      <c r="K2230" s="95">
        <v>44431</v>
      </c>
      <c r="L2230" s="95" t="s">
        <v>31</v>
      </c>
      <c r="M2230" s="8">
        <v>44442</v>
      </c>
      <c r="N2230" s="8">
        <v>44607</v>
      </c>
      <c r="O2230" s="8">
        <v>44558</v>
      </c>
      <c r="P2230" s="6" t="s">
        <v>35</v>
      </c>
      <c r="Q2230" s="96">
        <v>2144</v>
      </c>
      <c r="R2230" s="97">
        <f t="shared" si="80"/>
        <v>5.8739726027397259</v>
      </c>
      <c r="S2230" s="75">
        <f t="shared" si="81"/>
        <v>48513.139726027395</v>
      </c>
      <c r="U2230" s="8">
        <v>44608</v>
      </c>
      <c r="W2230" s="6" t="s">
        <v>33</v>
      </c>
      <c r="X2230" s="7">
        <v>50682</v>
      </c>
    </row>
    <row r="2231" spans="1:24" x14ac:dyDescent="0.25">
      <c r="A2231" s="6" t="s">
        <v>25</v>
      </c>
      <c r="B2231" s="94" t="s">
        <v>6895</v>
      </c>
      <c r="C2231" s="6" t="s">
        <v>6896</v>
      </c>
      <c r="D2231" s="140">
        <v>11264812</v>
      </c>
      <c r="E2231" s="6" t="s">
        <v>839</v>
      </c>
      <c r="F2231" s="10" t="s">
        <v>44</v>
      </c>
      <c r="G2231" s="6" t="s">
        <v>6897</v>
      </c>
      <c r="H2231" s="8">
        <v>42247</v>
      </c>
      <c r="I2231" s="8">
        <v>44418</v>
      </c>
      <c r="J2231" s="8">
        <v>44426</v>
      </c>
      <c r="K2231" s="95">
        <v>44427</v>
      </c>
      <c r="L2231" s="95" t="s">
        <v>31</v>
      </c>
      <c r="M2231" s="8">
        <v>44428</v>
      </c>
      <c r="N2231" s="8">
        <v>44476</v>
      </c>
      <c r="O2231" s="8">
        <v>44462</v>
      </c>
      <c r="P2231" s="6" t="s">
        <v>75</v>
      </c>
      <c r="R2231" s="97" t="str">
        <f t="shared" si="80"/>
        <v/>
      </c>
      <c r="S2231" s="75" t="str">
        <f t="shared" si="81"/>
        <v/>
      </c>
      <c r="U2231" s="8">
        <v>44476</v>
      </c>
      <c r="W2231" s="6" t="s">
        <v>33</v>
      </c>
      <c r="X2231" s="7">
        <v>51138</v>
      </c>
    </row>
    <row r="2232" spans="1:24" x14ac:dyDescent="0.25">
      <c r="A2232" s="6" t="s">
        <v>25</v>
      </c>
      <c r="B2232" s="94" t="s">
        <v>4545</v>
      </c>
      <c r="C2232" s="6" t="s">
        <v>6898</v>
      </c>
      <c r="D2232" s="140">
        <v>11058206</v>
      </c>
      <c r="E2232" s="6" t="s">
        <v>3008</v>
      </c>
      <c r="F2232" s="10" t="s">
        <v>44</v>
      </c>
      <c r="G2232" s="6" t="s">
        <v>6899</v>
      </c>
      <c r="H2232" s="8">
        <v>45555</v>
      </c>
      <c r="I2232" s="8">
        <v>44418</v>
      </c>
      <c r="R2232" s="97" t="str">
        <f t="shared" si="80"/>
        <v/>
      </c>
      <c r="S2232" s="75" t="str">
        <f t="shared" si="81"/>
        <v/>
      </c>
      <c r="T2232" s="124" t="s">
        <v>3359</v>
      </c>
      <c r="U2232" s="8">
        <v>45208</v>
      </c>
      <c r="W2232" s="6" t="s">
        <v>33</v>
      </c>
      <c r="X2232" s="7">
        <v>50963</v>
      </c>
    </row>
    <row r="2233" spans="1:24" x14ac:dyDescent="0.25">
      <c r="A2233" s="6" t="s">
        <v>25</v>
      </c>
      <c r="B2233" s="94" t="s">
        <v>2623</v>
      </c>
      <c r="C2233" s="6" t="s">
        <v>6900</v>
      </c>
      <c r="D2233" s="140">
        <v>11493409</v>
      </c>
      <c r="E2233" s="6" t="s">
        <v>2206</v>
      </c>
      <c r="F2233" s="10" t="s">
        <v>44</v>
      </c>
      <c r="G2233" s="6" t="s">
        <v>6901</v>
      </c>
      <c r="H2233" s="8">
        <v>41641</v>
      </c>
      <c r="I2233" s="8">
        <v>44418</v>
      </c>
      <c r="J2233" s="8">
        <v>44426</v>
      </c>
      <c r="K2233" s="95">
        <v>44427</v>
      </c>
      <c r="L2233" s="95" t="s">
        <v>31</v>
      </c>
      <c r="M2233" s="8">
        <v>44428</v>
      </c>
      <c r="N2233" s="108">
        <v>44455</v>
      </c>
      <c r="O2233" s="108">
        <v>44454</v>
      </c>
      <c r="P2233" s="107" t="s">
        <v>35</v>
      </c>
      <c r="Q2233" s="110">
        <v>926</v>
      </c>
      <c r="R2233" s="97">
        <f t="shared" si="80"/>
        <v>2.536986301369863</v>
      </c>
      <c r="S2233" s="75">
        <f t="shared" si="81"/>
        <v>20952.969863013699</v>
      </c>
      <c r="T2233" s="129" t="s">
        <v>6902</v>
      </c>
      <c r="U2233" s="8">
        <v>44776</v>
      </c>
      <c r="W2233" s="6" t="s">
        <v>33</v>
      </c>
      <c r="X2233" s="7">
        <v>50737</v>
      </c>
    </row>
    <row r="2234" spans="1:24" x14ac:dyDescent="0.25">
      <c r="A2234" s="6" t="s">
        <v>25</v>
      </c>
      <c r="B2234" s="94" t="s">
        <v>323</v>
      </c>
      <c r="C2234" s="6" t="s">
        <v>6903</v>
      </c>
      <c r="D2234" s="140">
        <v>11444775</v>
      </c>
      <c r="E2234" s="6" t="s">
        <v>6405</v>
      </c>
      <c r="F2234" s="10" t="s">
        <v>44</v>
      </c>
      <c r="G2234" s="6" t="s">
        <v>6904</v>
      </c>
      <c r="H2234" s="8">
        <v>46707</v>
      </c>
      <c r="I2234" s="8">
        <v>44418</v>
      </c>
      <c r="J2234" s="8">
        <v>44426</v>
      </c>
      <c r="K2234" s="95">
        <v>44431</v>
      </c>
      <c r="L2234" s="95" t="s">
        <v>31</v>
      </c>
      <c r="M2234" s="8">
        <v>44442</v>
      </c>
      <c r="N2234" s="108">
        <v>44657</v>
      </c>
      <c r="O2234" s="108">
        <v>44608</v>
      </c>
      <c r="P2234" s="107" t="s">
        <v>35</v>
      </c>
      <c r="Q2234" s="110">
        <v>1229</v>
      </c>
      <c r="R2234" s="97">
        <f t="shared" si="80"/>
        <v>3.3671232876712329</v>
      </c>
      <c r="S2234" s="75">
        <f t="shared" si="81"/>
        <v>27809.071232876715</v>
      </c>
      <c r="U2234" s="8">
        <v>44776</v>
      </c>
      <c r="W2234" s="6" t="s">
        <v>33</v>
      </c>
      <c r="X2234" s="7">
        <v>50563</v>
      </c>
    </row>
    <row r="2235" spans="1:24" x14ac:dyDescent="0.25">
      <c r="A2235" s="6" t="s">
        <v>25</v>
      </c>
      <c r="B2235" s="94" t="s">
        <v>6905</v>
      </c>
      <c r="C2235" s="6" t="s">
        <v>6906</v>
      </c>
      <c r="D2235" s="140">
        <v>11161690</v>
      </c>
      <c r="E2235" s="6" t="s">
        <v>5658</v>
      </c>
      <c r="F2235" s="10" t="s">
        <v>44</v>
      </c>
      <c r="G2235" s="6" t="s">
        <v>6907</v>
      </c>
      <c r="H2235" s="8">
        <v>47094</v>
      </c>
      <c r="I2235" s="8">
        <v>44418</v>
      </c>
      <c r="J2235" s="8">
        <v>44426</v>
      </c>
      <c r="K2235" s="95">
        <v>44431</v>
      </c>
      <c r="L2235" s="95" t="s">
        <v>31</v>
      </c>
      <c r="M2235" s="8">
        <v>44442</v>
      </c>
      <c r="N2235" s="8">
        <v>44818</v>
      </c>
      <c r="O2235" s="8">
        <v>44803</v>
      </c>
      <c r="P2235" s="6" t="s">
        <v>90</v>
      </c>
      <c r="Q2235" s="96">
        <v>2920</v>
      </c>
      <c r="R2235" s="97">
        <f t="shared" si="80"/>
        <v>8</v>
      </c>
      <c r="S2235" s="75">
        <f t="shared" si="81"/>
        <v>66072</v>
      </c>
      <c r="T2235" s="124" t="s">
        <v>6908</v>
      </c>
      <c r="U2235" s="8">
        <v>45100</v>
      </c>
      <c r="V2235" s="6" t="s">
        <v>36</v>
      </c>
      <c r="W2235" s="6" t="s">
        <v>33</v>
      </c>
      <c r="X2235" s="7">
        <v>50681</v>
      </c>
    </row>
    <row r="2236" spans="1:24" x14ac:dyDescent="0.25">
      <c r="A2236" s="6" t="s">
        <v>25</v>
      </c>
      <c r="B2236" s="94" t="s">
        <v>145</v>
      </c>
      <c r="C2236" s="6" t="s">
        <v>6909</v>
      </c>
      <c r="D2236" s="140">
        <v>11376543</v>
      </c>
      <c r="E2236" s="6" t="s">
        <v>3386</v>
      </c>
      <c r="F2236" s="10" t="s">
        <v>44</v>
      </c>
      <c r="G2236" s="6" t="s">
        <v>6910</v>
      </c>
      <c r="H2236" s="8">
        <v>45241</v>
      </c>
      <c r="I2236" s="8">
        <v>44418</v>
      </c>
      <c r="J2236" s="8">
        <v>44426</v>
      </c>
      <c r="K2236" s="95">
        <v>44427</v>
      </c>
      <c r="L2236" s="95" t="s">
        <v>31</v>
      </c>
      <c r="M2236" s="8">
        <v>44428</v>
      </c>
      <c r="N2236" s="8">
        <v>44539</v>
      </c>
      <c r="O2236" s="8">
        <v>44521</v>
      </c>
      <c r="P2236" s="6" t="s">
        <v>90</v>
      </c>
      <c r="Q2236" s="96">
        <v>697</v>
      </c>
      <c r="R2236" s="97">
        <f t="shared" si="80"/>
        <v>1.9095890410958904</v>
      </c>
      <c r="S2236" s="75">
        <f t="shared" si="81"/>
        <v>15771.29589041096</v>
      </c>
      <c r="T2236" s="124" t="s">
        <v>6911</v>
      </c>
      <c r="U2236" s="8">
        <v>44540</v>
      </c>
      <c r="V2236" s="6" t="s">
        <v>36</v>
      </c>
      <c r="W2236" s="6" t="s">
        <v>33</v>
      </c>
      <c r="X2236" s="7">
        <v>51718</v>
      </c>
    </row>
    <row r="2237" spans="1:24" x14ac:dyDescent="0.25">
      <c r="A2237" s="6" t="s">
        <v>25</v>
      </c>
      <c r="B2237" s="94" t="s">
        <v>4728</v>
      </c>
      <c r="C2237" s="6" t="s">
        <v>6912</v>
      </c>
      <c r="D2237" s="140">
        <v>11973850</v>
      </c>
      <c r="E2237" s="6" t="s">
        <v>3008</v>
      </c>
      <c r="F2237" s="10" t="s">
        <v>44</v>
      </c>
      <c r="G2237" s="6" t="s">
        <v>6913</v>
      </c>
      <c r="H2237" s="8">
        <v>45822</v>
      </c>
      <c r="I2237" s="8">
        <v>44418</v>
      </c>
      <c r="J2237" s="8">
        <v>44426</v>
      </c>
      <c r="K2237" s="95">
        <v>44427</v>
      </c>
      <c r="L2237" s="95" t="s">
        <v>31</v>
      </c>
      <c r="M2237" s="8">
        <v>44428</v>
      </c>
      <c r="P2237" s="6" t="s">
        <v>628</v>
      </c>
      <c r="R2237" s="97" t="str">
        <f t="shared" si="80"/>
        <v/>
      </c>
      <c r="S2237" s="75" t="str">
        <f t="shared" si="81"/>
        <v/>
      </c>
      <c r="T2237" s="124" t="s">
        <v>6914</v>
      </c>
      <c r="W2237" s="6" t="s">
        <v>33</v>
      </c>
      <c r="X2237" s="7">
        <v>50292</v>
      </c>
    </row>
    <row r="2238" spans="1:24" x14ac:dyDescent="0.25">
      <c r="A2238" s="6" t="s">
        <v>25</v>
      </c>
      <c r="B2238" s="94" t="s">
        <v>1825</v>
      </c>
      <c r="C2238" s="6" t="s">
        <v>6915</v>
      </c>
      <c r="D2238" s="140">
        <v>12009747</v>
      </c>
      <c r="E2238" s="6" t="s">
        <v>6192</v>
      </c>
      <c r="F2238" s="10" t="s">
        <v>44</v>
      </c>
      <c r="G2238" s="6" t="s">
        <v>6916</v>
      </c>
      <c r="H2238" s="8">
        <v>46588</v>
      </c>
      <c r="I2238" s="8">
        <v>44418</v>
      </c>
      <c r="J2238" s="8">
        <v>44426</v>
      </c>
      <c r="K2238" s="95">
        <v>44431</v>
      </c>
      <c r="L2238" s="95" t="s">
        <v>31</v>
      </c>
      <c r="M2238" s="8">
        <v>44442</v>
      </c>
      <c r="N2238" s="108">
        <v>44602</v>
      </c>
      <c r="O2238" s="108">
        <v>44566</v>
      </c>
      <c r="P2238" s="107" t="s">
        <v>35</v>
      </c>
      <c r="Q2238" s="110">
        <v>1217</v>
      </c>
      <c r="R2238" s="97">
        <f t="shared" si="80"/>
        <v>3.3342465753424659</v>
      </c>
      <c r="S2238" s="75">
        <f t="shared" si="81"/>
        <v>27537.542465753424</v>
      </c>
      <c r="U2238" s="8">
        <v>44776</v>
      </c>
      <c r="W2238" s="6" t="s">
        <v>33</v>
      </c>
      <c r="X2238" s="7">
        <v>52990</v>
      </c>
    </row>
    <row r="2239" spans="1:24" x14ac:dyDescent="0.25">
      <c r="A2239" s="6" t="s">
        <v>25</v>
      </c>
      <c r="B2239" s="94" t="s">
        <v>6917</v>
      </c>
      <c r="C2239" s="6" t="s">
        <v>6918</v>
      </c>
      <c r="D2239" s="140">
        <v>11234230</v>
      </c>
      <c r="E2239" s="6" t="s">
        <v>4958</v>
      </c>
      <c r="F2239" s="10" t="s">
        <v>44</v>
      </c>
      <c r="G2239" s="6" t="s">
        <v>6919</v>
      </c>
      <c r="H2239" s="8">
        <v>45915</v>
      </c>
      <c r="I2239" s="8">
        <v>44418</v>
      </c>
      <c r="J2239" s="8">
        <v>44433</v>
      </c>
      <c r="K2239" s="95">
        <v>44434</v>
      </c>
      <c r="L2239" s="95" t="s">
        <v>31</v>
      </c>
      <c r="M2239" s="8">
        <v>44442</v>
      </c>
      <c r="N2239" s="8">
        <v>44585</v>
      </c>
      <c r="O2239" s="8">
        <v>44573</v>
      </c>
      <c r="P2239" s="6" t="s">
        <v>35</v>
      </c>
      <c r="Q2239" s="96">
        <v>957</v>
      </c>
      <c r="R2239" s="97">
        <f t="shared" si="80"/>
        <v>2.6219178082191781</v>
      </c>
      <c r="S2239" s="75">
        <f t="shared" si="81"/>
        <v>21654.419178082193</v>
      </c>
      <c r="U2239" s="8">
        <v>44635</v>
      </c>
      <c r="W2239" s="6" t="s">
        <v>33</v>
      </c>
      <c r="X2239" s="7">
        <v>50796</v>
      </c>
    </row>
    <row r="2240" spans="1:24" x14ac:dyDescent="0.25">
      <c r="A2240" s="6" t="s">
        <v>25</v>
      </c>
      <c r="B2240" s="94" t="s">
        <v>646</v>
      </c>
      <c r="C2240" s="6" t="s">
        <v>6920</v>
      </c>
      <c r="D2240" s="140">
        <v>12015923</v>
      </c>
      <c r="E2240" s="6" t="s">
        <v>3319</v>
      </c>
      <c r="F2240" s="10" t="s">
        <v>44</v>
      </c>
      <c r="G2240" s="6" t="s">
        <v>6921</v>
      </c>
      <c r="H2240" s="8">
        <v>45211</v>
      </c>
      <c r="I2240" s="8">
        <v>44418</v>
      </c>
      <c r="J2240" s="8">
        <v>44428</v>
      </c>
      <c r="K2240" s="95">
        <v>44431</v>
      </c>
      <c r="L2240" s="95" t="s">
        <v>31</v>
      </c>
      <c r="M2240" s="8">
        <v>44442</v>
      </c>
      <c r="N2240" s="8">
        <v>44463</v>
      </c>
      <c r="O2240" s="8">
        <v>44454</v>
      </c>
      <c r="P2240" s="6" t="s">
        <v>75</v>
      </c>
      <c r="R2240" s="97" t="str">
        <f t="shared" si="80"/>
        <v/>
      </c>
      <c r="S2240" s="75" t="str">
        <f t="shared" si="81"/>
        <v/>
      </c>
      <c r="U2240" s="8">
        <v>44463</v>
      </c>
      <c r="W2240" s="6" t="s">
        <v>33</v>
      </c>
      <c r="X2240" s="7">
        <v>52940</v>
      </c>
    </row>
    <row r="2241" spans="1:24" ht="30" x14ac:dyDescent="0.25">
      <c r="A2241" s="6" t="s">
        <v>25</v>
      </c>
      <c r="B2241" s="94" t="s">
        <v>1154</v>
      </c>
      <c r="C2241" s="6" t="s">
        <v>6922</v>
      </c>
      <c r="D2241" s="140">
        <v>11131243</v>
      </c>
      <c r="E2241" s="6" t="s">
        <v>3290</v>
      </c>
      <c r="F2241" s="10" t="s">
        <v>44</v>
      </c>
      <c r="G2241" s="6" t="s">
        <v>6923</v>
      </c>
      <c r="H2241" s="8">
        <v>48159</v>
      </c>
      <c r="I2241" s="8">
        <v>44418</v>
      </c>
      <c r="J2241" s="8">
        <v>44428</v>
      </c>
      <c r="K2241" s="95">
        <v>44431</v>
      </c>
      <c r="L2241" s="95" t="s">
        <v>31</v>
      </c>
      <c r="M2241" s="8">
        <v>44442</v>
      </c>
      <c r="N2241" s="8">
        <v>44974</v>
      </c>
      <c r="O2241" s="8">
        <v>44963</v>
      </c>
      <c r="P2241" s="6" t="s">
        <v>90</v>
      </c>
      <c r="Q2241" s="96">
        <v>5475</v>
      </c>
      <c r="R2241" s="97">
        <f t="shared" si="80"/>
        <v>15</v>
      </c>
      <c r="S2241" s="75">
        <f t="shared" si="81"/>
        <v>123885</v>
      </c>
      <c r="U2241" s="8">
        <v>44987</v>
      </c>
      <c r="V2241" s="6" t="s">
        <v>581</v>
      </c>
      <c r="W2241" s="6" t="s">
        <v>33</v>
      </c>
      <c r="X2241" s="7">
        <v>51184</v>
      </c>
    </row>
    <row r="2242" spans="1:24" x14ac:dyDescent="0.25">
      <c r="A2242" s="6" t="s">
        <v>25</v>
      </c>
      <c r="B2242" s="94" t="s">
        <v>4287</v>
      </c>
      <c r="C2242" s="6" t="s">
        <v>6924</v>
      </c>
      <c r="D2242" s="140">
        <v>11370545</v>
      </c>
      <c r="E2242" s="6" t="s">
        <v>6925</v>
      </c>
      <c r="F2242" s="10" t="s">
        <v>44</v>
      </c>
      <c r="G2242" s="6" t="s">
        <v>6926</v>
      </c>
      <c r="H2242" s="8">
        <v>45265</v>
      </c>
      <c r="I2242" s="8">
        <v>44418</v>
      </c>
      <c r="J2242" s="8">
        <v>44433</v>
      </c>
      <c r="K2242" s="95">
        <v>44434</v>
      </c>
      <c r="L2242" s="95" t="s">
        <v>359</v>
      </c>
      <c r="R2242" s="97" t="str">
        <f t="shared" si="80"/>
        <v/>
      </c>
      <c r="S2242" s="75" t="str">
        <f t="shared" si="81"/>
        <v/>
      </c>
      <c r="W2242" s="6" t="s">
        <v>33</v>
      </c>
      <c r="X2242" s="7">
        <v>55596</v>
      </c>
    </row>
    <row r="2243" spans="1:24" x14ac:dyDescent="0.25">
      <c r="A2243" s="6" t="s">
        <v>25</v>
      </c>
      <c r="B2243" s="94" t="s">
        <v>6927</v>
      </c>
      <c r="C2243" s="6" t="s">
        <v>6928</v>
      </c>
      <c r="D2243" s="140">
        <v>11549832</v>
      </c>
      <c r="E2243" s="6" t="s">
        <v>2502</v>
      </c>
      <c r="F2243" s="10" t="s">
        <v>44</v>
      </c>
      <c r="G2243" s="6" t="s">
        <v>6929</v>
      </c>
      <c r="H2243" s="8">
        <v>45777</v>
      </c>
      <c r="I2243" s="8">
        <v>44418</v>
      </c>
      <c r="J2243" s="8">
        <v>44426</v>
      </c>
      <c r="K2243" s="95">
        <v>44431</v>
      </c>
      <c r="L2243" s="95" t="s">
        <v>31</v>
      </c>
      <c r="M2243" s="8">
        <v>44442</v>
      </c>
      <c r="N2243" s="8">
        <v>44770</v>
      </c>
      <c r="O2243" s="8">
        <v>44762</v>
      </c>
      <c r="P2243" s="6" t="s">
        <v>35</v>
      </c>
      <c r="Q2243" s="96">
        <v>644</v>
      </c>
      <c r="R2243" s="97">
        <f t="shared" si="80"/>
        <v>1.7643835616438357</v>
      </c>
      <c r="S2243" s="75">
        <f t="shared" si="81"/>
        <v>14572.04383561644</v>
      </c>
      <c r="U2243" s="8">
        <v>44792</v>
      </c>
      <c r="W2243" s="6" t="s">
        <v>33</v>
      </c>
      <c r="X2243" s="7">
        <v>50905</v>
      </c>
    </row>
    <row r="2244" spans="1:24" x14ac:dyDescent="0.25">
      <c r="A2244" s="6" t="s">
        <v>25</v>
      </c>
      <c r="B2244" s="94" t="s">
        <v>5473</v>
      </c>
      <c r="C2244" s="6" t="s">
        <v>6930</v>
      </c>
      <c r="D2244" s="140">
        <v>10250207</v>
      </c>
      <c r="E2244" s="6" t="s">
        <v>171</v>
      </c>
      <c r="F2244" s="10" t="s">
        <v>44</v>
      </c>
      <c r="G2244" s="6" t="s">
        <v>6931</v>
      </c>
      <c r="H2244" s="8">
        <v>46675</v>
      </c>
      <c r="I2244" s="8">
        <v>44418</v>
      </c>
      <c r="J2244" s="8">
        <v>44433</v>
      </c>
      <c r="K2244" s="95">
        <v>44434</v>
      </c>
      <c r="L2244" s="95" t="s">
        <v>31</v>
      </c>
      <c r="M2244" s="8">
        <v>44442</v>
      </c>
      <c r="N2244" s="8">
        <v>44623</v>
      </c>
      <c r="O2244" s="8">
        <v>44537</v>
      </c>
      <c r="P2244" s="6" t="s">
        <v>52</v>
      </c>
      <c r="R2244" s="97" t="str">
        <f t="shared" si="80"/>
        <v/>
      </c>
      <c r="S2244" s="75" t="str">
        <f t="shared" si="81"/>
        <v/>
      </c>
      <c r="U2244" s="8">
        <v>44624</v>
      </c>
      <c r="W2244" s="6" t="s">
        <v>33</v>
      </c>
      <c r="X2244" s="7">
        <v>50539</v>
      </c>
    </row>
    <row r="2245" spans="1:24" x14ac:dyDescent="0.25">
      <c r="A2245" s="6" t="s">
        <v>25</v>
      </c>
      <c r="B2245" s="94" t="s">
        <v>723</v>
      </c>
      <c r="C2245" s="6" t="s">
        <v>6932</v>
      </c>
      <c r="D2245" s="140">
        <v>11129111</v>
      </c>
      <c r="E2245" s="6" t="s">
        <v>6101</v>
      </c>
      <c r="F2245" s="10" t="s">
        <v>44</v>
      </c>
      <c r="G2245" s="6" t="s">
        <v>6933</v>
      </c>
      <c r="H2245" s="8">
        <v>49315</v>
      </c>
      <c r="I2245" s="8">
        <v>44418</v>
      </c>
      <c r="J2245" s="8">
        <v>44433</v>
      </c>
      <c r="K2245" s="95">
        <v>44434</v>
      </c>
      <c r="L2245" s="95" t="s">
        <v>31</v>
      </c>
      <c r="M2245" s="8">
        <v>44442</v>
      </c>
      <c r="R2245" s="97" t="str">
        <f t="shared" ref="R2245:R2308" si="82">IF(Q2245&gt;0, Q2245/365, "")</f>
        <v/>
      </c>
      <c r="S2245" s="75" t="str">
        <f t="shared" ref="S2245:S2308" si="83">IF(Q2245&gt;0, SUM(Q2245)*(8259/365), "")</f>
        <v/>
      </c>
      <c r="W2245" s="6" t="s">
        <v>33</v>
      </c>
      <c r="X2245" s="7">
        <v>49988</v>
      </c>
    </row>
    <row r="2246" spans="1:24" x14ac:dyDescent="0.25">
      <c r="A2246" s="6" t="s">
        <v>25</v>
      </c>
      <c r="B2246" s="94" t="s">
        <v>6934</v>
      </c>
      <c r="C2246" s="6" t="s">
        <v>6935</v>
      </c>
      <c r="D2246" s="140">
        <v>11130630</v>
      </c>
      <c r="E2246" s="6" t="s">
        <v>6936</v>
      </c>
      <c r="F2246" s="10" t="s">
        <v>44</v>
      </c>
      <c r="G2246" s="6" t="s">
        <v>6937</v>
      </c>
      <c r="H2246" s="8">
        <v>45251</v>
      </c>
      <c r="I2246" s="8">
        <v>44418</v>
      </c>
      <c r="J2246" s="8">
        <v>44426</v>
      </c>
      <c r="K2246" s="95">
        <v>44427</v>
      </c>
      <c r="L2246" s="95" t="s">
        <v>31</v>
      </c>
      <c r="M2246" s="8">
        <v>44428</v>
      </c>
      <c r="N2246" s="8">
        <v>44510</v>
      </c>
      <c r="O2246" s="8">
        <v>44508</v>
      </c>
      <c r="P2246" s="6" t="s">
        <v>90</v>
      </c>
      <c r="Q2246" s="96">
        <v>735</v>
      </c>
      <c r="R2246" s="97">
        <f t="shared" si="82"/>
        <v>2.0136986301369864</v>
      </c>
      <c r="S2246" s="75">
        <f t="shared" si="83"/>
        <v>16631.136986301372</v>
      </c>
      <c r="T2246" s="124" t="s">
        <v>6938</v>
      </c>
      <c r="U2246" s="8">
        <v>44512</v>
      </c>
      <c r="W2246" s="6" t="s">
        <v>33</v>
      </c>
      <c r="X2246" s="7">
        <v>50824</v>
      </c>
    </row>
    <row r="2247" spans="1:24" x14ac:dyDescent="0.25">
      <c r="A2247" s="6" t="s">
        <v>25</v>
      </c>
      <c r="B2247" s="94" t="s">
        <v>2148</v>
      </c>
      <c r="C2247" s="6" t="s">
        <v>6939</v>
      </c>
      <c r="D2247" s="140">
        <v>11982501</v>
      </c>
      <c r="E2247" s="6" t="s">
        <v>5928</v>
      </c>
      <c r="F2247" s="10" t="s">
        <v>148</v>
      </c>
      <c r="G2247" s="6" t="s">
        <v>6940</v>
      </c>
      <c r="H2247" s="8">
        <v>48909</v>
      </c>
      <c r="I2247" s="8">
        <v>44418</v>
      </c>
      <c r="J2247" s="8">
        <v>44433</v>
      </c>
      <c r="K2247" s="95">
        <v>44434</v>
      </c>
      <c r="L2247" s="95" t="s">
        <v>31</v>
      </c>
      <c r="M2247" s="8">
        <v>44442</v>
      </c>
      <c r="N2247" s="8">
        <v>44775</v>
      </c>
      <c r="O2247" s="8">
        <v>44769</v>
      </c>
      <c r="P2247" s="6" t="s">
        <v>35</v>
      </c>
      <c r="Q2247" s="96">
        <v>1948</v>
      </c>
      <c r="R2247" s="97">
        <f t="shared" si="82"/>
        <v>5.3369863013698629</v>
      </c>
      <c r="S2247" s="75">
        <f t="shared" si="83"/>
        <v>44078.169863013703</v>
      </c>
      <c r="U2247" s="8">
        <v>44832</v>
      </c>
      <c r="W2247" s="6" t="s">
        <v>33</v>
      </c>
      <c r="X2247" s="7">
        <v>52170</v>
      </c>
    </row>
    <row r="2248" spans="1:24" x14ac:dyDescent="0.25">
      <c r="A2248" s="6" t="s">
        <v>168</v>
      </c>
      <c r="B2248" s="94" t="s">
        <v>6941</v>
      </c>
      <c r="C2248" s="6" t="s">
        <v>6942</v>
      </c>
      <c r="D2248" s="140">
        <v>11904106</v>
      </c>
      <c r="E2248" s="6" t="s">
        <v>3102</v>
      </c>
      <c r="F2248" s="10" t="s">
        <v>62</v>
      </c>
      <c r="G2248" s="6">
        <v>6497622</v>
      </c>
      <c r="H2248" s="8">
        <v>47264</v>
      </c>
      <c r="I2248" s="8">
        <v>44173</v>
      </c>
      <c r="J2248" s="8">
        <v>44218</v>
      </c>
      <c r="K2248" s="95">
        <v>44225</v>
      </c>
      <c r="L2248" s="95" t="s">
        <v>31</v>
      </c>
      <c r="M2248" s="8">
        <v>44230</v>
      </c>
      <c r="R2248" s="97" t="str">
        <f t="shared" si="82"/>
        <v/>
      </c>
      <c r="S2248" s="75" t="str">
        <f t="shared" si="83"/>
        <v/>
      </c>
      <c r="W2248" s="6" t="s">
        <v>84</v>
      </c>
      <c r="X2248" s="95">
        <v>45361</v>
      </c>
    </row>
    <row r="2249" spans="1:24" x14ac:dyDescent="0.25">
      <c r="A2249" s="6" t="s">
        <v>168</v>
      </c>
      <c r="B2249" s="94" t="s">
        <v>6943</v>
      </c>
      <c r="C2249" s="6" t="s">
        <v>6944</v>
      </c>
      <c r="D2249" s="140">
        <v>11631895</v>
      </c>
      <c r="E2249" s="6" t="s">
        <v>3484</v>
      </c>
      <c r="F2249" s="10" t="s">
        <v>205</v>
      </c>
      <c r="G2249" s="6" t="s">
        <v>6945</v>
      </c>
      <c r="H2249" s="8">
        <v>44961</v>
      </c>
      <c r="I2249" s="95">
        <v>43269</v>
      </c>
      <c r="J2249" s="8">
        <v>43271</v>
      </c>
      <c r="K2249" s="95">
        <v>43272</v>
      </c>
      <c r="L2249" s="95" t="s">
        <v>359</v>
      </c>
      <c r="M2249" s="95"/>
      <c r="R2249" s="97" t="str">
        <f t="shared" si="82"/>
        <v/>
      </c>
      <c r="S2249" s="75" t="str">
        <f t="shared" si="83"/>
        <v/>
      </c>
      <c r="U2249" s="8">
        <v>43334</v>
      </c>
      <c r="W2249" s="6" t="s">
        <v>33</v>
      </c>
      <c r="X2249" s="95">
        <v>48767</v>
      </c>
    </row>
    <row r="2250" spans="1:24" x14ac:dyDescent="0.25">
      <c r="A2250" s="6" t="s">
        <v>168</v>
      </c>
      <c r="B2250" s="94" t="s">
        <v>6946</v>
      </c>
      <c r="C2250" s="6" t="s">
        <v>6947</v>
      </c>
      <c r="D2250" s="140">
        <v>11017969</v>
      </c>
      <c r="E2250" s="6" t="s">
        <v>386</v>
      </c>
      <c r="F2250" s="10" t="s">
        <v>44</v>
      </c>
      <c r="G2250" s="6" t="s">
        <v>6948</v>
      </c>
      <c r="H2250" s="8">
        <v>46338</v>
      </c>
      <c r="I2250" s="8">
        <v>43643</v>
      </c>
      <c r="J2250" s="8">
        <v>43654</v>
      </c>
      <c r="K2250" s="95">
        <v>43654</v>
      </c>
      <c r="L2250" s="95" t="s">
        <v>31</v>
      </c>
      <c r="M2250" s="8">
        <v>43656</v>
      </c>
      <c r="N2250" s="8">
        <v>43712</v>
      </c>
      <c r="O2250" s="8">
        <v>43704</v>
      </c>
      <c r="P2250" s="6" t="s">
        <v>52</v>
      </c>
      <c r="R2250" s="97" t="str">
        <f t="shared" si="82"/>
        <v/>
      </c>
      <c r="S2250" s="75" t="str">
        <f t="shared" si="83"/>
        <v/>
      </c>
      <c r="U2250" s="8">
        <v>43712</v>
      </c>
      <c r="W2250" s="6" t="s">
        <v>84</v>
      </c>
      <c r="X2250" s="95">
        <v>49362</v>
      </c>
    </row>
    <row r="2251" spans="1:24" ht="30" x14ac:dyDescent="0.25">
      <c r="A2251" s="6" t="s">
        <v>168</v>
      </c>
      <c r="B2251" s="94" t="s">
        <v>6949</v>
      </c>
      <c r="C2251" s="6" t="s">
        <v>6950</v>
      </c>
      <c r="D2251" s="140">
        <v>11162204</v>
      </c>
      <c r="E2251" s="6" t="s">
        <v>3607</v>
      </c>
      <c r="F2251" s="10" t="s">
        <v>29</v>
      </c>
      <c r="G2251" s="6" t="s">
        <v>6951</v>
      </c>
      <c r="H2251" s="8">
        <v>45714</v>
      </c>
      <c r="I2251" s="8">
        <v>43992</v>
      </c>
      <c r="J2251" s="8">
        <v>44056</v>
      </c>
      <c r="K2251" s="95">
        <v>44062</v>
      </c>
      <c r="L2251" s="95" t="s">
        <v>31</v>
      </c>
      <c r="M2251" s="8">
        <v>44077</v>
      </c>
      <c r="N2251" s="8">
        <v>44140</v>
      </c>
      <c r="O2251" s="8">
        <v>44119</v>
      </c>
      <c r="P2251" s="6" t="s">
        <v>90</v>
      </c>
      <c r="Q2251" s="96">
        <v>1584</v>
      </c>
      <c r="R2251" s="97">
        <f t="shared" si="82"/>
        <v>4.3397260273972602</v>
      </c>
      <c r="S2251" s="75">
        <f t="shared" si="83"/>
        <v>35841.797260273976</v>
      </c>
      <c r="T2251" s="124" t="s">
        <v>6952</v>
      </c>
      <c r="U2251" s="8">
        <v>44140</v>
      </c>
      <c r="V2251" s="6" t="s">
        <v>581</v>
      </c>
      <c r="W2251" s="6" t="s">
        <v>84</v>
      </c>
      <c r="X2251" s="153"/>
    </row>
    <row r="2252" spans="1:24" x14ac:dyDescent="0.25">
      <c r="A2252" s="6" t="s">
        <v>168</v>
      </c>
      <c r="B2252" s="94" t="s">
        <v>6953</v>
      </c>
      <c r="C2252" s="6" t="s">
        <v>6954</v>
      </c>
      <c r="D2252" s="140">
        <v>11120428</v>
      </c>
      <c r="E2252" s="6" t="s">
        <v>3290</v>
      </c>
      <c r="F2252" s="10" t="s">
        <v>293</v>
      </c>
      <c r="G2252" s="6" t="s">
        <v>6955</v>
      </c>
      <c r="H2252" s="8">
        <v>49581</v>
      </c>
      <c r="I2252" s="8">
        <v>44208</v>
      </c>
      <c r="N2252" s="8">
        <v>44751</v>
      </c>
      <c r="O2252" s="8">
        <v>44706</v>
      </c>
      <c r="P2252" s="6" t="s">
        <v>35</v>
      </c>
      <c r="Q2252" s="96">
        <v>5840</v>
      </c>
      <c r="R2252" s="97">
        <f t="shared" si="82"/>
        <v>16</v>
      </c>
      <c r="S2252" s="75">
        <f t="shared" si="83"/>
        <v>132144</v>
      </c>
      <c r="T2252" s="124" t="s">
        <v>6956</v>
      </c>
      <c r="U2252" s="8">
        <v>45063</v>
      </c>
      <c r="W2252" s="6" t="s">
        <v>84</v>
      </c>
      <c r="X2252" s="95">
        <v>46387</v>
      </c>
    </row>
    <row r="2253" spans="1:24" x14ac:dyDescent="0.25">
      <c r="A2253" s="6" t="s">
        <v>25</v>
      </c>
      <c r="B2253" s="94" t="s">
        <v>6957</v>
      </c>
      <c r="C2253" s="6" t="s">
        <v>6958</v>
      </c>
      <c r="D2253" s="140">
        <v>11980971</v>
      </c>
      <c r="E2253" s="6" t="s">
        <v>4051</v>
      </c>
      <c r="F2253" s="10" t="s">
        <v>44</v>
      </c>
      <c r="G2253" s="6" t="s">
        <v>6959</v>
      </c>
      <c r="H2253" s="8">
        <v>49030</v>
      </c>
      <c r="I2253" s="8">
        <v>44418</v>
      </c>
      <c r="J2253" s="8">
        <v>44433</v>
      </c>
      <c r="K2253" s="95">
        <v>44434</v>
      </c>
      <c r="L2253" s="95" t="s">
        <v>31</v>
      </c>
      <c r="M2253" s="8">
        <v>44442</v>
      </c>
      <c r="N2253" s="8">
        <v>44589</v>
      </c>
      <c r="O2253" s="8">
        <v>44540</v>
      </c>
      <c r="P2253" s="6" t="s">
        <v>35</v>
      </c>
      <c r="Q2253" s="96">
        <v>2435</v>
      </c>
      <c r="R2253" s="97">
        <f t="shared" si="82"/>
        <v>6.6712328767123283</v>
      </c>
      <c r="S2253" s="75">
        <f t="shared" si="83"/>
        <v>55097.712328767127</v>
      </c>
      <c r="U2253" s="8">
        <v>44624</v>
      </c>
      <c r="W2253" s="6" t="s">
        <v>33</v>
      </c>
      <c r="X2253" s="7">
        <v>52441</v>
      </c>
    </row>
    <row r="2254" spans="1:24" x14ac:dyDescent="0.25">
      <c r="A2254" s="6" t="s">
        <v>25</v>
      </c>
      <c r="B2254" s="94" t="s">
        <v>6960</v>
      </c>
      <c r="C2254" s="6" t="s">
        <v>6961</v>
      </c>
      <c r="D2254" s="140">
        <v>11294977</v>
      </c>
      <c r="E2254" s="6" t="s">
        <v>6405</v>
      </c>
      <c r="F2254" s="10" t="s">
        <v>44</v>
      </c>
      <c r="G2254" s="6" t="s">
        <v>6962</v>
      </c>
      <c r="H2254" s="8">
        <v>46766</v>
      </c>
      <c r="I2254" s="8">
        <v>44421</v>
      </c>
      <c r="J2254" s="8">
        <v>44447</v>
      </c>
      <c r="K2254" s="95">
        <v>44454</v>
      </c>
      <c r="L2254" s="95" t="s">
        <v>31</v>
      </c>
      <c r="M2254" s="8">
        <v>44460</v>
      </c>
      <c r="N2254" s="108">
        <v>44677</v>
      </c>
      <c r="O2254" s="108">
        <v>44670</v>
      </c>
      <c r="P2254" s="107" t="s">
        <v>35</v>
      </c>
      <c r="Q2254" s="110">
        <v>547</v>
      </c>
      <c r="R2254" s="97">
        <f t="shared" si="82"/>
        <v>1.4986301369863013</v>
      </c>
      <c r="S2254" s="75">
        <f t="shared" si="83"/>
        <v>12377.186301369864</v>
      </c>
      <c r="U2254" s="8">
        <v>44776</v>
      </c>
      <c r="W2254" s="6" t="s">
        <v>33</v>
      </c>
      <c r="X2254" s="7">
        <v>51257</v>
      </c>
    </row>
    <row r="2255" spans="1:24" x14ac:dyDescent="0.25">
      <c r="A2255" s="6" t="s">
        <v>25</v>
      </c>
      <c r="B2255" s="94" t="s">
        <v>6963</v>
      </c>
      <c r="C2255" s="6" t="s">
        <v>6964</v>
      </c>
      <c r="D2255" s="140">
        <v>11383239</v>
      </c>
      <c r="E2255" s="6" t="s">
        <v>6470</v>
      </c>
      <c r="F2255" s="10" t="s">
        <v>299</v>
      </c>
      <c r="G2255" s="6" t="s">
        <v>6965</v>
      </c>
      <c r="H2255" s="8">
        <v>49518</v>
      </c>
      <c r="I2255" s="8">
        <v>44421</v>
      </c>
      <c r="J2255" s="8">
        <v>44447</v>
      </c>
      <c r="K2255" s="95">
        <v>44454</v>
      </c>
      <c r="L2255" s="95" t="s">
        <v>359</v>
      </c>
      <c r="R2255" s="97" t="str">
        <f t="shared" si="82"/>
        <v/>
      </c>
      <c r="S2255" s="75" t="str">
        <f t="shared" si="83"/>
        <v/>
      </c>
      <c r="W2255" s="6" t="s">
        <v>33</v>
      </c>
      <c r="X2255" s="7">
        <v>51030</v>
      </c>
    </row>
    <row r="2256" spans="1:24" x14ac:dyDescent="0.25">
      <c r="A2256" s="6" t="s">
        <v>25</v>
      </c>
      <c r="B2256" s="94" t="s">
        <v>6966</v>
      </c>
      <c r="C2256" s="6" t="s">
        <v>6967</v>
      </c>
      <c r="D2256" s="140">
        <v>11566879</v>
      </c>
      <c r="E2256" s="6" t="s">
        <v>5017</v>
      </c>
      <c r="F2256" s="10" t="s">
        <v>3160</v>
      </c>
      <c r="G2256" s="6">
        <v>15022913</v>
      </c>
      <c r="H2256" s="8">
        <v>45118</v>
      </c>
      <c r="I2256" s="8">
        <v>44421</v>
      </c>
      <c r="J2256" s="8">
        <v>44447</v>
      </c>
      <c r="K2256" s="95">
        <v>44454</v>
      </c>
      <c r="L2256" s="95" t="s">
        <v>359</v>
      </c>
      <c r="R2256" s="97" t="str">
        <f t="shared" si="82"/>
        <v/>
      </c>
      <c r="S2256" s="75" t="str">
        <f t="shared" si="83"/>
        <v/>
      </c>
      <c r="W2256" s="6" t="s">
        <v>33</v>
      </c>
      <c r="X2256" s="7">
        <v>51418</v>
      </c>
    </row>
    <row r="2257" spans="1:24" x14ac:dyDescent="0.25">
      <c r="A2257" s="6" t="s">
        <v>25</v>
      </c>
      <c r="B2257" s="94" t="s">
        <v>6968</v>
      </c>
      <c r="C2257" s="6" t="s">
        <v>6969</v>
      </c>
      <c r="D2257" s="140">
        <v>12123151</v>
      </c>
      <c r="E2257" s="6" t="s">
        <v>3008</v>
      </c>
      <c r="F2257" s="10" t="s">
        <v>44</v>
      </c>
      <c r="G2257" s="6" t="s">
        <v>6970</v>
      </c>
      <c r="H2257" s="8">
        <v>45685</v>
      </c>
      <c r="I2257" s="8">
        <v>44421</v>
      </c>
      <c r="J2257" s="8">
        <v>44447</v>
      </c>
      <c r="K2257" s="95">
        <v>44449</v>
      </c>
      <c r="L2257" s="95" t="s">
        <v>31</v>
      </c>
      <c r="M2257" s="8">
        <v>44460</v>
      </c>
      <c r="N2257" s="8">
        <v>44805</v>
      </c>
      <c r="O2257" s="8">
        <v>44799</v>
      </c>
      <c r="P2257" s="6" t="s">
        <v>35</v>
      </c>
      <c r="Q2257" s="96">
        <v>874</v>
      </c>
      <c r="R2257" s="97">
        <f t="shared" si="82"/>
        <v>2.3945205479452056</v>
      </c>
      <c r="S2257" s="75">
        <f t="shared" si="83"/>
        <v>19776.345205479454</v>
      </c>
      <c r="U2257" s="8">
        <v>44883</v>
      </c>
      <c r="W2257" s="6" t="s">
        <v>33</v>
      </c>
      <c r="X2257" s="7">
        <v>50127</v>
      </c>
    </row>
    <row r="2258" spans="1:24" x14ac:dyDescent="0.25">
      <c r="A2258" s="6" t="s">
        <v>25</v>
      </c>
      <c r="B2258" s="94" t="s">
        <v>4984</v>
      </c>
      <c r="C2258" s="6" t="s">
        <v>6971</v>
      </c>
      <c r="D2258" s="140">
        <v>11997086</v>
      </c>
      <c r="E2258" s="6" t="s">
        <v>3243</v>
      </c>
      <c r="F2258" s="10" t="s">
        <v>44</v>
      </c>
      <c r="G2258" s="6" t="s">
        <v>6972</v>
      </c>
      <c r="H2258" s="8">
        <v>46746</v>
      </c>
      <c r="I2258" s="8">
        <v>44426</v>
      </c>
      <c r="J2258" s="8">
        <v>44447</v>
      </c>
      <c r="K2258" s="95">
        <v>44454</v>
      </c>
      <c r="L2258" s="95" t="s">
        <v>31</v>
      </c>
      <c r="M2258" s="8">
        <v>44460</v>
      </c>
      <c r="N2258" s="8">
        <v>44684</v>
      </c>
      <c r="O2258" s="8">
        <v>44656</v>
      </c>
      <c r="P2258" s="6" t="s">
        <v>35</v>
      </c>
      <c r="Q2258" s="96">
        <v>1866</v>
      </c>
      <c r="R2258" s="97">
        <f t="shared" si="82"/>
        <v>5.1123287671232873</v>
      </c>
      <c r="S2258" s="75">
        <f t="shared" si="83"/>
        <v>42222.723287671237</v>
      </c>
      <c r="U2258" s="8">
        <v>44679</v>
      </c>
      <c r="W2258" s="6" t="s">
        <v>33</v>
      </c>
      <c r="X2258" s="7">
        <v>50833</v>
      </c>
    </row>
    <row r="2259" spans="1:24" x14ac:dyDescent="0.25">
      <c r="A2259" s="6" t="s">
        <v>168</v>
      </c>
      <c r="B2259" s="94" t="s">
        <v>6973</v>
      </c>
      <c r="C2259" s="6" t="s">
        <v>6974</v>
      </c>
      <c r="D2259" s="140">
        <v>10248644</v>
      </c>
      <c r="E2259" s="6" t="s">
        <v>4776</v>
      </c>
      <c r="F2259" s="10" t="s">
        <v>148</v>
      </c>
      <c r="G2259" s="6" t="s">
        <v>6975</v>
      </c>
      <c r="H2259" s="8">
        <v>46451</v>
      </c>
      <c r="I2259" s="8">
        <v>43594</v>
      </c>
      <c r="J2259" s="8">
        <v>43602</v>
      </c>
      <c r="K2259" s="95">
        <v>43602</v>
      </c>
      <c r="L2259" s="95" t="s">
        <v>31</v>
      </c>
      <c r="M2259" s="8">
        <v>43607</v>
      </c>
      <c r="N2259" s="8">
        <v>44133</v>
      </c>
      <c r="O2259" s="8">
        <v>44069</v>
      </c>
      <c r="P2259" s="6" t="s">
        <v>90</v>
      </c>
      <c r="Q2259" s="96">
        <v>2320</v>
      </c>
      <c r="R2259" s="97">
        <f t="shared" si="82"/>
        <v>6.3561643835616435</v>
      </c>
      <c r="S2259" s="75">
        <f t="shared" si="83"/>
        <v>52495.561643835616</v>
      </c>
      <c r="T2259" s="124" t="s">
        <v>5690</v>
      </c>
      <c r="U2259" s="8">
        <v>44134</v>
      </c>
      <c r="V2259" s="6" t="s">
        <v>36</v>
      </c>
      <c r="W2259" s="6" t="s">
        <v>84</v>
      </c>
      <c r="X2259" s="95">
        <v>39090</v>
      </c>
    </row>
    <row r="2260" spans="1:24" x14ac:dyDescent="0.25">
      <c r="A2260" s="6" t="s">
        <v>168</v>
      </c>
      <c r="B2260" s="94" t="s">
        <v>6976</v>
      </c>
      <c r="C2260" s="6" t="s">
        <v>6977</v>
      </c>
      <c r="D2260" s="140">
        <v>11241892</v>
      </c>
      <c r="E2260" s="6" t="s">
        <v>6978</v>
      </c>
      <c r="F2260" s="10" t="s">
        <v>44</v>
      </c>
      <c r="G2260" s="6" t="s">
        <v>6979</v>
      </c>
      <c r="H2260" s="8">
        <v>44913</v>
      </c>
      <c r="I2260" s="8">
        <v>43550</v>
      </c>
      <c r="J2260" s="8">
        <v>43557</v>
      </c>
      <c r="K2260" s="95">
        <v>43557</v>
      </c>
      <c r="L2260" s="95" t="s">
        <v>31</v>
      </c>
      <c r="M2260" s="8">
        <v>43570</v>
      </c>
      <c r="N2260" s="8">
        <v>43608</v>
      </c>
      <c r="O2260" s="8">
        <v>43598</v>
      </c>
      <c r="P2260" s="6" t="s">
        <v>75</v>
      </c>
      <c r="R2260" s="97" t="str">
        <f t="shared" si="82"/>
        <v/>
      </c>
      <c r="S2260" s="75" t="str">
        <f t="shared" si="83"/>
        <v/>
      </c>
      <c r="U2260" s="8">
        <v>43616</v>
      </c>
      <c r="W2260" s="6" t="s">
        <v>84</v>
      </c>
      <c r="X2260" s="95">
        <v>46411</v>
      </c>
    </row>
    <row r="2261" spans="1:24" x14ac:dyDescent="0.25">
      <c r="A2261" s="6" t="s">
        <v>25</v>
      </c>
      <c r="B2261" s="94" t="s">
        <v>6980</v>
      </c>
      <c r="C2261" s="6" t="s">
        <v>6981</v>
      </c>
      <c r="D2261" s="140">
        <v>11303044</v>
      </c>
      <c r="E2261" s="6" t="s">
        <v>2879</v>
      </c>
      <c r="F2261" s="10" t="s">
        <v>44</v>
      </c>
      <c r="G2261" s="6" t="s">
        <v>6982</v>
      </c>
      <c r="H2261" s="8">
        <v>46816</v>
      </c>
      <c r="I2261" s="8">
        <v>44427</v>
      </c>
      <c r="J2261" s="8">
        <v>44447</v>
      </c>
      <c r="K2261" s="95">
        <v>44454</v>
      </c>
      <c r="L2261" s="95" t="s">
        <v>31</v>
      </c>
      <c r="M2261" s="8">
        <v>44460</v>
      </c>
      <c r="N2261" s="8">
        <v>44888</v>
      </c>
      <c r="O2261" s="8">
        <v>44862</v>
      </c>
      <c r="P2261" s="6" t="s">
        <v>35</v>
      </c>
      <c r="Q2261" s="96">
        <v>365</v>
      </c>
      <c r="R2261" s="97">
        <f t="shared" si="82"/>
        <v>1</v>
      </c>
      <c r="S2261" s="75">
        <f t="shared" si="83"/>
        <v>8259</v>
      </c>
      <c r="U2261" s="8">
        <v>45063</v>
      </c>
      <c r="W2261" s="6" t="s">
        <v>33</v>
      </c>
      <c r="X2261" s="7">
        <v>55421</v>
      </c>
    </row>
    <row r="2262" spans="1:24" ht="30" x14ac:dyDescent="0.25">
      <c r="A2262" s="6" t="s">
        <v>37</v>
      </c>
      <c r="B2262" s="94" t="s">
        <v>6983</v>
      </c>
      <c r="C2262" s="6" t="s">
        <v>6984</v>
      </c>
      <c r="D2262" s="140">
        <v>11342220</v>
      </c>
      <c r="E2262" s="6" t="s">
        <v>3008</v>
      </c>
      <c r="F2262" s="10" t="s">
        <v>44</v>
      </c>
      <c r="G2262" s="6" t="s">
        <v>6985</v>
      </c>
      <c r="H2262" s="8">
        <v>52311</v>
      </c>
      <c r="I2262" s="8">
        <v>44152</v>
      </c>
      <c r="J2262" s="8">
        <v>44180</v>
      </c>
      <c r="K2262" s="95">
        <v>44175</v>
      </c>
      <c r="L2262" s="95" t="s">
        <v>31</v>
      </c>
      <c r="M2262" s="8">
        <v>44218</v>
      </c>
      <c r="O2262" s="8">
        <v>44272</v>
      </c>
      <c r="P2262" s="6" t="s">
        <v>628</v>
      </c>
      <c r="R2262" s="97" t="str">
        <f t="shared" si="82"/>
        <v/>
      </c>
      <c r="S2262" s="75" t="str">
        <f t="shared" si="83"/>
        <v/>
      </c>
      <c r="T2262" s="156" t="s">
        <v>6986</v>
      </c>
      <c r="W2262" s="6" t="s">
        <v>84</v>
      </c>
      <c r="X2262" s="95">
        <v>49006</v>
      </c>
    </row>
    <row r="2263" spans="1:24" x14ac:dyDescent="0.25">
      <c r="A2263" s="6" t="s">
        <v>25</v>
      </c>
      <c r="B2263" s="94" t="s">
        <v>6987</v>
      </c>
      <c r="C2263" s="6" t="s">
        <v>6988</v>
      </c>
      <c r="D2263" s="140">
        <v>11048465</v>
      </c>
      <c r="E2263" s="6" t="s">
        <v>6361</v>
      </c>
      <c r="F2263" s="10" t="s">
        <v>44</v>
      </c>
      <c r="G2263" s="6" t="s">
        <v>6989</v>
      </c>
      <c r="H2263" s="8">
        <v>48547</v>
      </c>
      <c r="I2263" s="8">
        <v>44419</v>
      </c>
      <c r="J2263" s="8">
        <v>44433</v>
      </c>
      <c r="K2263" s="95">
        <v>44434</v>
      </c>
      <c r="L2263" s="95" t="s">
        <v>359</v>
      </c>
      <c r="R2263" s="97" t="str">
        <f t="shared" si="82"/>
        <v/>
      </c>
      <c r="S2263" s="75" t="str">
        <f t="shared" si="83"/>
        <v/>
      </c>
      <c r="W2263" s="6" t="s">
        <v>33</v>
      </c>
      <c r="X2263" s="7">
        <v>50804</v>
      </c>
    </row>
    <row r="2264" spans="1:24" x14ac:dyDescent="0.25">
      <c r="A2264" s="6" t="s">
        <v>25</v>
      </c>
      <c r="B2264" s="94" t="s">
        <v>6990</v>
      </c>
      <c r="C2264" s="6" t="s">
        <v>6991</v>
      </c>
      <c r="D2264" s="140">
        <v>11183529</v>
      </c>
      <c r="E2264" s="6" t="s">
        <v>2206</v>
      </c>
      <c r="F2264" s="10" t="s">
        <v>176</v>
      </c>
      <c r="G2264" s="6">
        <v>2016001891</v>
      </c>
      <c r="H2264" s="8">
        <v>48328</v>
      </c>
      <c r="I2264" s="8">
        <v>44434</v>
      </c>
      <c r="L2264" s="95" t="s">
        <v>359</v>
      </c>
      <c r="R2264" s="97" t="str">
        <f t="shared" si="82"/>
        <v/>
      </c>
      <c r="S2264" s="75" t="str">
        <f t="shared" si="83"/>
        <v/>
      </c>
      <c r="T2264" s="124" t="s">
        <v>6992</v>
      </c>
      <c r="W2264" s="6" t="s">
        <v>33</v>
      </c>
      <c r="X2264" s="7">
        <v>51517</v>
      </c>
    </row>
    <row r="2265" spans="1:24" x14ac:dyDescent="0.25">
      <c r="A2265" s="6" t="s">
        <v>25</v>
      </c>
      <c r="B2265" s="94" t="s">
        <v>4968</v>
      </c>
      <c r="C2265" s="6" t="s">
        <v>6993</v>
      </c>
      <c r="D2265" s="140">
        <v>11444015</v>
      </c>
      <c r="E2265" s="6" t="s">
        <v>2206</v>
      </c>
      <c r="F2265" s="10" t="s">
        <v>176</v>
      </c>
      <c r="G2265" s="6">
        <v>2011020426</v>
      </c>
      <c r="H2265" s="8">
        <v>46821</v>
      </c>
      <c r="I2265" s="8">
        <v>44434</v>
      </c>
      <c r="J2265" s="8">
        <v>44447</v>
      </c>
      <c r="K2265" s="95">
        <v>44449</v>
      </c>
      <c r="L2265" s="95" t="s">
        <v>31</v>
      </c>
      <c r="M2265" s="8">
        <v>44460</v>
      </c>
      <c r="R2265" s="97" t="str">
        <f t="shared" si="82"/>
        <v/>
      </c>
      <c r="S2265" s="75" t="str">
        <f t="shared" si="83"/>
        <v/>
      </c>
      <c r="T2265" s="124" t="s">
        <v>6994</v>
      </c>
      <c r="W2265" s="6" t="s">
        <v>33</v>
      </c>
      <c r="X2265" s="7">
        <v>49741</v>
      </c>
    </row>
    <row r="2266" spans="1:24" x14ac:dyDescent="0.25">
      <c r="A2266" s="6" t="s">
        <v>25</v>
      </c>
      <c r="B2266" s="94" t="s">
        <v>3786</v>
      </c>
      <c r="C2266" s="6" t="s">
        <v>6995</v>
      </c>
      <c r="D2266" s="140">
        <v>11159726</v>
      </c>
      <c r="E2266" s="6" t="s">
        <v>3534</v>
      </c>
      <c r="F2266" s="10" t="s">
        <v>62</v>
      </c>
      <c r="G2266" s="6" t="s">
        <v>6996</v>
      </c>
      <c r="H2266" s="8">
        <v>50524</v>
      </c>
      <c r="I2266" s="8">
        <v>44434</v>
      </c>
      <c r="J2266" s="8">
        <v>44447</v>
      </c>
      <c r="K2266" s="95">
        <v>44449</v>
      </c>
      <c r="L2266" s="95" t="s">
        <v>359</v>
      </c>
      <c r="R2266" s="97" t="str">
        <f t="shared" si="82"/>
        <v/>
      </c>
      <c r="S2266" s="75" t="str">
        <f t="shared" si="83"/>
        <v/>
      </c>
      <c r="W2266" s="6" t="s">
        <v>33</v>
      </c>
      <c r="X2266" s="7">
        <v>51442</v>
      </c>
    </row>
    <row r="2267" spans="1:24" x14ac:dyDescent="0.25">
      <c r="A2267" s="6" t="s">
        <v>25</v>
      </c>
      <c r="B2267" s="94" t="s">
        <v>4684</v>
      </c>
      <c r="C2267" s="6" t="s">
        <v>6997</v>
      </c>
      <c r="D2267" s="140">
        <v>12104036</v>
      </c>
      <c r="E2267" s="6" t="s">
        <v>6628</v>
      </c>
      <c r="F2267" s="10" t="s">
        <v>44</v>
      </c>
      <c r="G2267" s="6" t="s">
        <v>6998</v>
      </c>
      <c r="H2267" s="8">
        <v>46508</v>
      </c>
      <c r="I2267" s="8">
        <v>44434</v>
      </c>
      <c r="J2267" s="8">
        <v>44447</v>
      </c>
      <c r="K2267" s="95">
        <v>44449</v>
      </c>
      <c r="L2267" s="95" t="s">
        <v>31</v>
      </c>
      <c r="M2267" s="8">
        <v>44460</v>
      </c>
      <c r="N2267" s="108">
        <v>44708</v>
      </c>
      <c r="O2267" s="108">
        <v>44691</v>
      </c>
      <c r="P2267" s="107" t="s">
        <v>35</v>
      </c>
      <c r="Q2267" s="110">
        <v>1217</v>
      </c>
      <c r="R2267" s="97">
        <f t="shared" si="82"/>
        <v>3.3342465753424659</v>
      </c>
      <c r="S2267" s="75">
        <f t="shared" si="83"/>
        <v>27537.542465753424</v>
      </c>
      <c r="U2267" s="8">
        <v>44776</v>
      </c>
      <c r="W2267" s="6" t="s">
        <v>33</v>
      </c>
      <c r="X2267" s="7">
        <v>53603</v>
      </c>
    </row>
    <row r="2268" spans="1:24" x14ac:dyDescent="0.25">
      <c r="A2268" s="6" t="s">
        <v>25</v>
      </c>
      <c r="B2268" s="94" t="s">
        <v>573</v>
      </c>
      <c r="C2268" s="6" t="s">
        <v>6999</v>
      </c>
      <c r="D2268" s="140">
        <v>11639629</v>
      </c>
      <c r="E2268" s="6" t="s">
        <v>3266</v>
      </c>
      <c r="F2268" s="10" t="s">
        <v>44</v>
      </c>
      <c r="G2268" s="6" t="s">
        <v>7000</v>
      </c>
      <c r="H2268" s="8">
        <v>45909</v>
      </c>
      <c r="I2268" s="8">
        <v>44434</v>
      </c>
      <c r="J2268" s="8">
        <v>44447</v>
      </c>
      <c r="K2268" s="95">
        <v>44449</v>
      </c>
      <c r="L2268" s="95" t="s">
        <v>31</v>
      </c>
      <c r="M2268" s="8">
        <v>44460</v>
      </c>
      <c r="N2268" s="8">
        <v>44539</v>
      </c>
      <c r="O2268" s="8">
        <v>44536</v>
      </c>
      <c r="P2268" s="6" t="s">
        <v>90</v>
      </c>
      <c r="Q2268" s="96">
        <v>1364</v>
      </c>
      <c r="R2268" s="97">
        <f t="shared" si="82"/>
        <v>3.7369863013698632</v>
      </c>
      <c r="S2268" s="75">
        <f t="shared" si="83"/>
        <v>30863.769863013698</v>
      </c>
      <c r="T2268" s="124" t="s">
        <v>7001</v>
      </c>
      <c r="U2268" s="8">
        <v>44540</v>
      </c>
      <c r="V2268" s="6" t="s">
        <v>36</v>
      </c>
      <c r="W2268" s="6" t="s">
        <v>33</v>
      </c>
      <c r="X2268" s="7">
        <v>50973</v>
      </c>
    </row>
    <row r="2269" spans="1:24" x14ac:dyDescent="0.25">
      <c r="A2269" s="6" t="s">
        <v>25</v>
      </c>
      <c r="B2269" s="94" t="s">
        <v>1171</v>
      </c>
      <c r="C2269" s="6" t="s">
        <v>7002</v>
      </c>
      <c r="D2269" s="140">
        <v>12112503</v>
      </c>
      <c r="E2269" s="6" t="s">
        <v>839</v>
      </c>
      <c r="F2269" s="10" t="s">
        <v>44</v>
      </c>
      <c r="G2269" s="6" t="s">
        <v>7003</v>
      </c>
      <c r="H2269" s="8">
        <v>45331</v>
      </c>
      <c r="I2269" s="8">
        <v>44434</v>
      </c>
      <c r="J2269" s="8">
        <v>44447</v>
      </c>
      <c r="K2269" s="95">
        <v>44449</v>
      </c>
      <c r="L2269" s="95" t="s">
        <v>31</v>
      </c>
      <c r="M2269" s="8">
        <v>44460</v>
      </c>
      <c r="R2269" s="97" t="str">
        <f t="shared" si="82"/>
        <v/>
      </c>
      <c r="S2269" s="75" t="str">
        <f t="shared" si="83"/>
        <v/>
      </c>
      <c r="T2269" s="129" t="s">
        <v>7004</v>
      </c>
      <c r="U2269" s="8">
        <v>44783</v>
      </c>
      <c r="W2269" s="6" t="s">
        <v>33</v>
      </c>
      <c r="X2269" s="7">
        <v>50772</v>
      </c>
    </row>
    <row r="2270" spans="1:24" x14ac:dyDescent="0.25">
      <c r="A2270" s="6" t="s">
        <v>25</v>
      </c>
      <c r="B2270" s="94" t="s">
        <v>6297</v>
      </c>
      <c r="C2270" s="6" t="s">
        <v>7005</v>
      </c>
      <c r="D2270" s="140">
        <v>11973805</v>
      </c>
      <c r="E2270" s="6" t="s">
        <v>5786</v>
      </c>
      <c r="F2270" s="10" t="s">
        <v>44</v>
      </c>
      <c r="G2270" s="6" t="s">
        <v>7006</v>
      </c>
      <c r="H2270" s="8">
        <v>46541</v>
      </c>
      <c r="I2270" s="8">
        <v>44434</v>
      </c>
      <c r="J2270" s="8">
        <v>44447</v>
      </c>
      <c r="K2270" s="95">
        <v>44449</v>
      </c>
      <c r="L2270" s="95" t="s">
        <v>31</v>
      </c>
      <c r="M2270" s="8">
        <v>44460</v>
      </c>
      <c r="N2270" s="8">
        <v>44580</v>
      </c>
      <c r="O2270" s="8">
        <v>44568</v>
      </c>
      <c r="P2270" s="6" t="s">
        <v>35</v>
      </c>
      <c r="Q2270" s="96">
        <v>1217</v>
      </c>
      <c r="R2270" s="97">
        <f t="shared" si="82"/>
        <v>3.3342465753424659</v>
      </c>
      <c r="S2270" s="75">
        <f t="shared" si="83"/>
        <v>27537.542465753424</v>
      </c>
      <c r="U2270" s="8">
        <v>44622</v>
      </c>
      <c r="W2270" s="6" t="s">
        <v>33</v>
      </c>
      <c r="X2270" s="7">
        <v>51024</v>
      </c>
    </row>
    <row r="2271" spans="1:24" x14ac:dyDescent="0.25">
      <c r="A2271" s="6" t="s">
        <v>25</v>
      </c>
      <c r="B2271" s="94" t="s">
        <v>1519</v>
      </c>
      <c r="C2271" s="6" t="s">
        <v>7007</v>
      </c>
      <c r="D2271" s="140">
        <v>11910124</v>
      </c>
      <c r="E2271" s="6" t="s">
        <v>839</v>
      </c>
      <c r="F2271" s="10" t="s">
        <v>44</v>
      </c>
      <c r="G2271" s="6" t="s">
        <v>7008</v>
      </c>
      <c r="H2271" s="8">
        <v>45499</v>
      </c>
      <c r="I2271" s="8">
        <v>44434</v>
      </c>
      <c r="J2271" s="8">
        <v>44447</v>
      </c>
      <c r="K2271" s="95">
        <v>44449</v>
      </c>
      <c r="L2271" s="95" t="s">
        <v>31</v>
      </c>
      <c r="M2271" s="8">
        <v>44460</v>
      </c>
      <c r="N2271" s="8">
        <v>44748</v>
      </c>
      <c r="O2271" s="8">
        <v>44740</v>
      </c>
      <c r="P2271" s="6" t="s">
        <v>35</v>
      </c>
      <c r="Q2271" s="96">
        <v>555</v>
      </c>
      <c r="R2271" s="97">
        <f t="shared" si="82"/>
        <v>1.5205479452054795</v>
      </c>
      <c r="S2271" s="75">
        <f t="shared" si="83"/>
        <v>12558.205479452055</v>
      </c>
      <c r="U2271" s="8">
        <v>44748</v>
      </c>
      <c r="W2271" s="6" t="s">
        <v>33</v>
      </c>
      <c r="X2271" s="7">
        <v>50882</v>
      </c>
    </row>
    <row r="2272" spans="1:24" x14ac:dyDescent="0.25">
      <c r="A2272" s="6" t="s">
        <v>25</v>
      </c>
      <c r="B2272" s="94" t="s">
        <v>7009</v>
      </c>
      <c r="C2272" s="6" t="s">
        <v>7010</v>
      </c>
      <c r="D2272" s="140">
        <v>11273468</v>
      </c>
      <c r="E2272" s="6" t="s">
        <v>2146</v>
      </c>
      <c r="F2272" s="10" t="s">
        <v>44</v>
      </c>
      <c r="G2272" s="6" t="s">
        <v>7011</v>
      </c>
      <c r="H2272" s="8">
        <v>45988</v>
      </c>
      <c r="I2272" s="8">
        <v>44434</v>
      </c>
      <c r="J2272" s="8">
        <v>44447</v>
      </c>
      <c r="K2272" s="95">
        <v>44449</v>
      </c>
      <c r="L2272" s="95" t="s">
        <v>31</v>
      </c>
      <c r="M2272" s="8">
        <v>44460</v>
      </c>
      <c r="O2272" s="8">
        <v>44846</v>
      </c>
      <c r="P2272" s="6" t="s">
        <v>628</v>
      </c>
      <c r="R2272" s="97" t="str">
        <f t="shared" si="82"/>
        <v/>
      </c>
      <c r="S2272" s="75" t="str">
        <f t="shared" si="83"/>
        <v/>
      </c>
      <c r="T2272" s="157" t="s">
        <v>7012</v>
      </c>
      <c r="W2272" s="6" t="s">
        <v>33</v>
      </c>
      <c r="X2272" s="7">
        <v>51054</v>
      </c>
    </row>
    <row r="2273" spans="1:24" x14ac:dyDescent="0.25">
      <c r="A2273" s="6" t="s">
        <v>25</v>
      </c>
      <c r="B2273" s="94" t="s">
        <v>7013</v>
      </c>
      <c r="C2273" s="6" t="s">
        <v>7014</v>
      </c>
      <c r="D2273" s="140">
        <v>11048558</v>
      </c>
      <c r="E2273" s="6" t="s">
        <v>2206</v>
      </c>
      <c r="F2273" s="10" t="s">
        <v>57</v>
      </c>
      <c r="G2273" s="6" t="s">
        <v>7015</v>
      </c>
      <c r="H2273" s="8">
        <v>46269</v>
      </c>
      <c r="I2273" s="8">
        <v>44442</v>
      </c>
      <c r="J2273" s="8">
        <v>44462</v>
      </c>
      <c r="K2273" s="95">
        <v>44466</v>
      </c>
      <c r="L2273" s="95" t="s">
        <v>31</v>
      </c>
      <c r="M2273" s="8">
        <v>44469</v>
      </c>
      <c r="N2273" s="8">
        <v>44580</v>
      </c>
      <c r="O2273" s="8">
        <v>44491</v>
      </c>
      <c r="P2273" s="6" t="s">
        <v>52</v>
      </c>
      <c r="R2273" s="97" t="str">
        <f t="shared" si="82"/>
        <v/>
      </c>
      <c r="S2273" s="75" t="str">
        <f t="shared" si="83"/>
        <v/>
      </c>
      <c r="U2273" s="8">
        <v>44587</v>
      </c>
      <c r="W2273" s="6" t="s">
        <v>33</v>
      </c>
      <c r="X2273" s="7">
        <v>47980</v>
      </c>
    </row>
    <row r="2274" spans="1:24" x14ac:dyDescent="0.25">
      <c r="A2274" s="6" t="s">
        <v>168</v>
      </c>
      <c r="B2274" s="94" t="s">
        <v>944</v>
      </c>
      <c r="C2274" s="6" t="s">
        <v>7016</v>
      </c>
      <c r="D2274" s="140">
        <v>11364245</v>
      </c>
      <c r="E2274" s="6" t="s">
        <v>7017</v>
      </c>
      <c r="F2274" s="10" t="s">
        <v>205</v>
      </c>
      <c r="G2274" s="6" t="s">
        <v>7018</v>
      </c>
      <c r="H2274" s="8">
        <v>45921</v>
      </c>
      <c r="I2274" s="8">
        <v>43360</v>
      </c>
      <c r="J2274" s="8">
        <v>43363</v>
      </c>
      <c r="K2274" s="95">
        <v>43374</v>
      </c>
      <c r="L2274" s="95" t="s">
        <v>31</v>
      </c>
      <c r="M2274" s="8">
        <v>43378</v>
      </c>
      <c r="R2274" s="97" t="str">
        <f t="shared" si="82"/>
        <v/>
      </c>
      <c r="S2274" s="75" t="str">
        <f t="shared" si="83"/>
        <v/>
      </c>
      <c r="T2274" s="129" t="s">
        <v>7019</v>
      </c>
      <c r="U2274" s="8">
        <v>44783</v>
      </c>
      <c r="W2274" s="6" t="s">
        <v>33</v>
      </c>
      <c r="X2274" s="95">
        <v>45359</v>
      </c>
    </row>
    <row r="2275" spans="1:24" x14ac:dyDescent="0.25">
      <c r="A2275" s="6" t="s">
        <v>25</v>
      </c>
      <c r="B2275" s="94" t="s">
        <v>3305</v>
      </c>
      <c r="C2275" s="6" t="s">
        <v>7020</v>
      </c>
      <c r="D2275" s="140">
        <v>11048447</v>
      </c>
      <c r="E2275" s="6" t="s">
        <v>7021</v>
      </c>
      <c r="F2275" s="10" t="s">
        <v>44</v>
      </c>
      <c r="G2275" s="6" t="s">
        <v>7022</v>
      </c>
      <c r="H2275" s="8">
        <v>46072</v>
      </c>
      <c r="I2275" s="8">
        <v>44442</v>
      </c>
      <c r="J2275" s="8">
        <v>44447</v>
      </c>
      <c r="K2275" s="95">
        <v>44449</v>
      </c>
      <c r="L2275" s="95" t="s">
        <v>31</v>
      </c>
      <c r="M2275" s="8">
        <v>44460</v>
      </c>
      <c r="N2275" s="108">
        <v>44502</v>
      </c>
      <c r="O2275" s="108">
        <v>44496</v>
      </c>
      <c r="P2275" s="107" t="s">
        <v>52</v>
      </c>
      <c r="Q2275" s="110"/>
      <c r="R2275" s="97" t="str">
        <f t="shared" si="82"/>
        <v/>
      </c>
      <c r="S2275" s="75" t="str">
        <f t="shared" si="83"/>
        <v/>
      </c>
      <c r="U2275" s="8">
        <v>44776</v>
      </c>
      <c r="W2275" s="6" t="s">
        <v>33</v>
      </c>
      <c r="X2275" s="7">
        <v>50710</v>
      </c>
    </row>
    <row r="2276" spans="1:24" x14ac:dyDescent="0.25">
      <c r="A2276" s="6" t="s">
        <v>25</v>
      </c>
      <c r="B2276" s="94" t="s">
        <v>7023</v>
      </c>
      <c r="C2276" s="6" t="s">
        <v>7024</v>
      </c>
      <c r="D2276" s="140">
        <v>12147052</v>
      </c>
      <c r="E2276" s="6" t="s">
        <v>7025</v>
      </c>
      <c r="F2276" s="10" t="s">
        <v>44</v>
      </c>
      <c r="G2276" s="6" t="s">
        <v>7026</v>
      </c>
      <c r="H2276" s="8">
        <v>45534</v>
      </c>
      <c r="I2276" s="8">
        <v>44442</v>
      </c>
      <c r="J2276" s="8">
        <v>44447</v>
      </c>
      <c r="K2276" s="95">
        <v>44449</v>
      </c>
      <c r="L2276" s="95" t="s">
        <v>31</v>
      </c>
      <c r="M2276" s="8">
        <v>44460</v>
      </c>
      <c r="N2276" s="108">
        <v>44676</v>
      </c>
      <c r="O2276" s="108">
        <v>44536</v>
      </c>
      <c r="P2276" s="107" t="s">
        <v>52</v>
      </c>
      <c r="Q2276" s="110"/>
      <c r="R2276" s="97" t="str">
        <f t="shared" si="82"/>
        <v/>
      </c>
      <c r="S2276" s="75" t="str">
        <f t="shared" si="83"/>
        <v/>
      </c>
      <c r="U2276" s="8">
        <v>44776</v>
      </c>
      <c r="W2276" s="6" t="s">
        <v>33</v>
      </c>
      <c r="X2276" s="7">
        <v>55192</v>
      </c>
    </row>
    <row r="2277" spans="1:24" x14ac:dyDescent="0.25">
      <c r="A2277" s="6" t="s">
        <v>25</v>
      </c>
      <c r="B2277" s="94" t="s">
        <v>590</v>
      </c>
      <c r="C2277" s="6" t="s">
        <v>7027</v>
      </c>
      <c r="D2277" s="140">
        <v>11916727</v>
      </c>
      <c r="E2277" s="6" t="s">
        <v>6181</v>
      </c>
      <c r="F2277" s="10" t="s">
        <v>44</v>
      </c>
      <c r="G2277" s="6" t="s">
        <v>7028</v>
      </c>
      <c r="H2277" s="8">
        <v>47053</v>
      </c>
      <c r="I2277" s="8">
        <v>44425</v>
      </c>
      <c r="J2277" s="8">
        <v>44447</v>
      </c>
      <c r="K2277" s="95">
        <v>44454</v>
      </c>
      <c r="L2277" s="95" t="s">
        <v>359</v>
      </c>
      <c r="R2277" s="97" t="str">
        <f t="shared" si="82"/>
        <v/>
      </c>
      <c r="S2277" s="75" t="str">
        <f t="shared" si="83"/>
        <v/>
      </c>
      <c r="W2277" s="6" t="s">
        <v>33</v>
      </c>
      <c r="X2277" s="7">
        <v>51456</v>
      </c>
    </row>
    <row r="2278" spans="1:24" x14ac:dyDescent="0.25">
      <c r="A2278" s="6" t="s">
        <v>25</v>
      </c>
      <c r="B2278" s="94" t="s">
        <v>6794</v>
      </c>
      <c r="C2278" s="6" t="s">
        <v>7029</v>
      </c>
      <c r="D2278" s="140">
        <v>11365845</v>
      </c>
      <c r="E2278" s="6" t="s">
        <v>7030</v>
      </c>
      <c r="F2278" s="10" t="s">
        <v>29</v>
      </c>
      <c r="G2278" s="6" t="s">
        <v>7031</v>
      </c>
      <c r="H2278" s="8">
        <v>45135</v>
      </c>
      <c r="I2278" s="8">
        <v>44448</v>
      </c>
      <c r="J2278" s="8">
        <v>44476</v>
      </c>
      <c r="K2278" s="95">
        <v>44476</v>
      </c>
      <c r="L2278" s="95" t="s">
        <v>31</v>
      </c>
      <c r="M2278" s="8">
        <v>44495</v>
      </c>
      <c r="N2278" s="8">
        <v>44770</v>
      </c>
      <c r="O2278" s="8">
        <v>44693</v>
      </c>
      <c r="P2278" s="6" t="s">
        <v>75</v>
      </c>
      <c r="R2278" s="97" t="str">
        <f t="shared" si="82"/>
        <v/>
      </c>
      <c r="S2278" s="75" t="str">
        <f t="shared" si="83"/>
        <v/>
      </c>
      <c r="T2278" s="124" t="s">
        <v>4881</v>
      </c>
      <c r="U2278" s="8">
        <v>44967</v>
      </c>
      <c r="W2278" s="6" t="s">
        <v>33</v>
      </c>
      <c r="X2278" s="7">
        <v>54285</v>
      </c>
    </row>
    <row r="2279" spans="1:24" x14ac:dyDescent="0.25">
      <c r="A2279" s="6" t="s">
        <v>25</v>
      </c>
      <c r="B2279" s="94" t="s">
        <v>659</v>
      </c>
      <c r="C2279" s="6" t="s">
        <v>7032</v>
      </c>
      <c r="D2279" s="140">
        <v>11559434</v>
      </c>
      <c r="E2279" s="6" t="s">
        <v>7033</v>
      </c>
      <c r="F2279" s="10" t="s">
        <v>57</v>
      </c>
      <c r="G2279" s="6" t="s">
        <v>7034</v>
      </c>
      <c r="H2279" s="8">
        <v>45560</v>
      </c>
      <c r="I2279" s="8">
        <v>44448</v>
      </c>
      <c r="J2279" s="8">
        <v>44476</v>
      </c>
      <c r="K2279" s="95">
        <v>44476</v>
      </c>
      <c r="L2279" s="95" t="s">
        <v>31</v>
      </c>
      <c r="M2279" s="8">
        <v>44497</v>
      </c>
      <c r="N2279" s="8">
        <v>44615</v>
      </c>
      <c r="O2279" s="8">
        <v>44610</v>
      </c>
      <c r="P2279" s="6" t="s">
        <v>35</v>
      </c>
      <c r="Q2279" s="96">
        <v>605</v>
      </c>
      <c r="R2279" s="97">
        <f t="shared" si="82"/>
        <v>1.6575342465753424</v>
      </c>
      <c r="S2279" s="75">
        <f t="shared" si="83"/>
        <v>13689.575342465754</v>
      </c>
      <c r="U2279" s="8">
        <v>44617</v>
      </c>
      <c r="W2279" s="6" t="s">
        <v>33</v>
      </c>
      <c r="X2279" s="7">
        <v>51865</v>
      </c>
    </row>
    <row r="2280" spans="1:24" x14ac:dyDescent="0.25">
      <c r="A2280" s="6" t="s">
        <v>25</v>
      </c>
      <c r="B2280" s="94" t="s">
        <v>605</v>
      </c>
      <c r="C2280" s="6" t="s">
        <v>7035</v>
      </c>
      <c r="D2280" s="140">
        <v>11148242</v>
      </c>
      <c r="E2280" s="6" t="s">
        <v>2568</v>
      </c>
      <c r="F2280" s="10" t="s">
        <v>134</v>
      </c>
      <c r="G2280" s="6" t="s">
        <v>7036</v>
      </c>
      <c r="H2280" s="8">
        <v>47518</v>
      </c>
      <c r="I2280" s="8">
        <v>44447</v>
      </c>
      <c r="J2280" s="8">
        <v>44462</v>
      </c>
      <c r="K2280" s="95">
        <v>44466</v>
      </c>
      <c r="L2280" s="95" t="s">
        <v>31</v>
      </c>
      <c r="M2280" s="8">
        <v>44469</v>
      </c>
      <c r="N2280" s="108">
        <v>44769</v>
      </c>
      <c r="O2280" s="108">
        <v>44757</v>
      </c>
      <c r="P2280" s="6" t="s">
        <v>35</v>
      </c>
      <c r="Q2280" s="110">
        <v>487</v>
      </c>
      <c r="R2280" s="97">
        <f t="shared" si="82"/>
        <v>1.3342465753424657</v>
      </c>
      <c r="S2280" s="75">
        <f t="shared" si="83"/>
        <v>11019.542465753426</v>
      </c>
      <c r="U2280" s="8">
        <v>44776</v>
      </c>
      <c r="W2280" s="6" t="s">
        <v>33</v>
      </c>
      <c r="X2280" s="7">
        <v>51171</v>
      </c>
    </row>
    <row r="2281" spans="1:24" x14ac:dyDescent="0.25">
      <c r="A2281" s="6" t="s">
        <v>25</v>
      </c>
      <c r="B2281" s="94" t="s">
        <v>173</v>
      </c>
      <c r="C2281" s="6" t="s">
        <v>7037</v>
      </c>
      <c r="D2281" s="140">
        <v>11778379</v>
      </c>
      <c r="E2281" s="6" t="s">
        <v>4369</v>
      </c>
      <c r="F2281" s="10" t="s">
        <v>44</v>
      </c>
      <c r="G2281" s="6" t="s">
        <v>7038</v>
      </c>
      <c r="H2281" s="8">
        <v>46756</v>
      </c>
      <c r="I2281" s="8">
        <v>44447</v>
      </c>
      <c r="J2281" s="8">
        <v>44462</v>
      </c>
      <c r="K2281" s="95">
        <v>44466</v>
      </c>
      <c r="L2281" s="95" t="s">
        <v>31</v>
      </c>
      <c r="M2281" s="8">
        <v>44469</v>
      </c>
      <c r="N2281" s="8">
        <v>45077</v>
      </c>
      <c r="O2281" s="8">
        <v>45070</v>
      </c>
      <c r="P2281" s="6" t="s">
        <v>90</v>
      </c>
      <c r="Q2281" s="96">
        <v>2555</v>
      </c>
      <c r="R2281" s="97">
        <f t="shared" si="82"/>
        <v>7</v>
      </c>
      <c r="S2281" s="75">
        <f t="shared" si="83"/>
        <v>57813</v>
      </c>
      <c r="T2281" s="124" t="s">
        <v>7039</v>
      </c>
      <c r="U2281" s="8">
        <v>45100</v>
      </c>
      <c r="V2281" s="6" t="s">
        <v>36</v>
      </c>
      <c r="W2281" s="6" t="s">
        <v>33</v>
      </c>
      <c r="X2281" s="7">
        <v>50950</v>
      </c>
    </row>
    <row r="2282" spans="1:24" x14ac:dyDescent="0.25">
      <c r="A2282" s="6" t="s">
        <v>25</v>
      </c>
      <c r="B2282" s="94" t="s">
        <v>7040</v>
      </c>
      <c r="C2282" s="6" t="s">
        <v>7041</v>
      </c>
      <c r="D2282" s="140">
        <v>11277594</v>
      </c>
      <c r="E2282" s="6" t="s">
        <v>5769</v>
      </c>
      <c r="F2282" s="10" t="s">
        <v>44</v>
      </c>
      <c r="G2282" s="6" t="s">
        <v>7042</v>
      </c>
      <c r="H2282" s="8">
        <v>45508</v>
      </c>
      <c r="I2282" s="8">
        <v>44446</v>
      </c>
      <c r="J2282" s="8">
        <v>44462</v>
      </c>
      <c r="K2282" s="95">
        <v>44466</v>
      </c>
      <c r="L2282" s="95" t="s">
        <v>31</v>
      </c>
      <c r="M2282" s="8">
        <v>44469</v>
      </c>
      <c r="N2282" s="8">
        <v>44623</v>
      </c>
      <c r="O2282" s="8">
        <v>44624</v>
      </c>
      <c r="P2282" s="6" t="s">
        <v>75</v>
      </c>
      <c r="R2282" s="97" t="str">
        <f t="shared" si="82"/>
        <v/>
      </c>
      <c r="S2282" s="75" t="str">
        <f t="shared" si="83"/>
        <v/>
      </c>
      <c r="U2282" s="8">
        <v>44624</v>
      </c>
      <c r="W2282" s="6" t="s">
        <v>33</v>
      </c>
      <c r="X2282" s="7">
        <v>54588</v>
      </c>
    </row>
    <row r="2283" spans="1:24" x14ac:dyDescent="0.25">
      <c r="A2283" s="6" t="s">
        <v>25</v>
      </c>
      <c r="B2283" s="94" t="s">
        <v>3521</v>
      </c>
      <c r="C2283" s="6" t="s">
        <v>7043</v>
      </c>
      <c r="D2283" s="140">
        <v>11792662</v>
      </c>
      <c r="E2283" s="6" t="s">
        <v>2206</v>
      </c>
      <c r="F2283" s="10" t="s">
        <v>143</v>
      </c>
      <c r="G2283" s="6" t="s">
        <v>7044</v>
      </c>
      <c r="H2283" s="8">
        <v>45699</v>
      </c>
      <c r="I2283" s="8">
        <v>44446</v>
      </c>
      <c r="J2283" s="8">
        <v>44476</v>
      </c>
      <c r="K2283" s="95">
        <v>44476</v>
      </c>
      <c r="L2283" s="95" t="s">
        <v>31</v>
      </c>
      <c r="M2283" s="8">
        <v>44497</v>
      </c>
      <c r="N2283" s="8">
        <v>44567</v>
      </c>
      <c r="O2283" s="8">
        <v>44483</v>
      </c>
      <c r="P2283" s="6" t="s">
        <v>90</v>
      </c>
      <c r="R2283" s="97" t="str">
        <f t="shared" si="82"/>
        <v/>
      </c>
      <c r="S2283" s="75" t="str">
        <f t="shared" si="83"/>
        <v/>
      </c>
      <c r="T2283" s="124" t="s">
        <v>7045</v>
      </c>
      <c r="U2283" s="8">
        <v>44509</v>
      </c>
      <c r="W2283" s="6" t="s">
        <v>33</v>
      </c>
      <c r="X2283" s="7">
        <v>48992</v>
      </c>
    </row>
    <row r="2284" spans="1:24" x14ac:dyDescent="0.25">
      <c r="A2284" s="6" t="s">
        <v>25</v>
      </c>
      <c r="B2284" s="94" t="s">
        <v>7046</v>
      </c>
      <c r="C2284" s="6" t="s">
        <v>7047</v>
      </c>
      <c r="D2284" s="140">
        <v>11170621</v>
      </c>
      <c r="E2284" s="6" t="s">
        <v>6744</v>
      </c>
      <c r="F2284" s="10" t="s">
        <v>44</v>
      </c>
      <c r="G2284" s="6" t="s">
        <v>7048</v>
      </c>
      <c r="H2284" s="8">
        <v>48132</v>
      </c>
      <c r="I2284" s="8">
        <v>44446</v>
      </c>
      <c r="J2284" s="8">
        <v>44476</v>
      </c>
      <c r="K2284" s="95">
        <v>44476</v>
      </c>
      <c r="L2284" s="95" t="s">
        <v>31</v>
      </c>
      <c r="M2284" s="8">
        <v>44497</v>
      </c>
      <c r="N2284" s="8">
        <v>44515</v>
      </c>
      <c r="O2284" s="8">
        <v>44503</v>
      </c>
      <c r="P2284" s="6" t="s">
        <v>52</v>
      </c>
      <c r="R2284" s="97" t="str">
        <f t="shared" si="82"/>
        <v/>
      </c>
      <c r="S2284" s="75" t="str">
        <f t="shared" si="83"/>
        <v/>
      </c>
      <c r="U2284" s="8">
        <v>44538</v>
      </c>
      <c r="W2284" s="6" t="s">
        <v>33</v>
      </c>
      <c r="X2284" s="7">
        <v>51183</v>
      </c>
    </row>
    <row r="2285" spans="1:24" x14ac:dyDescent="0.25">
      <c r="A2285" s="6" t="s">
        <v>25</v>
      </c>
      <c r="B2285" s="94" t="s">
        <v>7049</v>
      </c>
      <c r="C2285" s="6" t="s">
        <v>7050</v>
      </c>
      <c r="D2285" s="140">
        <v>11214209</v>
      </c>
      <c r="E2285" s="6" t="s">
        <v>2187</v>
      </c>
      <c r="F2285" s="10" t="s">
        <v>44</v>
      </c>
      <c r="G2285" s="6" t="s">
        <v>7051</v>
      </c>
      <c r="H2285" s="8">
        <v>46655</v>
      </c>
      <c r="I2285" s="8">
        <v>44446</v>
      </c>
      <c r="J2285" s="8">
        <v>44447</v>
      </c>
      <c r="K2285" s="95">
        <v>44454</v>
      </c>
      <c r="L2285" s="95" t="s">
        <v>31</v>
      </c>
      <c r="M2285" s="8">
        <v>44460</v>
      </c>
      <c r="N2285" s="8">
        <v>44841</v>
      </c>
      <c r="O2285" s="8">
        <v>44839</v>
      </c>
      <c r="P2285" s="6" t="s">
        <v>35</v>
      </c>
      <c r="Q2285" s="96">
        <v>802</v>
      </c>
      <c r="R2285" s="97">
        <f t="shared" si="82"/>
        <v>2.1972602739726028</v>
      </c>
      <c r="S2285" s="75">
        <f t="shared" si="83"/>
        <v>18147.172602739727</v>
      </c>
      <c r="U2285" s="8">
        <v>44845</v>
      </c>
      <c r="W2285" s="6" t="s">
        <v>33</v>
      </c>
      <c r="X2285" s="7">
        <v>50617</v>
      </c>
    </row>
    <row r="2286" spans="1:24" x14ac:dyDescent="0.25">
      <c r="A2286" s="6" t="s">
        <v>25</v>
      </c>
      <c r="B2286" s="94" t="s">
        <v>86</v>
      </c>
      <c r="C2286" s="6" t="s">
        <v>7052</v>
      </c>
      <c r="D2286" s="140">
        <v>11412038</v>
      </c>
      <c r="E2286" s="6" t="s">
        <v>2502</v>
      </c>
      <c r="F2286" s="10" t="s">
        <v>44</v>
      </c>
      <c r="G2286" s="6" t="s">
        <v>7053</v>
      </c>
      <c r="H2286" s="8">
        <v>47531</v>
      </c>
      <c r="I2286" s="8">
        <v>44440</v>
      </c>
      <c r="J2286" s="8">
        <v>44447</v>
      </c>
      <c r="K2286" s="95">
        <v>44454</v>
      </c>
      <c r="L2286" s="95" t="s">
        <v>31</v>
      </c>
      <c r="M2286" s="8">
        <v>44460</v>
      </c>
      <c r="N2286" s="108">
        <v>44756</v>
      </c>
      <c r="O2286" s="108">
        <v>44582</v>
      </c>
      <c r="P2286" s="107" t="s">
        <v>35</v>
      </c>
      <c r="Q2286" s="110">
        <v>1712</v>
      </c>
      <c r="R2286" s="97">
        <f t="shared" si="82"/>
        <v>4.6904109589041099</v>
      </c>
      <c r="S2286" s="75">
        <f t="shared" si="83"/>
        <v>38738.10410958904</v>
      </c>
      <c r="U2286" s="8">
        <v>44776</v>
      </c>
      <c r="W2286" s="6" t="s">
        <v>33</v>
      </c>
      <c r="X2286" s="7">
        <v>51213</v>
      </c>
    </row>
    <row r="2287" spans="1:24" x14ac:dyDescent="0.25">
      <c r="A2287" s="6" t="s">
        <v>25</v>
      </c>
      <c r="B2287" s="94" t="s">
        <v>112</v>
      </c>
      <c r="C2287" s="6" t="s">
        <v>7054</v>
      </c>
      <c r="D2287" s="140">
        <v>11557140</v>
      </c>
      <c r="E2287" s="6" t="s">
        <v>3102</v>
      </c>
      <c r="F2287" s="10" t="s">
        <v>143</v>
      </c>
      <c r="G2287" s="6" t="s">
        <v>7055</v>
      </c>
      <c r="H2287" s="8">
        <v>45165</v>
      </c>
      <c r="I2287" s="8">
        <v>44440</v>
      </c>
      <c r="J2287" s="8">
        <v>44453</v>
      </c>
      <c r="K2287" s="95">
        <v>44454</v>
      </c>
      <c r="L2287" s="95" t="s">
        <v>359</v>
      </c>
      <c r="R2287" s="97" t="str">
        <f t="shared" si="82"/>
        <v/>
      </c>
      <c r="S2287" s="75" t="str">
        <f t="shared" si="83"/>
        <v/>
      </c>
      <c r="W2287" s="6" t="s">
        <v>33</v>
      </c>
      <c r="X2287" s="7">
        <v>53176</v>
      </c>
    </row>
    <row r="2288" spans="1:24" x14ac:dyDescent="0.25">
      <c r="A2288" s="6" t="s">
        <v>25</v>
      </c>
      <c r="B2288" s="94" t="s">
        <v>7056</v>
      </c>
      <c r="C2288" s="6" t="s">
        <v>7057</v>
      </c>
      <c r="D2288" s="140">
        <v>12004676</v>
      </c>
      <c r="E2288" s="6" t="s">
        <v>3102</v>
      </c>
      <c r="F2288" s="10" t="s">
        <v>143</v>
      </c>
      <c r="G2288" s="6" t="s">
        <v>7058</v>
      </c>
      <c r="H2288" s="8">
        <v>46451</v>
      </c>
      <c r="I2288" s="8">
        <v>44439</v>
      </c>
      <c r="J2288" s="8">
        <v>44453</v>
      </c>
      <c r="K2288" s="95">
        <v>44454</v>
      </c>
      <c r="L2288" s="95" t="s">
        <v>359</v>
      </c>
      <c r="R2288" s="97" t="str">
        <f t="shared" si="82"/>
        <v/>
      </c>
      <c r="S2288" s="75" t="str">
        <f t="shared" si="83"/>
        <v/>
      </c>
      <c r="W2288" s="6" t="s">
        <v>33</v>
      </c>
      <c r="X2288" s="7">
        <v>49305</v>
      </c>
    </row>
    <row r="2289" spans="1:24" x14ac:dyDescent="0.25">
      <c r="A2289" s="6" t="s">
        <v>25</v>
      </c>
      <c r="B2289" s="94" t="s">
        <v>4968</v>
      </c>
      <c r="C2289" s="6" t="s">
        <v>7059</v>
      </c>
      <c r="D2289" s="140">
        <v>11855895</v>
      </c>
      <c r="E2289" s="6" t="s">
        <v>6405</v>
      </c>
      <c r="F2289" s="10" t="s">
        <v>44</v>
      </c>
      <c r="G2289" s="6" t="s">
        <v>7060</v>
      </c>
      <c r="H2289" s="8">
        <v>45456</v>
      </c>
      <c r="I2289" s="8">
        <v>44439</v>
      </c>
      <c r="J2289" s="8">
        <v>44447</v>
      </c>
      <c r="K2289" s="95">
        <v>44454</v>
      </c>
      <c r="L2289" s="95" t="s">
        <v>31</v>
      </c>
      <c r="M2289" s="8">
        <v>44460</v>
      </c>
      <c r="N2289" s="8">
        <v>44637</v>
      </c>
      <c r="O2289" s="8">
        <v>44628</v>
      </c>
      <c r="P2289" s="6" t="s">
        <v>35</v>
      </c>
      <c r="Q2289" s="96">
        <v>936</v>
      </c>
      <c r="R2289" s="97">
        <f t="shared" si="82"/>
        <v>2.5643835616438357</v>
      </c>
      <c r="S2289" s="75">
        <f t="shared" si="83"/>
        <v>21179.243835616438</v>
      </c>
      <c r="U2289" s="8">
        <v>44652</v>
      </c>
      <c r="W2289" s="6" t="s">
        <v>33</v>
      </c>
      <c r="X2289" s="7">
        <v>50692</v>
      </c>
    </row>
    <row r="2290" spans="1:24" x14ac:dyDescent="0.25">
      <c r="A2290" s="6" t="s">
        <v>25</v>
      </c>
      <c r="B2290" s="94" t="s">
        <v>7061</v>
      </c>
      <c r="C2290" s="6" t="s">
        <v>7062</v>
      </c>
      <c r="D2290" s="140">
        <v>11597000</v>
      </c>
      <c r="E2290" s="6" t="s">
        <v>2187</v>
      </c>
      <c r="F2290" s="10" t="s">
        <v>29</v>
      </c>
      <c r="G2290" s="6" t="s">
        <v>7063</v>
      </c>
      <c r="H2290" s="8">
        <v>45684</v>
      </c>
      <c r="I2290" s="8">
        <v>44439</v>
      </c>
      <c r="J2290" s="8">
        <v>44462</v>
      </c>
      <c r="K2290" s="95">
        <v>44466</v>
      </c>
      <c r="L2290" s="95" t="s">
        <v>31</v>
      </c>
      <c r="M2290" s="8">
        <v>44469</v>
      </c>
      <c r="N2290" s="8">
        <v>44713</v>
      </c>
      <c r="O2290" s="8">
        <v>44708</v>
      </c>
      <c r="P2290" s="6" t="s">
        <v>35</v>
      </c>
      <c r="Q2290" s="96">
        <v>717</v>
      </c>
      <c r="R2290" s="97">
        <f t="shared" si="82"/>
        <v>1.9643835616438357</v>
      </c>
      <c r="S2290" s="75">
        <f t="shared" si="83"/>
        <v>16223.843835616439</v>
      </c>
      <c r="U2290" s="8">
        <v>44712</v>
      </c>
      <c r="W2290" s="6" t="s">
        <v>33</v>
      </c>
      <c r="X2290" s="7">
        <v>53209</v>
      </c>
    </row>
    <row r="2291" spans="1:24" ht="30" x14ac:dyDescent="0.25">
      <c r="A2291" s="6" t="s">
        <v>25</v>
      </c>
      <c r="B2291" s="94" t="s">
        <v>7064</v>
      </c>
      <c r="C2291" s="6" t="s">
        <v>7065</v>
      </c>
      <c r="D2291" s="140">
        <v>11146347</v>
      </c>
      <c r="E2291" s="6" t="s">
        <v>7066</v>
      </c>
      <c r="F2291" s="10" t="s">
        <v>44</v>
      </c>
      <c r="G2291" s="6" t="s">
        <v>7067</v>
      </c>
      <c r="H2291" s="8">
        <v>45902</v>
      </c>
      <c r="I2291" s="8">
        <v>44453</v>
      </c>
      <c r="J2291" s="8">
        <v>44477</v>
      </c>
      <c r="K2291" s="95">
        <v>44480</v>
      </c>
      <c r="L2291" s="95" t="s">
        <v>31</v>
      </c>
      <c r="M2291" s="8">
        <v>44497</v>
      </c>
      <c r="N2291" s="108">
        <v>44530</v>
      </c>
      <c r="O2291" s="108">
        <v>44512</v>
      </c>
      <c r="P2291" s="107" t="s">
        <v>52</v>
      </c>
      <c r="Q2291" s="110"/>
      <c r="R2291" s="97" t="str">
        <f t="shared" si="82"/>
        <v/>
      </c>
      <c r="S2291" s="75" t="str">
        <f t="shared" si="83"/>
        <v/>
      </c>
      <c r="U2291" s="8">
        <v>44776</v>
      </c>
      <c r="W2291" s="6" t="s">
        <v>33</v>
      </c>
      <c r="X2291" s="7">
        <v>51408</v>
      </c>
    </row>
    <row r="2292" spans="1:24" x14ac:dyDescent="0.25">
      <c r="A2292" s="6" t="s">
        <v>25</v>
      </c>
      <c r="B2292" s="94" t="s">
        <v>7068</v>
      </c>
      <c r="C2292" s="6" t="s">
        <v>7069</v>
      </c>
      <c r="D2292" s="140">
        <v>11618924</v>
      </c>
      <c r="E2292" s="6" t="s">
        <v>3653</v>
      </c>
      <c r="F2292" s="10" t="s">
        <v>44</v>
      </c>
      <c r="G2292" s="6" t="s">
        <v>7070</v>
      </c>
      <c r="H2292" s="8">
        <v>45424</v>
      </c>
      <c r="I2292" s="8">
        <v>44455</v>
      </c>
      <c r="J2292" s="8">
        <v>44476</v>
      </c>
      <c r="K2292" s="95">
        <v>44476</v>
      </c>
      <c r="L2292" s="95" t="s">
        <v>31</v>
      </c>
      <c r="M2292" s="8">
        <v>44665</v>
      </c>
      <c r="N2292" s="8">
        <v>44784</v>
      </c>
      <c r="O2292" s="8">
        <v>44774</v>
      </c>
      <c r="P2292" s="6" t="s">
        <v>35</v>
      </c>
      <c r="Q2292" s="96">
        <v>600</v>
      </c>
      <c r="R2292" s="97">
        <f t="shared" si="82"/>
        <v>1.6438356164383561</v>
      </c>
      <c r="S2292" s="75">
        <f t="shared" si="83"/>
        <v>13576.438356164384</v>
      </c>
      <c r="U2292" s="8">
        <v>44792</v>
      </c>
      <c r="W2292" s="6" t="s">
        <v>33</v>
      </c>
      <c r="X2292" s="7">
        <v>54311</v>
      </c>
    </row>
    <row r="2293" spans="1:24" x14ac:dyDescent="0.25">
      <c r="A2293" s="6" t="s">
        <v>25</v>
      </c>
      <c r="B2293" s="94" t="s">
        <v>7071</v>
      </c>
      <c r="C2293" s="6" t="s">
        <v>7072</v>
      </c>
      <c r="D2293" s="140">
        <v>12109321</v>
      </c>
      <c r="E2293" s="6" t="s">
        <v>7073</v>
      </c>
      <c r="F2293" s="10" t="s">
        <v>134</v>
      </c>
      <c r="G2293" s="6" t="s">
        <v>7074</v>
      </c>
      <c r="H2293" s="8">
        <v>45562</v>
      </c>
      <c r="I2293" s="8">
        <v>44460</v>
      </c>
      <c r="J2293" s="8">
        <v>44477</v>
      </c>
      <c r="K2293" s="95">
        <v>44480</v>
      </c>
      <c r="L2293" s="95" t="s">
        <v>31</v>
      </c>
      <c r="M2293" s="8">
        <v>44497</v>
      </c>
      <c r="N2293" s="8">
        <v>44782</v>
      </c>
      <c r="O2293" s="8">
        <v>44778</v>
      </c>
      <c r="P2293" s="6" t="s">
        <v>35</v>
      </c>
      <c r="Q2293" s="96">
        <v>530</v>
      </c>
      <c r="R2293" s="97">
        <f t="shared" si="82"/>
        <v>1.452054794520548</v>
      </c>
      <c r="S2293" s="75">
        <f t="shared" si="83"/>
        <v>11992.520547945205</v>
      </c>
      <c r="U2293" s="8">
        <v>44782</v>
      </c>
      <c r="W2293" s="6" t="s">
        <v>33</v>
      </c>
      <c r="X2293" s="7">
        <v>50421</v>
      </c>
    </row>
    <row r="2294" spans="1:24" x14ac:dyDescent="0.25">
      <c r="A2294" s="6" t="s">
        <v>25</v>
      </c>
      <c r="B2294" s="94" t="s">
        <v>7075</v>
      </c>
      <c r="C2294" s="6" t="s">
        <v>7076</v>
      </c>
      <c r="D2294" s="140">
        <v>10995253</v>
      </c>
      <c r="E2294" s="6" t="s">
        <v>357</v>
      </c>
      <c r="F2294" s="10" t="s">
        <v>44</v>
      </c>
      <c r="G2294" s="6" t="s">
        <v>7077</v>
      </c>
      <c r="H2294" s="8">
        <v>46166</v>
      </c>
      <c r="I2294" s="8">
        <v>44460</v>
      </c>
      <c r="J2294" s="8">
        <v>44477</v>
      </c>
      <c r="K2294" s="95">
        <v>44480</v>
      </c>
      <c r="L2294" s="95" t="s">
        <v>31</v>
      </c>
      <c r="M2294" s="8">
        <v>44495</v>
      </c>
      <c r="N2294" s="108">
        <v>44621</v>
      </c>
      <c r="O2294" s="108">
        <v>44615</v>
      </c>
      <c r="P2294" s="107" t="s">
        <v>90</v>
      </c>
      <c r="Q2294" s="110">
        <v>1543</v>
      </c>
      <c r="R2294" s="97">
        <f t="shared" si="82"/>
        <v>4.2273972602739729</v>
      </c>
      <c r="S2294" s="75">
        <f t="shared" si="83"/>
        <v>34914.073972602739</v>
      </c>
      <c r="T2294" s="129" t="s">
        <v>7078</v>
      </c>
      <c r="U2294" s="8">
        <v>44776</v>
      </c>
      <c r="V2294" s="6" t="s">
        <v>36</v>
      </c>
      <c r="W2294" s="6" t="s">
        <v>33</v>
      </c>
      <c r="X2294" s="7">
        <v>46166</v>
      </c>
    </row>
    <row r="2295" spans="1:24" x14ac:dyDescent="0.25">
      <c r="A2295" s="6" t="s">
        <v>25</v>
      </c>
      <c r="B2295" s="94" t="s">
        <v>5473</v>
      </c>
      <c r="C2295" s="6" t="s">
        <v>7079</v>
      </c>
      <c r="D2295" s="140">
        <v>11159682</v>
      </c>
      <c r="E2295" s="6" t="s">
        <v>2187</v>
      </c>
      <c r="F2295" s="10" t="s">
        <v>100</v>
      </c>
      <c r="G2295" s="6" t="s">
        <v>7080</v>
      </c>
      <c r="H2295" s="8">
        <v>46600</v>
      </c>
      <c r="I2295" s="8">
        <v>44461</v>
      </c>
      <c r="J2295" s="8">
        <v>44477</v>
      </c>
      <c r="K2295" s="95">
        <v>44480</v>
      </c>
      <c r="L2295" s="95" t="s">
        <v>31</v>
      </c>
      <c r="M2295" s="8">
        <v>44497</v>
      </c>
      <c r="N2295" s="8">
        <v>44648</v>
      </c>
      <c r="O2295" s="8">
        <v>44636</v>
      </c>
      <c r="P2295" s="6" t="s">
        <v>35</v>
      </c>
      <c r="Q2295" s="96">
        <v>842</v>
      </c>
      <c r="R2295" s="97">
        <f t="shared" si="82"/>
        <v>2.3068493150684932</v>
      </c>
      <c r="S2295" s="75">
        <f t="shared" si="83"/>
        <v>19052.268493150685</v>
      </c>
      <c r="U2295" s="8">
        <v>44652</v>
      </c>
      <c r="V2295" s="6" t="s">
        <v>36</v>
      </c>
      <c r="W2295" s="6" t="s">
        <v>33</v>
      </c>
      <c r="X2295" s="7">
        <v>46711</v>
      </c>
    </row>
    <row r="2296" spans="1:24" ht="30" x14ac:dyDescent="0.25">
      <c r="A2296" s="6" t="s">
        <v>25</v>
      </c>
      <c r="B2296" s="94" t="s">
        <v>86</v>
      </c>
      <c r="C2296" s="6" t="s">
        <v>7081</v>
      </c>
      <c r="D2296" s="140">
        <v>12104213</v>
      </c>
      <c r="E2296" s="6" t="s">
        <v>3102</v>
      </c>
      <c r="F2296" s="10" t="s">
        <v>143</v>
      </c>
      <c r="G2296" s="6" t="s">
        <v>7082</v>
      </c>
      <c r="H2296" s="8">
        <v>45494</v>
      </c>
      <c r="I2296" s="8">
        <v>44460</v>
      </c>
      <c r="J2296" s="8">
        <v>44476</v>
      </c>
      <c r="K2296" s="95">
        <v>44476</v>
      </c>
      <c r="L2296" s="95" t="s">
        <v>31</v>
      </c>
      <c r="M2296" s="8">
        <v>44497</v>
      </c>
      <c r="N2296" s="8">
        <v>44841</v>
      </c>
      <c r="O2296" s="8">
        <v>44840</v>
      </c>
      <c r="P2296" s="6" t="s">
        <v>35</v>
      </c>
      <c r="Q2296" s="96">
        <v>576</v>
      </c>
      <c r="R2296" s="97">
        <f t="shared" si="82"/>
        <v>1.5780821917808219</v>
      </c>
      <c r="S2296" s="75">
        <f t="shared" si="83"/>
        <v>13033.380821917808</v>
      </c>
      <c r="U2296" s="8">
        <v>44845</v>
      </c>
      <c r="W2296" s="6" t="s">
        <v>33</v>
      </c>
      <c r="X2296" s="7">
        <v>54772</v>
      </c>
    </row>
    <row r="2297" spans="1:24" x14ac:dyDescent="0.25">
      <c r="A2297" s="6" t="s">
        <v>168</v>
      </c>
      <c r="B2297" s="94" t="s">
        <v>944</v>
      </c>
      <c r="C2297" s="6" t="s">
        <v>7083</v>
      </c>
      <c r="D2297" s="140">
        <v>11939719</v>
      </c>
      <c r="E2297" s="6" t="s">
        <v>839</v>
      </c>
      <c r="F2297" s="10" t="s">
        <v>134</v>
      </c>
      <c r="G2297" s="6" t="s">
        <v>7084</v>
      </c>
      <c r="H2297" s="8">
        <v>45740</v>
      </c>
      <c r="I2297" s="8">
        <v>43773</v>
      </c>
      <c r="J2297" s="8">
        <v>43788</v>
      </c>
      <c r="K2297" s="95">
        <v>43788</v>
      </c>
      <c r="L2297" s="95" t="s">
        <v>31</v>
      </c>
      <c r="M2297" s="8">
        <v>43794</v>
      </c>
      <c r="N2297" s="8">
        <v>43907</v>
      </c>
      <c r="O2297" s="8">
        <v>43896</v>
      </c>
      <c r="P2297" s="6" t="s">
        <v>35</v>
      </c>
      <c r="Q2297" s="96">
        <v>730.5</v>
      </c>
      <c r="R2297" s="97">
        <f t="shared" si="82"/>
        <v>2.0013698630136987</v>
      </c>
      <c r="S2297" s="75">
        <f t="shared" si="83"/>
        <v>16529.313698630136</v>
      </c>
      <c r="T2297" s="124" t="s">
        <v>7085</v>
      </c>
      <c r="U2297" s="8">
        <v>43907</v>
      </c>
      <c r="W2297" s="6" t="s">
        <v>33</v>
      </c>
      <c r="X2297" s="95">
        <v>51271</v>
      </c>
    </row>
    <row r="2298" spans="1:24" x14ac:dyDescent="0.25">
      <c r="A2298" s="6" t="s">
        <v>25</v>
      </c>
      <c r="B2298" s="94" t="s">
        <v>7086</v>
      </c>
      <c r="C2298" s="6" t="s">
        <v>7087</v>
      </c>
      <c r="D2298" s="140">
        <v>11101982</v>
      </c>
      <c r="E2298" s="6" t="s">
        <v>2090</v>
      </c>
      <c r="F2298" s="10" t="s">
        <v>134</v>
      </c>
      <c r="G2298" s="6" t="s">
        <v>7088</v>
      </c>
      <c r="H2298" s="8">
        <v>46225</v>
      </c>
      <c r="I2298" s="8">
        <v>44462</v>
      </c>
      <c r="J2298" s="8">
        <v>44477</v>
      </c>
      <c r="K2298" s="95">
        <v>44480</v>
      </c>
      <c r="L2298" s="95" t="s">
        <v>31</v>
      </c>
      <c r="M2298" s="8">
        <v>44497</v>
      </c>
      <c r="N2298" s="8">
        <v>44788</v>
      </c>
      <c r="O2298" s="8">
        <v>44778</v>
      </c>
      <c r="P2298" s="6" t="s">
        <v>35</v>
      </c>
      <c r="Q2298" s="96">
        <v>1825</v>
      </c>
      <c r="R2298" s="97">
        <f t="shared" si="82"/>
        <v>5</v>
      </c>
      <c r="S2298" s="75">
        <f t="shared" si="83"/>
        <v>41295</v>
      </c>
      <c r="U2298" s="8">
        <v>44698</v>
      </c>
      <c r="V2298" s="6" t="s">
        <v>36</v>
      </c>
      <c r="W2298" s="6" t="s">
        <v>33</v>
      </c>
      <c r="X2298" s="7">
        <v>51249</v>
      </c>
    </row>
    <row r="2299" spans="1:24" x14ac:dyDescent="0.25">
      <c r="A2299" s="6" t="s">
        <v>25</v>
      </c>
      <c r="B2299" s="94" t="s">
        <v>449</v>
      </c>
      <c r="C2299" s="6" t="s">
        <v>7089</v>
      </c>
      <c r="D2299" s="140">
        <v>11339453</v>
      </c>
      <c r="E2299" s="6" t="s">
        <v>409</v>
      </c>
      <c r="F2299" s="10" t="s">
        <v>1588</v>
      </c>
      <c r="G2299" s="6" t="s">
        <v>7090</v>
      </c>
      <c r="H2299" s="8">
        <v>44436</v>
      </c>
      <c r="I2299" s="8">
        <v>44466</v>
      </c>
      <c r="J2299" s="8">
        <v>44477</v>
      </c>
      <c r="K2299" s="95">
        <v>44480</v>
      </c>
      <c r="L2299" s="95" t="s">
        <v>31</v>
      </c>
      <c r="M2299" s="8">
        <v>44497</v>
      </c>
      <c r="N2299" s="108">
        <v>44671</v>
      </c>
      <c r="O2299" s="108">
        <v>44631</v>
      </c>
      <c r="P2299" s="107" t="s">
        <v>35</v>
      </c>
      <c r="Q2299" s="110">
        <v>244</v>
      </c>
      <c r="R2299" s="97">
        <f t="shared" si="82"/>
        <v>0.66849315068493154</v>
      </c>
      <c r="S2299" s="75">
        <f t="shared" si="83"/>
        <v>5521.0849315068499</v>
      </c>
      <c r="U2299" s="8">
        <v>44776</v>
      </c>
      <c r="W2299" s="6" t="s">
        <v>33</v>
      </c>
      <c r="X2299" s="7">
        <v>50399</v>
      </c>
    </row>
    <row r="2300" spans="1:24" x14ac:dyDescent="0.25">
      <c r="A2300" s="6" t="s">
        <v>25</v>
      </c>
      <c r="B2300" s="94" t="s">
        <v>590</v>
      </c>
      <c r="C2300" s="6" t="s">
        <v>7091</v>
      </c>
      <c r="D2300" s="140">
        <v>12111112</v>
      </c>
      <c r="E2300" s="6" t="s">
        <v>4411</v>
      </c>
      <c r="F2300" s="10" t="s">
        <v>2296</v>
      </c>
      <c r="G2300" s="6">
        <v>62117814</v>
      </c>
      <c r="H2300" s="8">
        <v>46257</v>
      </c>
      <c r="I2300" s="8">
        <v>44461</v>
      </c>
      <c r="J2300" s="8">
        <v>44477</v>
      </c>
      <c r="K2300" s="95">
        <v>44480</v>
      </c>
      <c r="L2300" s="95" t="s">
        <v>31</v>
      </c>
      <c r="M2300" s="8">
        <v>44497</v>
      </c>
      <c r="N2300" s="8">
        <v>44544</v>
      </c>
      <c r="O2300" s="8">
        <v>44519</v>
      </c>
      <c r="P2300" s="6" t="s">
        <v>52</v>
      </c>
      <c r="R2300" s="97" t="str">
        <f t="shared" si="82"/>
        <v/>
      </c>
      <c r="S2300" s="75" t="str">
        <f t="shared" si="83"/>
        <v/>
      </c>
      <c r="T2300" s="124" t="s">
        <v>3501</v>
      </c>
      <c r="U2300" s="8">
        <v>44544</v>
      </c>
      <c r="W2300" s="6" t="s">
        <v>33</v>
      </c>
      <c r="X2300" s="7">
        <v>50406</v>
      </c>
    </row>
    <row r="2301" spans="1:24" x14ac:dyDescent="0.25">
      <c r="A2301" s="6" t="s">
        <v>25</v>
      </c>
      <c r="B2301" s="94" t="s">
        <v>370</v>
      </c>
      <c r="C2301" s="6" t="s">
        <v>371</v>
      </c>
      <c r="D2301" s="140">
        <v>11931315</v>
      </c>
      <c r="E2301" s="6" t="s">
        <v>3266</v>
      </c>
      <c r="F2301" s="10" t="s">
        <v>148</v>
      </c>
      <c r="G2301" s="6" t="s">
        <v>372</v>
      </c>
      <c r="H2301" s="8">
        <v>48739</v>
      </c>
      <c r="I2301" s="8">
        <v>44462</v>
      </c>
      <c r="J2301" s="8">
        <v>44477</v>
      </c>
      <c r="K2301" s="95">
        <v>44480</v>
      </c>
      <c r="L2301" s="95" t="s">
        <v>359</v>
      </c>
      <c r="R2301" s="97" t="str">
        <f t="shared" si="82"/>
        <v/>
      </c>
      <c r="S2301" s="75" t="str">
        <f t="shared" si="83"/>
        <v/>
      </c>
      <c r="W2301" s="6" t="s">
        <v>33</v>
      </c>
      <c r="X2301" s="7">
        <v>52564</v>
      </c>
    </row>
    <row r="2302" spans="1:24" x14ac:dyDescent="0.25">
      <c r="A2302" s="6" t="s">
        <v>25</v>
      </c>
      <c r="B2302" s="94" t="s">
        <v>7092</v>
      </c>
      <c r="C2302" s="6" t="s">
        <v>7093</v>
      </c>
      <c r="D2302" s="140">
        <v>11727700</v>
      </c>
      <c r="E2302" s="6" t="s">
        <v>4044</v>
      </c>
      <c r="F2302" s="10" t="s">
        <v>44</v>
      </c>
      <c r="G2302" s="6" t="s">
        <v>7094</v>
      </c>
      <c r="H2302" s="8">
        <v>549406</v>
      </c>
      <c r="I2302" s="8">
        <v>44462</v>
      </c>
      <c r="J2302" s="8">
        <v>44477</v>
      </c>
      <c r="K2302" s="95">
        <v>44480</v>
      </c>
      <c r="L2302" s="95" t="s">
        <v>31</v>
      </c>
      <c r="M2302" s="8">
        <v>44497</v>
      </c>
      <c r="P2302" s="6" t="s">
        <v>628</v>
      </c>
      <c r="R2302" s="97" t="str">
        <f t="shared" si="82"/>
        <v/>
      </c>
      <c r="S2302" s="75" t="str">
        <f t="shared" si="83"/>
        <v/>
      </c>
      <c r="T2302" s="124" t="s">
        <v>7095</v>
      </c>
      <c r="W2302" s="6" t="s">
        <v>84</v>
      </c>
      <c r="X2302" s="7">
        <v>49038</v>
      </c>
    </row>
    <row r="2303" spans="1:24" x14ac:dyDescent="0.25">
      <c r="A2303" s="6" t="s">
        <v>25</v>
      </c>
      <c r="B2303" s="94" t="s">
        <v>2971</v>
      </c>
      <c r="C2303" s="6" t="s">
        <v>7096</v>
      </c>
      <c r="D2303" s="140">
        <v>11064739</v>
      </c>
      <c r="E2303" s="6" t="s">
        <v>7025</v>
      </c>
      <c r="F2303" s="10" t="s">
        <v>148</v>
      </c>
      <c r="G2303" s="6" t="s">
        <v>7097</v>
      </c>
      <c r="H2303" s="8">
        <v>47110</v>
      </c>
      <c r="I2303" s="8">
        <v>44466</v>
      </c>
      <c r="J2303" s="8">
        <v>44477</v>
      </c>
      <c r="K2303" s="95">
        <v>44480</v>
      </c>
      <c r="L2303" s="95" t="s">
        <v>31</v>
      </c>
      <c r="M2303" s="8">
        <v>44497</v>
      </c>
      <c r="N2303" s="8">
        <v>44693</v>
      </c>
      <c r="O2303" s="8">
        <v>44672</v>
      </c>
      <c r="P2303" s="6" t="s">
        <v>35</v>
      </c>
      <c r="Q2303" s="96">
        <v>751</v>
      </c>
      <c r="R2303" s="97">
        <f t="shared" si="82"/>
        <v>2.0575342465753423</v>
      </c>
      <c r="S2303" s="75">
        <f t="shared" si="83"/>
        <v>16993.175342465755</v>
      </c>
      <c r="U2303" s="8">
        <v>44694</v>
      </c>
      <c r="W2303" s="6" t="s">
        <v>33</v>
      </c>
      <c r="X2303" s="7">
        <v>53653</v>
      </c>
    </row>
    <row r="2304" spans="1:24" x14ac:dyDescent="0.25">
      <c r="A2304" s="6" t="s">
        <v>25</v>
      </c>
      <c r="B2304" s="94" t="s">
        <v>7098</v>
      </c>
      <c r="C2304" s="6" t="s">
        <v>7099</v>
      </c>
      <c r="D2304" s="140">
        <v>12103631</v>
      </c>
      <c r="E2304" s="6" t="s">
        <v>3386</v>
      </c>
      <c r="F2304" s="10" t="s">
        <v>57</v>
      </c>
      <c r="G2304" s="6" t="s">
        <v>7100</v>
      </c>
      <c r="H2304" s="8">
        <v>46225</v>
      </c>
      <c r="I2304" s="8">
        <v>44441</v>
      </c>
      <c r="J2304" s="8">
        <v>44477</v>
      </c>
      <c r="K2304" s="95">
        <v>44480</v>
      </c>
      <c r="L2304" s="95" t="s">
        <v>31</v>
      </c>
      <c r="M2304" s="8">
        <v>44497</v>
      </c>
      <c r="N2304" s="8">
        <v>44635</v>
      </c>
      <c r="O2304" s="8">
        <v>44622</v>
      </c>
      <c r="P2304" s="6" t="s">
        <v>35</v>
      </c>
      <c r="Q2304" s="96">
        <v>974</v>
      </c>
      <c r="R2304" s="97">
        <f t="shared" si="82"/>
        <v>2.6684931506849314</v>
      </c>
      <c r="S2304" s="75">
        <f t="shared" si="83"/>
        <v>22039.084931506852</v>
      </c>
      <c r="U2304" s="8">
        <v>44719</v>
      </c>
      <c r="W2304" s="6" t="s">
        <v>33</v>
      </c>
      <c r="X2304" s="7">
        <v>50117</v>
      </c>
    </row>
    <row r="2305" spans="1:24" ht="30" x14ac:dyDescent="0.25">
      <c r="A2305" s="6" t="s">
        <v>25</v>
      </c>
      <c r="B2305" s="94" t="s">
        <v>7101</v>
      </c>
      <c r="C2305" s="6" t="s">
        <v>7102</v>
      </c>
      <c r="D2305" s="140">
        <v>11136155</v>
      </c>
      <c r="E2305" s="6" t="s">
        <v>3362</v>
      </c>
      <c r="F2305" s="10" t="s">
        <v>134</v>
      </c>
      <c r="G2305" s="6" t="s">
        <v>7103</v>
      </c>
      <c r="H2305" s="8">
        <v>44558</v>
      </c>
      <c r="I2305" s="8">
        <v>44463</v>
      </c>
      <c r="J2305" s="8">
        <v>44477</v>
      </c>
      <c r="K2305" s="95">
        <v>44480</v>
      </c>
      <c r="L2305" s="95" t="s">
        <v>359</v>
      </c>
      <c r="R2305" s="97" t="str">
        <f t="shared" si="82"/>
        <v/>
      </c>
      <c r="S2305" s="75" t="str">
        <f t="shared" si="83"/>
        <v/>
      </c>
      <c r="W2305" s="6" t="s">
        <v>33</v>
      </c>
      <c r="X2305" s="7">
        <v>49567</v>
      </c>
    </row>
    <row r="2306" spans="1:24" x14ac:dyDescent="0.25">
      <c r="A2306" s="6" t="s">
        <v>25</v>
      </c>
      <c r="B2306" s="94" t="s">
        <v>7104</v>
      </c>
      <c r="C2306" s="6" t="s">
        <v>7105</v>
      </c>
      <c r="D2306" s="140">
        <v>12153696</v>
      </c>
      <c r="E2306" s="6" t="s">
        <v>6361</v>
      </c>
      <c r="F2306" s="10" t="s">
        <v>1588</v>
      </c>
      <c r="G2306" s="6" t="s">
        <v>7106</v>
      </c>
      <c r="H2306" s="8">
        <v>48733</v>
      </c>
      <c r="I2306" s="8">
        <v>44467</v>
      </c>
      <c r="J2306" s="8">
        <v>44477</v>
      </c>
      <c r="K2306" s="95">
        <v>44481</v>
      </c>
      <c r="L2306" s="95" t="s">
        <v>31</v>
      </c>
      <c r="M2306" s="8">
        <v>44502</v>
      </c>
      <c r="N2306" s="8">
        <v>44888</v>
      </c>
      <c r="O2306" s="8">
        <v>44816</v>
      </c>
      <c r="P2306" s="6" t="s">
        <v>35</v>
      </c>
      <c r="Q2306" s="96">
        <v>1825</v>
      </c>
      <c r="R2306" s="97">
        <f t="shared" si="82"/>
        <v>5</v>
      </c>
      <c r="S2306" s="75">
        <f t="shared" si="83"/>
        <v>41295</v>
      </c>
      <c r="U2306" s="8">
        <v>45063</v>
      </c>
      <c r="W2306" s="6" t="s">
        <v>33</v>
      </c>
      <c r="X2306" s="7">
        <v>52376</v>
      </c>
    </row>
    <row r="2307" spans="1:24" x14ac:dyDescent="0.25">
      <c r="A2307" s="6" t="s">
        <v>25</v>
      </c>
      <c r="B2307" s="94" t="s">
        <v>6572</v>
      </c>
      <c r="C2307" s="6" t="s">
        <v>7107</v>
      </c>
      <c r="D2307" s="140">
        <v>11135344</v>
      </c>
      <c r="E2307" s="6" t="s">
        <v>6290</v>
      </c>
      <c r="F2307" s="10" t="s">
        <v>134</v>
      </c>
      <c r="G2307" s="6" t="s">
        <v>7108</v>
      </c>
      <c r="H2307" s="8">
        <v>45924</v>
      </c>
      <c r="I2307" s="8">
        <v>44467</v>
      </c>
      <c r="J2307" s="8">
        <v>44477</v>
      </c>
      <c r="K2307" s="95">
        <v>44481</v>
      </c>
      <c r="L2307" s="95" t="s">
        <v>359</v>
      </c>
      <c r="R2307" s="97" t="str">
        <f t="shared" si="82"/>
        <v/>
      </c>
      <c r="S2307" s="75" t="str">
        <f t="shared" si="83"/>
        <v/>
      </c>
      <c r="W2307" s="6" t="s">
        <v>33</v>
      </c>
      <c r="X2307" s="7">
        <v>50413</v>
      </c>
    </row>
    <row r="2308" spans="1:24" x14ac:dyDescent="0.25">
      <c r="A2308" s="6" t="s">
        <v>168</v>
      </c>
      <c r="B2308" s="94" t="s">
        <v>944</v>
      </c>
      <c r="C2308" s="6" t="s">
        <v>7109</v>
      </c>
      <c r="D2308" s="140" t="s">
        <v>7110</v>
      </c>
      <c r="E2308" s="6" t="s">
        <v>3062</v>
      </c>
      <c r="F2308" s="10" t="s">
        <v>44</v>
      </c>
      <c r="G2308" s="6" t="s">
        <v>7111</v>
      </c>
      <c r="H2308" s="8">
        <v>98653</v>
      </c>
      <c r="I2308" s="8">
        <v>43551</v>
      </c>
      <c r="J2308" s="8">
        <v>43560</v>
      </c>
      <c r="K2308" s="95">
        <v>43563</v>
      </c>
      <c r="L2308" s="95" t="s">
        <v>31</v>
      </c>
      <c r="M2308" s="8">
        <v>43570</v>
      </c>
      <c r="N2308" s="8">
        <v>43858</v>
      </c>
      <c r="O2308" s="8">
        <v>43854</v>
      </c>
      <c r="P2308" s="6" t="s">
        <v>90</v>
      </c>
      <c r="Q2308" s="96">
        <v>3273</v>
      </c>
      <c r="R2308" s="97">
        <f t="shared" si="82"/>
        <v>8.9671232876712335</v>
      </c>
      <c r="S2308" s="75">
        <f t="shared" si="83"/>
        <v>74059.47123287672</v>
      </c>
      <c r="U2308" s="8">
        <v>43859</v>
      </c>
      <c r="V2308" s="6" t="s">
        <v>36</v>
      </c>
      <c r="W2308" s="6" t="s">
        <v>84</v>
      </c>
      <c r="X2308" s="135">
        <v>51702</v>
      </c>
    </row>
    <row r="2309" spans="1:24" ht="30" x14ac:dyDescent="0.25">
      <c r="A2309" s="6" t="s">
        <v>168</v>
      </c>
      <c r="B2309" s="94" t="s">
        <v>944</v>
      </c>
      <c r="C2309" s="6" t="s">
        <v>7112</v>
      </c>
      <c r="D2309" s="140">
        <v>11002628</v>
      </c>
      <c r="E2309" s="6" t="s">
        <v>2589</v>
      </c>
      <c r="F2309" s="10" t="s">
        <v>100</v>
      </c>
      <c r="G2309" s="6">
        <v>981508</v>
      </c>
      <c r="H2309" s="8">
        <v>60489</v>
      </c>
      <c r="I2309" s="8">
        <v>43880</v>
      </c>
      <c r="J2309" s="8">
        <v>43907</v>
      </c>
      <c r="K2309" s="95">
        <v>43908</v>
      </c>
      <c r="L2309" s="95" t="s">
        <v>31</v>
      </c>
      <c r="P2309" s="6" t="s">
        <v>52</v>
      </c>
      <c r="R2309" s="97" t="str">
        <f t="shared" ref="R2309:R2371" si="84">IF(Q2309&gt;0, Q2309/365, "")</f>
        <v/>
      </c>
      <c r="S2309" s="75" t="str">
        <f t="shared" ref="S2309:S2371" si="85">IF(Q2309&gt;0, SUM(Q2309)*(8259/365), "")</f>
        <v/>
      </c>
      <c r="T2309" s="124" t="s">
        <v>7113</v>
      </c>
      <c r="U2309" s="8">
        <v>44274</v>
      </c>
      <c r="W2309" s="6" t="s">
        <v>84</v>
      </c>
      <c r="X2309" s="95">
        <v>44620</v>
      </c>
    </row>
    <row r="2310" spans="1:24" x14ac:dyDescent="0.25">
      <c r="A2310" s="6" t="s">
        <v>25</v>
      </c>
      <c r="B2310" s="94" t="s">
        <v>3185</v>
      </c>
      <c r="C2310" s="6" t="s">
        <v>7114</v>
      </c>
      <c r="D2310" s="140">
        <v>11562809</v>
      </c>
      <c r="E2310" s="6" t="s">
        <v>2764</v>
      </c>
      <c r="F2310" s="10" t="s">
        <v>44</v>
      </c>
      <c r="G2310" s="6" t="s">
        <v>7115</v>
      </c>
      <c r="H2310" s="8">
        <v>45370</v>
      </c>
      <c r="I2310" s="8">
        <v>44476</v>
      </c>
      <c r="J2310" s="8">
        <v>44489</v>
      </c>
      <c r="K2310" s="95">
        <v>44502</v>
      </c>
      <c r="L2310" s="95" t="s">
        <v>31</v>
      </c>
      <c r="M2310" s="8">
        <v>44517</v>
      </c>
      <c r="N2310" s="8">
        <v>44594</v>
      </c>
      <c r="O2310" s="8">
        <v>44594</v>
      </c>
      <c r="P2310" s="6" t="s">
        <v>35</v>
      </c>
      <c r="Q2310" s="96">
        <v>508</v>
      </c>
      <c r="R2310" s="97">
        <f t="shared" si="84"/>
        <v>1.3917808219178083</v>
      </c>
      <c r="S2310" s="75">
        <f t="shared" si="85"/>
        <v>11494.717808219179</v>
      </c>
      <c r="U2310" s="8">
        <v>44608</v>
      </c>
    </row>
    <row r="2311" spans="1:24" x14ac:dyDescent="0.25">
      <c r="A2311" s="6" t="s">
        <v>25</v>
      </c>
      <c r="B2311" s="94" t="s">
        <v>873</v>
      </c>
      <c r="C2311" s="6" t="s">
        <v>7116</v>
      </c>
      <c r="D2311" s="140">
        <v>12117783</v>
      </c>
      <c r="E2311" s="6" t="s">
        <v>7117</v>
      </c>
      <c r="F2311" s="10" t="s">
        <v>139</v>
      </c>
      <c r="G2311" s="6" t="s">
        <v>7118</v>
      </c>
      <c r="H2311" s="8">
        <v>45887</v>
      </c>
      <c r="I2311" s="8">
        <v>44475</v>
      </c>
      <c r="J2311" s="8">
        <v>44489</v>
      </c>
      <c r="K2311" s="95">
        <v>44495</v>
      </c>
      <c r="L2311" s="95" t="s">
        <v>31</v>
      </c>
      <c r="M2311" s="8">
        <v>44644</v>
      </c>
      <c r="N2311" s="8">
        <v>44712</v>
      </c>
      <c r="O2311" s="8">
        <v>44680</v>
      </c>
      <c r="P2311" s="6" t="s">
        <v>90</v>
      </c>
      <c r="R2311" s="97" t="str">
        <f t="shared" si="84"/>
        <v/>
      </c>
      <c r="S2311" s="75" t="str">
        <f t="shared" si="85"/>
        <v/>
      </c>
      <c r="U2311" s="8">
        <v>44719</v>
      </c>
      <c r="W2311" s="6" t="s">
        <v>33</v>
      </c>
      <c r="X2311" s="7">
        <v>56314</v>
      </c>
    </row>
    <row r="2312" spans="1:24" x14ac:dyDescent="0.25">
      <c r="A2312" s="6" t="s">
        <v>5602</v>
      </c>
      <c r="B2312" s="94" t="s">
        <v>7119</v>
      </c>
      <c r="C2312" s="6" t="s">
        <v>7120</v>
      </c>
      <c r="D2312" s="140">
        <v>12239477</v>
      </c>
      <c r="E2312" s="6" t="s">
        <v>357</v>
      </c>
      <c r="F2312" s="10" t="s">
        <v>57</v>
      </c>
      <c r="G2312" s="6" t="s">
        <v>7121</v>
      </c>
      <c r="H2312" s="8">
        <v>44506</v>
      </c>
      <c r="I2312" s="8">
        <v>44501</v>
      </c>
      <c r="J2312" s="8">
        <v>44501</v>
      </c>
      <c r="K2312" s="95">
        <v>44501</v>
      </c>
      <c r="L2312" s="95" t="s">
        <v>31</v>
      </c>
      <c r="M2312" s="8">
        <v>44516</v>
      </c>
      <c r="R2312" s="97" t="str">
        <f t="shared" si="84"/>
        <v/>
      </c>
      <c r="S2312" s="75" t="str">
        <f t="shared" si="85"/>
        <v/>
      </c>
      <c r="T2312" s="124" t="s">
        <v>7122</v>
      </c>
      <c r="U2312" s="8">
        <v>44783</v>
      </c>
    </row>
    <row r="2313" spans="1:24" x14ac:dyDescent="0.25">
      <c r="A2313" s="6" t="s">
        <v>25</v>
      </c>
      <c r="B2313" s="94" t="s">
        <v>2983</v>
      </c>
      <c r="C2313" s="6" t="s">
        <v>7123</v>
      </c>
      <c r="D2313" s="140">
        <v>11172502</v>
      </c>
      <c r="E2313" s="6" t="s">
        <v>2206</v>
      </c>
      <c r="F2313" s="10" t="s">
        <v>29</v>
      </c>
      <c r="G2313" s="6" t="s">
        <v>7124</v>
      </c>
      <c r="H2313" s="8">
        <v>46279</v>
      </c>
      <c r="I2313" s="8">
        <v>44488</v>
      </c>
      <c r="J2313" s="8">
        <v>44488</v>
      </c>
      <c r="K2313" s="95">
        <v>44498</v>
      </c>
      <c r="L2313" s="95" t="s">
        <v>31</v>
      </c>
      <c r="M2313" s="8">
        <v>44509</v>
      </c>
      <c r="R2313" s="97" t="str">
        <f t="shared" si="84"/>
        <v/>
      </c>
      <c r="S2313" s="75" t="str">
        <f t="shared" si="85"/>
        <v/>
      </c>
      <c r="T2313" s="129" t="s">
        <v>6119</v>
      </c>
      <c r="U2313" s="8">
        <v>44783</v>
      </c>
      <c r="W2313" s="6" t="s">
        <v>33</v>
      </c>
      <c r="X2313" s="7">
        <v>51562</v>
      </c>
    </row>
    <row r="2314" spans="1:24" x14ac:dyDescent="0.25">
      <c r="A2314" s="6" t="s">
        <v>25</v>
      </c>
      <c r="B2314" s="94" t="s">
        <v>7125</v>
      </c>
      <c r="C2314" s="6" t="s">
        <v>7126</v>
      </c>
      <c r="D2314" s="140">
        <v>11041941</v>
      </c>
      <c r="E2314" s="6" t="s">
        <v>7127</v>
      </c>
      <c r="F2314" s="10" t="s">
        <v>29</v>
      </c>
      <c r="G2314" s="6" t="s">
        <v>7128</v>
      </c>
      <c r="H2314" s="8">
        <v>45973</v>
      </c>
      <c r="I2314" s="8">
        <v>44488</v>
      </c>
      <c r="J2314" s="8">
        <v>44488</v>
      </c>
      <c r="K2314" s="95">
        <v>44498</v>
      </c>
      <c r="L2314" s="95" t="s">
        <v>31</v>
      </c>
      <c r="M2314" s="8">
        <v>44509</v>
      </c>
      <c r="N2314" s="8">
        <v>44707</v>
      </c>
      <c r="O2314" s="8">
        <v>44691</v>
      </c>
      <c r="P2314" s="6" t="s">
        <v>35</v>
      </c>
      <c r="Q2314" s="96">
        <v>324</v>
      </c>
      <c r="R2314" s="97">
        <f t="shared" si="84"/>
        <v>0.88767123287671235</v>
      </c>
      <c r="S2314" s="75">
        <f t="shared" si="85"/>
        <v>7331.2767123287676</v>
      </c>
      <c r="U2314" s="8">
        <v>44712</v>
      </c>
      <c r="W2314" s="6" t="s">
        <v>33</v>
      </c>
      <c r="X2314" s="7">
        <v>54531</v>
      </c>
    </row>
    <row r="2315" spans="1:24" x14ac:dyDescent="0.25">
      <c r="A2315" s="6" t="s">
        <v>25</v>
      </c>
      <c r="B2315" s="94" t="s">
        <v>590</v>
      </c>
      <c r="C2315" s="6" t="s">
        <v>7129</v>
      </c>
      <c r="D2315" s="140">
        <v>11129637</v>
      </c>
      <c r="E2315" s="6" t="s">
        <v>2764</v>
      </c>
      <c r="F2315" s="10" t="s">
        <v>29</v>
      </c>
      <c r="G2315" s="6" t="s">
        <v>7130</v>
      </c>
      <c r="H2315" s="8">
        <v>47783</v>
      </c>
      <c r="I2315" s="8">
        <v>44488</v>
      </c>
      <c r="J2315" s="8">
        <v>44488</v>
      </c>
      <c r="K2315" s="95">
        <v>44498</v>
      </c>
      <c r="L2315" s="95" t="s">
        <v>31</v>
      </c>
      <c r="M2315" s="8">
        <v>44509</v>
      </c>
      <c r="P2315" s="6" t="s">
        <v>628</v>
      </c>
      <c r="R2315" s="97" t="str">
        <f t="shared" si="84"/>
        <v/>
      </c>
      <c r="S2315" s="75" t="str">
        <f t="shared" si="85"/>
        <v/>
      </c>
      <c r="T2315" s="124" t="s">
        <v>7131</v>
      </c>
      <c r="W2315" s="6" t="s">
        <v>33</v>
      </c>
      <c r="X2315" s="7">
        <v>51436</v>
      </c>
    </row>
    <row r="2316" spans="1:24" x14ac:dyDescent="0.25">
      <c r="A2316" s="6" t="s">
        <v>25</v>
      </c>
      <c r="B2316" s="94" t="s">
        <v>7132</v>
      </c>
      <c r="C2316" s="6" t="s">
        <v>7133</v>
      </c>
      <c r="D2316" s="140">
        <v>11217503</v>
      </c>
      <c r="E2316" s="6" t="s">
        <v>3201</v>
      </c>
      <c r="F2316" s="10" t="s">
        <v>143</v>
      </c>
      <c r="G2316" s="6" t="s">
        <v>7134</v>
      </c>
      <c r="H2316" s="8">
        <v>46587</v>
      </c>
      <c r="I2316" s="8">
        <v>44483</v>
      </c>
      <c r="J2316" s="8">
        <v>44488</v>
      </c>
      <c r="K2316" s="95">
        <v>44502</v>
      </c>
      <c r="L2316" s="95" t="s">
        <v>31</v>
      </c>
      <c r="M2316" s="8">
        <v>44509</v>
      </c>
      <c r="N2316" s="8">
        <v>45001</v>
      </c>
      <c r="O2316" s="8">
        <v>45000</v>
      </c>
      <c r="P2316" s="6" t="s">
        <v>35</v>
      </c>
      <c r="Q2316" s="96">
        <v>2847</v>
      </c>
      <c r="R2316" s="97">
        <f t="shared" si="84"/>
        <v>7.8</v>
      </c>
      <c r="S2316" s="75">
        <f t="shared" si="85"/>
        <v>64420.200000000004</v>
      </c>
      <c r="U2316" s="8">
        <v>45007</v>
      </c>
      <c r="W2316" s="6" t="s">
        <v>33</v>
      </c>
      <c r="X2316" s="7">
        <v>49556</v>
      </c>
    </row>
    <row r="2317" spans="1:24" x14ac:dyDescent="0.25">
      <c r="A2317" s="6" t="s">
        <v>25</v>
      </c>
      <c r="B2317" s="94" t="s">
        <v>7135</v>
      </c>
      <c r="C2317" s="6" t="s">
        <v>7136</v>
      </c>
      <c r="D2317" s="140">
        <v>12014528</v>
      </c>
      <c r="E2317" s="6" t="s">
        <v>3243</v>
      </c>
      <c r="F2317" s="10" t="s">
        <v>1225</v>
      </c>
      <c r="G2317" s="6" t="s">
        <v>7137</v>
      </c>
      <c r="H2317" s="8">
        <v>46440</v>
      </c>
      <c r="I2317" s="8">
        <v>44483</v>
      </c>
      <c r="J2317" s="8">
        <v>44488</v>
      </c>
      <c r="K2317" s="95">
        <v>44502</v>
      </c>
      <c r="L2317" s="95" t="s">
        <v>31</v>
      </c>
      <c r="M2317" s="8">
        <v>44516</v>
      </c>
      <c r="R2317" s="97" t="str">
        <f t="shared" si="84"/>
        <v/>
      </c>
      <c r="S2317" s="75" t="str">
        <f t="shared" si="85"/>
        <v/>
      </c>
      <c r="T2317" s="124" t="s">
        <v>7138</v>
      </c>
      <c r="U2317" s="8">
        <v>45205</v>
      </c>
      <c r="W2317" s="6" t="s">
        <v>33</v>
      </c>
      <c r="X2317" s="7">
        <v>51354</v>
      </c>
    </row>
    <row r="2318" spans="1:24" x14ac:dyDescent="0.25">
      <c r="A2318" s="6" t="s">
        <v>25</v>
      </c>
      <c r="B2318" s="94" t="s">
        <v>4984</v>
      </c>
      <c r="C2318" s="6" t="s">
        <v>7139</v>
      </c>
      <c r="D2318" s="140">
        <v>11501272</v>
      </c>
      <c r="E2318" s="6" t="s">
        <v>4398</v>
      </c>
      <c r="F2318" s="10" t="s">
        <v>44</v>
      </c>
      <c r="G2318" s="6" t="s">
        <v>7140</v>
      </c>
      <c r="H2318" s="8">
        <v>45154</v>
      </c>
      <c r="I2318" s="8">
        <v>44483</v>
      </c>
      <c r="J2318" s="8">
        <v>44488</v>
      </c>
      <c r="K2318" s="95">
        <v>44502</v>
      </c>
      <c r="L2318" s="95" t="s">
        <v>31</v>
      </c>
      <c r="M2318" s="8">
        <v>44517</v>
      </c>
      <c r="N2318" s="108">
        <v>44606</v>
      </c>
      <c r="O2318" s="108">
        <v>44589</v>
      </c>
      <c r="P2318" s="107" t="s">
        <v>35</v>
      </c>
      <c r="Q2318" s="110">
        <v>540</v>
      </c>
      <c r="R2318" s="97">
        <f t="shared" si="84"/>
        <v>1.4794520547945205</v>
      </c>
      <c r="S2318" s="75">
        <f t="shared" si="85"/>
        <v>12218.794520547946</v>
      </c>
      <c r="T2318" s="129" t="s">
        <v>7141</v>
      </c>
      <c r="U2318" s="8">
        <v>44776</v>
      </c>
    </row>
    <row r="2319" spans="1:24" x14ac:dyDescent="0.25">
      <c r="A2319" s="6" t="s">
        <v>25</v>
      </c>
      <c r="B2319" s="94" t="s">
        <v>4984</v>
      </c>
      <c r="C2319" s="6" t="s">
        <v>7142</v>
      </c>
      <c r="D2319" s="140">
        <v>12011121</v>
      </c>
      <c r="E2319" s="6" t="s">
        <v>2568</v>
      </c>
      <c r="F2319" s="10" t="s">
        <v>44</v>
      </c>
      <c r="G2319" s="6" t="s">
        <v>7143</v>
      </c>
      <c r="H2319" s="8">
        <v>45127</v>
      </c>
      <c r="I2319" s="8">
        <v>44483</v>
      </c>
      <c r="J2319" s="8">
        <v>44488</v>
      </c>
      <c r="K2319" s="95">
        <v>44502</v>
      </c>
      <c r="L2319" s="95" t="s">
        <v>31</v>
      </c>
      <c r="M2319" s="8">
        <v>44517</v>
      </c>
      <c r="R2319" s="97" t="str">
        <f t="shared" si="84"/>
        <v/>
      </c>
      <c r="S2319" s="75" t="str">
        <f t="shared" si="85"/>
        <v/>
      </c>
      <c r="T2319" s="124" t="s">
        <v>7144</v>
      </c>
      <c r="U2319" s="8">
        <v>45205</v>
      </c>
      <c r="W2319" s="6" t="s">
        <v>33</v>
      </c>
      <c r="X2319" s="7">
        <v>52986</v>
      </c>
    </row>
    <row r="2320" spans="1:24" x14ac:dyDescent="0.25">
      <c r="A2320" s="6" t="s">
        <v>25</v>
      </c>
      <c r="B2320" s="94" t="s">
        <v>2644</v>
      </c>
      <c r="C2320" s="6" t="s">
        <v>7145</v>
      </c>
      <c r="D2320" s="140">
        <v>11549129</v>
      </c>
      <c r="E2320" s="6" t="s">
        <v>7146</v>
      </c>
      <c r="F2320" s="10" t="s">
        <v>44</v>
      </c>
      <c r="G2320" s="6" t="s">
        <v>7147</v>
      </c>
      <c r="H2320" s="8">
        <v>46779</v>
      </c>
      <c r="I2320" s="8">
        <v>44488</v>
      </c>
      <c r="J2320" s="8">
        <v>44488</v>
      </c>
      <c r="K2320" s="95">
        <v>44502</v>
      </c>
      <c r="L2320" s="95" t="s">
        <v>31</v>
      </c>
      <c r="M2320" s="8">
        <v>44517</v>
      </c>
      <c r="N2320" s="8">
        <v>45239</v>
      </c>
      <c r="O2320" s="8">
        <v>45222</v>
      </c>
      <c r="P2320" s="6" t="s">
        <v>35</v>
      </c>
      <c r="Q2320" s="96">
        <v>1825</v>
      </c>
      <c r="R2320" s="97">
        <f t="shared" si="84"/>
        <v>5</v>
      </c>
      <c r="S2320" s="75">
        <f t="shared" si="85"/>
        <v>41295</v>
      </c>
      <c r="U2320" s="8">
        <v>45343</v>
      </c>
      <c r="W2320" s="6" t="s">
        <v>33</v>
      </c>
      <c r="X2320" s="7">
        <v>52030</v>
      </c>
    </row>
    <row r="2321" spans="1:24" x14ac:dyDescent="0.25">
      <c r="A2321" s="6" t="s">
        <v>25</v>
      </c>
      <c r="B2321" s="94" t="s">
        <v>7148</v>
      </c>
      <c r="C2321" s="6" t="s">
        <v>7149</v>
      </c>
      <c r="D2321" s="140">
        <v>11355617</v>
      </c>
      <c r="E2321" s="6" t="s">
        <v>5763</v>
      </c>
      <c r="F2321" s="10" t="s">
        <v>134</v>
      </c>
      <c r="G2321" s="6" t="s">
        <v>7150</v>
      </c>
      <c r="H2321" s="8">
        <v>47579</v>
      </c>
      <c r="I2321" s="8">
        <v>44495</v>
      </c>
      <c r="J2321" s="8">
        <v>44496</v>
      </c>
      <c r="K2321" s="95">
        <v>44505</v>
      </c>
      <c r="L2321" s="95" t="s">
        <v>359</v>
      </c>
      <c r="R2321" s="97" t="str">
        <f t="shared" si="84"/>
        <v/>
      </c>
      <c r="S2321" s="75" t="str">
        <f t="shared" si="85"/>
        <v/>
      </c>
      <c r="W2321" s="6" t="s">
        <v>33</v>
      </c>
      <c r="X2321" s="7">
        <v>54632</v>
      </c>
    </row>
    <row r="2322" spans="1:24" x14ac:dyDescent="0.25">
      <c r="A2322" s="6" t="s">
        <v>25</v>
      </c>
      <c r="B2322" s="94" t="s">
        <v>723</v>
      </c>
      <c r="C2322" s="6" t="s">
        <v>7151</v>
      </c>
      <c r="D2322" s="140">
        <v>11056571</v>
      </c>
      <c r="E2322" s="6" t="s">
        <v>362</v>
      </c>
      <c r="F2322" s="10" t="s">
        <v>134</v>
      </c>
      <c r="G2322" s="6" t="s">
        <v>7152</v>
      </c>
      <c r="H2322" s="8">
        <v>50277</v>
      </c>
      <c r="I2322" s="8">
        <v>44495</v>
      </c>
      <c r="J2322" s="8">
        <v>44496</v>
      </c>
      <c r="K2322" s="95">
        <v>44505</v>
      </c>
      <c r="L2322" s="95" t="s">
        <v>359</v>
      </c>
      <c r="R2322" s="97" t="str">
        <f t="shared" si="84"/>
        <v/>
      </c>
      <c r="S2322" s="75" t="str">
        <f t="shared" si="85"/>
        <v/>
      </c>
      <c r="W2322" s="6" t="s">
        <v>33</v>
      </c>
      <c r="X2322" s="7">
        <v>54798</v>
      </c>
    </row>
    <row r="2323" spans="1:24" x14ac:dyDescent="0.25">
      <c r="A2323" s="6" t="s">
        <v>25</v>
      </c>
      <c r="B2323" s="94" t="s">
        <v>7153</v>
      </c>
      <c r="C2323" s="6" t="s">
        <v>7154</v>
      </c>
      <c r="D2323" s="140">
        <v>12155691</v>
      </c>
      <c r="E2323" s="6" t="s">
        <v>3008</v>
      </c>
      <c r="F2323" s="10" t="s">
        <v>134</v>
      </c>
      <c r="G2323" s="6" t="s">
        <v>7155</v>
      </c>
      <c r="H2323" s="8">
        <v>45258</v>
      </c>
      <c r="I2323" s="8">
        <v>44490</v>
      </c>
      <c r="J2323" s="8">
        <v>44496</v>
      </c>
      <c r="K2323" s="95">
        <v>44505</v>
      </c>
      <c r="L2323" s="95" t="s">
        <v>31</v>
      </c>
      <c r="M2323" s="8">
        <v>44518</v>
      </c>
      <c r="N2323" s="8">
        <v>44637</v>
      </c>
      <c r="O2323" s="8">
        <v>44634</v>
      </c>
      <c r="P2323" s="6" t="s">
        <v>35</v>
      </c>
      <c r="R2323" s="97" t="str">
        <f t="shared" si="84"/>
        <v/>
      </c>
      <c r="S2323" s="75" t="str">
        <f t="shared" si="85"/>
        <v/>
      </c>
    </row>
    <row r="2324" spans="1:24" x14ac:dyDescent="0.25">
      <c r="A2324" s="6" t="s">
        <v>25</v>
      </c>
      <c r="B2324" s="94" t="s">
        <v>7156</v>
      </c>
      <c r="C2324" s="6" t="s">
        <v>7157</v>
      </c>
      <c r="D2324" s="140">
        <v>11097398</v>
      </c>
      <c r="E2324" s="6" t="s">
        <v>3222</v>
      </c>
      <c r="F2324" s="10" t="s">
        <v>121</v>
      </c>
      <c r="G2324" s="6" t="s">
        <v>7158</v>
      </c>
      <c r="H2324" s="8">
        <v>49344</v>
      </c>
      <c r="I2324" s="8">
        <v>44495</v>
      </c>
      <c r="J2324" s="8">
        <v>44496</v>
      </c>
      <c r="K2324" s="95">
        <v>44505</v>
      </c>
      <c r="L2324" s="95" t="s">
        <v>31</v>
      </c>
      <c r="M2324" s="8">
        <v>44518</v>
      </c>
      <c r="N2324" s="8">
        <v>44827</v>
      </c>
      <c r="O2324" s="8">
        <v>44820</v>
      </c>
      <c r="P2324" s="6" t="s">
        <v>35</v>
      </c>
      <c r="Q2324" s="96">
        <v>2190</v>
      </c>
      <c r="R2324" s="97">
        <f t="shared" si="84"/>
        <v>6</v>
      </c>
      <c r="S2324" s="75">
        <f t="shared" si="85"/>
        <v>49554</v>
      </c>
      <c r="U2324" s="8">
        <v>45026</v>
      </c>
      <c r="W2324" s="6" t="s">
        <v>84</v>
      </c>
      <c r="X2324" s="7">
        <v>50424</v>
      </c>
    </row>
    <row r="2325" spans="1:24" x14ac:dyDescent="0.25">
      <c r="A2325" s="6" t="s">
        <v>25</v>
      </c>
      <c r="B2325" s="94" t="s">
        <v>7159</v>
      </c>
      <c r="C2325" s="6" t="s">
        <v>7160</v>
      </c>
      <c r="D2325" s="140">
        <v>11424928</v>
      </c>
      <c r="E2325" s="6" t="s">
        <v>6181</v>
      </c>
      <c r="F2325" s="10" t="s">
        <v>29</v>
      </c>
      <c r="G2325" s="6" t="s">
        <v>7161</v>
      </c>
      <c r="H2325" s="8">
        <v>53061</v>
      </c>
      <c r="I2325" s="8">
        <v>44491</v>
      </c>
      <c r="J2325" s="8">
        <v>44491</v>
      </c>
      <c r="K2325" s="95">
        <v>44505</v>
      </c>
      <c r="L2325" s="95" t="s">
        <v>31</v>
      </c>
      <c r="M2325" s="8">
        <v>44518</v>
      </c>
      <c r="P2325" s="6" t="s">
        <v>628</v>
      </c>
      <c r="R2325" s="97" t="str">
        <f t="shared" si="84"/>
        <v/>
      </c>
      <c r="S2325" s="75" t="str">
        <f t="shared" si="85"/>
        <v/>
      </c>
      <c r="T2325" s="124" t="s">
        <v>7162</v>
      </c>
      <c r="W2325" s="6" t="s">
        <v>33</v>
      </c>
      <c r="X2325" s="7">
        <v>50266</v>
      </c>
    </row>
    <row r="2326" spans="1:24" ht="30" x14ac:dyDescent="0.25">
      <c r="A2326" s="6" t="s">
        <v>25</v>
      </c>
      <c r="B2326" s="94" t="s">
        <v>2566</v>
      </c>
      <c r="C2326" s="6" t="s">
        <v>2567</v>
      </c>
      <c r="D2326" s="140">
        <v>11044224</v>
      </c>
      <c r="E2326" s="6" t="s">
        <v>2568</v>
      </c>
      <c r="F2326" s="10" t="s">
        <v>29</v>
      </c>
      <c r="G2326" s="6" t="s">
        <v>2569</v>
      </c>
      <c r="H2326" s="8">
        <v>49341</v>
      </c>
      <c r="I2326" s="8">
        <v>44491</v>
      </c>
      <c r="J2326" s="8">
        <v>44491</v>
      </c>
      <c r="K2326" s="95">
        <v>44505</v>
      </c>
      <c r="L2326" s="95" t="s">
        <v>359</v>
      </c>
      <c r="R2326" s="97" t="str">
        <f t="shared" si="84"/>
        <v/>
      </c>
      <c r="S2326" s="75" t="str">
        <f t="shared" si="85"/>
        <v/>
      </c>
      <c r="W2326" s="6" t="s">
        <v>84</v>
      </c>
      <c r="X2326" s="7">
        <v>50682</v>
      </c>
    </row>
    <row r="2327" spans="1:24" x14ac:dyDescent="0.25">
      <c r="A2327" s="6" t="s">
        <v>168</v>
      </c>
      <c r="B2327" s="94" t="s">
        <v>7163</v>
      </c>
      <c r="C2327" s="6" t="s">
        <v>7164</v>
      </c>
      <c r="D2327" s="140">
        <v>11916143</v>
      </c>
      <c r="E2327" s="6" t="s">
        <v>6628</v>
      </c>
      <c r="F2327" s="10" t="s">
        <v>44</v>
      </c>
      <c r="G2327" s="6" t="s">
        <v>7165</v>
      </c>
      <c r="H2327" s="8">
        <v>49139</v>
      </c>
      <c r="I2327" s="8">
        <v>44488</v>
      </c>
      <c r="J2327" s="8">
        <v>44495</v>
      </c>
      <c r="K2327" s="95">
        <v>44505</v>
      </c>
      <c r="L2327" s="95" t="s">
        <v>31</v>
      </c>
      <c r="M2327" s="8">
        <v>44518</v>
      </c>
      <c r="N2327" s="8">
        <v>44714</v>
      </c>
      <c r="O2327" s="8">
        <v>44708</v>
      </c>
      <c r="P2327" s="6" t="s">
        <v>35</v>
      </c>
      <c r="Q2327" s="96">
        <v>3461</v>
      </c>
      <c r="R2327" s="97">
        <f t="shared" si="84"/>
        <v>9.4821917808219176</v>
      </c>
      <c r="S2327" s="75">
        <f t="shared" si="85"/>
        <v>78313.421917808228</v>
      </c>
      <c r="U2327" s="8">
        <v>44719</v>
      </c>
      <c r="W2327" s="6" t="s">
        <v>84</v>
      </c>
      <c r="X2327" s="7">
        <v>48180</v>
      </c>
    </row>
    <row r="2328" spans="1:24" x14ac:dyDescent="0.25">
      <c r="A2328" s="6" t="s">
        <v>25</v>
      </c>
      <c r="B2328" s="94" t="s">
        <v>7166</v>
      </c>
      <c r="C2328" s="6" t="s">
        <v>7167</v>
      </c>
      <c r="D2328" s="140">
        <v>11145794</v>
      </c>
      <c r="E2328" s="6" t="s">
        <v>3008</v>
      </c>
      <c r="F2328" s="10" t="s">
        <v>1588</v>
      </c>
      <c r="G2328" s="6" t="s">
        <v>7168</v>
      </c>
      <c r="H2328" s="8">
        <v>55056</v>
      </c>
      <c r="I2328" s="8">
        <v>44510</v>
      </c>
      <c r="J2328" s="8">
        <v>44538</v>
      </c>
      <c r="K2328" s="95">
        <v>44538</v>
      </c>
      <c r="L2328" s="95" t="s">
        <v>31</v>
      </c>
      <c r="M2328" s="8">
        <v>44550</v>
      </c>
      <c r="R2328" s="97" t="str">
        <f t="shared" si="84"/>
        <v/>
      </c>
      <c r="S2328" s="75" t="str">
        <f t="shared" si="85"/>
        <v/>
      </c>
      <c r="W2328" s="6" t="s">
        <v>84</v>
      </c>
      <c r="X2328" s="7">
        <v>46653</v>
      </c>
    </row>
    <row r="2329" spans="1:24" x14ac:dyDescent="0.25">
      <c r="A2329" s="6" t="s">
        <v>25</v>
      </c>
      <c r="B2329" s="94" t="s">
        <v>2329</v>
      </c>
      <c r="C2329" s="6" t="s">
        <v>7169</v>
      </c>
      <c r="D2329" s="140">
        <v>11137264</v>
      </c>
      <c r="E2329" s="6" t="s">
        <v>6405</v>
      </c>
      <c r="F2329" s="10" t="s">
        <v>44</v>
      </c>
      <c r="G2329" s="6" t="s">
        <v>7170</v>
      </c>
      <c r="H2329" s="8">
        <v>46485</v>
      </c>
      <c r="I2329" s="8">
        <v>44510</v>
      </c>
      <c r="J2329" s="8">
        <v>44538</v>
      </c>
      <c r="K2329" s="95">
        <v>44538</v>
      </c>
      <c r="L2329" s="95" t="s">
        <v>31</v>
      </c>
      <c r="M2329" s="8">
        <v>44550</v>
      </c>
      <c r="N2329" s="8">
        <v>44806</v>
      </c>
      <c r="O2329" s="8">
        <v>44802</v>
      </c>
      <c r="P2329" s="6" t="s">
        <v>35</v>
      </c>
      <c r="Q2329" s="96">
        <v>1668</v>
      </c>
      <c r="R2329" s="97">
        <f t="shared" si="84"/>
        <v>4.5698630136986305</v>
      </c>
      <c r="S2329" s="75">
        <f t="shared" si="85"/>
        <v>37742.498630136986</v>
      </c>
      <c r="U2329" s="8">
        <v>44883</v>
      </c>
    </row>
    <row r="2330" spans="1:24" ht="30" x14ac:dyDescent="0.25">
      <c r="A2330" s="6" t="s">
        <v>25</v>
      </c>
      <c r="B2330" s="94" t="s">
        <v>4984</v>
      </c>
      <c r="C2330" s="6" t="s">
        <v>7171</v>
      </c>
      <c r="D2330" s="140">
        <v>11477101</v>
      </c>
      <c r="E2330" s="6" t="s">
        <v>6290</v>
      </c>
      <c r="F2330" s="10" t="s">
        <v>134</v>
      </c>
      <c r="G2330" s="6" t="s">
        <v>7172</v>
      </c>
      <c r="H2330" s="8">
        <v>48232</v>
      </c>
      <c r="I2330" s="8">
        <v>44510</v>
      </c>
      <c r="J2330" s="8">
        <v>44538</v>
      </c>
      <c r="K2330" s="95">
        <v>44538</v>
      </c>
      <c r="L2330" s="95" t="s">
        <v>31</v>
      </c>
      <c r="M2330" s="8">
        <v>44550</v>
      </c>
      <c r="N2330" s="108">
        <v>44750</v>
      </c>
      <c r="O2330" s="108">
        <v>44740</v>
      </c>
      <c r="P2330" s="107" t="s">
        <v>35</v>
      </c>
      <c r="Q2330" s="110">
        <v>3165</v>
      </c>
      <c r="R2330" s="97">
        <f t="shared" si="84"/>
        <v>8.6712328767123292</v>
      </c>
      <c r="S2330" s="75">
        <f t="shared" si="85"/>
        <v>71615.712328767127</v>
      </c>
      <c r="U2330" s="8">
        <v>44776</v>
      </c>
      <c r="W2330" s="6" t="s">
        <v>33</v>
      </c>
      <c r="X2330" s="7">
        <v>50852</v>
      </c>
    </row>
    <row r="2331" spans="1:24" x14ac:dyDescent="0.25">
      <c r="A2331" s="6" t="s">
        <v>25</v>
      </c>
      <c r="B2331" s="94" t="s">
        <v>7173</v>
      </c>
      <c r="C2331" s="6" t="s">
        <v>7174</v>
      </c>
      <c r="D2331" s="140">
        <v>11329118</v>
      </c>
      <c r="E2331" s="6" t="s">
        <v>5433</v>
      </c>
      <c r="F2331" s="10" t="s">
        <v>143</v>
      </c>
      <c r="G2331" s="6" t="s">
        <v>7175</v>
      </c>
      <c r="H2331" s="8">
        <v>45371</v>
      </c>
      <c r="I2331" s="8">
        <v>44512</v>
      </c>
      <c r="J2331" s="8">
        <v>44538</v>
      </c>
      <c r="K2331" s="95">
        <v>44538</v>
      </c>
      <c r="L2331" s="95" t="s">
        <v>31</v>
      </c>
      <c r="M2331" s="8">
        <v>44550</v>
      </c>
      <c r="N2331" s="8">
        <v>44757</v>
      </c>
      <c r="O2331" s="8">
        <v>44756</v>
      </c>
      <c r="P2331" s="6" t="s">
        <v>35</v>
      </c>
      <c r="Q2331" s="96">
        <v>487</v>
      </c>
      <c r="R2331" s="97">
        <f t="shared" si="84"/>
        <v>1.3342465753424657</v>
      </c>
      <c r="S2331" s="75">
        <f t="shared" si="85"/>
        <v>11019.542465753426</v>
      </c>
      <c r="U2331" s="8">
        <v>44769</v>
      </c>
      <c r="W2331" s="6" t="s">
        <v>33</v>
      </c>
      <c r="X2331" s="7">
        <v>53681</v>
      </c>
    </row>
    <row r="2332" spans="1:24" ht="30" x14ac:dyDescent="0.25">
      <c r="A2332" s="6" t="s">
        <v>25</v>
      </c>
      <c r="B2332" s="94" t="s">
        <v>792</v>
      </c>
      <c r="C2332" s="6" t="s">
        <v>7176</v>
      </c>
      <c r="D2332" s="140">
        <v>12005173</v>
      </c>
      <c r="E2332" s="6" t="s">
        <v>5658</v>
      </c>
      <c r="F2332" s="10" t="s">
        <v>44</v>
      </c>
      <c r="G2332" s="6" t="s">
        <v>7177</v>
      </c>
      <c r="H2332" s="8">
        <v>45893</v>
      </c>
      <c r="I2332" s="8">
        <v>44509</v>
      </c>
      <c r="J2332" s="8">
        <v>44538</v>
      </c>
      <c r="K2332" s="95">
        <v>44538</v>
      </c>
      <c r="L2332" s="95" t="s">
        <v>31</v>
      </c>
      <c r="M2332" s="8">
        <v>44550</v>
      </c>
      <c r="N2332" s="108">
        <v>44658</v>
      </c>
      <c r="O2332" s="108">
        <v>44656</v>
      </c>
      <c r="P2332" s="107" t="s">
        <v>35</v>
      </c>
      <c r="Q2332" s="77">
        <v>1218</v>
      </c>
      <c r="R2332" s="97">
        <f t="shared" si="84"/>
        <v>3.3369863013698629</v>
      </c>
      <c r="S2332" s="75">
        <f t="shared" si="85"/>
        <v>27560.1698630137</v>
      </c>
      <c r="T2332" s="129" t="s">
        <v>7178</v>
      </c>
      <c r="U2332" s="8">
        <v>44776</v>
      </c>
    </row>
    <row r="2333" spans="1:24" x14ac:dyDescent="0.25">
      <c r="A2333" s="6" t="s">
        <v>25</v>
      </c>
      <c r="B2333" s="94" t="s">
        <v>7179</v>
      </c>
      <c r="C2333" s="6" t="s">
        <v>7180</v>
      </c>
      <c r="D2333" s="140">
        <v>11092799</v>
      </c>
      <c r="E2333" s="6" t="s">
        <v>7181</v>
      </c>
      <c r="F2333" s="10" t="s">
        <v>293</v>
      </c>
      <c r="G2333" s="6">
        <v>151440</v>
      </c>
      <c r="H2333" s="8">
        <v>61906</v>
      </c>
      <c r="I2333" s="8">
        <v>44510</v>
      </c>
      <c r="J2333" s="8">
        <v>44538</v>
      </c>
      <c r="K2333" s="95">
        <v>44538</v>
      </c>
      <c r="L2333" s="95" t="s">
        <v>31</v>
      </c>
      <c r="M2333" s="8">
        <v>44550</v>
      </c>
      <c r="N2333" s="108">
        <v>44708</v>
      </c>
      <c r="O2333" s="108">
        <v>44701</v>
      </c>
      <c r="P2333" s="107" t="s">
        <v>35</v>
      </c>
      <c r="Q2333" s="110">
        <v>2948</v>
      </c>
      <c r="R2333" s="97">
        <f t="shared" si="84"/>
        <v>8.0767123287671225</v>
      </c>
      <c r="S2333" s="75">
        <f t="shared" si="85"/>
        <v>66705.567123287678</v>
      </c>
      <c r="U2333" s="8">
        <v>44776</v>
      </c>
      <c r="W2333" s="6" t="s">
        <v>33</v>
      </c>
      <c r="X2333" s="7">
        <v>47784</v>
      </c>
    </row>
    <row r="2334" spans="1:24" x14ac:dyDescent="0.25">
      <c r="A2334" s="6" t="s">
        <v>25</v>
      </c>
      <c r="B2334" s="94" t="s">
        <v>7182</v>
      </c>
      <c r="C2334" s="6" t="s">
        <v>7183</v>
      </c>
      <c r="D2334" s="140">
        <v>11190455</v>
      </c>
      <c r="E2334" s="6" t="s">
        <v>5658</v>
      </c>
      <c r="F2334" s="10" t="s">
        <v>1384</v>
      </c>
      <c r="G2334" s="6" t="s">
        <v>7184</v>
      </c>
      <c r="H2334" s="8" t="s">
        <v>7185</v>
      </c>
      <c r="I2334" s="8">
        <v>44497</v>
      </c>
      <c r="J2334" s="8">
        <v>44530</v>
      </c>
      <c r="K2334" s="95">
        <v>44532</v>
      </c>
      <c r="L2334" s="95" t="s">
        <v>31</v>
      </c>
      <c r="M2334" s="8">
        <v>44550</v>
      </c>
      <c r="N2334" s="8">
        <v>44603</v>
      </c>
      <c r="O2334" s="8">
        <v>44594</v>
      </c>
      <c r="P2334" s="6" t="s">
        <v>35</v>
      </c>
      <c r="Q2334" s="96">
        <v>731</v>
      </c>
      <c r="R2334" s="97">
        <f t="shared" si="84"/>
        <v>2.0027397260273974</v>
      </c>
      <c r="S2334" s="75">
        <f t="shared" si="85"/>
        <v>16540.627397260276</v>
      </c>
      <c r="U2334" s="8">
        <v>44824</v>
      </c>
      <c r="V2334" s="6" t="s">
        <v>36</v>
      </c>
      <c r="W2334" s="6" t="s">
        <v>33</v>
      </c>
      <c r="X2334" s="7">
        <v>50762</v>
      </c>
    </row>
    <row r="2335" spans="1:24" x14ac:dyDescent="0.25">
      <c r="A2335" s="6" t="s">
        <v>25</v>
      </c>
      <c r="B2335" s="94" t="s">
        <v>4796</v>
      </c>
      <c r="C2335" s="6" t="s">
        <v>7186</v>
      </c>
      <c r="D2335" s="140">
        <v>11142189</v>
      </c>
      <c r="E2335" s="6" t="s">
        <v>4044</v>
      </c>
      <c r="F2335" s="10" t="s">
        <v>299</v>
      </c>
      <c r="G2335" s="6" t="s">
        <v>7187</v>
      </c>
      <c r="H2335" s="8">
        <v>60251</v>
      </c>
      <c r="I2335" s="8">
        <v>44498</v>
      </c>
      <c r="J2335" s="8">
        <v>44530</v>
      </c>
      <c r="K2335" s="95">
        <v>44532</v>
      </c>
      <c r="L2335" s="95" t="s">
        <v>31</v>
      </c>
      <c r="M2335" s="8">
        <v>44550</v>
      </c>
      <c r="R2335" s="97" t="str">
        <f t="shared" si="84"/>
        <v/>
      </c>
      <c r="S2335" s="75" t="str">
        <f t="shared" si="85"/>
        <v/>
      </c>
      <c r="W2335" s="6" t="s">
        <v>84</v>
      </c>
      <c r="X2335" s="7">
        <v>60241</v>
      </c>
    </row>
    <row r="2336" spans="1:24" x14ac:dyDescent="0.25">
      <c r="A2336" s="6" t="s">
        <v>25</v>
      </c>
      <c r="B2336" s="94" t="s">
        <v>7188</v>
      </c>
      <c r="C2336" s="6" t="s">
        <v>7189</v>
      </c>
      <c r="D2336" s="140">
        <v>11360769</v>
      </c>
      <c r="E2336" s="6" t="s">
        <v>7190</v>
      </c>
      <c r="F2336" s="10" t="s">
        <v>176</v>
      </c>
      <c r="G2336" s="6">
        <v>2007046946</v>
      </c>
      <c r="H2336" s="8">
        <v>46005</v>
      </c>
      <c r="I2336" s="8">
        <v>44496</v>
      </c>
      <c r="J2336" s="8">
        <v>44530</v>
      </c>
      <c r="K2336" s="95">
        <v>44532</v>
      </c>
      <c r="L2336" s="95" t="s">
        <v>31</v>
      </c>
      <c r="M2336" s="8">
        <v>44550</v>
      </c>
      <c r="N2336" s="8">
        <v>44692</v>
      </c>
      <c r="O2336" s="8">
        <v>44685</v>
      </c>
      <c r="P2336" s="6" t="s">
        <v>35</v>
      </c>
      <c r="Q2336" s="96">
        <v>1218</v>
      </c>
      <c r="R2336" s="97">
        <f t="shared" si="84"/>
        <v>3.3369863013698629</v>
      </c>
      <c r="S2336" s="75">
        <f t="shared" si="85"/>
        <v>27560.1698630137</v>
      </c>
      <c r="U2336" s="8">
        <v>44706</v>
      </c>
      <c r="W2336" s="6" t="s">
        <v>33</v>
      </c>
      <c r="X2336" s="7">
        <v>50040</v>
      </c>
    </row>
    <row r="2337" spans="1:24" x14ac:dyDescent="0.25">
      <c r="A2337" s="6" t="s">
        <v>168</v>
      </c>
      <c r="B2337" s="94" t="s">
        <v>2680</v>
      </c>
      <c r="C2337" s="6" t="s">
        <v>7191</v>
      </c>
      <c r="D2337" s="140">
        <v>11152452</v>
      </c>
      <c r="E2337" s="6" t="s">
        <v>7192</v>
      </c>
      <c r="F2337" s="10" t="s">
        <v>134</v>
      </c>
      <c r="G2337" s="6" t="s">
        <v>7193</v>
      </c>
      <c r="H2337" s="8">
        <v>46477</v>
      </c>
      <c r="I2337" s="8">
        <v>43286</v>
      </c>
      <c r="J2337" s="8">
        <v>43286</v>
      </c>
      <c r="K2337" s="95">
        <v>43291</v>
      </c>
      <c r="L2337" s="95" t="s">
        <v>31</v>
      </c>
      <c r="M2337" s="8">
        <v>43291</v>
      </c>
      <c r="R2337" s="97" t="str">
        <f t="shared" si="84"/>
        <v/>
      </c>
      <c r="S2337" s="75" t="str">
        <f t="shared" si="85"/>
        <v/>
      </c>
      <c r="T2337" s="124" t="s">
        <v>7194</v>
      </c>
      <c r="U2337" s="8">
        <v>43600</v>
      </c>
      <c r="V2337" s="6" t="s">
        <v>36</v>
      </c>
      <c r="W2337" s="6" t="s">
        <v>84</v>
      </c>
      <c r="X2337" s="95">
        <v>48514</v>
      </c>
    </row>
    <row r="2338" spans="1:24" x14ac:dyDescent="0.25">
      <c r="A2338" s="6" t="s">
        <v>25</v>
      </c>
      <c r="B2338" s="94" t="s">
        <v>7195</v>
      </c>
      <c r="C2338" s="6" t="s">
        <v>7196</v>
      </c>
      <c r="D2338" s="140">
        <v>11456427</v>
      </c>
      <c r="E2338" s="6" t="s">
        <v>3201</v>
      </c>
      <c r="F2338" s="10" t="s">
        <v>44</v>
      </c>
      <c r="G2338" s="6" t="s">
        <v>7197</v>
      </c>
      <c r="H2338" s="8">
        <v>50035</v>
      </c>
      <c r="I2338" s="8">
        <v>44524</v>
      </c>
      <c r="J2338" s="8">
        <v>44536</v>
      </c>
      <c r="K2338" s="95">
        <v>44546</v>
      </c>
      <c r="L2338" s="95" t="s">
        <v>31</v>
      </c>
      <c r="M2338" s="8">
        <v>44565</v>
      </c>
      <c r="N2338" s="8">
        <v>45103</v>
      </c>
      <c r="O2338" s="8">
        <v>45082</v>
      </c>
      <c r="P2338" s="6" t="s">
        <v>52</v>
      </c>
      <c r="R2338" s="97" t="str">
        <f t="shared" si="84"/>
        <v/>
      </c>
      <c r="S2338" s="75" t="str">
        <f t="shared" si="85"/>
        <v/>
      </c>
      <c r="T2338" s="124" t="s">
        <v>2261</v>
      </c>
      <c r="U2338" s="8">
        <v>45117</v>
      </c>
      <c r="W2338" s="6" t="s">
        <v>84</v>
      </c>
      <c r="X2338" s="7">
        <v>46847</v>
      </c>
    </row>
    <row r="2339" spans="1:24" x14ac:dyDescent="0.25">
      <c r="A2339" s="6" t="s">
        <v>25</v>
      </c>
      <c r="B2339" s="94" t="s">
        <v>7198</v>
      </c>
      <c r="C2339" s="6" t="s">
        <v>7199</v>
      </c>
      <c r="D2339" s="140">
        <v>11248776</v>
      </c>
      <c r="E2339" s="6" t="s">
        <v>2146</v>
      </c>
      <c r="F2339" s="10" t="s">
        <v>105</v>
      </c>
      <c r="G2339" s="6" t="s">
        <v>7200</v>
      </c>
      <c r="H2339" s="8">
        <v>45320</v>
      </c>
      <c r="I2339" s="8">
        <v>44524</v>
      </c>
      <c r="J2339" s="8">
        <v>44536</v>
      </c>
      <c r="K2339" s="95">
        <v>44546</v>
      </c>
      <c r="L2339" s="95" t="s">
        <v>31</v>
      </c>
      <c r="M2339" s="8">
        <v>44565</v>
      </c>
      <c r="N2339" s="8">
        <v>44729</v>
      </c>
      <c r="O2339" s="8">
        <v>44720</v>
      </c>
      <c r="P2339" s="6" t="s">
        <v>35</v>
      </c>
      <c r="Q2339" s="96">
        <v>584</v>
      </c>
      <c r="R2339" s="97">
        <f t="shared" si="84"/>
        <v>1.6</v>
      </c>
      <c r="S2339" s="75">
        <f t="shared" si="85"/>
        <v>13214.4</v>
      </c>
      <c r="U2339" s="8">
        <v>44792</v>
      </c>
      <c r="W2339" s="6" t="s">
        <v>33</v>
      </c>
      <c r="X2339" s="7">
        <v>51507</v>
      </c>
    </row>
    <row r="2340" spans="1:24" x14ac:dyDescent="0.25">
      <c r="A2340" s="6" t="s">
        <v>25</v>
      </c>
      <c r="B2340" s="94" t="s">
        <v>7201</v>
      </c>
      <c r="C2340" s="6" t="s">
        <v>7202</v>
      </c>
      <c r="D2340" s="140">
        <v>11252519</v>
      </c>
      <c r="E2340" s="6" t="s">
        <v>3386</v>
      </c>
      <c r="F2340" s="10" t="s">
        <v>293</v>
      </c>
      <c r="G2340" s="6" t="s">
        <v>7203</v>
      </c>
      <c r="H2340" s="8">
        <v>48181</v>
      </c>
      <c r="I2340" s="8">
        <v>44517</v>
      </c>
      <c r="J2340" s="8">
        <v>44536</v>
      </c>
      <c r="K2340" s="95">
        <v>44546</v>
      </c>
      <c r="L2340" s="95" t="s">
        <v>31</v>
      </c>
      <c r="M2340" s="8">
        <v>44565</v>
      </c>
      <c r="N2340" s="8">
        <v>44750</v>
      </c>
      <c r="O2340" s="8">
        <v>44742</v>
      </c>
      <c r="P2340" s="6" t="s">
        <v>35</v>
      </c>
      <c r="Q2340" s="96">
        <v>2015</v>
      </c>
      <c r="R2340" s="97">
        <f t="shared" si="84"/>
        <v>5.5205479452054798</v>
      </c>
      <c r="S2340" s="75">
        <f t="shared" si="85"/>
        <v>45594.205479452059</v>
      </c>
      <c r="T2340" s="129" t="s">
        <v>7204</v>
      </c>
      <c r="U2340" s="8">
        <v>44750</v>
      </c>
      <c r="V2340" s="6" t="s">
        <v>36</v>
      </c>
      <c r="W2340" s="6" t="s">
        <v>84</v>
      </c>
      <c r="X2340" s="7">
        <v>46770</v>
      </c>
    </row>
    <row r="2341" spans="1:24" x14ac:dyDescent="0.25">
      <c r="A2341" s="6" t="s">
        <v>168</v>
      </c>
      <c r="B2341" s="94" t="s">
        <v>7205</v>
      </c>
      <c r="C2341" s="6" t="s">
        <v>7206</v>
      </c>
      <c r="D2341" s="140">
        <v>10262297</v>
      </c>
      <c r="E2341" s="6" t="s">
        <v>3675</v>
      </c>
      <c r="F2341" s="10" t="s">
        <v>44</v>
      </c>
      <c r="G2341" s="6" t="s">
        <v>7207</v>
      </c>
      <c r="H2341" s="8">
        <v>46403</v>
      </c>
      <c r="I2341" s="8">
        <v>43654</v>
      </c>
      <c r="J2341" s="8">
        <v>43656</v>
      </c>
      <c r="K2341" s="95">
        <v>43656</v>
      </c>
      <c r="L2341" s="95" t="s">
        <v>31</v>
      </c>
      <c r="M2341" s="8">
        <v>43661</v>
      </c>
      <c r="N2341" s="8">
        <v>43840</v>
      </c>
      <c r="O2341" s="8">
        <v>43809</v>
      </c>
      <c r="P2341" s="6" t="s">
        <v>90</v>
      </c>
      <c r="Q2341" s="96">
        <v>4017.75</v>
      </c>
      <c r="R2341" s="97">
        <f t="shared" si="84"/>
        <v>11.007534246575343</v>
      </c>
      <c r="S2341" s="75">
        <f t="shared" si="85"/>
        <v>90911.225342465754</v>
      </c>
      <c r="T2341" s="124" t="s">
        <v>7208</v>
      </c>
      <c r="U2341" s="8">
        <v>43840</v>
      </c>
      <c r="V2341" s="6" t="s">
        <v>36</v>
      </c>
      <c r="W2341" s="6" t="s">
        <v>33</v>
      </c>
      <c r="X2341" s="95">
        <v>43412</v>
      </c>
    </row>
    <row r="2342" spans="1:24" x14ac:dyDescent="0.25">
      <c r="A2342" s="6" t="s">
        <v>25</v>
      </c>
      <c r="B2342" s="94" t="s">
        <v>6138</v>
      </c>
      <c r="C2342" s="6" t="s">
        <v>6139</v>
      </c>
      <c r="D2342" s="140">
        <v>11080766</v>
      </c>
      <c r="E2342" s="6" t="s">
        <v>7209</v>
      </c>
      <c r="F2342" s="10" t="s">
        <v>62</v>
      </c>
      <c r="G2342" s="6" t="s">
        <v>6140</v>
      </c>
      <c r="H2342" s="8">
        <v>45316</v>
      </c>
      <c r="I2342" s="8">
        <v>44530</v>
      </c>
      <c r="J2342" s="8">
        <v>44537</v>
      </c>
      <c r="K2342" s="95">
        <v>44546</v>
      </c>
      <c r="L2342" s="95" t="s">
        <v>359</v>
      </c>
      <c r="R2342" s="97" t="str">
        <f t="shared" si="84"/>
        <v/>
      </c>
      <c r="S2342" s="75" t="str">
        <f t="shared" si="85"/>
        <v/>
      </c>
      <c r="W2342" s="6" t="s">
        <v>33</v>
      </c>
      <c r="X2342" s="7">
        <v>48887</v>
      </c>
    </row>
    <row r="2343" spans="1:24" x14ac:dyDescent="0.25">
      <c r="A2343" s="6" t="s">
        <v>25</v>
      </c>
      <c r="B2343" s="94" t="s">
        <v>66</v>
      </c>
      <c r="C2343" s="6" t="s">
        <v>7210</v>
      </c>
      <c r="D2343" s="140">
        <v>11433183</v>
      </c>
      <c r="E2343" s="6" t="s">
        <v>5229</v>
      </c>
      <c r="F2343" s="10" t="s">
        <v>44</v>
      </c>
      <c r="G2343" s="6" t="s">
        <v>7211</v>
      </c>
      <c r="H2343" s="8">
        <v>45359</v>
      </c>
      <c r="I2343" s="8">
        <v>44531</v>
      </c>
      <c r="J2343" s="8">
        <v>44530</v>
      </c>
      <c r="K2343" s="95">
        <v>44546</v>
      </c>
      <c r="L2343" s="95" t="s">
        <v>31</v>
      </c>
      <c r="M2343" s="8">
        <v>44565</v>
      </c>
      <c r="N2343" s="8">
        <v>44684</v>
      </c>
      <c r="O2343" s="8">
        <v>44665</v>
      </c>
      <c r="P2343" s="6" t="s">
        <v>35</v>
      </c>
      <c r="Q2343" s="96">
        <v>551</v>
      </c>
      <c r="R2343" s="97">
        <f t="shared" si="84"/>
        <v>1.5095890410958903</v>
      </c>
      <c r="S2343" s="75">
        <f t="shared" si="85"/>
        <v>12467.69589041096</v>
      </c>
      <c r="U2343" s="8">
        <v>44739</v>
      </c>
    </row>
    <row r="2344" spans="1:24" x14ac:dyDescent="0.25">
      <c r="A2344" s="6" t="s">
        <v>25</v>
      </c>
      <c r="B2344" s="94" t="s">
        <v>3673</v>
      </c>
      <c r="C2344" s="6" t="s">
        <v>7212</v>
      </c>
      <c r="D2344" s="140">
        <v>12146890</v>
      </c>
      <c r="E2344" s="6" t="s">
        <v>5580</v>
      </c>
      <c r="F2344" s="10" t="s">
        <v>57</v>
      </c>
      <c r="G2344" s="6" t="s">
        <v>7213</v>
      </c>
      <c r="H2344" s="8">
        <v>46168</v>
      </c>
      <c r="I2344" s="8">
        <v>44531</v>
      </c>
      <c r="J2344" s="8">
        <v>44531</v>
      </c>
      <c r="K2344" s="95">
        <v>44546</v>
      </c>
      <c r="L2344" s="95" t="s">
        <v>31</v>
      </c>
      <c r="M2344" s="8">
        <v>44565</v>
      </c>
      <c r="N2344" s="8">
        <v>44785</v>
      </c>
      <c r="O2344" s="8">
        <v>44778</v>
      </c>
      <c r="P2344" s="6" t="s">
        <v>35</v>
      </c>
      <c r="Q2344" s="96">
        <v>1095</v>
      </c>
      <c r="R2344" s="97">
        <f t="shared" si="84"/>
        <v>3</v>
      </c>
      <c r="S2344" s="75">
        <f t="shared" si="85"/>
        <v>24777</v>
      </c>
      <c r="U2344" s="8">
        <v>44792</v>
      </c>
      <c r="V2344" s="6" t="s">
        <v>36</v>
      </c>
      <c r="W2344" s="6" t="s">
        <v>33</v>
      </c>
      <c r="X2344" s="7">
        <v>55632</v>
      </c>
    </row>
    <row r="2345" spans="1:24" x14ac:dyDescent="0.25">
      <c r="A2345" s="6" t="s">
        <v>25</v>
      </c>
      <c r="B2345" s="94" t="s">
        <v>2832</v>
      </c>
      <c r="C2345" s="6" t="s">
        <v>7214</v>
      </c>
      <c r="D2345" s="140">
        <v>12106974</v>
      </c>
      <c r="E2345" s="6" t="s">
        <v>7215</v>
      </c>
      <c r="F2345" s="10" t="s">
        <v>293</v>
      </c>
      <c r="G2345" s="6">
        <v>170332</v>
      </c>
      <c r="H2345" s="8">
        <v>45739</v>
      </c>
      <c r="I2345" s="8">
        <v>44520</v>
      </c>
      <c r="J2345" s="8">
        <v>44530</v>
      </c>
      <c r="K2345" s="95">
        <v>44530</v>
      </c>
      <c r="L2345" s="95" t="s">
        <v>359</v>
      </c>
      <c r="R2345" s="97" t="str">
        <f t="shared" si="84"/>
        <v/>
      </c>
      <c r="S2345" s="75" t="str">
        <f t="shared" si="85"/>
        <v/>
      </c>
      <c r="W2345" s="6" t="s">
        <v>33</v>
      </c>
      <c r="X2345" s="7">
        <v>49508</v>
      </c>
    </row>
    <row r="2346" spans="1:24" x14ac:dyDescent="0.25">
      <c r="A2346" s="6" t="s">
        <v>168</v>
      </c>
      <c r="B2346" s="94" t="s">
        <v>3155</v>
      </c>
      <c r="C2346" s="6" t="s">
        <v>7216</v>
      </c>
      <c r="D2346" s="140">
        <v>11559946</v>
      </c>
      <c r="E2346" s="6" t="s">
        <v>3665</v>
      </c>
      <c r="F2346" s="10" t="s">
        <v>143</v>
      </c>
      <c r="G2346" s="6" t="s">
        <v>7217</v>
      </c>
      <c r="H2346" s="8">
        <v>54576</v>
      </c>
      <c r="I2346" s="8">
        <v>44062</v>
      </c>
      <c r="J2346" s="8">
        <v>44084</v>
      </c>
      <c r="K2346" s="95">
        <v>44088</v>
      </c>
      <c r="L2346" s="95" t="s">
        <v>31</v>
      </c>
      <c r="M2346" s="8">
        <v>44099</v>
      </c>
      <c r="N2346" s="8">
        <v>44806</v>
      </c>
      <c r="O2346" s="8">
        <v>44799</v>
      </c>
      <c r="P2346" s="6" t="s">
        <v>35</v>
      </c>
      <c r="Q2346" s="96">
        <v>5306</v>
      </c>
      <c r="R2346" s="97">
        <f t="shared" si="84"/>
        <v>14.536986301369863</v>
      </c>
      <c r="S2346" s="75">
        <f t="shared" si="85"/>
        <v>120060.9698630137</v>
      </c>
      <c r="T2346" s="129"/>
      <c r="U2346" s="8">
        <v>44811</v>
      </c>
      <c r="W2346" s="6" t="s">
        <v>33</v>
      </c>
      <c r="X2346" s="135">
        <v>50119</v>
      </c>
    </row>
    <row r="2347" spans="1:24" x14ac:dyDescent="0.25">
      <c r="A2347" s="6" t="s">
        <v>25</v>
      </c>
      <c r="B2347" s="94" t="s">
        <v>7218</v>
      </c>
      <c r="C2347" s="6" t="s">
        <v>7219</v>
      </c>
      <c r="D2347" s="140">
        <v>11471021</v>
      </c>
      <c r="E2347" s="6" t="s">
        <v>7220</v>
      </c>
      <c r="F2347" s="10" t="s">
        <v>121</v>
      </c>
      <c r="G2347" s="6" t="s">
        <v>7221</v>
      </c>
      <c r="H2347" s="8">
        <v>46342</v>
      </c>
      <c r="I2347" s="8">
        <v>44520</v>
      </c>
      <c r="J2347" s="8">
        <v>44530</v>
      </c>
      <c r="K2347" s="95">
        <v>44530</v>
      </c>
      <c r="L2347" s="95" t="s">
        <v>31</v>
      </c>
      <c r="M2347" s="8">
        <v>44550</v>
      </c>
      <c r="N2347" s="8">
        <v>44707</v>
      </c>
      <c r="O2347" s="8">
        <v>44706</v>
      </c>
      <c r="P2347" s="6" t="s">
        <v>35</v>
      </c>
      <c r="Q2347" s="96">
        <v>1217</v>
      </c>
      <c r="R2347" s="97">
        <f t="shared" si="84"/>
        <v>3.3342465753424659</v>
      </c>
      <c r="S2347" s="75">
        <f t="shared" si="85"/>
        <v>27537.542465753424</v>
      </c>
      <c r="U2347" s="8">
        <v>44712</v>
      </c>
      <c r="W2347" s="6" t="s">
        <v>33</v>
      </c>
      <c r="X2347" s="7">
        <v>50945</v>
      </c>
    </row>
    <row r="2348" spans="1:24" ht="30" x14ac:dyDescent="0.25">
      <c r="A2348" s="6" t="s">
        <v>25</v>
      </c>
      <c r="B2348" s="94" t="s">
        <v>617</v>
      </c>
      <c r="C2348" s="6" t="s">
        <v>7222</v>
      </c>
      <c r="D2348" s="140">
        <v>12143333</v>
      </c>
      <c r="E2348" s="6" t="s">
        <v>130</v>
      </c>
      <c r="F2348" s="10" t="s">
        <v>148</v>
      </c>
      <c r="G2348" s="6" t="s">
        <v>7223</v>
      </c>
      <c r="H2348" s="8">
        <v>46782</v>
      </c>
      <c r="I2348" s="8">
        <v>44520</v>
      </c>
      <c r="J2348" s="8">
        <v>44530</v>
      </c>
      <c r="K2348" s="95">
        <v>44530</v>
      </c>
      <c r="L2348" s="95" t="s">
        <v>31</v>
      </c>
      <c r="M2348" s="8">
        <v>44550</v>
      </c>
      <c r="N2348" s="8">
        <v>44824</v>
      </c>
      <c r="O2348" s="8">
        <v>44823</v>
      </c>
      <c r="P2348" s="6" t="s">
        <v>35</v>
      </c>
      <c r="Q2348" s="96">
        <v>1218</v>
      </c>
      <c r="R2348" s="97">
        <f t="shared" si="84"/>
        <v>3.3369863013698629</v>
      </c>
      <c r="S2348" s="75">
        <f t="shared" si="85"/>
        <v>27560.1698630137</v>
      </c>
      <c r="U2348" s="8">
        <v>44831</v>
      </c>
      <c r="W2348" s="6" t="s">
        <v>33</v>
      </c>
      <c r="X2348" s="7">
        <v>56374</v>
      </c>
    </row>
    <row r="2349" spans="1:24" ht="30" x14ac:dyDescent="0.25">
      <c r="A2349" s="6" t="s">
        <v>168</v>
      </c>
      <c r="B2349" s="94" t="s">
        <v>7224</v>
      </c>
      <c r="C2349" s="6" t="s">
        <v>7225</v>
      </c>
      <c r="D2349" s="140">
        <v>11041191</v>
      </c>
      <c r="E2349" s="6" t="s">
        <v>6780</v>
      </c>
      <c r="F2349" s="10" t="s">
        <v>2009</v>
      </c>
      <c r="G2349" s="6" t="s">
        <v>7226</v>
      </c>
      <c r="H2349" s="8">
        <v>44785</v>
      </c>
      <c r="I2349" s="8">
        <v>43613</v>
      </c>
      <c r="R2349" s="97" t="str">
        <f t="shared" si="84"/>
        <v/>
      </c>
      <c r="S2349" s="75" t="str">
        <f t="shared" si="85"/>
        <v/>
      </c>
      <c r="T2349" s="124" t="s">
        <v>7227</v>
      </c>
      <c r="U2349" s="8">
        <v>43621</v>
      </c>
      <c r="W2349" s="6" t="s">
        <v>84</v>
      </c>
      <c r="X2349" s="95">
        <v>46921</v>
      </c>
    </row>
    <row r="2350" spans="1:24" x14ac:dyDescent="0.25">
      <c r="A2350" s="6" t="s">
        <v>25</v>
      </c>
      <c r="B2350" s="94" t="s">
        <v>7228</v>
      </c>
      <c r="C2350" s="6" t="s">
        <v>7229</v>
      </c>
      <c r="D2350" s="140">
        <v>11102721</v>
      </c>
      <c r="E2350" s="6" t="s">
        <v>5479</v>
      </c>
      <c r="F2350" s="10" t="s">
        <v>143</v>
      </c>
      <c r="G2350" s="6" t="s">
        <v>7230</v>
      </c>
      <c r="H2350" s="8">
        <v>50755</v>
      </c>
      <c r="I2350" s="8">
        <v>44520</v>
      </c>
      <c r="J2350" s="8">
        <v>44530</v>
      </c>
      <c r="K2350" s="95">
        <v>44530</v>
      </c>
      <c r="L2350" s="95" t="s">
        <v>359</v>
      </c>
      <c r="R2350" s="97" t="str">
        <f t="shared" si="84"/>
        <v/>
      </c>
      <c r="S2350" s="75" t="str">
        <f t="shared" si="85"/>
        <v/>
      </c>
      <c r="W2350" s="6" t="s">
        <v>84</v>
      </c>
      <c r="X2350" s="7">
        <v>49450</v>
      </c>
    </row>
    <row r="2351" spans="1:24" x14ac:dyDescent="0.25">
      <c r="A2351" s="6" t="s">
        <v>25</v>
      </c>
      <c r="B2351" s="94" t="s">
        <v>7231</v>
      </c>
      <c r="C2351" s="6" t="s">
        <v>7232</v>
      </c>
      <c r="D2351" s="140">
        <v>11052787</v>
      </c>
      <c r="E2351" s="6" t="s">
        <v>362</v>
      </c>
      <c r="F2351" s="10" t="s">
        <v>2662</v>
      </c>
      <c r="G2351" s="6">
        <v>131752</v>
      </c>
      <c r="H2351" s="8">
        <v>46866</v>
      </c>
      <c r="I2351" s="8">
        <v>44520</v>
      </c>
      <c r="J2351" s="8">
        <v>44530</v>
      </c>
      <c r="K2351" s="95">
        <v>44530</v>
      </c>
      <c r="L2351" s="95" t="s">
        <v>31</v>
      </c>
      <c r="M2351" s="8">
        <v>44550</v>
      </c>
      <c r="N2351" s="8">
        <v>45040</v>
      </c>
      <c r="O2351" s="8">
        <v>44964</v>
      </c>
      <c r="P2351" s="6" t="s">
        <v>35</v>
      </c>
      <c r="Q2351" s="96">
        <v>1825</v>
      </c>
      <c r="R2351" s="97">
        <f t="shared" si="84"/>
        <v>5</v>
      </c>
      <c r="S2351" s="75">
        <f t="shared" si="85"/>
        <v>41295</v>
      </c>
      <c r="U2351" s="8">
        <v>45063</v>
      </c>
      <c r="W2351" s="6" t="s">
        <v>33</v>
      </c>
      <c r="X2351" s="7">
        <v>51212</v>
      </c>
    </row>
    <row r="2352" spans="1:24" x14ac:dyDescent="0.25">
      <c r="A2352" s="6" t="s">
        <v>25</v>
      </c>
      <c r="B2352" s="94" t="s">
        <v>7233</v>
      </c>
      <c r="C2352" s="6" t="s">
        <v>7234</v>
      </c>
      <c r="D2352" s="140">
        <v>12000080</v>
      </c>
      <c r="E2352" s="6" t="s">
        <v>4506</v>
      </c>
      <c r="F2352" s="10" t="s">
        <v>44</v>
      </c>
      <c r="G2352" s="6" t="s">
        <v>7235</v>
      </c>
      <c r="H2352" s="8">
        <v>45577</v>
      </c>
      <c r="I2352" s="8">
        <v>44520</v>
      </c>
      <c r="J2352" s="8">
        <v>44530</v>
      </c>
      <c r="K2352" s="95">
        <v>44530</v>
      </c>
      <c r="L2352" s="95" t="s">
        <v>359</v>
      </c>
      <c r="R2352" s="97" t="str">
        <f t="shared" si="84"/>
        <v/>
      </c>
      <c r="S2352" s="75" t="str">
        <f t="shared" si="85"/>
        <v/>
      </c>
      <c r="W2352" s="6" t="s">
        <v>33</v>
      </c>
      <c r="X2352" s="7">
        <v>49184</v>
      </c>
    </row>
    <row r="2353" spans="1:24" ht="30" x14ac:dyDescent="0.25">
      <c r="A2353" s="6" t="s">
        <v>25</v>
      </c>
      <c r="B2353" s="94" t="s">
        <v>7236</v>
      </c>
      <c r="C2353" s="6" t="s">
        <v>7237</v>
      </c>
      <c r="D2353" s="140">
        <v>11007237</v>
      </c>
      <c r="E2353" s="6" t="s">
        <v>2968</v>
      </c>
      <c r="F2353" s="10" t="s">
        <v>29</v>
      </c>
      <c r="G2353" s="6" t="s">
        <v>7238</v>
      </c>
      <c r="H2353" s="8">
        <v>46839</v>
      </c>
      <c r="I2353" s="8">
        <v>44520</v>
      </c>
      <c r="J2353" s="8">
        <v>44530</v>
      </c>
      <c r="K2353" s="95">
        <v>44530</v>
      </c>
      <c r="L2353" s="95" t="s">
        <v>31</v>
      </c>
      <c r="M2353" s="8">
        <v>44550</v>
      </c>
      <c r="R2353" s="97" t="str">
        <f t="shared" si="84"/>
        <v/>
      </c>
      <c r="S2353" s="75" t="str">
        <f t="shared" si="85"/>
        <v/>
      </c>
      <c r="T2353" s="124" t="s">
        <v>2810</v>
      </c>
      <c r="W2353" s="6" t="s">
        <v>33</v>
      </c>
      <c r="X2353" s="7">
        <v>52117</v>
      </c>
    </row>
    <row r="2354" spans="1:24" x14ac:dyDescent="0.25">
      <c r="A2354" s="6" t="s">
        <v>25</v>
      </c>
      <c r="B2354" s="94" t="s">
        <v>7239</v>
      </c>
      <c r="C2354" s="6" t="s">
        <v>7240</v>
      </c>
      <c r="D2354" s="140">
        <v>11046684</v>
      </c>
      <c r="E2354" s="6" t="s">
        <v>344</v>
      </c>
      <c r="F2354" s="10" t="s">
        <v>176</v>
      </c>
      <c r="G2354" s="6">
        <v>2008046278</v>
      </c>
      <c r="H2354" s="8">
        <v>45120</v>
      </c>
      <c r="I2354" s="8">
        <v>44518</v>
      </c>
      <c r="J2354" s="8">
        <v>44539</v>
      </c>
      <c r="K2354" s="95">
        <v>44539</v>
      </c>
      <c r="L2354" s="95" t="s">
        <v>31</v>
      </c>
      <c r="M2354" s="8">
        <v>44550</v>
      </c>
      <c r="N2354" s="108">
        <v>44749</v>
      </c>
      <c r="O2354" s="108">
        <v>44728</v>
      </c>
      <c r="P2354" s="107" t="s">
        <v>35</v>
      </c>
      <c r="Q2354" s="110">
        <v>309</v>
      </c>
      <c r="R2354" s="97">
        <f t="shared" si="84"/>
        <v>0.84657534246575339</v>
      </c>
      <c r="S2354" s="75">
        <f t="shared" si="85"/>
        <v>6991.8657534246577</v>
      </c>
      <c r="T2354" s="129" t="s">
        <v>7241</v>
      </c>
      <c r="U2354" s="8">
        <v>44776</v>
      </c>
      <c r="W2354" s="6" t="s">
        <v>33</v>
      </c>
      <c r="X2354" s="7">
        <v>48893</v>
      </c>
    </row>
    <row r="2355" spans="1:24" x14ac:dyDescent="0.25">
      <c r="A2355" s="6" t="s">
        <v>25</v>
      </c>
      <c r="B2355" s="94" t="s">
        <v>7242</v>
      </c>
      <c r="C2355" s="6" t="s">
        <v>7243</v>
      </c>
      <c r="D2355" s="140">
        <v>11299255</v>
      </c>
      <c r="E2355" s="6" t="s">
        <v>783</v>
      </c>
      <c r="F2355" s="10" t="s">
        <v>29</v>
      </c>
      <c r="G2355" s="6" t="s">
        <v>7244</v>
      </c>
      <c r="H2355" s="8">
        <v>47480</v>
      </c>
      <c r="I2355" s="8">
        <v>44512</v>
      </c>
      <c r="J2355" s="8">
        <v>44539</v>
      </c>
      <c r="K2355" s="95">
        <v>44539</v>
      </c>
      <c r="L2355" s="95" t="s">
        <v>359</v>
      </c>
      <c r="R2355" s="97" t="str">
        <f t="shared" si="84"/>
        <v/>
      </c>
      <c r="S2355" s="75" t="str">
        <f t="shared" si="85"/>
        <v/>
      </c>
      <c r="W2355" s="6" t="s">
        <v>33</v>
      </c>
      <c r="X2355" s="7">
        <v>51570</v>
      </c>
    </row>
    <row r="2356" spans="1:24" ht="75" x14ac:dyDescent="0.25">
      <c r="A2356" s="6" t="s">
        <v>25</v>
      </c>
      <c r="B2356" s="94" t="s">
        <v>7245</v>
      </c>
      <c r="C2356" s="6" t="s">
        <v>7246</v>
      </c>
      <c r="D2356" s="140">
        <v>11065837</v>
      </c>
      <c r="E2356" s="6" t="s">
        <v>3468</v>
      </c>
      <c r="F2356" s="10" t="s">
        <v>44</v>
      </c>
      <c r="G2356" s="6" t="s">
        <v>7247</v>
      </c>
      <c r="H2356" s="8">
        <v>50094</v>
      </c>
      <c r="I2356" s="8">
        <v>44512</v>
      </c>
      <c r="J2356" s="8">
        <v>44539</v>
      </c>
      <c r="K2356" s="95">
        <v>44539</v>
      </c>
      <c r="L2356" s="95" t="s">
        <v>31</v>
      </c>
      <c r="M2356" s="8">
        <v>44560</v>
      </c>
      <c r="N2356" s="108">
        <v>44754</v>
      </c>
      <c r="O2356" s="108">
        <v>44741</v>
      </c>
      <c r="P2356" s="107" t="s">
        <v>35</v>
      </c>
      <c r="Q2356" s="110">
        <v>3725</v>
      </c>
      <c r="R2356" s="97">
        <f t="shared" si="84"/>
        <v>10.205479452054794</v>
      </c>
      <c r="S2356" s="75">
        <f t="shared" si="85"/>
        <v>84287.054794520547</v>
      </c>
      <c r="T2356" s="129" t="s">
        <v>7248</v>
      </c>
      <c r="U2356" s="8">
        <v>44776</v>
      </c>
      <c r="W2356" s="6" t="s">
        <v>84</v>
      </c>
      <c r="X2356" s="7">
        <v>48492</v>
      </c>
    </row>
    <row r="2357" spans="1:24" x14ac:dyDescent="0.25">
      <c r="A2357" s="6" t="s">
        <v>25</v>
      </c>
      <c r="B2357" s="94" t="s">
        <v>108</v>
      </c>
      <c r="C2357" s="6" t="s">
        <v>7249</v>
      </c>
      <c r="D2357" s="140">
        <v>11343288</v>
      </c>
      <c r="E2357" s="6" t="s">
        <v>7250</v>
      </c>
      <c r="F2357" s="10" t="s">
        <v>134</v>
      </c>
      <c r="G2357" s="6" t="s">
        <v>7251</v>
      </c>
      <c r="H2357" s="8">
        <v>45099</v>
      </c>
      <c r="I2357" s="8">
        <v>44517</v>
      </c>
      <c r="J2357" s="8">
        <v>44539</v>
      </c>
      <c r="K2357" s="95">
        <v>44539</v>
      </c>
      <c r="L2357" s="95" t="s">
        <v>31</v>
      </c>
      <c r="M2357" s="8">
        <v>44550</v>
      </c>
      <c r="N2357" s="8">
        <v>44690</v>
      </c>
      <c r="O2357" s="8">
        <v>44687</v>
      </c>
      <c r="P2357" s="6" t="s">
        <v>35</v>
      </c>
      <c r="Q2357" s="96">
        <v>173</v>
      </c>
      <c r="R2357" s="97">
        <f t="shared" si="84"/>
        <v>0.47397260273972602</v>
      </c>
      <c r="S2357" s="75">
        <f t="shared" si="85"/>
        <v>3914.5397260273976</v>
      </c>
      <c r="U2357" s="8">
        <v>44694</v>
      </c>
    </row>
    <row r="2358" spans="1:24" x14ac:dyDescent="0.25">
      <c r="A2358" s="6" t="s">
        <v>25</v>
      </c>
      <c r="B2358" s="94" t="s">
        <v>86</v>
      </c>
      <c r="C2358" s="6" t="s">
        <v>7252</v>
      </c>
      <c r="D2358" s="140">
        <v>11780344</v>
      </c>
      <c r="E2358" s="6" t="s">
        <v>436</v>
      </c>
      <c r="F2358" s="10" t="s">
        <v>134</v>
      </c>
      <c r="G2358" s="6" t="s">
        <v>7253</v>
      </c>
      <c r="H2358" s="8">
        <v>46508</v>
      </c>
      <c r="I2358" s="8">
        <v>44517</v>
      </c>
      <c r="J2358" s="8">
        <v>44539</v>
      </c>
      <c r="K2358" s="95">
        <v>44539</v>
      </c>
      <c r="L2358" s="95" t="s">
        <v>31</v>
      </c>
      <c r="M2358" s="8">
        <v>44550</v>
      </c>
      <c r="N2358" s="8">
        <v>44686</v>
      </c>
      <c r="O2358" s="8">
        <v>44680</v>
      </c>
      <c r="P2358" s="6" t="s">
        <v>35</v>
      </c>
      <c r="Q2358" s="96">
        <v>1491</v>
      </c>
      <c r="R2358" s="97">
        <f t="shared" si="84"/>
        <v>4.0849315068493155</v>
      </c>
      <c r="S2358" s="75">
        <f t="shared" si="85"/>
        <v>33737.449315068494</v>
      </c>
      <c r="U2358" s="8">
        <v>44690</v>
      </c>
    </row>
    <row r="2359" spans="1:24" ht="30" x14ac:dyDescent="0.25">
      <c r="A2359" s="6" t="s">
        <v>25</v>
      </c>
      <c r="B2359" s="94" t="s">
        <v>1057</v>
      </c>
      <c r="C2359" s="6" t="s">
        <v>7254</v>
      </c>
      <c r="D2359" s="140">
        <v>12133636</v>
      </c>
      <c r="E2359" s="6" t="s">
        <v>344</v>
      </c>
      <c r="F2359" s="10" t="s">
        <v>57</v>
      </c>
      <c r="G2359" s="6" t="s">
        <v>7255</v>
      </c>
      <c r="H2359" s="8">
        <v>45588</v>
      </c>
      <c r="I2359" s="8">
        <v>44517</v>
      </c>
      <c r="J2359" s="8">
        <v>44539</v>
      </c>
      <c r="K2359" s="95">
        <v>44539</v>
      </c>
      <c r="L2359" s="95" t="s">
        <v>359</v>
      </c>
      <c r="R2359" s="97" t="str">
        <f t="shared" si="84"/>
        <v/>
      </c>
      <c r="S2359" s="75" t="str">
        <f t="shared" si="85"/>
        <v/>
      </c>
      <c r="W2359" s="6" t="s">
        <v>33</v>
      </c>
      <c r="X2359" s="7">
        <v>55276</v>
      </c>
    </row>
    <row r="2360" spans="1:24" x14ac:dyDescent="0.25">
      <c r="A2360" s="6" t="s">
        <v>25</v>
      </c>
      <c r="B2360" s="94" t="s">
        <v>3264</v>
      </c>
      <c r="C2360" s="6" t="s">
        <v>7256</v>
      </c>
      <c r="D2360" s="140">
        <v>11060286</v>
      </c>
      <c r="E2360" s="6" t="s">
        <v>1927</v>
      </c>
      <c r="F2360" s="10" t="s">
        <v>29</v>
      </c>
      <c r="G2360" s="6" t="s">
        <v>7257</v>
      </c>
      <c r="H2360" s="8">
        <v>45788</v>
      </c>
      <c r="I2360" s="8">
        <v>44517</v>
      </c>
      <c r="J2360" s="8">
        <v>44539</v>
      </c>
      <c r="K2360" s="95">
        <v>44539</v>
      </c>
      <c r="L2360" s="95" t="s">
        <v>31</v>
      </c>
      <c r="M2360" s="8">
        <v>44550</v>
      </c>
      <c r="N2360" s="8">
        <v>45119</v>
      </c>
      <c r="O2360" s="8">
        <v>45118</v>
      </c>
      <c r="P2360" s="6" t="s">
        <v>35</v>
      </c>
      <c r="Q2360" s="96">
        <v>1825</v>
      </c>
      <c r="R2360" s="97">
        <f t="shared" si="84"/>
        <v>5</v>
      </c>
      <c r="S2360" s="75">
        <f t="shared" si="85"/>
        <v>41295</v>
      </c>
      <c r="T2360" s="8"/>
      <c r="U2360" s="8">
        <v>45120</v>
      </c>
      <c r="W2360" s="6" t="s">
        <v>33</v>
      </c>
      <c r="X2360" s="7">
        <v>49679</v>
      </c>
    </row>
    <row r="2361" spans="1:24" x14ac:dyDescent="0.25">
      <c r="A2361" s="6" t="s">
        <v>25</v>
      </c>
      <c r="B2361" s="94" t="s">
        <v>7258</v>
      </c>
      <c r="C2361" s="6" t="s">
        <v>7259</v>
      </c>
      <c r="D2361" s="140">
        <v>11146117</v>
      </c>
      <c r="E2361" s="6" t="s">
        <v>4829</v>
      </c>
      <c r="F2361" s="10" t="s">
        <v>57</v>
      </c>
      <c r="G2361" s="6" t="s">
        <v>7260</v>
      </c>
      <c r="H2361" s="8">
        <v>46717</v>
      </c>
      <c r="I2361" s="8">
        <v>44517</v>
      </c>
      <c r="J2361" s="8">
        <v>44539</v>
      </c>
      <c r="K2361" s="95">
        <v>44539</v>
      </c>
      <c r="L2361" s="95" t="s">
        <v>359</v>
      </c>
      <c r="R2361" s="97" t="str">
        <f t="shared" si="84"/>
        <v/>
      </c>
      <c r="S2361" s="75" t="str">
        <f t="shared" si="85"/>
        <v/>
      </c>
      <c r="W2361" s="6" t="s">
        <v>33</v>
      </c>
      <c r="X2361" s="7">
        <v>49181</v>
      </c>
    </row>
    <row r="2362" spans="1:24" x14ac:dyDescent="0.25">
      <c r="A2362" s="6" t="s">
        <v>168</v>
      </c>
      <c r="B2362" s="94" t="s">
        <v>4760</v>
      </c>
      <c r="C2362" s="6" t="s">
        <v>7261</v>
      </c>
      <c r="D2362" s="140">
        <v>11085220</v>
      </c>
      <c r="E2362" s="6" t="s">
        <v>409</v>
      </c>
      <c r="F2362" s="10" t="s">
        <v>293</v>
      </c>
      <c r="G2362" s="6">
        <v>137640</v>
      </c>
      <c r="H2362" s="8">
        <v>47564</v>
      </c>
      <c r="I2362" s="8">
        <v>43530</v>
      </c>
      <c r="J2362" s="8">
        <v>43537</v>
      </c>
      <c r="K2362" s="95">
        <v>43537</v>
      </c>
      <c r="L2362" s="95" t="s">
        <v>31</v>
      </c>
      <c r="M2362" s="8">
        <v>43542</v>
      </c>
      <c r="N2362" s="8">
        <v>43613</v>
      </c>
      <c r="O2362" s="8">
        <v>43608</v>
      </c>
      <c r="P2362" s="6" t="s">
        <v>90</v>
      </c>
      <c r="Q2362" s="96">
        <v>67</v>
      </c>
      <c r="R2362" s="97">
        <f t="shared" si="84"/>
        <v>0.18356164383561643</v>
      </c>
      <c r="S2362" s="75">
        <f t="shared" si="85"/>
        <v>1516.0356164383561</v>
      </c>
      <c r="T2362" s="124" t="s">
        <v>7262</v>
      </c>
      <c r="U2362" s="8">
        <v>43616</v>
      </c>
      <c r="V2362" s="6" t="s">
        <v>36</v>
      </c>
      <c r="W2362" s="6" t="s">
        <v>84</v>
      </c>
      <c r="X2362" s="95">
        <v>44109</v>
      </c>
    </row>
    <row r="2363" spans="1:24" x14ac:dyDescent="0.25">
      <c r="A2363" s="6" t="s">
        <v>25</v>
      </c>
      <c r="B2363" s="94" t="s">
        <v>2832</v>
      </c>
      <c r="C2363" s="6" t="s">
        <v>7263</v>
      </c>
      <c r="D2363" s="140">
        <v>11071105</v>
      </c>
      <c r="E2363" s="6" t="s">
        <v>6192</v>
      </c>
      <c r="F2363" s="10" t="s">
        <v>57</v>
      </c>
      <c r="G2363" s="6" t="s">
        <v>7264</v>
      </c>
      <c r="H2363" s="8">
        <v>45715</v>
      </c>
      <c r="I2363" s="8">
        <v>44496</v>
      </c>
      <c r="J2363" s="8">
        <v>44538</v>
      </c>
      <c r="K2363" s="95">
        <v>44538</v>
      </c>
      <c r="L2363" s="95" t="s">
        <v>359</v>
      </c>
      <c r="R2363" s="97" t="str">
        <f t="shared" si="84"/>
        <v/>
      </c>
      <c r="S2363" s="75" t="str">
        <f t="shared" si="85"/>
        <v/>
      </c>
      <c r="W2363" s="6" t="s">
        <v>33</v>
      </c>
      <c r="X2363" s="7">
        <v>52363</v>
      </c>
    </row>
    <row r="2364" spans="1:24" x14ac:dyDescent="0.25">
      <c r="A2364" s="6" t="s">
        <v>168</v>
      </c>
      <c r="B2364" s="94" t="s">
        <v>4760</v>
      </c>
      <c r="C2364" s="6" t="s">
        <v>4761</v>
      </c>
      <c r="D2364" s="140">
        <v>11107401</v>
      </c>
      <c r="E2364" s="6" t="s">
        <v>7265</v>
      </c>
      <c r="F2364" s="10" t="s">
        <v>293</v>
      </c>
      <c r="G2364" s="6" t="s">
        <v>4762</v>
      </c>
      <c r="H2364" s="8">
        <v>48037</v>
      </c>
      <c r="I2364" s="8">
        <v>43609</v>
      </c>
      <c r="J2364" s="8">
        <v>43626</v>
      </c>
      <c r="K2364" s="95">
        <v>43629</v>
      </c>
      <c r="L2364" s="95" t="s">
        <v>31</v>
      </c>
      <c r="M2364" s="8">
        <v>43635</v>
      </c>
      <c r="N2364" s="8">
        <v>43962</v>
      </c>
      <c r="O2364" s="8">
        <v>43957</v>
      </c>
      <c r="P2364" s="6" t="s">
        <v>90</v>
      </c>
      <c r="Q2364" s="96">
        <v>4068</v>
      </c>
      <c r="R2364" s="97">
        <f t="shared" si="84"/>
        <v>11.145205479452056</v>
      </c>
      <c r="S2364" s="75">
        <f t="shared" si="85"/>
        <v>92048.252054794517</v>
      </c>
      <c r="T2364" s="124" t="s">
        <v>7266</v>
      </c>
      <c r="U2364" s="8">
        <v>43962</v>
      </c>
      <c r="V2364" s="6" t="s">
        <v>36</v>
      </c>
      <c r="W2364" s="6" t="s">
        <v>84</v>
      </c>
      <c r="X2364" s="95">
        <v>44488</v>
      </c>
    </row>
    <row r="2365" spans="1:24" x14ac:dyDescent="0.25">
      <c r="A2365" s="6" t="s">
        <v>25</v>
      </c>
      <c r="B2365" s="94" t="s">
        <v>3295</v>
      </c>
      <c r="C2365" s="6" t="s">
        <v>7267</v>
      </c>
      <c r="D2365" s="140">
        <v>11001159</v>
      </c>
      <c r="E2365" s="6" t="s">
        <v>171</v>
      </c>
      <c r="F2365" s="10" t="s">
        <v>134</v>
      </c>
      <c r="G2365" s="6" t="s">
        <v>7268</v>
      </c>
      <c r="H2365" s="8">
        <v>45768</v>
      </c>
      <c r="I2365" s="8">
        <v>44490</v>
      </c>
      <c r="J2365" s="8">
        <v>44538</v>
      </c>
      <c r="K2365" s="95">
        <v>44538</v>
      </c>
      <c r="L2365" s="95" t="s">
        <v>31</v>
      </c>
      <c r="M2365" s="8">
        <v>44550</v>
      </c>
      <c r="N2365" s="108">
        <v>44728</v>
      </c>
      <c r="O2365" s="108">
        <v>44699</v>
      </c>
      <c r="P2365" s="107" t="s">
        <v>35</v>
      </c>
      <c r="Q2365" s="110">
        <v>1010</v>
      </c>
      <c r="R2365" s="97">
        <f t="shared" si="84"/>
        <v>2.7671232876712328</v>
      </c>
      <c r="S2365" s="75">
        <f t="shared" si="85"/>
        <v>22853.671232876713</v>
      </c>
      <c r="T2365" s="129" t="s">
        <v>7269</v>
      </c>
      <c r="U2365" s="8">
        <v>44776</v>
      </c>
      <c r="V2365" s="6" t="s">
        <v>36</v>
      </c>
      <c r="W2365" s="6" t="s">
        <v>33</v>
      </c>
      <c r="X2365" s="7">
        <v>44708</v>
      </c>
    </row>
    <row r="2366" spans="1:24" x14ac:dyDescent="0.25">
      <c r="A2366" s="6" t="s">
        <v>25</v>
      </c>
      <c r="B2366" s="94" t="s">
        <v>7270</v>
      </c>
      <c r="C2366" s="6" t="s">
        <v>7271</v>
      </c>
      <c r="D2366" s="140">
        <v>12152127</v>
      </c>
      <c r="E2366" s="6" t="s">
        <v>7272</v>
      </c>
      <c r="F2366" s="10" t="s">
        <v>44</v>
      </c>
      <c r="G2366" s="6" t="s">
        <v>7273</v>
      </c>
      <c r="H2366" s="8">
        <v>51756</v>
      </c>
      <c r="I2366" s="8">
        <v>44489</v>
      </c>
      <c r="J2366" s="8">
        <v>44505</v>
      </c>
      <c r="K2366" s="95">
        <v>44517</v>
      </c>
      <c r="L2366" s="95" t="s">
        <v>359</v>
      </c>
      <c r="R2366" s="97" t="str">
        <f t="shared" si="84"/>
        <v/>
      </c>
      <c r="S2366" s="75" t="str">
        <f t="shared" si="85"/>
        <v/>
      </c>
    </row>
    <row r="2367" spans="1:24" x14ac:dyDescent="0.25">
      <c r="A2367" s="6" t="s">
        <v>25</v>
      </c>
      <c r="B2367" s="94" t="s">
        <v>7274</v>
      </c>
      <c r="C2367" s="6" t="s">
        <v>7275</v>
      </c>
      <c r="D2367" s="140">
        <v>12150608</v>
      </c>
      <c r="E2367" s="6" t="s">
        <v>892</v>
      </c>
      <c r="F2367" s="10" t="s">
        <v>148</v>
      </c>
      <c r="G2367" s="6" t="s">
        <v>7276</v>
      </c>
      <c r="H2367" s="8">
        <v>47131</v>
      </c>
      <c r="I2367" s="8">
        <v>44533</v>
      </c>
      <c r="J2367" s="8">
        <v>44546</v>
      </c>
      <c r="K2367" s="95">
        <v>44546</v>
      </c>
      <c r="L2367" s="95" t="s">
        <v>31</v>
      </c>
      <c r="M2367" s="8">
        <v>44565</v>
      </c>
      <c r="N2367" s="8">
        <v>44770</v>
      </c>
      <c r="O2367" s="8">
        <v>44762</v>
      </c>
      <c r="P2367" s="6" t="s">
        <v>35</v>
      </c>
      <c r="Q2367" s="96">
        <v>934</v>
      </c>
      <c r="R2367" s="97">
        <f t="shared" si="84"/>
        <v>2.558904109589041</v>
      </c>
      <c r="S2367" s="75">
        <f t="shared" si="85"/>
        <v>21133.989041095891</v>
      </c>
      <c r="U2367" s="8">
        <v>44792</v>
      </c>
    </row>
    <row r="2368" spans="1:24" ht="30" x14ac:dyDescent="0.25">
      <c r="A2368" s="6" t="s">
        <v>25</v>
      </c>
      <c r="B2368" s="94" t="s">
        <v>7274</v>
      </c>
      <c r="C2368" s="6" t="s">
        <v>7275</v>
      </c>
      <c r="D2368" s="140">
        <v>12150608</v>
      </c>
      <c r="E2368" s="6" t="s">
        <v>892</v>
      </c>
      <c r="F2368" s="10" t="s">
        <v>44</v>
      </c>
      <c r="G2368" s="6" t="s">
        <v>7277</v>
      </c>
      <c r="H2368" s="8">
        <v>47131</v>
      </c>
      <c r="I2368" s="8">
        <v>44533</v>
      </c>
      <c r="J2368" s="8">
        <v>44546</v>
      </c>
      <c r="K2368" s="95">
        <v>44551</v>
      </c>
      <c r="L2368" s="95" t="s">
        <v>31</v>
      </c>
      <c r="M2368" s="8">
        <v>44552</v>
      </c>
      <c r="N2368" s="8">
        <v>44774</v>
      </c>
      <c r="O2368" s="8">
        <v>44762</v>
      </c>
      <c r="P2368" s="6" t="s">
        <v>35</v>
      </c>
      <c r="Q2368" s="96">
        <v>1825</v>
      </c>
      <c r="R2368" s="97">
        <f t="shared" si="84"/>
        <v>5</v>
      </c>
      <c r="S2368" s="75">
        <f t="shared" si="85"/>
        <v>41295</v>
      </c>
      <c r="U2368" s="8">
        <v>44974</v>
      </c>
      <c r="W2368" s="6" t="s">
        <v>33</v>
      </c>
      <c r="X2368" s="7">
        <v>45872</v>
      </c>
    </row>
    <row r="2369" spans="1:24" x14ac:dyDescent="0.25">
      <c r="A2369" s="6" t="s">
        <v>168</v>
      </c>
      <c r="B2369" s="94" t="s">
        <v>870</v>
      </c>
      <c r="C2369" s="6" t="s">
        <v>7278</v>
      </c>
      <c r="D2369" s="140">
        <v>11333587</v>
      </c>
      <c r="E2369" s="6" t="s">
        <v>4044</v>
      </c>
      <c r="F2369" s="10" t="s">
        <v>44</v>
      </c>
      <c r="G2369" s="6" t="s">
        <v>7279</v>
      </c>
      <c r="H2369" s="8">
        <v>51369</v>
      </c>
      <c r="I2369" s="8">
        <v>44418</v>
      </c>
      <c r="J2369" s="8">
        <v>44425</v>
      </c>
      <c r="K2369" s="95">
        <v>44425</v>
      </c>
      <c r="L2369" s="95" t="s">
        <v>359</v>
      </c>
      <c r="R2369" s="97" t="str">
        <f t="shared" si="84"/>
        <v/>
      </c>
      <c r="S2369" s="75" t="str">
        <f t="shared" si="85"/>
        <v/>
      </c>
      <c r="W2369" s="6" t="s">
        <v>84</v>
      </c>
      <c r="X2369" s="7">
        <v>48319</v>
      </c>
    </row>
    <row r="2370" spans="1:24" x14ac:dyDescent="0.25">
      <c r="A2370" s="6" t="s">
        <v>25</v>
      </c>
      <c r="B2370" s="94" t="s">
        <v>7280</v>
      </c>
      <c r="C2370" s="6" t="s">
        <v>7281</v>
      </c>
      <c r="D2370" s="140">
        <v>11360241</v>
      </c>
      <c r="E2370" s="6" t="s">
        <v>2037</v>
      </c>
      <c r="F2370" s="10" t="s">
        <v>29</v>
      </c>
      <c r="G2370" s="6" t="s">
        <v>7282</v>
      </c>
      <c r="H2370" s="8">
        <v>46538</v>
      </c>
      <c r="I2370" s="8">
        <v>44537</v>
      </c>
      <c r="J2370" s="8">
        <v>44554</v>
      </c>
      <c r="K2370" s="95">
        <v>44557</v>
      </c>
      <c r="L2370" s="95" t="s">
        <v>31</v>
      </c>
      <c r="M2370" s="8">
        <v>44607</v>
      </c>
      <c r="N2370" s="8">
        <v>45058</v>
      </c>
      <c r="O2370" s="8">
        <v>45058</v>
      </c>
      <c r="P2370" s="6" t="s">
        <v>35</v>
      </c>
      <c r="Q2370" s="96">
        <v>1825</v>
      </c>
      <c r="R2370" s="97">
        <f t="shared" si="84"/>
        <v>5</v>
      </c>
      <c r="S2370" s="75">
        <f t="shared" si="85"/>
        <v>41295</v>
      </c>
      <c r="U2370" s="8">
        <v>45063</v>
      </c>
      <c r="W2370" s="6" t="s">
        <v>33</v>
      </c>
      <c r="X2370" s="7">
        <v>46153</v>
      </c>
    </row>
    <row r="2371" spans="1:24" x14ac:dyDescent="0.25">
      <c r="A2371" s="6" t="s">
        <v>25</v>
      </c>
      <c r="B2371" s="94" t="s">
        <v>1123</v>
      </c>
      <c r="C2371" s="6" t="s">
        <v>7283</v>
      </c>
      <c r="D2371" s="140">
        <v>11483460</v>
      </c>
      <c r="E2371" s="6" t="s">
        <v>166</v>
      </c>
      <c r="F2371" s="10" t="s">
        <v>148</v>
      </c>
      <c r="G2371" s="6" t="s">
        <v>7284</v>
      </c>
      <c r="H2371" s="8">
        <v>48434</v>
      </c>
      <c r="I2371" s="8">
        <v>44533</v>
      </c>
      <c r="J2371" s="8">
        <v>44554</v>
      </c>
      <c r="K2371" s="95">
        <v>44557</v>
      </c>
      <c r="L2371" s="95" t="s">
        <v>31</v>
      </c>
      <c r="M2371" s="8">
        <v>44607</v>
      </c>
      <c r="N2371" s="8">
        <v>44840</v>
      </c>
      <c r="O2371" s="8">
        <v>44818</v>
      </c>
      <c r="P2371" s="6" t="s">
        <v>35</v>
      </c>
      <c r="Q2371" s="96">
        <v>730</v>
      </c>
      <c r="R2371" s="97">
        <f t="shared" si="84"/>
        <v>2</v>
      </c>
      <c r="S2371" s="75">
        <f t="shared" si="85"/>
        <v>16518</v>
      </c>
      <c r="T2371" s="8"/>
      <c r="U2371" s="8">
        <v>44994</v>
      </c>
      <c r="W2371" s="6" t="s">
        <v>33</v>
      </c>
      <c r="X2371" s="7">
        <v>47689</v>
      </c>
    </row>
    <row r="2372" spans="1:24" x14ac:dyDescent="0.25">
      <c r="A2372" s="6" t="s">
        <v>37</v>
      </c>
      <c r="B2372" s="94" t="s">
        <v>944</v>
      </c>
      <c r="C2372" s="6" t="s">
        <v>7285</v>
      </c>
      <c r="D2372" s="140">
        <v>11146183</v>
      </c>
      <c r="E2372" s="6" t="s">
        <v>3564</v>
      </c>
      <c r="F2372" s="10" t="s">
        <v>293</v>
      </c>
      <c r="G2372" s="6">
        <v>144247</v>
      </c>
      <c r="H2372" s="8">
        <v>49208</v>
      </c>
      <c r="I2372" s="8">
        <v>44533</v>
      </c>
      <c r="J2372" s="8">
        <v>44554</v>
      </c>
      <c r="K2372" s="95">
        <v>44557</v>
      </c>
      <c r="L2372" s="95" t="s">
        <v>31</v>
      </c>
      <c r="M2372" s="8">
        <v>44607</v>
      </c>
      <c r="N2372" s="8">
        <v>44830</v>
      </c>
      <c r="O2372" s="8">
        <v>44825</v>
      </c>
      <c r="P2372" s="6" t="s">
        <v>35</v>
      </c>
      <c r="Q2372" s="96">
        <v>4242</v>
      </c>
      <c r="R2372" s="97">
        <f t="shared" ref="R2372:R2435" si="86">IF(Q2372&gt;0, Q2372/365, "")</f>
        <v>11.621917808219179</v>
      </c>
      <c r="S2372" s="75">
        <f t="shared" ref="S2372:S2435" si="87">IF(Q2372&gt;0, SUM(Q2372)*(8259/365), "")</f>
        <v>95985.4191780822</v>
      </c>
      <c r="U2372" s="8">
        <v>44897</v>
      </c>
    </row>
    <row r="2373" spans="1:24" x14ac:dyDescent="0.25">
      <c r="A2373" s="6" t="s">
        <v>25</v>
      </c>
      <c r="B2373" s="94" t="s">
        <v>7286</v>
      </c>
      <c r="C2373" s="6" t="s">
        <v>7287</v>
      </c>
      <c r="D2373" s="140">
        <v>12160582</v>
      </c>
      <c r="E2373" s="6" t="s">
        <v>1082</v>
      </c>
      <c r="F2373" s="10" t="s">
        <v>44</v>
      </c>
      <c r="G2373" s="6" t="s">
        <v>7288</v>
      </c>
      <c r="H2373" s="8">
        <v>47033</v>
      </c>
      <c r="I2373" s="8">
        <v>44533</v>
      </c>
      <c r="J2373" s="8">
        <v>44554</v>
      </c>
      <c r="K2373" s="95">
        <v>44557</v>
      </c>
      <c r="L2373" s="95" t="s">
        <v>31</v>
      </c>
      <c r="M2373" s="8">
        <v>44200</v>
      </c>
      <c r="N2373" s="8">
        <v>44756</v>
      </c>
      <c r="O2373" s="8">
        <v>44739</v>
      </c>
      <c r="P2373" s="6" t="s">
        <v>35</v>
      </c>
      <c r="Q2373" s="96">
        <v>1825</v>
      </c>
      <c r="R2373" s="97">
        <f t="shared" si="86"/>
        <v>5</v>
      </c>
      <c r="S2373" s="75">
        <f t="shared" si="87"/>
        <v>41295</v>
      </c>
      <c r="U2373" s="8">
        <v>45063</v>
      </c>
      <c r="W2373" s="6" t="s">
        <v>33</v>
      </c>
      <c r="X2373" s="7">
        <v>45020</v>
      </c>
    </row>
    <row r="2374" spans="1:24" x14ac:dyDescent="0.25">
      <c r="A2374" s="6" t="s">
        <v>25</v>
      </c>
      <c r="B2374" s="94" t="s">
        <v>3635</v>
      </c>
      <c r="C2374" s="6" t="s">
        <v>7289</v>
      </c>
      <c r="D2374" s="140">
        <v>11957833</v>
      </c>
      <c r="E2374" s="6" t="s">
        <v>1185</v>
      </c>
      <c r="F2374" s="10" t="s">
        <v>29</v>
      </c>
      <c r="G2374" s="6" t="s">
        <v>7290</v>
      </c>
      <c r="H2374" s="8">
        <v>46802</v>
      </c>
      <c r="I2374" s="8">
        <v>44539</v>
      </c>
      <c r="J2374" s="8">
        <v>44566</v>
      </c>
      <c r="K2374" s="95">
        <v>44567</v>
      </c>
      <c r="L2374" s="95" t="s">
        <v>31</v>
      </c>
      <c r="M2374" s="8">
        <v>44607</v>
      </c>
      <c r="P2374" s="6" t="s">
        <v>628</v>
      </c>
      <c r="R2374" s="97" t="str">
        <f t="shared" si="86"/>
        <v/>
      </c>
      <c r="S2374" s="75" t="str">
        <f t="shared" si="87"/>
        <v/>
      </c>
      <c r="T2374" s="124" t="s">
        <v>7291</v>
      </c>
      <c r="W2374" s="6" t="s">
        <v>33</v>
      </c>
      <c r="X2374" s="7">
        <v>45020</v>
      </c>
    </row>
    <row r="2375" spans="1:24" x14ac:dyDescent="0.25">
      <c r="A2375" s="6" t="s">
        <v>25</v>
      </c>
      <c r="B2375" s="94" t="s">
        <v>944</v>
      </c>
      <c r="C2375" s="6" t="s">
        <v>7292</v>
      </c>
      <c r="D2375" s="140">
        <v>11897307</v>
      </c>
      <c r="E2375" s="6" t="s">
        <v>1960</v>
      </c>
      <c r="F2375" s="10" t="s">
        <v>363</v>
      </c>
      <c r="G2375" s="6">
        <v>1211399</v>
      </c>
      <c r="H2375" s="8">
        <v>46332</v>
      </c>
      <c r="I2375" s="8">
        <v>44540</v>
      </c>
      <c r="J2375" s="8">
        <v>44566</v>
      </c>
      <c r="K2375" s="95">
        <v>44567</v>
      </c>
      <c r="L2375" s="95" t="s">
        <v>359</v>
      </c>
      <c r="R2375" s="97" t="str">
        <f t="shared" si="86"/>
        <v/>
      </c>
      <c r="S2375" s="75" t="str">
        <f t="shared" si="87"/>
        <v/>
      </c>
    </row>
    <row r="2376" spans="1:24" x14ac:dyDescent="0.25">
      <c r="A2376" s="6" t="s">
        <v>25</v>
      </c>
      <c r="B2376" s="94" t="s">
        <v>7293</v>
      </c>
      <c r="C2376" s="6" t="s">
        <v>7294</v>
      </c>
      <c r="D2376" s="140">
        <v>11347927</v>
      </c>
      <c r="E2376" s="6" t="s">
        <v>49</v>
      </c>
      <c r="F2376" s="10" t="s">
        <v>29</v>
      </c>
      <c r="G2376" s="6">
        <v>11347927</v>
      </c>
      <c r="H2376" s="8">
        <v>46258</v>
      </c>
      <c r="I2376" s="8">
        <v>44543</v>
      </c>
      <c r="J2376" s="8">
        <v>44566</v>
      </c>
      <c r="K2376" s="95">
        <v>44567</v>
      </c>
      <c r="L2376" s="95" t="s">
        <v>31</v>
      </c>
      <c r="M2376" s="8">
        <v>44607</v>
      </c>
      <c r="N2376" s="8">
        <v>44806</v>
      </c>
      <c r="O2376" s="8">
        <v>44799</v>
      </c>
      <c r="P2376" s="6" t="s">
        <v>35</v>
      </c>
      <c r="Q2376" s="96">
        <v>1825</v>
      </c>
      <c r="R2376" s="97">
        <f t="shared" si="86"/>
        <v>5</v>
      </c>
      <c r="S2376" s="75">
        <f t="shared" si="87"/>
        <v>41295</v>
      </c>
      <c r="U2376" s="8">
        <v>44974</v>
      </c>
      <c r="W2376" s="6" t="s">
        <v>33</v>
      </c>
      <c r="X2376" s="7">
        <v>45010</v>
      </c>
    </row>
    <row r="2377" spans="1:24" ht="30" x14ac:dyDescent="0.25">
      <c r="A2377" s="6" t="s">
        <v>25</v>
      </c>
      <c r="B2377" s="94" t="s">
        <v>1113</v>
      </c>
      <c r="C2377" s="6" t="s">
        <v>7295</v>
      </c>
      <c r="D2377" s="140">
        <v>11785131</v>
      </c>
      <c r="E2377" s="6" t="s">
        <v>49</v>
      </c>
      <c r="F2377" s="10" t="s">
        <v>44</v>
      </c>
      <c r="G2377" s="6" t="s">
        <v>7296</v>
      </c>
      <c r="H2377" s="8">
        <v>45232</v>
      </c>
      <c r="I2377" s="8">
        <v>44538</v>
      </c>
      <c r="J2377" s="8">
        <v>44566</v>
      </c>
      <c r="K2377" s="95">
        <v>44567</v>
      </c>
      <c r="L2377" s="95" t="s">
        <v>359</v>
      </c>
      <c r="R2377" s="97" t="str">
        <f t="shared" si="86"/>
        <v/>
      </c>
      <c r="S2377" s="75" t="str">
        <f t="shared" si="87"/>
        <v/>
      </c>
    </row>
    <row r="2378" spans="1:24" x14ac:dyDescent="0.25">
      <c r="A2378" s="6" t="s">
        <v>25</v>
      </c>
      <c r="B2378" s="94" t="s">
        <v>7297</v>
      </c>
      <c r="C2378" s="6" t="s">
        <v>7298</v>
      </c>
      <c r="D2378" s="140">
        <v>12157740</v>
      </c>
      <c r="E2378" s="6" t="s">
        <v>1271</v>
      </c>
      <c r="F2378" s="10" t="s">
        <v>134</v>
      </c>
      <c r="G2378" s="6" t="s">
        <v>7299</v>
      </c>
      <c r="H2378" s="8">
        <v>48925</v>
      </c>
      <c r="I2378" s="8">
        <v>44544</v>
      </c>
      <c r="J2378" s="8">
        <v>44566</v>
      </c>
      <c r="K2378" s="95">
        <v>44567</v>
      </c>
      <c r="L2378" s="95" t="s">
        <v>359</v>
      </c>
      <c r="R2378" s="97" t="str">
        <f t="shared" si="86"/>
        <v/>
      </c>
      <c r="S2378" s="75" t="str">
        <f t="shared" si="87"/>
        <v/>
      </c>
    </row>
    <row r="2379" spans="1:24" x14ac:dyDescent="0.25">
      <c r="A2379" s="6" t="s">
        <v>25</v>
      </c>
      <c r="B2379" s="94" t="s">
        <v>112</v>
      </c>
      <c r="C2379" s="6" t="s">
        <v>7300</v>
      </c>
      <c r="D2379" s="140">
        <v>11781259</v>
      </c>
      <c r="E2379" s="6" t="s">
        <v>2502</v>
      </c>
      <c r="F2379" s="10" t="s">
        <v>121</v>
      </c>
      <c r="G2379" s="6" t="s">
        <v>7301</v>
      </c>
      <c r="H2379" s="8">
        <v>46437</v>
      </c>
      <c r="I2379" s="8">
        <v>44544</v>
      </c>
      <c r="J2379" s="8">
        <v>44566</v>
      </c>
      <c r="K2379" s="95">
        <v>44567</v>
      </c>
      <c r="L2379" s="95" t="s">
        <v>359</v>
      </c>
      <c r="R2379" s="97" t="str">
        <f t="shared" si="86"/>
        <v/>
      </c>
      <c r="S2379" s="75" t="str">
        <f t="shared" si="87"/>
        <v/>
      </c>
    </row>
    <row r="2380" spans="1:24" x14ac:dyDescent="0.25">
      <c r="A2380" s="6" t="s">
        <v>25</v>
      </c>
      <c r="B2380" s="94" t="s">
        <v>1070</v>
      </c>
      <c r="C2380" s="6" t="s">
        <v>7302</v>
      </c>
      <c r="D2380" s="140">
        <v>11983909</v>
      </c>
      <c r="E2380" s="6" t="s">
        <v>2850</v>
      </c>
      <c r="F2380" s="10" t="s">
        <v>252</v>
      </c>
      <c r="G2380" s="6">
        <v>11753482</v>
      </c>
      <c r="H2380" s="8">
        <v>49256</v>
      </c>
      <c r="I2380" s="8">
        <v>44539</v>
      </c>
      <c r="J2380" s="8">
        <v>44566</v>
      </c>
      <c r="K2380" s="95">
        <v>44567</v>
      </c>
      <c r="L2380" s="95" t="s">
        <v>359</v>
      </c>
      <c r="R2380" s="97" t="str">
        <f t="shared" si="86"/>
        <v/>
      </c>
      <c r="S2380" s="75" t="str">
        <f t="shared" si="87"/>
        <v/>
      </c>
    </row>
    <row r="2381" spans="1:24" ht="30" x14ac:dyDescent="0.25">
      <c r="A2381" s="6" t="s">
        <v>25</v>
      </c>
      <c r="B2381" s="94" t="s">
        <v>1657</v>
      </c>
      <c r="C2381" s="6" t="s">
        <v>7303</v>
      </c>
      <c r="D2381" s="140">
        <v>11628996</v>
      </c>
      <c r="E2381" s="6" t="s">
        <v>588</v>
      </c>
      <c r="F2381" s="10" t="s">
        <v>44</v>
      </c>
      <c r="G2381" s="6" t="s">
        <v>7304</v>
      </c>
      <c r="H2381" s="8">
        <v>45663</v>
      </c>
      <c r="I2381" s="8">
        <v>44552</v>
      </c>
      <c r="J2381" s="8">
        <v>44566</v>
      </c>
      <c r="K2381" s="95">
        <v>44567</v>
      </c>
      <c r="L2381" s="95" t="s">
        <v>359</v>
      </c>
      <c r="R2381" s="97" t="str">
        <f t="shared" si="86"/>
        <v/>
      </c>
      <c r="S2381" s="75" t="str">
        <f t="shared" si="87"/>
        <v/>
      </c>
    </row>
    <row r="2382" spans="1:24" x14ac:dyDescent="0.25">
      <c r="A2382" s="6" t="s">
        <v>25</v>
      </c>
      <c r="B2382" s="94" t="s">
        <v>7305</v>
      </c>
      <c r="C2382" s="6" t="s">
        <v>7306</v>
      </c>
      <c r="D2382" s="140">
        <v>11052453</v>
      </c>
      <c r="E2382" s="6" t="s">
        <v>3163</v>
      </c>
      <c r="F2382" s="10" t="s">
        <v>44</v>
      </c>
      <c r="G2382" s="6" t="s">
        <v>7307</v>
      </c>
      <c r="H2382" s="8">
        <v>48845</v>
      </c>
      <c r="I2382" s="8">
        <v>44538</v>
      </c>
      <c r="J2382" s="8">
        <v>44566</v>
      </c>
      <c r="K2382" s="95">
        <v>44567</v>
      </c>
      <c r="L2382" s="95" t="s">
        <v>31</v>
      </c>
      <c r="M2382" s="8">
        <v>44607</v>
      </c>
      <c r="N2382" s="108">
        <v>44655</v>
      </c>
      <c r="O2382" s="108">
        <v>44622</v>
      </c>
      <c r="P2382" s="107" t="s">
        <v>35</v>
      </c>
      <c r="Q2382" s="110">
        <v>1852</v>
      </c>
      <c r="R2382" s="97">
        <f t="shared" si="86"/>
        <v>5.0739726027397261</v>
      </c>
      <c r="S2382" s="75">
        <f t="shared" si="87"/>
        <v>41905.939726027398</v>
      </c>
      <c r="T2382" s="124" t="s">
        <v>7308</v>
      </c>
      <c r="U2382" s="8">
        <v>44776</v>
      </c>
      <c r="V2382" s="6" t="s">
        <v>36</v>
      </c>
      <c r="W2382" s="6" t="s">
        <v>33</v>
      </c>
      <c r="X2382" s="7">
        <v>44909</v>
      </c>
    </row>
    <row r="2383" spans="1:24" x14ac:dyDescent="0.25">
      <c r="A2383" s="6" t="s">
        <v>25</v>
      </c>
      <c r="B2383" s="94" t="s">
        <v>102</v>
      </c>
      <c r="C2383" s="6" t="s">
        <v>7309</v>
      </c>
      <c r="D2383" s="140">
        <v>11143889</v>
      </c>
      <c r="E2383" s="6" t="s">
        <v>80</v>
      </c>
      <c r="F2383" s="10" t="s">
        <v>44</v>
      </c>
      <c r="G2383" s="6" t="s">
        <v>7310</v>
      </c>
      <c r="H2383" s="8">
        <v>50529</v>
      </c>
      <c r="I2383" s="8">
        <v>44545</v>
      </c>
      <c r="J2383" s="8">
        <v>44566</v>
      </c>
      <c r="K2383" s="95">
        <v>44567</v>
      </c>
      <c r="L2383" s="95" t="s">
        <v>31</v>
      </c>
      <c r="M2383" s="8">
        <v>44607</v>
      </c>
      <c r="P2383" s="107" t="s">
        <v>628</v>
      </c>
      <c r="R2383" s="97" t="str">
        <f t="shared" si="86"/>
        <v/>
      </c>
      <c r="S2383" s="75" t="str">
        <f t="shared" si="87"/>
        <v/>
      </c>
      <c r="T2383" s="129" t="s">
        <v>7311</v>
      </c>
      <c r="W2383" s="6" t="s">
        <v>84</v>
      </c>
      <c r="X2383" s="7">
        <v>49240</v>
      </c>
    </row>
    <row r="2384" spans="1:24" x14ac:dyDescent="0.25">
      <c r="A2384" s="6" t="s">
        <v>25</v>
      </c>
      <c r="B2384" s="94" t="s">
        <v>7312</v>
      </c>
      <c r="C2384" s="6" t="s">
        <v>7313</v>
      </c>
      <c r="D2384" s="140">
        <v>11221705</v>
      </c>
      <c r="E2384" s="6" t="s">
        <v>2502</v>
      </c>
      <c r="F2384" s="10" t="s">
        <v>143</v>
      </c>
      <c r="G2384" s="6" t="s">
        <v>7314</v>
      </c>
      <c r="H2384" s="8">
        <v>46424</v>
      </c>
      <c r="I2384" s="8">
        <v>44546</v>
      </c>
      <c r="J2384" s="8">
        <v>44566</v>
      </c>
      <c r="K2384" s="95">
        <v>44567</v>
      </c>
      <c r="L2384" s="95" t="s">
        <v>359</v>
      </c>
      <c r="R2384" s="97" t="str">
        <f t="shared" si="86"/>
        <v/>
      </c>
      <c r="S2384" s="75" t="str">
        <f t="shared" si="87"/>
        <v/>
      </c>
    </row>
    <row r="2385" spans="1:24" x14ac:dyDescent="0.25">
      <c r="A2385" s="6" t="s">
        <v>25</v>
      </c>
      <c r="B2385" s="94" t="s">
        <v>2165</v>
      </c>
      <c r="C2385" s="6" t="s">
        <v>7315</v>
      </c>
      <c r="D2385" s="140">
        <v>11223600</v>
      </c>
      <c r="E2385" s="6" t="s">
        <v>261</v>
      </c>
      <c r="F2385" s="10" t="s">
        <v>44</v>
      </c>
      <c r="G2385" s="6" t="s">
        <v>7316</v>
      </c>
      <c r="H2385" s="8">
        <v>46397</v>
      </c>
      <c r="I2385" s="8">
        <v>44547</v>
      </c>
      <c r="J2385" s="8">
        <v>44566</v>
      </c>
      <c r="K2385" s="95">
        <v>44567</v>
      </c>
      <c r="L2385" s="95" t="s">
        <v>359</v>
      </c>
      <c r="R2385" s="97" t="str">
        <f t="shared" si="86"/>
        <v/>
      </c>
      <c r="S2385" s="75" t="str">
        <f t="shared" si="87"/>
        <v/>
      </c>
    </row>
    <row r="2386" spans="1:24" x14ac:dyDescent="0.25">
      <c r="A2386" s="6" t="s">
        <v>25</v>
      </c>
      <c r="B2386" s="94" t="s">
        <v>86</v>
      </c>
      <c r="C2386" s="6" t="s">
        <v>7317</v>
      </c>
      <c r="D2386" s="140">
        <v>11050918</v>
      </c>
      <c r="E2386" s="6" t="s">
        <v>7318</v>
      </c>
      <c r="F2386" s="10" t="s">
        <v>44</v>
      </c>
      <c r="G2386" s="6" t="s">
        <v>7319</v>
      </c>
      <c r="H2386" s="8">
        <v>62941</v>
      </c>
      <c r="I2386" s="8">
        <v>44533</v>
      </c>
      <c r="J2386" s="8">
        <v>44566</v>
      </c>
      <c r="K2386" s="95">
        <v>44567</v>
      </c>
      <c r="L2386" s="95" t="s">
        <v>31</v>
      </c>
      <c r="M2386" s="8">
        <v>44607</v>
      </c>
      <c r="P2386" s="6" t="s">
        <v>628</v>
      </c>
      <c r="R2386" s="97" t="str">
        <f t="shared" si="86"/>
        <v/>
      </c>
      <c r="S2386" s="75" t="str">
        <f t="shared" si="87"/>
        <v/>
      </c>
      <c r="T2386" s="124" t="s">
        <v>7320</v>
      </c>
      <c r="W2386" s="6" t="s">
        <v>84</v>
      </c>
      <c r="X2386" s="7">
        <v>48610</v>
      </c>
    </row>
    <row r="2387" spans="1:24" x14ac:dyDescent="0.25">
      <c r="A2387" s="6" t="s">
        <v>25</v>
      </c>
      <c r="B2387" s="94" t="s">
        <v>646</v>
      </c>
      <c r="C2387" s="6" t="s">
        <v>7321</v>
      </c>
      <c r="D2387" s="140">
        <v>11063257</v>
      </c>
      <c r="E2387" s="6" t="s">
        <v>61</v>
      </c>
      <c r="F2387" s="10" t="s">
        <v>44</v>
      </c>
      <c r="G2387" s="6" t="s">
        <v>7322</v>
      </c>
      <c r="H2387" s="8">
        <v>47004</v>
      </c>
      <c r="I2387" s="8">
        <v>44539</v>
      </c>
      <c r="J2387" s="8">
        <v>44566</v>
      </c>
      <c r="K2387" s="95">
        <v>44567</v>
      </c>
      <c r="L2387" s="95" t="s">
        <v>359</v>
      </c>
      <c r="R2387" s="97" t="str">
        <f t="shared" si="86"/>
        <v/>
      </c>
      <c r="S2387" s="75" t="str">
        <f t="shared" si="87"/>
        <v/>
      </c>
    </row>
    <row r="2388" spans="1:24" x14ac:dyDescent="0.25">
      <c r="A2388" s="6" t="s">
        <v>25</v>
      </c>
      <c r="B2388" s="94" t="s">
        <v>6001</v>
      </c>
      <c r="C2388" s="6" t="s">
        <v>7323</v>
      </c>
      <c r="D2388" s="140">
        <v>11342066</v>
      </c>
      <c r="E2388" s="6" t="s">
        <v>783</v>
      </c>
      <c r="F2388" s="10" t="s">
        <v>57</v>
      </c>
      <c r="G2388" s="6" t="s">
        <v>7324</v>
      </c>
      <c r="H2388" s="8">
        <v>45618</v>
      </c>
      <c r="I2388" s="8">
        <v>44538</v>
      </c>
      <c r="J2388" s="8">
        <v>44567</v>
      </c>
      <c r="K2388" s="95">
        <v>44567</v>
      </c>
      <c r="L2388" s="95" t="s">
        <v>31</v>
      </c>
      <c r="M2388" s="8">
        <v>44607</v>
      </c>
      <c r="N2388" s="8">
        <v>44670</v>
      </c>
      <c r="O2388" s="8">
        <v>44659</v>
      </c>
      <c r="P2388" s="6" t="s">
        <v>35</v>
      </c>
      <c r="Q2388" s="96">
        <v>365</v>
      </c>
      <c r="R2388" s="97">
        <f t="shared" si="86"/>
        <v>1</v>
      </c>
      <c r="S2388" s="75">
        <f t="shared" si="87"/>
        <v>8259</v>
      </c>
      <c r="U2388" s="8">
        <v>44974</v>
      </c>
      <c r="W2388" s="6" t="s">
        <v>33</v>
      </c>
      <c r="X2388" s="7">
        <v>45227</v>
      </c>
    </row>
    <row r="2389" spans="1:24" x14ac:dyDescent="0.25">
      <c r="A2389" s="6" t="s">
        <v>37</v>
      </c>
      <c r="B2389" s="94" t="s">
        <v>719</v>
      </c>
      <c r="C2389" s="6" t="s">
        <v>7325</v>
      </c>
      <c r="D2389" s="140">
        <v>11591966</v>
      </c>
      <c r="E2389" s="6" t="s">
        <v>928</v>
      </c>
      <c r="F2389" s="10" t="s">
        <v>44</v>
      </c>
      <c r="G2389" s="6" t="s">
        <v>7326</v>
      </c>
      <c r="H2389" s="8">
        <v>49887</v>
      </c>
      <c r="I2389" s="8">
        <v>44551</v>
      </c>
      <c r="J2389" s="8">
        <v>44567</v>
      </c>
      <c r="K2389" s="95">
        <v>44567</v>
      </c>
      <c r="L2389" s="95" t="s">
        <v>359</v>
      </c>
      <c r="R2389" s="97" t="str">
        <f t="shared" si="86"/>
        <v/>
      </c>
      <c r="S2389" s="75" t="str">
        <f t="shared" si="87"/>
        <v/>
      </c>
    </row>
    <row r="2390" spans="1:24" x14ac:dyDescent="0.25">
      <c r="A2390" s="6" t="s">
        <v>37</v>
      </c>
      <c r="B2390" s="94" t="s">
        <v>7327</v>
      </c>
      <c r="C2390" s="6" t="s">
        <v>7328</v>
      </c>
      <c r="D2390" s="140">
        <v>12015455</v>
      </c>
      <c r="E2390" s="6" t="s">
        <v>498</v>
      </c>
      <c r="F2390" s="10" t="s">
        <v>299</v>
      </c>
      <c r="G2390" s="6" t="s">
        <v>7329</v>
      </c>
      <c r="H2390" s="8">
        <v>46660</v>
      </c>
      <c r="I2390" s="8">
        <v>44547</v>
      </c>
      <c r="J2390" s="8">
        <v>44567</v>
      </c>
      <c r="K2390" s="95">
        <v>44567</v>
      </c>
      <c r="L2390" s="95" t="s">
        <v>359</v>
      </c>
      <c r="R2390" s="97" t="str">
        <f t="shared" si="86"/>
        <v/>
      </c>
      <c r="S2390" s="75" t="str">
        <f t="shared" si="87"/>
        <v/>
      </c>
    </row>
    <row r="2391" spans="1:24" x14ac:dyDescent="0.25">
      <c r="A2391" s="6" t="s">
        <v>37</v>
      </c>
      <c r="B2391" s="94" t="s">
        <v>7330</v>
      </c>
      <c r="C2391" s="6" t="s">
        <v>7331</v>
      </c>
      <c r="D2391" s="140">
        <v>11945307</v>
      </c>
      <c r="E2391" s="6" t="s">
        <v>3644</v>
      </c>
      <c r="F2391" s="10" t="s">
        <v>44</v>
      </c>
      <c r="G2391" s="6" t="s">
        <v>7332</v>
      </c>
      <c r="H2391" s="8">
        <v>68435</v>
      </c>
      <c r="I2391" s="8">
        <v>44552</v>
      </c>
      <c r="J2391" s="8">
        <v>44567</v>
      </c>
      <c r="K2391" s="95">
        <v>44567</v>
      </c>
      <c r="L2391" s="95" t="s">
        <v>359</v>
      </c>
      <c r="R2391" s="97" t="str">
        <f t="shared" si="86"/>
        <v/>
      </c>
      <c r="S2391" s="75" t="str">
        <f t="shared" si="87"/>
        <v/>
      </c>
    </row>
    <row r="2392" spans="1:24" x14ac:dyDescent="0.25">
      <c r="A2392" s="6" t="s">
        <v>37</v>
      </c>
      <c r="B2392" s="94" t="s">
        <v>86</v>
      </c>
      <c r="C2392" s="6" t="s">
        <v>7333</v>
      </c>
      <c r="D2392" s="140">
        <v>11192118</v>
      </c>
      <c r="E2392" s="6" t="s">
        <v>166</v>
      </c>
      <c r="F2392" s="10" t="s">
        <v>205</v>
      </c>
      <c r="G2392" s="6" t="s">
        <v>7334</v>
      </c>
      <c r="H2392" s="8">
        <v>45957</v>
      </c>
      <c r="I2392" s="8">
        <v>44567</v>
      </c>
      <c r="J2392" s="8">
        <v>44585</v>
      </c>
      <c r="K2392" s="95">
        <v>44586</v>
      </c>
      <c r="L2392" s="95" t="s">
        <v>359</v>
      </c>
      <c r="R2392" s="97" t="str">
        <f t="shared" si="86"/>
        <v/>
      </c>
      <c r="S2392" s="75" t="str">
        <f t="shared" si="87"/>
        <v/>
      </c>
    </row>
    <row r="2393" spans="1:24" x14ac:dyDescent="0.25">
      <c r="A2393" s="6" t="s">
        <v>37</v>
      </c>
      <c r="B2393" s="94" t="s">
        <v>1234</v>
      </c>
      <c r="C2393" s="6" t="s">
        <v>7335</v>
      </c>
      <c r="D2393" s="140">
        <v>11875467</v>
      </c>
      <c r="E2393" s="6" t="s">
        <v>5580</v>
      </c>
      <c r="F2393" s="10" t="s">
        <v>176</v>
      </c>
      <c r="G2393" s="6" t="s">
        <v>7336</v>
      </c>
      <c r="H2393" s="8">
        <v>47067</v>
      </c>
      <c r="I2393" s="8">
        <v>44567</v>
      </c>
      <c r="J2393" s="8">
        <v>44585</v>
      </c>
      <c r="K2393" s="95">
        <v>44586</v>
      </c>
      <c r="L2393" s="95" t="s">
        <v>359</v>
      </c>
      <c r="R2393" s="97" t="str">
        <f t="shared" si="86"/>
        <v/>
      </c>
      <c r="S2393" s="75" t="str">
        <f t="shared" si="87"/>
        <v/>
      </c>
    </row>
    <row r="2394" spans="1:24" x14ac:dyDescent="0.25">
      <c r="A2394" s="6" t="s">
        <v>37</v>
      </c>
      <c r="B2394" s="94" t="s">
        <v>2635</v>
      </c>
      <c r="C2394" s="6" t="s">
        <v>7337</v>
      </c>
      <c r="D2394" s="140">
        <v>11593915</v>
      </c>
      <c r="E2394" s="6" t="s">
        <v>1185</v>
      </c>
      <c r="F2394" s="10" t="s">
        <v>44</v>
      </c>
      <c r="G2394" s="6" t="s">
        <v>7338</v>
      </c>
      <c r="H2394" s="8">
        <v>46291</v>
      </c>
      <c r="I2394" s="8">
        <v>44558</v>
      </c>
      <c r="J2394" s="8">
        <v>44585</v>
      </c>
      <c r="K2394" s="95">
        <v>44586</v>
      </c>
      <c r="L2394" s="95" t="s">
        <v>359</v>
      </c>
      <c r="R2394" s="97" t="str">
        <f t="shared" si="86"/>
        <v/>
      </c>
      <c r="S2394" s="75" t="str">
        <f t="shared" si="87"/>
        <v/>
      </c>
    </row>
    <row r="2395" spans="1:24" ht="45" x14ac:dyDescent="0.25">
      <c r="A2395" s="6" t="s">
        <v>37</v>
      </c>
      <c r="B2395" s="94" t="s">
        <v>7339</v>
      </c>
      <c r="C2395" s="6" t="s">
        <v>7340</v>
      </c>
      <c r="D2395" s="140">
        <v>11867402</v>
      </c>
      <c r="E2395" s="6" t="s">
        <v>783</v>
      </c>
      <c r="F2395" s="10" t="s">
        <v>44</v>
      </c>
      <c r="G2395" s="6" t="s">
        <v>7341</v>
      </c>
      <c r="H2395" s="8">
        <v>45276</v>
      </c>
      <c r="I2395" s="8">
        <v>44553</v>
      </c>
      <c r="J2395" s="8">
        <v>44585</v>
      </c>
      <c r="K2395" s="95">
        <v>44586</v>
      </c>
      <c r="L2395" s="95" t="s">
        <v>31</v>
      </c>
      <c r="M2395" s="8">
        <v>44607</v>
      </c>
      <c r="P2395" s="6" t="s">
        <v>628</v>
      </c>
      <c r="R2395" s="97" t="str">
        <f t="shared" si="86"/>
        <v/>
      </c>
      <c r="S2395" s="75" t="str">
        <f t="shared" si="87"/>
        <v/>
      </c>
      <c r="T2395" s="157" t="s">
        <v>7342</v>
      </c>
      <c r="U2395" s="8">
        <v>45106</v>
      </c>
      <c r="W2395" s="6" t="s">
        <v>33</v>
      </c>
      <c r="X2395" s="7">
        <v>45164</v>
      </c>
    </row>
    <row r="2396" spans="1:24" x14ac:dyDescent="0.25">
      <c r="A2396" s="6" t="s">
        <v>37</v>
      </c>
      <c r="B2396" s="94" t="s">
        <v>7343</v>
      </c>
      <c r="C2396" s="6" t="s">
        <v>7344</v>
      </c>
      <c r="D2396" s="140">
        <v>11347635</v>
      </c>
      <c r="E2396" s="6" t="s">
        <v>678</v>
      </c>
      <c r="F2396" s="10" t="s">
        <v>205</v>
      </c>
      <c r="G2396" s="6" t="s">
        <v>7345</v>
      </c>
      <c r="H2396" s="8">
        <v>49573</v>
      </c>
      <c r="I2396" s="8">
        <v>44547</v>
      </c>
      <c r="J2396" s="8">
        <v>44585</v>
      </c>
      <c r="K2396" s="95">
        <v>44586</v>
      </c>
      <c r="L2396" s="95" t="s">
        <v>31</v>
      </c>
      <c r="M2396" s="8">
        <v>44607</v>
      </c>
      <c r="N2396" s="8">
        <v>44981</v>
      </c>
      <c r="O2396" s="8">
        <v>44959</v>
      </c>
      <c r="P2396" s="107"/>
      <c r="Q2396" s="96">
        <v>2628</v>
      </c>
      <c r="R2396" s="97">
        <f t="shared" si="86"/>
        <v>7.2</v>
      </c>
      <c r="S2396" s="75">
        <f t="shared" si="87"/>
        <v>59464.800000000003</v>
      </c>
      <c r="T2396" s="129"/>
      <c r="U2396" s="8">
        <v>44994</v>
      </c>
      <c r="W2396" s="6" t="s">
        <v>33</v>
      </c>
      <c r="X2396" s="7">
        <v>49573</v>
      </c>
    </row>
    <row r="2397" spans="1:24" x14ac:dyDescent="0.25">
      <c r="A2397" s="6" t="s">
        <v>37</v>
      </c>
      <c r="B2397" s="94" t="s">
        <v>7346</v>
      </c>
      <c r="C2397" s="6" t="s">
        <v>7347</v>
      </c>
      <c r="D2397" s="140">
        <v>11770949</v>
      </c>
      <c r="E2397" s="6" t="s">
        <v>2090</v>
      </c>
      <c r="F2397" s="10" t="s">
        <v>134</v>
      </c>
      <c r="G2397" s="6" t="s">
        <v>7348</v>
      </c>
      <c r="H2397" s="8">
        <v>48585</v>
      </c>
      <c r="I2397" s="8">
        <v>44572</v>
      </c>
      <c r="J2397" s="8">
        <v>44585</v>
      </c>
      <c r="K2397" s="95">
        <v>44586</v>
      </c>
      <c r="R2397" s="97" t="str">
        <f t="shared" si="86"/>
        <v/>
      </c>
      <c r="S2397" s="75" t="str">
        <f t="shared" si="87"/>
        <v/>
      </c>
    </row>
    <row r="2398" spans="1:24" x14ac:dyDescent="0.25">
      <c r="A2398" s="6" t="s">
        <v>25</v>
      </c>
      <c r="B2398" s="94" t="s">
        <v>7349</v>
      </c>
      <c r="C2398" s="6" t="s">
        <v>7350</v>
      </c>
      <c r="D2398" s="140">
        <v>11434853</v>
      </c>
      <c r="E2398" s="6" t="s">
        <v>446</v>
      </c>
      <c r="F2398" s="10" t="s">
        <v>44</v>
      </c>
      <c r="G2398" s="6" t="s">
        <v>7351</v>
      </c>
      <c r="H2398" s="8">
        <v>50625</v>
      </c>
      <c r="I2398" s="8">
        <v>44554</v>
      </c>
      <c r="J2398" s="8">
        <v>44585</v>
      </c>
      <c r="K2398" s="95">
        <v>44586</v>
      </c>
      <c r="L2398" s="95" t="s">
        <v>359</v>
      </c>
      <c r="R2398" s="97" t="str">
        <f t="shared" si="86"/>
        <v/>
      </c>
      <c r="S2398" s="75" t="str">
        <f t="shared" si="87"/>
        <v/>
      </c>
    </row>
    <row r="2399" spans="1:24" x14ac:dyDescent="0.25">
      <c r="A2399" s="6" t="s">
        <v>25</v>
      </c>
      <c r="B2399" s="94" t="s">
        <v>7352</v>
      </c>
      <c r="C2399" s="6" t="s">
        <v>7353</v>
      </c>
      <c r="D2399" s="140">
        <v>11210432</v>
      </c>
      <c r="E2399" s="6" t="s">
        <v>783</v>
      </c>
      <c r="F2399" s="10" t="s">
        <v>44</v>
      </c>
      <c r="G2399" s="6" t="s">
        <v>7354</v>
      </c>
      <c r="H2399" s="8">
        <v>45492</v>
      </c>
      <c r="I2399" s="8">
        <v>44572</v>
      </c>
      <c r="J2399" s="8">
        <v>44585</v>
      </c>
      <c r="K2399" s="95">
        <v>44586</v>
      </c>
      <c r="L2399" s="95" t="s">
        <v>359</v>
      </c>
      <c r="R2399" s="97" t="str">
        <f t="shared" si="86"/>
        <v/>
      </c>
      <c r="S2399" s="75" t="str">
        <f t="shared" si="87"/>
        <v/>
      </c>
    </row>
    <row r="2400" spans="1:24" x14ac:dyDescent="0.25">
      <c r="A2400" s="6" t="s">
        <v>25</v>
      </c>
      <c r="B2400" s="94" t="s">
        <v>2344</v>
      </c>
      <c r="C2400" s="6" t="s">
        <v>7355</v>
      </c>
      <c r="D2400" s="140">
        <v>11928540</v>
      </c>
      <c r="E2400" s="6" t="s">
        <v>1151</v>
      </c>
      <c r="F2400" s="10" t="s">
        <v>44</v>
      </c>
      <c r="G2400" s="6" t="s">
        <v>7356</v>
      </c>
      <c r="H2400" s="8">
        <v>46146</v>
      </c>
      <c r="I2400" s="8">
        <v>44546</v>
      </c>
      <c r="J2400" s="8">
        <v>44585</v>
      </c>
      <c r="K2400" s="95">
        <v>44586</v>
      </c>
      <c r="L2400" s="95" t="s">
        <v>359</v>
      </c>
      <c r="R2400" s="97" t="str">
        <f t="shared" si="86"/>
        <v/>
      </c>
      <c r="S2400" s="75" t="str">
        <f t="shared" si="87"/>
        <v/>
      </c>
    </row>
    <row r="2401" spans="1:24" x14ac:dyDescent="0.25">
      <c r="A2401" s="6" t="s">
        <v>168</v>
      </c>
      <c r="B2401" s="94" t="s">
        <v>7357</v>
      </c>
      <c r="C2401" s="6" t="s">
        <v>7358</v>
      </c>
      <c r="D2401" s="140">
        <v>12003585</v>
      </c>
      <c r="E2401" s="6" t="s">
        <v>3362</v>
      </c>
      <c r="F2401" s="10" t="s">
        <v>29</v>
      </c>
      <c r="G2401" s="6" t="s">
        <v>7359</v>
      </c>
      <c r="H2401" s="8">
        <v>49716</v>
      </c>
      <c r="I2401" s="8">
        <v>44391</v>
      </c>
      <c r="J2401" s="8">
        <v>44412</v>
      </c>
      <c r="K2401" s="95">
        <v>44414</v>
      </c>
      <c r="L2401" s="95" t="s">
        <v>359</v>
      </c>
      <c r="R2401" s="97" t="str">
        <f t="shared" si="86"/>
        <v/>
      </c>
      <c r="S2401" s="75" t="str">
        <f t="shared" si="87"/>
        <v/>
      </c>
      <c r="W2401" s="6" t="s">
        <v>84</v>
      </c>
      <c r="X2401" s="7">
        <v>47289</v>
      </c>
    </row>
    <row r="2402" spans="1:24" ht="30" x14ac:dyDescent="0.25">
      <c r="A2402" s="6" t="s">
        <v>25</v>
      </c>
      <c r="B2402" s="94" t="s">
        <v>2070</v>
      </c>
      <c r="C2402" s="6" t="s">
        <v>7360</v>
      </c>
      <c r="D2402" s="140">
        <v>11169223</v>
      </c>
      <c r="E2402" s="6" t="s">
        <v>1037</v>
      </c>
      <c r="F2402" s="10" t="s">
        <v>44</v>
      </c>
      <c r="G2402" s="6" t="s">
        <v>7361</v>
      </c>
      <c r="H2402" s="8">
        <v>45695</v>
      </c>
      <c r="I2402" s="8">
        <v>44559</v>
      </c>
      <c r="J2402" s="8">
        <v>44585</v>
      </c>
      <c r="K2402" s="95">
        <v>44586</v>
      </c>
      <c r="L2402" s="95" t="s">
        <v>31</v>
      </c>
      <c r="M2402" s="8">
        <v>44607</v>
      </c>
      <c r="N2402" s="8">
        <v>44812</v>
      </c>
      <c r="O2402" s="8">
        <v>44797</v>
      </c>
      <c r="P2402" s="6" t="s">
        <v>35</v>
      </c>
      <c r="Q2402" s="96">
        <v>488</v>
      </c>
      <c r="R2402" s="97">
        <f t="shared" si="86"/>
        <v>1.3369863013698631</v>
      </c>
      <c r="S2402" s="75">
        <f t="shared" si="87"/>
        <v>11042.1698630137</v>
      </c>
      <c r="U2402" s="8">
        <v>44818</v>
      </c>
      <c r="V2402" s="6" t="s">
        <v>36</v>
      </c>
      <c r="W2402" s="6" t="s">
        <v>33</v>
      </c>
      <c r="X2402" s="7">
        <v>44819</v>
      </c>
    </row>
    <row r="2403" spans="1:24" x14ac:dyDescent="0.25">
      <c r="A2403" s="6" t="s">
        <v>25</v>
      </c>
      <c r="B2403" s="94" t="s">
        <v>7362</v>
      </c>
      <c r="C2403" s="6" t="s">
        <v>7363</v>
      </c>
      <c r="D2403" s="140">
        <v>11104284</v>
      </c>
      <c r="E2403" s="6" t="s">
        <v>142</v>
      </c>
      <c r="F2403" s="10" t="s">
        <v>44</v>
      </c>
      <c r="G2403" s="6" t="s">
        <v>7364</v>
      </c>
      <c r="H2403" s="8">
        <v>51308</v>
      </c>
      <c r="I2403" s="8">
        <v>44559</v>
      </c>
      <c r="J2403" s="8">
        <v>44585</v>
      </c>
      <c r="K2403" s="95">
        <v>44586</v>
      </c>
      <c r="L2403" s="95" t="s">
        <v>31</v>
      </c>
      <c r="M2403" s="8">
        <v>44607</v>
      </c>
      <c r="N2403" s="8">
        <v>44922</v>
      </c>
      <c r="O2403" s="8">
        <v>44915</v>
      </c>
      <c r="P2403" s="6" t="s">
        <v>35</v>
      </c>
      <c r="Q2403" s="96">
        <v>5475</v>
      </c>
      <c r="R2403" s="97">
        <f t="shared" si="86"/>
        <v>15</v>
      </c>
      <c r="S2403" s="75">
        <f t="shared" si="87"/>
        <v>123885</v>
      </c>
      <c r="U2403" s="8">
        <v>45058</v>
      </c>
      <c r="W2403" s="6" t="s">
        <v>84</v>
      </c>
      <c r="X2403" s="7">
        <v>48632</v>
      </c>
    </row>
    <row r="2404" spans="1:24" x14ac:dyDescent="0.25">
      <c r="A2404" s="6" t="s">
        <v>25</v>
      </c>
      <c r="B2404" s="94" t="s">
        <v>7365</v>
      </c>
      <c r="C2404" s="6" t="s">
        <v>7366</v>
      </c>
      <c r="D2404" s="140">
        <v>11779158</v>
      </c>
      <c r="E2404" s="6" t="s">
        <v>162</v>
      </c>
      <c r="F2404" s="10" t="s">
        <v>2600</v>
      </c>
      <c r="G2404" s="6">
        <v>1359086</v>
      </c>
      <c r="H2404" s="8">
        <v>46194</v>
      </c>
      <c r="I2404" s="8">
        <v>44567</v>
      </c>
      <c r="J2404" s="8">
        <v>44585</v>
      </c>
      <c r="K2404" s="95">
        <v>44586</v>
      </c>
      <c r="L2404" s="95" t="s">
        <v>359</v>
      </c>
      <c r="R2404" s="97" t="str">
        <f t="shared" si="86"/>
        <v/>
      </c>
      <c r="S2404" s="75" t="str">
        <f t="shared" si="87"/>
        <v/>
      </c>
    </row>
    <row r="2405" spans="1:24" x14ac:dyDescent="0.25">
      <c r="A2405" s="6" t="s">
        <v>25</v>
      </c>
      <c r="B2405" s="94" t="s">
        <v>7367</v>
      </c>
      <c r="C2405" s="6" t="s">
        <v>7368</v>
      </c>
      <c r="D2405" s="140">
        <v>11505155</v>
      </c>
      <c r="E2405" s="6" t="s">
        <v>7369</v>
      </c>
      <c r="F2405" s="10" t="s">
        <v>57</v>
      </c>
      <c r="G2405" s="95" t="s">
        <v>7370</v>
      </c>
      <c r="H2405" s="8">
        <v>47581</v>
      </c>
      <c r="I2405" s="8">
        <v>44533</v>
      </c>
      <c r="J2405" s="8">
        <v>44557</v>
      </c>
      <c r="K2405" s="95">
        <v>44557</v>
      </c>
      <c r="L2405" s="95" t="s">
        <v>31</v>
      </c>
      <c r="M2405" s="8">
        <v>44607</v>
      </c>
      <c r="N2405" s="8">
        <v>44805</v>
      </c>
      <c r="O2405" s="8">
        <v>44802</v>
      </c>
      <c r="P2405" s="6" t="s">
        <v>35</v>
      </c>
      <c r="Q2405" s="96">
        <v>1950</v>
      </c>
      <c r="R2405" s="97">
        <f t="shared" si="86"/>
        <v>5.3424657534246576</v>
      </c>
      <c r="S2405" s="75">
        <f t="shared" si="87"/>
        <v>44123.424657534248</v>
      </c>
      <c r="U2405" s="8">
        <v>44875</v>
      </c>
      <c r="W2405" s="6" t="s">
        <v>33</v>
      </c>
      <c r="X2405" s="7">
        <v>45631</v>
      </c>
    </row>
    <row r="2406" spans="1:24" ht="30" x14ac:dyDescent="0.25">
      <c r="A2406" s="6" t="s">
        <v>37</v>
      </c>
      <c r="B2406" s="94" t="s">
        <v>7371</v>
      </c>
      <c r="C2406" s="6" t="s">
        <v>7372</v>
      </c>
      <c r="D2406" s="140">
        <v>11595693</v>
      </c>
      <c r="E2406" s="6" t="s">
        <v>498</v>
      </c>
      <c r="F2406" s="10" t="s">
        <v>29</v>
      </c>
      <c r="G2406" s="6" t="s">
        <v>7373</v>
      </c>
      <c r="H2406" s="8">
        <v>46784</v>
      </c>
      <c r="I2406" s="8">
        <v>44544</v>
      </c>
      <c r="J2406" s="8">
        <v>44557</v>
      </c>
      <c r="K2406" s="95">
        <v>44557</v>
      </c>
      <c r="L2406" s="95" t="s">
        <v>359</v>
      </c>
      <c r="R2406" s="97" t="str">
        <f t="shared" si="86"/>
        <v/>
      </c>
      <c r="S2406" s="75" t="str">
        <f t="shared" si="87"/>
        <v/>
      </c>
    </row>
    <row r="2407" spans="1:24" x14ac:dyDescent="0.25">
      <c r="A2407" s="6" t="s">
        <v>25</v>
      </c>
      <c r="B2407" s="94" t="s">
        <v>7374</v>
      </c>
      <c r="C2407" s="6" t="s">
        <v>7375</v>
      </c>
      <c r="D2407" s="140">
        <v>11913426</v>
      </c>
      <c r="E2407" s="6" t="s">
        <v>428</v>
      </c>
      <c r="F2407" s="10" t="s">
        <v>44</v>
      </c>
      <c r="G2407" s="6" t="s">
        <v>7376</v>
      </c>
      <c r="H2407" s="8">
        <v>46289</v>
      </c>
      <c r="I2407" s="8">
        <v>44533</v>
      </c>
      <c r="J2407" s="8">
        <v>44557</v>
      </c>
      <c r="K2407" s="95">
        <v>44557</v>
      </c>
      <c r="L2407" s="95" t="s">
        <v>359</v>
      </c>
      <c r="R2407" s="97" t="str">
        <f t="shared" si="86"/>
        <v/>
      </c>
      <c r="S2407" s="75" t="str">
        <f t="shared" si="87"/>
        <v/>
      </c>
    </row>
    <row r="2408" spans="1:24" x14ac:dyDescent="0.25">
      <c r="A2408" s="6" t="s">
        <v>25</v>
      </c>
      <c r="B2408" s="94" t="s">
        <v>7377</v>
      </c>
      <c r="C2408" s="6" t="s">
        <v>7378</v>
      </c>
      <c r="D2408" s="140">
        <v>11117365</v>
      </c>
      <c r="E2408" s="6" t="s">
        <v>1996</v>
      </c>
      <c r="F2408" s="10" t="s">
        <v>44</v>
      </c>
      <c r="G2408" s="6" t="s">
        <v>7379</v>
      </c>
      <c r="H2408" s="8">
        <v>46062</v>
      </c>
      <c r="I2408" s="8">
        <v>44537</v>
      </c>
      <c r="J2408" s="8">
        <v>44537</v>
      </c>
      <c r="K2408" s="95">
        <v>44557</v>
      </c>
      <c r="L2408" s="95" t="s">
        <v>359</v>
      </c>
      <c r="R2408" s="97" t="str">
        <f t="shared" si="86"/>
        <v/>
      </c>
      <c r="S2408" s="75" t="str">
        <f t="shared" si="87"/>
        <v/>
      </c>
    </row>
    <row r="2409" spans="1:24" ht="30" x14ac:dyDescent="0.25">
      <c r="A2409" s="6" t="s">
        <v>25</v>
      </c>
      <c r="B2409" s="94" t="s">
        <v>197</v>
      </c>
      <c r="C2409" s="6" t="s">
        <v>7380</v>
      </c>
      <c r="D2409" s="140">
        <v>11908976</v>
      </c>
      <c r="E2409" s="6" t="s">
        <v>216</v>
      </c>
      <c r="F2409" s="10" t="s">
        <v>205</v>
      </c>
      <c r="G2409" s="6" t="s">
        <v>7381</v>
      </c>
      <c r="H2409" s="8">
        <v>46167</v>
      </c>
      <c r="I2409" s="8">
        <v>44560</v>
      </c>
      <c r="J2409" s="8">
        <v>44585</v>
      </c>
      <c r="K2409" s="95">
        <v>44586</v>
      </c>
      <c r="L2409" s="95" t="s">
        <v>359</v>
      </c>
      <c r="R2409" s="97" t="str">
        <f t="shared" si="86"/>
        <v/>
      </c>
      <c r="S2409" s="75" t="str">
        <f t="shared" si="87"/>
        <v/>
      </c>
    </row>
    <row r="2410" spans="1:24" x14ac:dyDescent="0.25">
      <c r="A2410" s="6" t="s">
        <v>37</v>
      </c>
      <c r="B2410" s="94" t="s">
        <v>7382</v>
      </c>
      <c r="C2410" s="6" t="s">
        <v>7383</v>
      </c>
      <c r="D2410" s="140">
        <v>11997440</v>
      </c>
      <c r="E2410" s="6" t="s">
        <v>714</v>
      </c>
      <c r="F2410" s="10" t="s">
        <v>528</v>
      </c>
      <c r="G2410" s="6" t="s">
        <v>7384</v>
      </c>
      <c r="H2410" s="8">
        <v>45238</v>
      </c>
      <c r="I2410" s="8">
        <v>44560</v>
      </c>
      <c r="J2410" s="8">
        <v>44585</v>
      </c>
      <c r="K2410" s="95">
        <v>44586</v>
      </c>
      <c r="L2410" s="95" t="s">
        <v>359</v>
      </c>
      <c r="R2410" s="97" t="str">
        <f t="shared" si="86"/>
        <v/>
      </c>
      <c r="S2410" s="75" t="str">
        <f t="shared" si="87"/>
        <v/>
      </c>
    </row>
    <row r="2411" spans="1:24" x14ac:dyDescent="0.25">
      <c r="A2411" s="6" t="s">
        <v>37</v>
      </c>
      <c r="B2411" s="94" t="s">
        <v>373</v>
      </c>
      <c r="C2411" s="6" t="s">
        <v>7385</v>
      </c>
      <c r="D2411" s="140">
        <v>11722958</v>
      </c>
      <c r="E2411" s="6" t="s">
        <v>714</v>
      </c>
      <c r="F2411" s="10" t="s">
        <v>50</v>
      </c>
      <c r="G2411" s="6" t="s">
        <v>7386</v>
      </c>
      <c r="H2411" s="8">
        <v>45720</v>
      </c>
      <c r="I2411" s="8">
        <v>44560</v>
      </c>
      <c r="J2411" s="8">
        <v>44585</v>
      </c>
      <c r="K2411" s="95">
        <v>44586</v>
      </c>
      <c r="L2411" s="95" t="s">
        <v>359</v>
      </c>
      <c r="R2411" s="97" t="str">
        <f t="shared" si="86"/>
        <v/>
      </c>
      <c r="S2411" s="75" t="str">
        <f t="shared" si="87"/>
        <v/>
      </c>
    </row>
    <row r="2412" spans="1:24" x14ac:dyDescent="0.25">
      <c r="A2412" s="6" t="s">
        <v>37</v>
      </c>
      <c r="B2412" s="94" t="s">
        <v>7387</v>
      </c>
      <c r="C2412" s="6" t="s">
        <v>7388</v>
      </c>
      <c r="D2412" s="140">
        <v>11194526</v>
      </c>
      <c r="E2412" s="6" t="s">
        <v>7220</v>
      </c>
      <c r="F2412" s="10" t="s">
        <v>134</v>
      </c>
      <c r="G2412" s="6" t="s">
        <v>7389</v>
      </c>
      <c r="H2412" s="8">
        <v>45448</v>
      </c>
      <c r="I2412" s="8">
        <v>44560</v>
      </c>
      <c r="J2412" s="8">
        <v>44585</v>
      </c>
      <c r="K2412" s="95">
        <v>44586</v>
      </c>
      <c r="L2412" s="95" t="s">
        <v>359</v>
      </c>
      <c r="R2412" s="97" t="str">
        <f t="shared" si="86"/>
        <v/>
      </c>
      <c r="S2412" s="75" t="str">
        <f t="shared" si="87"/>
        <v/>
      </c>
    </row>
    <row r="2413" spans="1:24" ht="30" x14ac:dyDescent="0.25">
      <c r="A2413" s="6" t="s">
        <v>37</v>
      </c>
      <c r="B2413" s="94" t="s">
        <v>7390</v>
      </c>
      <c r="C2413" s="6" t="s">
        <v>7391</v>
      </c>
      <c r="D2413" s="140">
        <v>11599341</v>
      </c>
      <c r="E2413" s="6" t="s">
        <v>130</v>
      </c>
      <c r="F2413" s="10" t="s">
        <v>44</v>
      </c>
      <c r="G2413" s="6" t="s">
        <v>7392</v>
      </c>
      <c r="H2413" s="8">
        <v>49202</v>
      </c>
      <c r="I2413" s="8">
        <v>44560</v>
      </c>
      <c r="J2413" s="8">
        <v>44585</v>
      </c>
      <c r="K2413" s="95">
        <v>44586</v>
      </c>
      <c r="L2413" s="95" t="s">
        <v>359</v>
      </c>
      <c r="R2413" s="97" t="str">
        <f t="shared" si="86"/>
        <v/>
      </c>
      <c r="S2413" s="75" t="str">
        <f t="shared" si="87"/>
        <v/>
      </c>
    </row>
    <row r="2414" spans="1:24" x14ac:dyDescent="0.25">
      <c r="A2414" s="6" t="s">
        <v>37</v>
      </c>
      <c r="B2414" s="94" t="s">
        <v>178</v>
      </c>
      <c r="C2414" s="6" t="s">
        <v>7393</v>
      </c>
      <c r="D2414" s="140">
        <v>11568296</v>
      </c>
      <c r="E2414" s="6" t="s">
        <v>962</v>
      </c>
      <c r="F2414" s="10" t="s">
        <v>44</v>
      </c>
      <c r="G2414" s="6" t="s">
        <v>7394</v>
      </c>
      <c r="H2414" s="8">
        <v>47167</v>
      </c>
      <c r="I2414" s="8">
        <v>44560</v>
      </c>
      <c r="J2414" s="8">
        <v>44585</v>
      </c>
      <c r="K2414" s="95">
        <v>44586</v>
      </c>
      <c r="L2414" s="95" t="s">
        <v>359</v>
      </c>
      <c r="R2414" s="97" t="str">
        <f t="shared" si="86"/>
        <v/>
      </c>
      <c r="S2414" s="75" t="str">
        <f t="shared" si="87"/>
        <v/>
      </c>
    </row>
    <row r="2415" spans="1:24" x14ac:dyDescent="0.25">
      <c r="A2415" s="6" t="s">
        <v>25</v>
      </c>
      <c r="B2415" s="94" t="s">
        <v>7395</v>
      </c>
      <c r="C2415" s="6" t="s">
        <v>7396</v>
      </c>
      <c r="D2415" s="140">
        <v>11136369</v>
      </c>
      <c r="E2415" s="6" t="s">
        <v>166</v>
      </c>
      <c r="F2415" s="10" t="s">
        <v>2296</v>
      </c>
      <c r="G2415" s="6">
        <v>62065823</v>
      </c>
      <c r="H2415" s="8">
        <v>50745</v>
      </c>
      <c r="I2415" s="8">
        <v>44565</v>
      </c>
      <c r="J2415" s="8">
        <v>44592</v>
      </c>
      <c r="K2415" s="95">
        <v>44593</v>
      </c>
      <c r="L2415" s="95" t="s">
        <v>31</v>
      </c>
      <c r="M2415" s="8">
        <v>44607</v>
      </c>
      <c r="N2415" s="8">
        <v>45030</v>
      </c>
      <c r="O2415" s="8">
        <v>44930</v>
      </c>
      <c r="P2415" s="107"/>
      <c r="Q2415" s="96">
        <v>5475</v>
      </c>
      <c r="R2415" s="97">
        <f t="shared" si="86"/>
        <v>15</v>
      </c>
      <c r="S2415" s="75">
        <f t="shared" si="87"/>
        <v>123885</v>
      </c>
      <c r="T2415" s="129"/>
      <c r="U2415" s="8">
        <v>45058</v>
      </c>
      <c r="W2415" s="6" t="s">
        <v>84</v>
      </c>
      <c r="X2415" s="7">
        <v>48184</v>
      </c>
    </row>
    <row r="2416" spans="1:24" x14ac:dyDescent="0.25">
      <c r="A2416" s="6" t="s">
        <v>25</v>
      </c>
      <c r="B2416" s="94" t="s">
        <v>7397</v>
      </c>
      <c r="C2416" s="6" t="s">
        <v>7398</v>
      </c>
      <c r="D2416" s="140">
        <v>11193513</v>
      </c>
      <c r="E2416" s="6" t="s">
        <v>527</v>
      </c>
      <c r="F2416" s="10" t="s">
        <v>44</v>
      </c>
      <c r="G2416" s="6" t="s">
        <v>7399</v>
      </c>
      <c r="H2416" s="8">
        <v>51470</v>
      </c>
      <c r="I2416" s="8">
        <v>44567</v>
      </c>
      <c r="J2416" s="8">
        <v>44592</v>
      </c>
      <c r="K2416" s="95">
        <v>44593</v>
      </c>
      <c r="L2416" s="95" t="s">
        <v>31</v>
      </c>
      <c r="M2416" s="8">
        <v>44607</v>
      </c>
      <c r="N2416" s="8">
        <v>44860</v>
      </c>
      <c r="O2416" s="8">
        <v>44859</v>
      </c>
      <c r="P2416" s="6" t="s">
        <v>35</v>
      </c>
      <c r="Q2416" s="96">
        <v>1825</v>
      </c>
      <c r="R2416" s="97">
        <f t="shared" si="86"/>
        <v>5</v>
      </c>
      <c r="S2416" s="75">
        <f t="shared" si="87"/>
        <v>41295</v>
      </c>
      <c r="U2416" s="8">
        <v>45058</v>
      </c>
      <c r="W2416" s="6" t="s">
        <v>33</v>
      </c>
      <c r="X2416" s="7">
        <v>48954</v>
      </c>
    </row>
    <row r="2417" spans="1:24" ht="30" x14ac:dyDescent="0.25">
      <c r="A2417" s="6" t="s">
        <v>25</v>
      </c>
      <c r="B2417" s="94" t="s">
        <v>2162</v>
      </c>
      <c r="C2417" s="6" t="s">
        <v>7400</v>
      </c>
      <c r="D2417" s="140">
        <v>11927850</v>
      </c>
      <c r="E2417" s="6" t="s">
        <v>584</v>
      </c>
      <c r="F2417" s="10" t="s">
        <v>57</v>
      </c>
      <c r="G2417" s="6" t="s">
        <v>7401</v>
      </c>
      <c r="H2417" s="8">
        <v>49868</v>
      </c>
      <c r="I2417" s="8">
        <v>44572</v>
      </c>
      <c r="J2417" s="8">
        <v>44601</v>
      </c>
      <c r="K2417" s="95">
        <v>44602</v>
      </c>
      <c r="L2417" s="95" t="s">
        <v>31</v>
      </c>
      <c r="M2417" s="8">
        <v>44630</v>
      </c>
      <c r="N2417" s="8">
        <v>44908</v>
      </c>
      <c r="O2417" s="8">
        <v>44897</v>
      </c>
      <c r="P2417" s="6" t="s">
        <v>35</v>
      </c>
      <c r="Q2417" s="96">
        <v>1825</v>
      </c>
      <c r="R2417" s="97">
        <f t="shared" si="86"/>
        <v>5</v>
      </c>
      <c r="S2417" s="75">
        <f t="shared" si="87"/>
        <v>41295</v>
      </c>
      <c r="U2417" s="8">
        <v>44980</v>
      </c>
      <c r="W2417" s="6" t="s">
        <v>33</v>
      </c>
      <c r="X2417" s="7">
        <v>48895</v>
      </c>
    </row>
    <row r="2418" spans="1:24" x14ac:dyDescent="0.25">
      <c r="A2418" s="6" t="s">
        <v>25</v>
      </c>
      <c r="B2418" s="94" t="s">
        <v>145</v>
      </c>
      <c r="C2418" s="6" t="s">
        <v>7402</v>
      </c>
      <c r="D2418" s="140">
        <v>11887662</v>
      </c>
      <c r="E2418" s="6" t="s">
        <v>1185</v>
      </c>
      <c r="F2418" s="10" t="s">
        <v>57</v>
      </c>
      <c r="G2418" s="6" t="s">
        <v>7403</v>
      </c>
      <c r="H2418" s="8">
        <v>45471</v>
      </c>
      <c r="I2418" s="8">
        <v>44575</v>
      </c>
      <c r="J2418" s="8">
        <v>44601</v>
      </c>
      <c r="K2418" s="95">
        <v>44602</v>
      </c>
      <c r="L2418" s="95" t="s">
        <v>359</v>
      </c>
      <c r="R2418" s="97" t="str">
        <f t="shared" si="86"/>
        <v/>
      </c>
      <c r="S2418" s="75" t="str">
        <f t="shared" si="87"/>
        <v/>
      </c>
    </row>
    <row r="2419" spans="1:24" x14ac:dyDescent="0.25">
      <c r="A2419" s="6" t="s">
        <v>25</v>
      </c>
      <c r="B2419" s="94" t="s">
        <v>108</v>
      </c>
      <c r="C2419" s="6" t="s">
        <v>7404</v>
      </c>
      <c r="D2419" s="140">
        <v>11179096</v>
      </c>
      <c r="E2419" s="6" t="s">
        <v>1927</v>
      </c>
      <c r="F2419" s="10" t="s">
        <v>44</v>
      </c>
      <c r="G2419" s="6" t="s">
        <v>7405</v>
      </c>
      <c r="H2419" s="8">
        <v>51314</v>
      </c>
      <c r="I2419" s="8">
        <v>44572</v>
      </c>
      <c r="J2419" s="8">
        <v>44601</v>
      </c>
      <c r="K2419" s="95">
        <v>44621</v>
      </c>
      <c r="L2419" s="95" t="s">
        <v>31</v>
      </c>
      <c r="M2419" s="8">
        <v>44655</v>
      </c>
      <c r="N2419" s="8">
        <v>45008</v>
      </c>
      <c r="O2419" s="8">
        <v>45006</v>
      </c>
      <c r="P2419" s="6" t="s">
        <v>35</v>
      </c>
      <c r="Q2419" s="96">
        <v>9855</v>
      </c>
      <c r="R2419" s="97">
        <f t="shared" si="86"/>
        <v>27</v>
      </c>
      <c r="S2419" s="75">
        <f t="shared" si="87"/>
        <v>222993</v>
      </c>
      <c r="U2419" s="8">
        <v>45021</v>
      </c>
      <c r="V2419" s="6" t="s">
        <v>36</v>
      </c>
      <c r="W2419" s="6" t="s">
        <v>84</v>
      </c>
      <c r="X2419" s="7">
        <v>50253</v>
      </c>
    </row>
    <row r="2420" spans="1:24" x14ac:dyDescent="0.25">
      <c r="A2420" s="6" t="s">
        <v>25</v>
      </c>
      <c r="B2420" s="94" t="s">
        <v>7406</v>
      </c>
      <c r="C2420" s="6" t="s">
        <v>7407</v>
      </c>
      <c r="D2420" s="140">
        <v>11685832</v>
      </c>
      <c r="E2420" s="6" t="s">
        <v>1659</v>
      </c>
      <c r="F2420" s="10" t="s">
        <v>44</v>
      </c>
      <c r="G2420" s="6" t="s">
        <v>7408</v>
      </c>
      <c r="H2420" s="8">
        <v>47040</v>
      </c>
      <c r="I2420" s="8">
        <v>44560</v>
      </c>
      <c r="J2420" s="8">
        <v>44601</v>
      </c>
      <c r="K2420" s="95">
        <v>44602</v>
      </c>
      <c r="L2420" s="95" t="s">
        <v>31</v>
      </c>
      <c r="M2420" s="8">
        <v>44630</v>
      </c>
      <c r="N2420" s="8">
        <v>44986</v>
      </c>
      <c r="O2420" s="8">
        <v>44945</v>
      </c>
      <c r="P2420" s="6" t="s">
        <v>35</v>
      </c>
      <c r="Q2420" s="96">
        <v>1460</v>
      </c>
      <c r="R2420" s="97">
        <f t="shared" si="86"/>
        <v>4</v>
      </c>
      <c r="S2420" s="75">
        <f t="shared" si="87"/>
        <v>33036</v>
      </c>
      <c r="U2420" s="8">
        <v>45056</v>
      </c>
      <c r="W2420" s="6" t="s">
        <v>33</v>
      </c>
      <c r="X2420" s="7">
        <v>46501</v>
      </c>
    </row>
    <row r="2421" spans="1:24" x14ac:dyDescent="0.25">
      <c r="A2421" s="6" t="s">
        <v>25</v>
      </c>
      <c r="B2421" s="94" t="s">
        <v>7409</v>
      </c>
      <c r="C2421" s="6" t="s">
        <v>7410</v>
      </c>
      <c r="D2421" s="140">
        <v>11783868</v>
      </c>
      <c r="E2421" s="6" t="s">
        <v>615</v>
      </c>
      <c r="F2421" s="10" t="s">
        <v>44</v>
      </c>
      <c r="G2421" s="6" t="s">
        <v>7411</v>
      </c>
      <c r="H2421" s="8">
        <v>47265</v>
      </c>
      <c r="I2421" s="8">
        <v>44574</v>
      </c>
      <c r="J2421" s="8">
        <v>44601</v>
      </c>
      <c r="K2421" s="95">
        <v>44602</v>
      </c>
      <c r="L2421" s="95" t="s">
        <v>359</v>
      </c>
      <c r="R2421" s="97" t="str">
        <f t="shared" si="86"/>
        <v/>
      </c>
      <c r="S2421" s="75" t="str">
        <f t="shared" si="87"/>
        <v/>
      </c>
    </row>
    <row r="2422" spans="1:24" x14ac:dyDescent="0.25">
      <c r="A2422" s="6" t="s">
        <v>25</v>
      </c>
      <c r="B2422" s="94" t="s">
        <v>7412</v>
      </c>
      <c r="C2422" s="6" t="s">
        <v>7413</v>
      </c>
      <c r="D2422" s="140">
        <v>11128066</v>
      </c>
      <c r="E2422" s="6" t="s">
        <v>958</v>
      </c>
      <c r="F2422" s="10" t="s">
        <v>44</v>
      </c>
      <c r="G2422" s="6" t="s">
        <v>7414</v>
      </c>
      <c r="H2422" s="8">
        <v>45977</v>
      </c>
      <c r="I2422" s="8">
        <v>44571</v>
      </c>
      <c r="J2422" s="8">
        <v>44601</v>
      </c>
      <c r="K2422" s="95">
        <v>44602</v>
      </c>
      <c r="L2422" s="95" t="s">
        <v>31</v>
      </c>
      <c r="M2422" s="8">
        <v>44630</v>
      </c>
      <c r="N2422" s="8">
        <v>44715</v>
      </c>
      <c r="O2422" s="8">
        <v>44714</v>
      </c>
      <c r="P2422" s="6" t="s">
        <v>35</v>
      </c>
      <c r="Q2422" s="96">
        <v>1255</v>
      </c>
      <c r="R2422" s="97">
        <f t="shared" si="86"/>
        <v>3.4383561643835616</v>
      </c>
      <c r="S2422" s="75">
        <f t="shared" si="87"/>
        <v>28397.383561643837</v>
      </c>
      <c r="U2422" s="8">
        <v>44719</v>
      </c>
      <c r="V2422" s="6" t="s">
        <v>36</v>
      </c>
      <c r="W2422" s="6" t="s">
        <v>33</v>
      </c>
      <c r="X2422" s="7">
        <v>44722</v>
      </c>
    </row>
    <row r="2423" spans="1:24" x14ac:dyDescent="0.25">
      <c r="A2423" s="6" t="s">
        <v>37</v>
      </c>
      <c r="B2423" s="94" t="s">
        <v>6651</v>
      </c>
      <c r="C2423" s="6" t="s">
        <v>7415</v>
      </c>
      <c r="D2423" s="140">
        <v>11631017</v>
      </c>
      <c r="E2423" s="6" t="s">
        <v>1960</v>
      </c>
      <c r="F2423" s="10" t="s">
        <v>44</v>
      </c>
      <c r="G2423" s="6" t="s">
        <v>7416</v>
      </c>
      <c r="H2423" s="8">
        <v>45396</v>
      </c>
      <c r="I2423" s="8">
        <v>44574</v>
      </c>
      <c r="J2423" s="8">
        <v>44601</v>
      </c>
      <c r="K2423" s="95">
        <v>44602</v>
      </c>
      <c r="L2423" s="95" t="s">
        <v>359</v>
      </c>
      <c r="R2423" s="97" t="str">
        <f t="shared" si="86"/>
        <v/>
      </c>
      <c r="S2423" s="75" t="str">
        <f t="shared" si="87"/>
        <v/>
      </c>
    </row>
    <row r="2424" spans="1:24" x14ac:dyDescent="0.25">
      <c r="A2424" s="6" t="s">
        <v>25</v>
      </c>
      <c r="B2424" s="94" t="s">
        <v>7417</v>
      </c>
      <c r="C2424" s="6" t="s">
        <v>7418</v>
      </c>
      <c r="D2424" s="140">
        <v>12159105</v>
      </c>
      <c r="E2424" s="6" t="s">
        <v>7419</v>
      </c>
      <c r="F2424" s="10" t="s">
        <v>44</v>
      </c>
      <c r="G2424" s="6" t="s">
        <v>7420</v>
      </c>
      <c r="H2424" s="8">
        <v>45383</v>
      </c>
      <c r="I2424" s="8">
        <v>44574</v>
      </c>
      <c r="J2424" s="8">
        <v>44601</v>
      </c>
      <c r="K2424" s="95">
        <v>44602</v>
      </c>
      <c r="L2424" s="95" t="s">
        <v>359</v>
      </c>
      <c r="R2424" s="97" t="str">
        <f t="shared" si="86"/>
        <v/>
      </c>
      <c r="S2424" s="75" t="str">
        <f t="shared" si="87"/>
        <v/>
      </c>
    </row>
    <row r="2425" spans="1:24" x14ac:dyDescent="0.25">
      <c r="A2425" s="6" t="s">
        <v>25</v>
      </c>
      <c r="B2425" s="94" t="s">
        <v>5836</v>
      </c>
      <c r="C2425" s="6" t="s">
        <v>7421</v>
      </c>
      <c r="D2425" s="140">
        <v>11218086</v>
      </c>
      <c r="E2425" s="6" t="s">
        <v>180</v>
      </c>
      <c r="F2425" s="10" t="s">
        <v>44</v>
      </c>
      <c r="G2425" s="6" t="s">
        <v>7422</v>
      </c>
      <c r="H2425" s="8">
        <v>45531</v>
      </c>
      <c r="I2425" s="8">
        <v>44586</v>
      </c>
      <c r="J2425" s="8">
        <v>44609</v>
      </c>
      <c r="K2425" s="95">
        <v>44609</v>
      </c>
      <c r="L2425" s="95" t="s">
        <v>359</v>
      </c>
      <c r="R2425" s="97" t="str">
        <f t="shared" si="86"/>
        <v/>
      </c>
      <c r="S2425" s="75" t="str">
        <f t="shared" si="87"/>
        <v/>
      </c>
    </row>
    <row r="2426" spans="1:24" x14ac:dyDescent="0.25">
      <c r="A2426" s="6" t="s">
        <v>25</v>
      </c>
      <c r="B2426" s="94" t="s">
        <v>2632</v>
      </c>
      <c r="C2426" s="6" t="s">
        <v>7423</v>
      </c>
      <c r="D2426" s="140">
        <v>11566013</v>
      </c>
      <c r="E2426" s="6" t="s">
        <v>2454</v>
      </c>
      <c r="F2426" s="10" t="s">
        <v>44</v>
      </c>
      <c r="G2426" s="6" t="s">
        <v>7424</v>
      </c>
      <c r="H2426" s="8">
        <v>46380</v>
      </c>
      <c r="I2426" s="8">
        <v>44587</v>
      </c>
      <c r="J2426" s="8">
        <v>44609</v>
      </c>
      <c r="K2426" s="95">
        <v>44609</v>
      </c>
      <c r="L2426" s="95" t="s">
        <v>359</v>
      </c>
      <c r="R2426" s="97" t="str">
        <f t="shared" si="86"/>
        <v/>
      </c>
      <c r="S2426" s="75" t="str">
        <f t="shared" si="87"/>
        <v/>
      </c>
    </row>
    <row r="2427" spans="1:24" x14ac:dyDescent="0.25">
      <c r="A2427" s="6" t="s">
        <v>25</v>
      </c>
      <c r="B2427" s="94" t="s">
        <v>1552</v>
      </c>
      <c r="C2427" s="6" t="s">
        <v>7425</v>
      </c>
      <c r="D2427" s="140">
        <v>12116373</v>
      </c>
      <c r="E2427" s="6" t="s">
        <v>3644</v>
      </c>
      <c r="F2427" s="10" t="s">
        <v>44</v>
      </c>
      <c r="G2427" s="6" t="s">
        <v>7426</v>
      </c>
      <c r="H2427" s="8">
        <v>45890</v>
      </c>
      <c r="I2427" s="8">
        <v>44592</v>
      </c>
      <c r="J2427" s="8">
        <v>44609</v>
      </c>
      <c r="K2427" s="95">
        <v>44609</v>
      </c>
      <c r="L2427" s="95" t="s">
        <v>31</v>
      </c>
      <c r="M2427" s="8">
        <v>44630</v>
      </c>
      <c r="N2427" s="8">
        <v>44566</v>
      </c>
      <c r="O2427" s="8">
        <v>44916</v>
      </c>
      <c r="P2427" s="6" t="s">
        <v>35</v>
      </c>
      <c r="Q2427" s="96">
        <v>1825</v>
      </c>
      <c r="R2427" s="97">
        <f t="shared" si="86"/>
        <v>5</v>
      </c>
      <c r="S2427" s="75">
        <f t="shared" si="87"/>
        <v>41295</v>
      </c>
      <c r="U2427" s="8">
        <v>44937</v>
      </c>
      <c r="V2427" s="6" t="s">
        <v>36</v>
      </c>
      <c r="W2427" s="6" t="s">
        <v>33</v>
      </c>
      <c r="X2427" s="7">
        <v>45890</v>
      </c>
    </row>
    <row r="2428" spans="1:24" x14ac:dyDescent="0.25">
      <c r="A2428" s="6" t="s">
        <v>25</v>
      </c>
      <c r="B2428" s="94" t="s">
        <v>7427</v>
      </c>
      <c r="C2428" s="6" t="s">
        <v>7428</v>
      </c>
      <c r="D2428" s="140">
        <v>11499700</v>
      </c>
      <c r="E2428" s="6" t="s">
        <v>1200</v>
      </c>
      <c r="F2428" s="10" t="s">
        <v>299</v>
      </c>
      <c r="G2428" s="6" t="s">
        <v>7429</v>
      </c>
      <c r="H2428" s="8">
        <v>45886</v>
      </c>
      <c r="I2428" s="8">
        <v>44587</v>
      </c>
      <c r="J2428" s="8">
        <v>44609</v>
      </c>
      <c r="K2428" s="95">
        <v>44609</v>
      </c>
      <c r="L2428" s="95" t="s">
        <v>359</v>
      </c>
      <c r="R2428" s="97" t="str">
        <f t="shared" si="86"/>
        <v/>
      </c>
      <c r="S2428" s="75" t="str">
        <f t="shared" si="87"/>
        <v/>
      </c>
    </row>
    <row r="2429" spans="1:24" x14ac:dyDescent="0.25">
      <c r="A2429" s="6" t="s">
        <v>25</v>
      </c>
      <c r="B2429" s="94" t="s">
        <v>3698</v>
      </c>
      <c r="C2429" s="6" t="s">
        <v>7430</v>
      </c>
      <c r="D2429" s="140">
        <v>11339248</v>
      </c>
      <c r="E2429" s="6" t="s">
        <v>2086</v>
      </c>
      <c r="F2429" s="10" t="s">
        <v>44</v>
      </c>
      <c r="G2429" s="6" t="s">
        <v>7431</v>
      </c>
      <c r="H2429" s="8">
        <v>45505</v>
      </c>
      <c r="I2429" s="8">
        <v>44581</v>
      </c>
      <c r="J2429" s="8">
        <v>44609</v>
      </c>
      <c r="K2429" s="95">
        <v>44609</v>
      </c>
      <c r="L2429" s="95" t="s">
        <v>359</v>
      </c>
      <c r="R2429" s="97" t="str">
        <f t="shared" si="86"/>
        <v/>
      </c>
      <c r="S2429" s="75" t="str">
        <f t="shared" si="87"/>
        <v/>
      </c>
    </row>
    <row r="2430" spans="1:24" x14ac:dyDescent="0.25">
      <c r="A2430" s="6" t="s">
        <v>25</v>
      </c>
      <c r="B2430" s="94" t="s">
        <v>890</v>
      </c>
      <c r="C2430" s="6" t="s">
        <v>7432</v>
      </c>
      <c r="D2430" s="140">
        <v>11973144</v>
      </c>
      <c r="E2430" s="6" t="s">
        <v>88</v>
      </c>
      <c r="F2430" s="10" t="s">
        <v>44</v>
      </c>
      <c r="G2430" s="6" t="s">
        <v>7433</v>
      </c>
      <c r="H2430" s="8">
        <v>46534</v>
      </c>
      <c r="I2430" s="8">
        <v>44581</v>
      </c>
      <c r="J2430" s="8">
        <v>44609</v>
      </c>
      <c r="K2430" s="95">
        <v>44609</v>
      </c>
      <c r="L2430" s="95" t="s">
        <v>359</v>
      </c>
      <c r="R2430" s="97" t="str">
        <f t="shared" si="86"/>
        <v/>
      </c>
      <c r="S2430" s="75" t="str">
        <f t="shared" si="87"/>
        <v/>
      </c>
    </row>
    <row r="2431" spans="1:24" x14ac:dyDescent="0.25">
      <c r="A2431" s="6" t="s">
        <v>25</v>
      </c>
      <c r="B2431" s="94" t="s">
        <v>7434</v>
      </c>
      <c r="C2431" s="6" t="s">
        <v>7435</v>
      </c>
      <c r="D2431" s="140">
        <v>11128351</v>
      </c>
      <c r="E2431" s="6" t="s">
        <v>1662</v>
      </c>
      <c r="F2431" s="10" t="s">
        <v>44</v>
      </c>
      <c r="G2431" s="6" t="s">
        <v>7436</v>
      </c>
      <c r="H2431" s="8">
        <v>45833</v>
      </c>
      <c r="I2431" s="8">
        <v>44585</v>
      </c>
      <c r="J2431" s="8">
        <v>44614</v>
      </c>
      <c r="K2431" s="95">
        <v>44614</v>
      </c>
      <c r="L2431" s="95" t="s">
        <v>359</v>
      </c>
      <c r="R2431" s="97" t="str">
        <f t="shared" si="86"/>
        <v/>
      </c>
      <c r="S2431" s="75" t="str">
        <f t="shared" si="87"/>
        <v/>
      </c>
    </row>
    <row r="2432" spans="1:24" x14ac:dyDescent="0.25">
      <c r="A2432" s="6" t="s">
        <v>25</v>
      </c>
      <c r="B2432" s="94" t="s">
        <v>2832</v>
      </c>
      <c r="C2432" s="6" t="s">
        <v>7437</v>
      </c>
      <c r="D2432" s="140">
        <v>11084059</v>
      </c>
      <c r="E2432" s="6" t="s">
        <v>7438</v>
      </c>
      <c r="F2432" s="10" t="s">
        <v>44</v>
      </c>
      <c r="G2432" s="6" t="s">
        <v>7439</v>
      </c>
      <c r="H2432" s="8">
        <v>47970</v>
      </c>
      <c r="I2432" s="8">
        <v>44586</v>
      </c>
      <c r="J2432" s="8">
        <v>44614</v>
      </c>
      <c r="K2432" s="95">
        <v>44614</v>
      </c>
      <c r="L2432" s="95" t="s">
        <v>31</v>
      </c>
      <c r="M2432" s="8">
        <v>44630</v>
      </c>
      <c r="N2432" s="8">
        <v>44852</v>
      </c>
      <c r="O2432" s="8">
        <v>44841</v>
      </c>
      <c r="P2432" s="6" t="s">
        <v>35</v>
      </c>
      <c r="Q2432" s="96">
        <v>3109</v>
      </c>
      <c r="R2432" s="97">
        <f t="shared" si="86"/>
        <v>8.5178082191780824</v>
      </c>
      <c r="S2432" s="75">
        <f t="shared" si="87"/>
        <v>70348.578082191787</v>
      </c>
      <c r="T2432" s="124" t="s">
        <v>7440</v>
      </c>
      <c r="U2432" s="8">
        <v>44897</v>
      </c>
      <c r="V2432" s="6" t="s">
        <v>36</v>
      </c>
      <c r="W2432" s="6" t="s">
        <v>33</v>
      </c>
      <c r="X2432" s="7">
        <v>44861</v>
      </c>
    </row>
    <row r="2433" spans="1:24" x14ac:dyDescent="0.25">
      <c r="A2433" s="6" t="s">
        <v>37</v>
      </c>
      <c r="B2433" s="94" t="s">
        <v>4687</v>
      </c>
      <c r="C2433" s="6" t="s">
        <v>7441</v>
      </c>
      <c r="D2433" s="140">
        <v>11686380</v>
      </c>
      <c r="E2433" s="6" t="s">
        <v>1927</v>
      </c>
      <c r="F2433" s="10" t="s">
        <v>44</v>
      </c>
      <c r="G2433" s="6" t="s">
        <v>7442</v>
      </c>
      <c r="H2433" s="8">
        <v>48250</v>
      </c>
      <c r="I2433" s="8">
        <v>44580</v>
      </c>
      <c r="J2433" s="8">
        <v>44614</v>
      </c>
      <c r="K2433" s="95">
        <v>44614</v>
      </c>
      <c r="L2433" s="95" t="s">
        <v>359</v>
      </c>
      <c r="R2433" s="97" t="str">
        <f t="shared" si="86"/>
        <v/>
      </c>
      <c r="S2433" s="75" t="str">
        <f t="shared" si="87"/>
        <v/>
      </c>
    </row>
    <row r="2434" spans="1:24" x14ac:dyDescent="0.25">
      <c r="A2434" s="6" t="s">
        <v>25</v>
      </c>
      <c r="B2434" s="94" t="s">
        <v>1879</v>
      </c>
      <c r="C2434" s="6" t="s">
        <v>7443</v>
      </c>
      <c r="D2434" s="140">
        <v>11180892</v>
      </c>
      <c r="E2434" s="6" t="s">
        <v>1525</v>
      </c>
      <c r="F2434" s="10" t="s">
        <v>44</v>
      </c>
      <c r="G2434" s="6" t="s">
        <v>7444</v>
      </c>
      <c r="H2434" s="8">
        <v>69556</v>
      </c>
      <c r="I2434" s="8">
        <v>44586</v>
      </c>
      <c r="J2434" s="8">
        <v>44614</v>
      </c>
      <c r="K2434" s="95">
        <v>44614</v>
      </c>
      <c r="L2434" s="95" t="s">
        <v>31</v>
      </c>
      <c r="M2434" s="8">
        <v>44630</v>
      </c>
      <c r="P2434" s="6" t="s">
        <v>628</v>
      </c>
      <c r="R2434" s="97" t="str">
        <f t="shared" si="86"/>
        <v/>
      </c>
      <c r="S2434" s="75" t="str">
        <f t="shared" si="87"/>
        <v/>
      </c>
      <c r="T2434" s="124" t="s">
        <v>7445</v>
      </c>
      <c r="W2434" s="6" t="s">
        <v>84</v>
      </c>
      <c r="X2434" s="7">
        <v>51559</v>
      </c>
    </row>
    <row r="2435" spans="1:24" x14ac:dyDescent="0.25">
      <c r="A2435" s="6" t="s">
        <v>25</v>
      </c>
      <c r="B2435" s="94" t="s">
        <v>1080</v>
      </c>
      <c r="C2435" s="6" t="s">
        <v>7446</v>
      </c>
      <c r="D2435" s="140">
        <v>11762613</v>
      </c>
      <c r="E2435" s="6" t="s">
        <v>318</v>
      </c>
      <c r="F2435" s="10" t="s">
        <v>134</v>
      </c>
      <c r="G2435" s="6" t="s">
        <v>7447</v>
      </c>
      <c r="H2435" s="8">
        <v>45660</v>
      </c>
      <c r="I2435" s="8">
        <v>44581</v>
      </c>
      <c r="J2435" s="8">
        <v>44614</v>
      </c>
      <c r="K2435" s="95">
        <v>44614</v>
      </c>
      <c r="L2435" s="95" t="s">
        <v>31</v>
      </c>
      <c r="M2435" s="8">
        <v>44630</v>
      </c>
      <c r="N2435" s="8">
        <v>44840</v>
      </c>
      <c r="O2435" s="8">
        <v>44833</v>
      </c>
      <c r="P2435" s="6" t="s">
        <v>35</v>
      </c>
      <c r="Q2435" s="96">
        <v>1460</v>
      </c>
      <c r="R2435" s="97">
        <f t="shared" si="86"/>
        <v>4</v>
      </c>
      <c r="S2435" s="75">
        <f t="shared" si="87"/>
        <v>33036</v>
      </c>
      <c r="U2435" s="8">
        <v>45054</v>
      </c>
      <c r="W2435" s="6" t="s">
        <v>33</v>
      </c>
      <c r="X2435" s="7">
        <v>48272</v>
      </c>
    </row>
    <row r="2436" spans="1:24" x14ac:dyDescent="0.25">
      <c r="A2436" s="6" t="s">
        <v>25</v>
      </c>
      <c r="B2436" s="94" t="s">
        <v>7448</v>
      </c>
      <c r="C2436" s="6" t="s">
        <v>7449</v>
      </c>
      <c r="D2436" s="140">
        <v>11140630</v>
      </c>
      <c r="E2436" s="6" t="s">
        <v>409</v>
      </c>
      <c r="F2436" s="10" t="s">
        <v>44</v>
      </c>
      <c r="G2436" s="6" t="s">
        <v>7450</v>
      </c>
      <c r="H2436" s="8">
        <v>49504</v>
      </c>
      <c r="I2436" s="8">
        <v>44588</v>
      </c>
      <c r="J2436" s="8">
        <v>44614</v>
      </c>
      <c r="K2436" s="95">
        <v>44614</v>
      </c>
      <c r="L2436" s="95" t="s">
        <v>31</v>
      </c>
      <c r="M2436" s="8">
        <v>44630</v>
      </c>
      <c r="N2436" s="54">
        <v>44749</v>
      </c>
      <c r="O2436" s="54">
        <v>44748</v>
      </c>
      <c r="P2436" s="56" t="s">
        <v>35</v>
      </c>
      <c r="Q2436" s="77">
        <v>2532</v>
      </c>
      <c r="R2436" s="97">
        <f t="shared" ref="R2436:R2455" si="88">IF(Q2436&gt;0, Q2436/365, "")</f>
        <v>6.9369863013698634</v>
      </c>
      <c r="S2436" s="75">
        <f t="shared" ref="S2436:S2455" si="89">IF(Q2436&gt;0, SUM(Q2436)*(8259/365), "")</f>
        <v>57292.569863013698</v>
      </c>
      <c r="T2436" s="131" t="s">
        <v>7204</v>
      </c>
      <c r="U2436" s="8">
        <v>44776</v>
      </c>
      <c r="V2436" s="6" t="s">
        <v>36</v>
      </c>
      <c r="W2436" s="6" t="s">
        <v>33</v>
      </c>
      <c r="X2436" s="7">
        <v>44755</v>
      </c>
    </row>
    <row r="2437" spans="1:24" x14ac:dyDescent="0.25">
      <c r="A2437" s="6" t="s">
        <v>25</v>
      </c>
      <c r="B2437" s="94" t="s">
        <v>7451</v>
      </c>
      <c r="C2437" s="6" t="s">
        <v>7452</v>
      </c>
      <c r="D2437" s="140">
        <v>11168406</v>
      </c>
      <c r="E2437" s="6" t="s">
        <v>2454</v>
      </c>
      <c r="F2437" s="10" t="s">
        <v>44</v>
      </c>
      <c r="G2437" s="6" t="s">
        <v>7453</v>
      </c>
      <c r="H2437" s="8">
        <v>47503</v>
      </c>
      <c r="I2437" s="8">
        <v>44585</v>
      </c>
      <c r="J2437" s="8">
        <v>44614</v>
      </c>
      <c r="K2437" s="95">
        <v>44614</v>
      </c>
      <c r="L2437" s="95" t="s">
        <v>31</v>
      </c>
      <c r="M2437" s="8">
        <v>44630</v>
      </c>
      <c r="N2437" s="8">
        <v>44764</v>
      </c>
      <c r="O2437" s="8">
        <v>44762</v>
      </c>
      <c r="P2437" s="6" t="s">
        <v>35</v>
      </c>
      <c r="Q2437" s="96">
        <v>2188</v>
      </c>
      <c r="R2437" s="97">
        <f t="shared" si="88"/>
        <v>5.9945205479452053</v>
      </c>
      <c r="S2437" s="75">
        <f t="shared" si="89"/>
        <v>49508.745205479456</v>
      </c>
      <c r="T2437" s="124" t="s">
        <v>7454</v>
      </c>
      <c r="U2437" s="8">
        <v>44769</v>
      </c>
      <c r="V2437" s="6" t="s">
        <v>36</v>
      </c>
      <c r="W2437" s="6" t="s">
        <v>33</v>
      </c>
      <c r="X2437" s="7">
        <v>44770</v>
      </c>
    </row>
    <row r="2438" spans="1:24" x14ac:dyDescent="0.25">
      <c r="A2438" s="6" t="s">
        <v>37</v>
      </c>
      <c r="B2438" s="94" t="s">
        <v>7455</v>
      </c>
      <c r="C2438" s="6" t="s">
        <v>7456</v>
      </c>
      <c r="D2438" s="140">
        <v>11954325</v>
      </c>
      <c r="E2438" s="6" t="s">
        <v>261</v>
      </c>
      <c r="F2438" s="10" t="s">
        <v>143</v>
      </c>
      <c r="G2438" s="6" t="s">
        <v>7457</v>
      </c>
      <c r="H2438" s="8">
        <v>47153</v>
      </c>
      <c r="I2438" s="8">
        <v>44575</v>
      </c>
      <c r="J2438" s="8">
        <v>44614</v>
      </c>
      <c r="K2438" s="95">
        <v>44614</v>
      </c>
      <c r="L2438" s="95" t="s">
        <v>359</v>
      </c>
      <c r="R2438" s="97" t="str">
        <f t="shared" si="88"/>
        <v/>
      </c>
      <c r="S2438" s="75" t="str">
        <f t="shared" si="89"/>
        <v/>
      </c>
    </row>
    <row r="2439" spans="1:24" x14ac:dyDescent="0.25">
      <c r="A2439" s="6" t="s">
        <v>25</v>
      </c>
      <c r="B2439" s="94" t="s">
        <v>7458</v>
      </c>
      <c r="C2439" s="6" t="s">
        <v>7459</v>
      </c>
      <c r="D2439" s="140">
        <v>11966773</v>
      </c>
      <c r="E2439" s="6" t="s">
        <v>88</v>
      </c>
      <c r="F2439" s="10" t="s">
        <v>57</v>
      </c>
      <c r="G2439" s="6" t="s">
        <v>7460</v>
      </c>
      <c r="H2439" s="8">
        <v>45664</v>
      </c>
      <c r="I2439" s="8">
        <v>44575</v>
      </c>
      <c r="J2439" s="8">
        <v>44614</v>
      </c>
      <c r="K2439" s="95">
        <v>44614</v>
      </c>
      <c r="L2439" s="95" t="s">
        <v>31</v>
      </c>
      <c r="M2439" s="8">
        <v>44630</v>
      </c>
      <c r="N2439" s="8">
        <v>44641</v>
      </c>
      <c r="O2439" s="8">
        <v>44879</v>
      </c>
      <c r="P2439" s="6" t="s">
        <v>35</v>
      </c>
      <c r="Q2439" s="96">
        <v>457</v>
      </c>
      <c r="R2439" s="97">
        <f t="shared" si="88"/>
        <v>1.252054794520548</v>
      </c>
      <c r="S2439" s="75">
        <f t="shared" si="89"/>
        <v>10340.720547945206</v>
      </c>
      <c r="U2439" s="8">
        <v>44886</v>
      </c>
      <c r="V2439" s="6" t="s">
        <v>36</v>
      </c>
      <c r="W2439" s="6" t="s">
        <v>33</v>
      </c>
      <c r="X2439" s="7">
        <v>51256</v>
      </c>
    </row>
    <row r="2440" spans="1:24" x14ac:dyDescent="0.25">
      <c r="A2440" s="6" t="s">
        <v>25</v>
      </c>
      <c r="B2440" s="94" t="s">
        <v>7461</v>
      </c>
      <c r="C2440" s="6" t="s">
        <v>7462</v>
      </c>
      <c r="D2440" s="140">
        <v>10985558</v>
      </c>
      <c r="E2440" s="6" t="s">
        <v>386</v>
      </c>
      <c r="F2440" s="10" t="s">
        <v>134</v>
      </c>
      <c r="G2440" s="6" t="s">
        <v>7463</v>
      </c>
      <c r="H2440" s="8">
        <v>46819</v>
      </c>
      <c r="I2440" s="8">
        <v>44587</v>
      </c>
      <c r="J2440" s="8">
        <v>44614</v>
      </c>
      <c r="K2440" s="95">
        <v>44614</v>
      </c>
      <c r="L2440" s="95" t="s">
        <v>359</v>
      </c>
      <c r="R2440" s="97" t="str">
        <f t="shared" si="88"/>
        <v/>
      </c>
      <c r="S2440" s="75" t="str">
        <f t="shared" si="89"/>
        <v/>
      </c>
    </row>
    <row r="2441" spans="1:24" x14ac:dyDescent="0.25">
      <c r="A2441" s="6" t="s">
        <v>25</v>
      </c>
      <c r="B2441" s="94" t="s">
        <v>7464</v>
      </c>
      <c r="C2441" s="6" t="s">
        <v>7465</v>
      </c>
      <c r="D2441" s="140">
        <v>11962583</v>
      </c>
      <c r="E2441" s="6" t="s">
        <v>162</v>
      </c>
      <c r="F2441" s="10" t="s">
        <v>44</v>
      </c>
      <c r="G2441" s="6" t="s">
        <v>7466</v>
      </c>
      <c r="H2441" s="8">
        <v>45180</v>
      </c>
      <c r="I2441" s="8">
        <v>44580</v>
      </c>
      <c r="J2441" s="8">
        <v>44614</v>
      </c>
      <c r="K2441" s="95">
        <v>44614</v>
      </c>
      <c r="L2441" s="95" t="s">
        <v>359</v>
      </c>
      <c r="R2441" s="97" t="str">
        <f t="shared" si="88"/>
        <v/>
      </c>
      <c r="S2441" s="75" t="str">
        <f t="shared" si="89"/>
        <v/>
      </c>
    </row>
    <row r="2442" spans="1:24" x14ac:dyDescent="0.25">
      <c r="A2442" s="6" t="s">
        <v>25</v>
      </c>
      <c r="B2442" s="94" t="s">
        <v>7467</v>
      </c>
      <c r="C2442" s="6" t="s">
        <v>7468</v>
      </c>
      <c r="D2442" s="140">
        <v>11550201</v>
      </c>
      <c r="E2442" s="6" t="s">
        <v>2086</v>
      </c>
      <c r="F2442" s="10" t="s">
        <v>57</v>
      </c>
      <c r="G2442" s="6" t="s">
        <v>7469</v>
      </c>
      <c r="H2442" s="8">
        <v>45581</v>
      </c>
      <c r="I2442" s="8">
        <v>44592</v>
      </c>
      <c r="J2442" s="8">
        <v>44614</v>
      </c>
      <c r="K2442" s="95">
        <v>44614</v>
      </c>
      <c r="L2442" s="95" t="s">
        <v>31</v>
      </c>
      <c r="M2442" s="8">
        <v>44630</v>
      </c>
      <c r="N2442" s="8">
        <v>44714</v>
      </c>
      <c r="O2442" s="8">
        <v>44708</v>
      </c>
      <c r="P2442" s="6" t="s">
        <v>35</v>
      </c>
      <c r="Q2442" s="96">
        <v>787</v>
      </c>
      <c r="R2442" s="97">
        <f t="shared" si="88"/>
        <v>2.1561643835616437</v>
      </c>
      <c r="S2442" s="75">
        <f t="shared" si="89"/>
        <v>17807.761643835616</v>
      </c>
      <c r="T2442" s="129" t="s">
        <v>7470</v>
      </c>
      <c r="U2442" s="8">
        <v>44764</v>
      </c>
      <c r="V2442" s="6" t="s">
        <v>36</v>
      </c>
      <c r="W2442" s="6" t="s">
        <v>33</v>
      </c>
      <c r="X2442" s="7">
        <v>44720</v>
      </c>
    </row>
    <row r="2443" spans="1:24" ht="30" x14ac:dyDescent="0.25">
      <c r="A2443" s="6" t="s">
        <v>25</v>
      </c>
      <c r="B2443" s="94" t="s">
        <v>3444</v>
      </c>
      <c r="C2443" s="6" t="s">
        <v>7471</v>
      </c>
      <c r="D2443" s="140">
        <v>11989487</v>
      </c>
      <c r="E2443" s="6" t="s">
        <v>7472</v>
      </c>
      <c r="F2443" s="10" t="s">
        <v>2600</v>
      </c>
      <c r="G2443" s="6" t="s">
        <v>7473</v>
      </c>
      <c r="H2443" s="8">
        <v>48897</v>
      </c>
      <c r="I2443" s="8">
        <v>44593</v>
      </c>
      <c r="J2443" s="8">
        <v>44620</v>
      </c>
      <c r="K2443" s="95">
        <v>44620</v>
      </c>
      <c r="L2443" s="95" t="s">
        <v>359</v>
      </c>
      <c r="R2443" s="97" t="str">
        <f t="shared" si="88"/>
        <v/>
      </c>
      <c r="S2443" s="75" t="str">
        <f t="shared" si="89"/>
        <v/>
      </c>
    </row>
    <row r="2444" spans="1:24" x14ac:dyDescent="0.25">
      <c r="A2444" s="6" t="s">
        <v>25</v>
      </c>
      <c r="B2444" s="94" t="s">
        <v>6416</v>
      </c>
      <c r="C2444" s="6" t="s">
        <v>7474</v>
      </c>
      <c r="D2444" s="140">
        <v>11199499</v>
      </c>
      <c r="E2444" s="6" t="s">
        <v>162</v>
      </c>
      <c r="F2444" s="10" t="s">
        <v>121</v>
      </c>
      <c r="G2444" s="6" t="s">
        <v>7475</v>
      </c>
      <c r="H2444" s="8">
        <v>46669</v>
      </c>
      <c r="I2444" s="8">
        <v>44593</v>
      </c>
      <c r="J2444" s="8">
        <v>44620</v>
      </c>
      <c r="K2444" s="95">
        <v>44620</v>
      </c>
      <c r="L2444" s="95" t="s">
        <v>31</v>
      </c>
      <c r="M2444" s="8">
        <v>44635</v>
      </c>
      <c r="N2444" s="8">
        <v>44789</v>
      </c>
      <c r="O2444" s="8">
        <v>44783</v>
      </c>
      <c r="P2444" s="6" t="s">
        <v>35</v>
      </c>
      <c r="Q2444" s="96">
        <v>1872</v>
      </c>
      <c r="R2444" s="97">
        <f t="shared" si="88"/>
        <v>5.1287671232876715</v>
      </c>
      <c r="S2444" s="75">
        <f t="shared" si="89"/>
        <v>42358.487671232877</v>
      </c>
      <c r="T2444" s="124" t="s">
        <v>7476</v>
      </c>
      <c r="U2444" s="8">
        <v>44824</v>
      </c>
      <c r="W2444" s="6" t="s">
        <v>33</v>
      </c>
      <c r="X2444" s="7">
        <v>44797</v>
      </c>
    </row>
    <row r="2445" spans="1:24" x14ac:dyDescent="0.25">
      <c r="A2445" s="6" t="s">
        <v>25</v>
      </c>
      <c r="B2445" s="94" t="s">
        <v>7477</v>
      </c>
      <c r="C2445" s="6" t="s">
        <v>7478</v>
      </c>
      <c r="D2445" s="140">
        <v>11165651</v>
      </c>
      <c r="E2445" s="6" t="s">
        <v>409</v>
      </c>
      <c r="F2445" s="10" t="s">
        <v>44</v>
      </c>
      <c r="G2445" s="6" t="s">
        <v>7479</v>
      </c>
      <c r="H2445" s="8">
        <v>55758</v>
      </c>
      <c r="I2445" s="8">
        <v>44593</v>
      </c>
      <c r="J2445" s="8">
        <v>44620</v>
      </c>
      <c r="K2445" s="95">
        <v>44620</v>
      </c>
      <c r="L2445" s="95" t="s">
        <v>31</v>
      </c>
      <c r="M2445" s="8">
        <v>44635</v>
      </c>
      <c r="P2445" s="6" t="s">
        <v>628</v>
      </c>
      <c r="R2445" s="97" t="str">
        <f t="shared" si="88"/>
        <v/>
      </c>
      <c r="S2445" s="75" t="str">
        <f t="shared" si="89"/>
        <v/>
      </c>
      <c r="T2445" s="124" t="s">
        <v>7480</v>
      </c>
      <c r="W2445" s="6" t="s">
        <v>84</v>
      </c>
      <c r="X2445" s="7">
        <v>47082</v>
      </c>
    </row>
    <row r="2446" spans="1:24" x14ac:dyDescent="0.25">
      <c r="A2446" s="6" t="s">
        <v>25</v>
      </c>
      <c r="B2446" s="94" t="s">
        <v>2701</v>
      </c>
      <c r="C2446" s="6" t="s">
        <v>7481</v>
      </c>
      <c r="D2446" s="140">
        <v>11084296</v>
      </c>
      <c r="E2446" s="6" t="s">
        <v>1650</v>
      </c>
      <c r="F2446" s="10" t="s">
        <v>2296</v>
      </c>
      <c r="G2446" s="6">
        <v>62127722</v>
      </c>
      <c r="H2446" s="8">
        <v>51838</v>
      </c>
      <c r="I2446" s="8">
        <v>44596</v>
      </c>
      <c r="J2446" s="8">
        <v>44620</v>
      </c>
      <c r="K2446" s="95">
        <v>44620</v>
      </c>
      <c r="L2446" s="95" t="s">
        <v>31</v>
      </c>
      <c r="M2446" s="8">
        <v>44635</v>
      </c>
      <c r="R2446" s="97" t="str">
        <f t="shared" si="88"/>
        <v/>
      </c>
      <c r="S2446" s="75" t="str">
        <f t="shared" si="89"/>
        <v/>
      </c>
      <c r="W2446" s="6" t="s">
        <v>84</v>
      </c>
      <c r="X2446" s="7">
        <v>50564</v>
      </c>
    </row>
    <row r="2447" spans="1:24" x14ac:dyDescent="0.25">
      <c r="A2447" s="6" t="s">
        <v>25</v>
      </c>
      <c r="B2447" s="94" t="s">
        <v>7482</v>
      </c>
      <c r="C2447" s="6" t="s">
        <v>7483</v>
      </c>
      <c r="D2447" s="140">
        <v>11113721</v>
      </c>
      <c r="E2447" s="6" t="s">
        <v>2037</v>
      </c>
      <c r="F2447" s="10" t="s">
        <v>176</v>
      </c>
      <c r="G2447" s="6">
        <v>2002013059</v>
      </c>
      <c r="H2447" s="8">
        <v>49085</v>
      </c>
      <c r="I2447" s="8">
        <v>44593</v>
      </c>
      <c r="J2447" s="8">
        <v>44620</v>
      </c>
      <c r="K2447" s="95">
        <v>44620</v>
      </c>
      <c r="L2447" s="95" t="s">
        <v>31</v>
      </c>
      <c r="M2447" s="8">
        <v>44635</v>
      </c>
      <c r="P2447" s="6" t="s">
        <v>75</v>
      </c>
      <c r="R2447" s="97" t="str">
        <f t="shared" si="88"/>
        <v/>
      </c>
      <c r="S2447" s="75" t="str">
        <f t="shared" si="89"/>
        <v/>
      </c>
      <c r="W2447" s="6" t="s">
        <v>84</v>
      </c>
      <c r="X2447" s="7">
        <v>46670</v>
      </c>
    </row>
    <row r="2448" spans="1:24" x14ac:dyDescent="0.25">
      <c r="A2448" s="6" t="s">
        <v>25</v>
      </c>
      <c r="B2448" s="94" t="s">
        <v>7484</v>
      </c>
      <c r="C2448" s="6" t="s">
        <v>7485</v>
      </c>
      <c r="D2448" s="140">
        <v>11488072</v>
      </c>
      <c r="E2448" s="6" t="s">
        <v>2090</v>
      </c>
      <c r="F2448" s="10" t="s">
        <v>62</v>
      </c>
      <c r="G2448" s="6">
        <v>6579924</v>
      </c>
      <c r="H2448" s="8">
        <v>72094</v>
      </c>
      <c r="I2448" s="8">
        <v>44589</v>
      </c>
      <c r="J2448" s="8">
        <v>44620</v>
      </c>
      <c r="K2448" s="95">
        <v>44620</v>
      </c>
      <c r="L2448" s="95" t="s">
        <v>31</v>
      </c>
      <c r="M2448" s="8">
        <v>44635</v>
      </c>
      <c r="R2448" s="97" t="str">
        <f t="shared" si="88"/>
        <v/>
      </c>
      <c r="S2448" s="75" t="str">
        <f t="shared" si="89"/>
        <v/>
      </c>
      <c r="W2448" s="6" t="s">
        <v>84</v>
      </c>
      <c r="X2448" s="7">
        <v>45878</v>
      </c>
    </row>
    <row r="2449" spans="1:24" x14ac:dyDescent="0.25">
      <c r="A2449" s="6" t="s">
        <v>25</v>
      </c>
      <c r="B2449" s="94" t="s">
        <v>531</v>
      </c>
      <c r="C2449" s="6" t="s">
        <v>7486</v>
      </c>
      <c r="D2449" s="140">
        <v>11087398</v>
      </c>
      <c r="E2449" s="6" t="s">
        <v>7487</v>
      </c>
      <c r="F2449" s="10" t="s">
        <v>1384</v>
      </c>
      <c r="G2449" s="6" t="s">
        <v>7488</v>
      </c>
      <c r="H2449" s="8">
        <v>51552</v>
      </c>
      <c r="I2449" s="8">
        <v>44589</v>
      </c>
      <c r="J2449" s="8">
        <v>44620</v>
      </c>
      <c r="K2449" s="95">
        <v>44620</v>
      </c>
      <c r="L2449" s="95" t="s">
        <v>359</v>
      </c>
      <c r="R2449" s="97" t="str">
        <f t="shared" si="88"/>
        <v/>
      </c>
      <c r="S2449" s="75" t="str">
        <f t="shared" si="89"/>
        <v/>
      </c>
    </row>
    <row r="2450" spans="1:24" x14ac:dyDescent="0.25">
      <c r="A2450" s="6" t="s">
        <v>25</v>
      </c>
      <c r="B2450" s="94" t="s">
        <v>7489</v>
      </c>
      <c r="C2450" s="6" t="s">
        <v>7490</v>
      </c>
      <c r="D2450" s="140">
        <v>11101143</v>
      </c>
      <c r="E2450" s="6" t="s">
        <v>4056</v>
      </c>
      <c r="F2450" s="10" t="s">
        <v>44</v>
      </c>
      <c r="G2450" s="6" t="s">
        <v>7491</v>
      </c>
      <c r="H2450" s="8">
        <v>60685</v>
      </c>
      <c r="I2450" s="8">
        <v>44589</v>
      </c>
      <c r="J2450" s="8">
        <v>44620</v>
      </c>
      <c r="K2450" s="95">
        <v>44620</v>
      </c>
      <c r="L2450" s="95" t="s">
        <v>31</v>
      </c>
      <c r="M2450" s="8">
        <v>44635</v>
      </c>
      <c r="N2450" s="108">
        <v>44664</v>
      </c>
      <c r="O2450" s="108">
        <v>44648</v>
      </c>
      <c r="P2450" s="107" t="s">
        <v>75</v>
      </c>
      <c r="Q2450" s="110"/>
      <c r="R2450" s="97" t="str">
        <f t="shared" si="88"/>
        <v/>
      </c>
      <c r="S2450" s="75" t="str">
        <f t="shared" si="89"/>
        <v/>
      </c>
      <c r="U2450" s="8">
        <v>44776</v>
      </c>
    </row>
    <row r="2451" spans="1:24" x14ac:dyDescent="0.25">
      <c r="A2451" s="6" t="s">
        <v>37</v>
      </c>
      <c r="B2451" s="94" t="s">
        <v>3749</v>
      </c>
      <c r="C2451" s="6" t="s">
        <v>7492</v>
      </c>
      <c r="D2451" s="140">
        <v>11261506</v>
      </c>
      <c r="E2451" s="6" t="s">
        <v>88</v>
      </c>
      <c r="F2451" s="10" t="s">
        <v>1588</v>
      </c>
      <c r="G2451" s="6" t="s">
        <v>7493</v>
      </c>
      <c r="H2451" s="8">
        <v>45775</v>
      </c>
      <c r="I2451" s="8">
        <v>44579</v>
      </c>
      <c r="J2451" s="8">
        <v>44627</v>
      </c>
      <c r="K2451" s="95">
        <v>44630</v>
      </c>
      <c r="L2451" s="95" t="s">
        <v>359</v>
      </c>
      <c r="R2451" s="97" t="str">
        <f t="shared" si="88"/>
        <v/>
      </c>
      <c r="S2451" s="75" t="str">
        <f t="shared" si="89"/>
        <v/>
      </c>
      <c r="W2451" s="6" t="s">
        <v>33</v>
      </c>
      <c r="X2451" s="7">
        <v>45420</v>
      </c>
    </row>
    <row r="2452" spans="1:24" x14ac:dyDescent="0.25">
      <c r="A2452" s="6" t="s">
        <v>168</v>
      </c>
      <c r="B2452" s="94" t="s">
        <v>2033</v>
      </c>
      <c r="C2452" s="6" t="s">
        <v>7494</v>
      </c>
      <c r="D2452" s="140">
        <v>11324593</v>
      </c>
      <c r="E2452" s="6" t="s">
        <v>3465</v>
      </c>
      <c r="F2452" s="10" t="s">
        <v>62</v>
      </c>
      <c r="G2452" s="6" t="s">
        <v>7495</v>
      </c>
      <c r="H2452" s="8">
        <v>45596</v>
      </c>
      <c r="I2452" s="8">
        <v>43859</v>
      </c>
      <c r="J2452" s="8">
        <v>43893</v>
      </c>
      <c r="K2452" s="95">
        <v>43893</v>
      </c>
      <c r="L2452" s="95" t="s">
        <v>31</v>
      </c>
      <c r="M2452" s="8">
        <v>44041</v>
      </c>
      <c r="P2452" s="107"/>
      <c r="R2452" s="97" t="str">
        <f t="shared" si="88"/>
        <v/>
      </c>
      <c r="S2452" s="75" t="str">
        <f t="shared" si="89"/>
        <v/>
      </c>
      <c r="T2452" s="129" t="s">
        <v>7476</v>
      </c>
      <c r="U2452" s="8">
        <v>44960</v>
      </c>
      <c r="W2452" s="6" t="s">
        <v>33</v>
      </c>
      <c r="X2452" s="95">
        <v>44519</v>
      </c>
    </row>
    <row r="2453" spans="1:24" x14ac:dyDescent="0.25">
      <c r="A2453" s="6" t="s">
        <v>168</v>
      </c>
      <c r="B2453" s="94" t="s">
        <v>2033</v>
      </c>
      <c r="C2453" s="6" t="s">
        <v>7496</v>
      </c>
      <c r="D2453" s="140">
        <v>11568646</v>
      </c>
      <c r="E2453" s="6" t="s">
        <v>3362</v>
      </c>
      <c r="F2453" s="10" t="s">
        <v>62</v>
      </c>
      <c r="G2453" s="6" t="s">
        <v>7497</v>
      </c>
      <c r="H2453" s="8">
        <v>51393</v>
      </c>
      <c r="I2453" s="8">
        <v>44355</v>
      </c>
      <c r="J2453" s="8">
        <v>44372</v>
      </c>
      <c r="K2453" s="95">
        <v>44372</v>
      </c>
      <c r="L2453" s="95" t="s">
        <v>359</v>
      </c>
      <c r="R2453" s="97" t="str">
        <f t="shared" si="88"/>
        <v/>
      </c>
      <c r="S2453" s="75" t="str">
        <f t="shared" si="89"/>
        <v/>
      </c>
      <c r="W2453" s="6" t="s">
        <v>84</v>
      </c>
      <c r="X2453" s="7">
        <v>47321</v>
      </c>
    </row>
    <row r="2454" spans="1:24" ht="49.5" x14ac:dyDescent="0.25">
      <c r="A2454" s="6" t="s">
        <v>168</v>
      </c>
      <c r="B2454" s="94" t="s">
        <v>271</v>
      </c>
      <c r="C2454" s="6" t="s">
        <v>7498</v>
      </c>
      <c r="D2454" s="140">
        <v>11585081</v>
      </c>
      <c r="E2454" s="6" t="s">
        <v>6290</v>
      </c>
      <c r="F2454" s="10" t="s">
        <v>44</v>
      </c>
      <c r="G2454" s="6" t="s">
        <v>7499</v>
      </c>
      <c r="H2454" s="8">
        <v>48330</v>
      </c>
      <c r="I2454" s="8">
        <v>44123</v>
      </c>
      <c r="J2454" s="8">
        <v>44151</v>
      </c>
      <c r="K2454" s="95">
        <v>44152</v>
      </c>
      <c r="L2454" s="95" t="s">
        <v>31</v>
      </c>
      <c r="M2454" s="8">
        <v>44175</v>
      </c>
      <c r="N2454" s="8">
        <v>44553</v>
      </c>
      <c r="O2454" s="8">
        <v>44386</v>
      </c>
      <c r="P2454" s="6" t="s">
        <v>69</v>
      </c>
      <c r="R2454" s="97" t="str">
        <f t="shared" si="88"/>
        <v/>
      </c>
      <c r="S2454" s="75" t="str">
        <f t="shared" si="89"/>
        <v/>
      </c>
      <c r="T2454" s="137" t="s">
        <v>7500</v>
      </c>
      <c r="U2454" s="8">
        <v>44553</v>
      </c>
      <c r="W2454" s="6" t="s">
        <v>84</v>
      </c>
      <c r="X2454" s="135">
        <v>46788</v>
      </c>
    </row>
    <row r="2455" spans="1:24" x14ac:dyDescent="0.25">
      <c r="A2455" s="6" t="s">
        <v>168</v>
      </c>
      <c r="B2455" s="94" t="s">
        <v>7501</v>
      </c>
      <c r="C2455" s="6" t="s">
        <v>7502</v>
      </c>
      <c r="D2455" s="140">
        <v>11570323</v>
      </c>
      <c r="E2455" s="6" t="s">
        <v>714</v>
      </c>
      <c r="F2455" s="10" t="s">
        <v>44</v>
      </c>
      <c r="G2455" s="6" t="s">
        <v>7503</v>
      </c>
      <c r="H2455" s="8">
        <v>56745</v>
      </c>
      <c r="I2455" s="8">
        <v>44601</v>
      </c>
      <c r="J2455" s="8">
        <v>44608</v>
      </c>
      <c r="K2455" s="95">
        <v>44630</v>
      </c>
      <c r="L2455" s="95" t="s">
        <v>359</v>
      </c>
      <c r="R2455" s="97" t="str">
        <f t="shared" si="88"/>
        <v/>
      </c>
      <c r="S2455" s="75" t="str">
        <f t="shared" si="89"/>
        <v/>
      </c>
      <c r="W2455" s="6" t="s">
        <v>84</v>
      </c>
      <c r="X2455" s="7">
        <v>46210</v>
      </c>
    </row>
    <row r="2456" spans="1:24" x14ac:dyDescent="0.25">
      <c r="A2456" s="6" t="s">
        <v>25</v>
      </c>
      <c r="B2456" s="94" t="s">
        <v>870</v>
      </c>
      <c r="C2456" s="6" t="s">
        <v>7504</v>
      </c>
      <c r="D2456" s="140">
        <v>11156345</v>
      </c>
      <c r="E2456" s="6" t="s">
        <v>1752</v>
      </c>
      <c r="F2456" s="10" t="s">
        <v>57</v>
      </c>
      <c r="G2456" s="6" t="s">
        <v>7505</v>
      </c>
      <c r="H2456" s="8">
        <v>47580</v>
      </c>
      <c r="I2456" s="8">
        <v>44600</v>
      </c>
      <c r="J2456" s="8">
        <v>44608</v>
      </c>
      <c r="K2456" s="95">
        <v>44630</v>
      </c>
      <c r="L2456" s="95" t="s">
        <v>31</v>
      </c>
      <c r="M2456" s="8">
        <v>44655</v>
      </c>
      <c r="N2456" s="8">
        <v>44764</v>
      </c>
      <c r="O2456" s="8">
        <v>44713</v>
      </c>
      <c r="P2456" s="6" t="s">
        <v>35</v>
      </c>
      <c r="Q2456" s="96">
        <v>1857</v>
      </c>
      <c r="R2456" s="97">
        <f t="shared" ref="R2456:R2483" si="90">IF(Q2456&gt;0, Q2456/365, "")</f>
        <v>5.087671232876712</v>
      </c>
      <c r="S2456" s="75">
        <f t="shared" ref="S2456:S2483" si="91">IF(Q2456&gt;0, SUM(Q2456)*(8259/365), "")</f>
        <v>42019.076712328766</v>
      </c>
      <c r="U2456" s="8">
        <v>44767</v>
      </c>
      <c r="W2456" s="6" t="s">
        <v>84</v>
      </c>
      <c r="X2456" s="7">
        <v>46579</v>
      </c>
    </row>
    <row r="2457" spans="1:24" x14ac:dyDescent="0.25">
      <c r="A2457" s="6" t="s">
        <v>25</v>
      </c>
      <c r="B2457" s="94" t="s">
        <v>7506</v>
      </c>
      <c r="C2457" s="6" t="s">
        <v>7507</v>
      </c>
      <c r="D2457" s="140">
        <v>11916575</v>
      </c>
      <c r="E2457" s="6" t="s">
        <v>480</v>
      </c>
      <c r="F2457" s="10" t="s">
        <v>62</v>
      </c>
      <c r="G2457" s="6" t="s">
        <v>7508</v>
      </c>
      <c r="H2457" s="8">
        <v>47120</v>
      </c>
      <c r="I2457" s="8">
        <v>44601</v>
      </c>
      <c r="J2457" s="8">
        <v>44627</v>
      </c>
      <c r="K2457" s="95">
        <v>44630</v>
      </c>
      <c r="L2457" s="95" t="s">
        <v>31</v>
      </c>
      <c r="M2457" s="8">
        <v>44655</v>
      </c>
      <c r="N2457" s="108">
        <v>44747</v>
      </c>
      <c r="O2457" s="108">
        <v>44720</v>
      </c>
      <c r="P2457" s="107" t="s">
        <v>35</v>
      </c>
      <c r="Q2457" s="110">
        <v>1714</v>
      </c>
      <c r="R2457" s="97">
        <f t="shared" si="90"/>
        <v>4.6958904109589037</v>
      </c>
      <c r="S2457" s="75">
        <f t="shared" si="91"/>
        <v>38783.358904109591</v>
      </c>
      <c r="U2457" s="8">
        <v>44776</v>
      </c>
      <c r="W2457" s="6" t="s">
        <v>33</v>
      </c>
      <c r="X2457" s="7">
        <v>51701</v>
      </c>
    </row>
    <row r="2458" spans="1:24" x14ac:dyDescent="0.25">
      <c r="A2458" s="6" t="s">
        <v>168</v>
      </c>
      <c r="B2458" s="94" t="s">
        <v>7509</v>
      </c>
      <c r="C2458" s="6" t="s">
        <v>7510</v>
      </c>
      <c r="D2458" s="140">
        <v>11130750</v>
      </c>
      <c r="E2458" s="6" t="s">
        <v>714</v>
      </c>
      <c r="F2458" s="10" t="s">
        <v>44</v>
      </c>
      <c r="G2458" s="6" t="s">
        <v>7511</v>
      </c>
      <c r="H2458" s="8">
        <v>45857</v>
      </c>
      <c r="I2458" s="8">
        <v>44600</v>
      </c>
      <c r="J2458" s="8">
        <v>44630</v>
      </c>
      <c r="K2458" s="95">
        <v>44630</v>
      </c>
      <c r="L2458" s="95" t="s">
        <v>359</v>
      </c>
      <c r="R2458" s="97" t="str">
        <f t="shared" si="90"/>
        <v/>
      </c>
      <c r="S2458" s="75" t="str">
        <f t="shared" si="91"/>
        <v/>
      </c>
      <c r="W2458" s="6" t="s">
        <v>84</v>
      </c>
      <c r="X2458" s="7">
        <v>46193</v>
      </c>
    </row>
    <row r="2459" spans="1:24" ht="30" x14ac:dyDescent="0.25">
      <c r="A2459" s="6" t="s">
        <v>168</v>
      </c>
      <c r="B2459" s="94" t="s">
        <v>7512</v>
      </c>
      <c r="C2459" s="6" t="s">
        <v>7513</v>
      </c>
      <c r="D2459" s="140">
        <v>11564811</v>
      </c>
      <c r="E2459" s="6" t="s">
        <v>783</v>
      </c>
      <c r="F2459" s="10" t="s">
        <v>44</v>
      </c>
      <c r="G2459" s="6" t="s">
        <v>7514</v>
      </c>
      <c r="H2459" s="8">
        <v>47231</v>
      </c>
      <c r="I2459" s="8">
        <v>44602</v>
      </c>
      <c r="J2459" s="8">
        <v>44630</v>
      </c>
      <c r="K2459" s="95">
        <v>44630</v>
      </c>
      <c r="L2459" s="95" t="s">
        <v>359</v>
      </c>
      <c r="R2459" s="97" t="str">
        <f t="shared" si="90"/>
        <v/>
      </c>
      <c r="S2459" s="75" t="str">
        <f t="shared" si="91"/>
        <v/>
      </c>
      <c r="W2459" s="6" t="s">
        <v>33</v>
      </c>
      <c r="X2459" s="7">
        <v>47734</v>
      </c>
    </row>
    <row r="2460" spans="1:24" x14ac:dyDescent="0.25">
      <c r="A2460" s="6" t="s">
        <v>168</v>
      </c>
      <c r="B2460" s="94" t="s">
        <v>7515</v>
      </c>
      <c r="C2460" s="6" t="s">
        <v>7516</v>
      </c>
      <c r="D2460" s="140">
        <v>11327300</v>
      </c>
      <c r="E2460" s="6" t="s">
        <v>1752</v>
      </c>
      <c r="F2460" s="10" t="s">
        <v>205</v>
      </c>
      <c r="G2460" s="6" t="s">
        <v>7517</v>
      </c>
      <c r="H2460" s="8">
        <v>56881</v>
      </c>
      <c r="I2460" s="8">
        <v>44602</v>
      </c>
      <c r="J2460" s="8">
        <v>44621</v>
      </c>
      <c r="K2460" s="95">
        <v>44634</v>
      </c>
      <c r="L2460" s="95" t="s">
        <v>359</v>
      </c>
      <c r="R2460" s="97" t="str">
        <f t="shared" si="90"/>
        <v/>
      </c>
      <c r="S2460" s="75" t="str">
        <f t="shared" si="91"/>
        <v/>
      </c>
      <c r="W2460" s="6" t="s">
        <v>84</v>
      </c>
      <c r="X2460" s="7">
        <v>50163</v>
      </c>
    </row>
    <row r="2461" spans="1:24" x14ac:dyDescent="0.25">
      <c r="A2461" s="6" t="s">
        <v>168</v>
      </c>
      <c r="B2461" s="94" t="s">
        <v>86</v>
      </c>
      <c r="C2461" s="6" t="s">
        <v>7518</v>
      </c>
      <c r="D2461" s="140">
        <v>11147737</v>
      </c>
      <c r="E2461" s="6" t="s">
        <v>3564</v>
      </c>
      <c r="F2461" s="10" t="s">
        <v>44</v>
      </c>
      <c r="G2461" s="6" t="s">
        <v>7519</v>
      </c>
      <c r="H2461" s="8">
        <v>45470</v>
      </c>
      <c r="I2461" s="8">
        <v>44602</v>
      </c>
      <c r="J2461" s="8">
        <v>44621</v>
      </c>
      <c r="K2461" s="95">
        <v>44634</v>
      </c>
      <c r="L2461" s="95" t="s">
        <v>359</v>
      </c>
      <c r="R2461" s="97" t="str">
        <f t="shared" si="90"/>
        <v/>
      </c>
      <c r="S2461" s="75" t="str">
        <f t="shared" si="91"/>
        <v/>
      </c>
      <c r="W2461" s="6" t="s">
        <v>84</v>
      </c>
      <c r="X2461" s="7">
        <v>46697</v>
      </c>
    </row>
    <row r="2462" spans="1:24" x14ac:dyDescent="0.25">
      <c r="A2462" s="6" t="s">
        <v>25</v>
      </c>
      <c r="B2462" s="94" t="s">
        <v>7520</v>
      </c>
      <c r="C2462" s="6" t="s">
        <v>7521</v>
      </c>
      <c r="D2462" s="140">
        <v>11459702</v>
      </c>
      <c r="E2462" s="6" t="s">
        <v>1156</v>
      </c>
      <c r="F2462" s="10" t="s">
        <v>29</v>
      </c>
      <c r="G2462" s="6" t="s">
        <v>7522</v>
      </c>
      <c r="H2462" s="8">
        <v>49201</v>
      </c>
      <c r="I2462" s="8">
        <v>44601</v>
      </c>
      <c r="J2462" s="8">
        <v>44616</v>
      </c>
      <c r="K2462" s="95">
        <v>44634</v>
      </c>
      <c r="L2462" s="95" t="s">
        <v>31</v>
      </c>
      <c r="M2462" s="8">
        <v>44655</v>
      </c>
      <c r="P2462" s="6" t="s">
        <v>628</v>
      </c>
      <c r="R2462" s="97" t="str">
        <f t="shared" si="90"/>
        <v/>
      </c>
      <c r="S2462" s="75" t="str">
        <f t="shared" si="91"/>
        <v/>
      </c>
      <c r="T2462" s="124" t="s">
        <v>7523</v>
      </c>
      <c r="W2462" s="6" t="s">
        <v>84</v>
      </c>
      <c r="X2462" s="7">
        <v>46030</v>
      </c>
    </row>
    <row r="2463" spans="1:24" x14ac:dyDescent="0.25">
      <c r="A2463" s="6" t="s">
        <v>25</v>
      </c>
      <c r="B2463" s="94" t="s">
        <v>7524</v>
      </c>
      <c r="C2463" s="6" t="s">
        <v>7525</v>
      </c>
      <c r="D2463" s="140">
        <v>11203813</v>
      </c>
      <c r="E2463" s="6" t="s">
        <v>409</v>
      </c>
      <c r="F2463" s="10" t="s">
        <v>143</v>
      </c>
      <c r="G2463" s="6" t="s">
        <v>7526</v>
      </c>
      <c r="H2463" s="8">
        <v>49187</v>
      </c>
      <c r="I2463" s="8">
        <v>44609</v>
      </c>
      <c r="J2463" s="8">
        <v>44616</v>
      </c>
      <c r="K2463" s="95">
        <v>44634</v>
      </c>
      <c r="L2463" s="95" t="s">
        <v>31</v>
      </c>
      <c r="M2463" s="8">
        <v>44655</v>
      </c>
      <c r="N2463" s="8">
        <v>45168</v>
      </c>
      <c r="O2463" s="8">
        <v>45168</v>
      </c>
      <c r="P2463" s="6" t="s">
        <v>90</v>
      </c>
      <c r="Q2463" s="96">
        <v>6205</v>
      </c>
      <c r="R2463" s="97">
        <f t="shared" si="90"/>
        <v>17</v>
      </c>
      <c r="S2463" s="75">
        <f t="shared" si="91"/>
        <v>140403</v>
      </c>
      <c r="T2463" s="124" t="s">
        <v>7527</v>
      </c>
      <c r="U2463" s="8">
        <v>45190</v>
      </c>
      <c r="V2463" s="6" t="s">
        <v>36</v>
      </c>
      <c r="W2463" s="6" t="s">
        <v>84</v>
      </c>
      <c r="X2463" s="7">
        <v>49224</v>
      </c>
    </row>
    <row r="2464" spans="1:24" x14ac:dyDescent="0.25">
      <c r="A2464" s="6" t="s">
        <v>25</v>
      </c>
      <c r="B2464" s="94" t="s">
        <v>492</v>
      </c>
      <c r="C2464" s="6" t="s">
        <v>7528</v>
      </c>
      <c r="D2464" s="140">
        <v>11279341</v>
      </c>
      <c r="E2464" s="6" t="s">
        <v>2355</v>
      </c>
      <c r="F2464" s="10" t="s">
        <v>44</v>
      </c>
      <c r="G2464" s="6" t="s">
        <v>7529</v>
      </c>
      <c r="H2464" s="8">
        <v>45315</v>
      </c>
      <c r="I2464" s="8">
        <v>44593</v>
      </c>
      <c r="J2464" s="8">
        <v>44616</v>
      </c>
      <c r="K2464" s="95">
        <v>44634</v>
      </c>
      <c r="L2464" s="95" t="s">
        <v>31</v>
      </c>
      <c r="M2464" s="8">
        <v>44655</v>
      </c>
      <c r="N2464" s="8">
        <v>44965</v>
      </c>
      <c r="O2464" s="8">
        <v>44665</v>
      </c>
      <c r="P2464" s="6" t="s">
        <v>75</v>
      </c>
      <c r="R2464" s="97" t="str">
        <f t="shared" si="90"/>
        <v/>
      </c>
      <c r="S2464" s="75" t="str">
        <f t="shared" si="91"/>
        <v/>
      </c>
      <c r="T2464" s="124" t="s">
        <v>7530</v>
      </c>
      <c r="U2464" s="8">
        <v>44993</v>
      </c>
      <c r="W2464" s="6" t="s">
        <v>33</v>
      </c>
      <c r="X2464" s="7">
        <v>54824</v>
      </c>
    </row>
    <row r="2465" spans="1:24" x14ac:dyDescent="0.25">
      <c r="A2465" s="6" t="s">
        <v>25</v>
      </c>
      <c r="B2465" s="94" t="s">
        <v>1028</v>
      </c>
      <c r="C2465" s="6" t="s">
        <v>7531</v>
      </c>
      <c r="D2465" s="140">
        <v>11566946</v>
      </c>
      <c r="E2465" s="6" t="s">
        <v>7532</v>
      </c>
      <c r="F2465" s="10" t="s">
        <v>44</v>
      </c>
      <c r="G2465" s="6" t="s">
        <v>7533</v>
      </c>
      <c r="H2465" s="8">
        <v>45807</v>
      </c>
      <c r="I2465" s="8">
        <v>44593</v>
      </c>
      <c r="J2465" s="8">
        <v>44616</v>
      </c>
      <c r="K2465" s="95">
        <v>44634</v>
      </c>
      <c r="L2465" s="95" t="s">
        <v>31</v>
      </c>
      <c r="M2465" s="8">
        <v>44655</v>
      </c>
      <c r="N2465" s="8">
        <v>44893</v>
      </c>
      <c r="O2465" s="8">
        <v>44888</v>
      </c>
      <c r="P2465" s="6" t="s">
        <v>35</v>
      </c>
      <c r="Q2465" s="96">
        <v>1460</v>
      </c>
      <c r="R2465" s="97">
        <f t="shared" si="90"/>
        <v>4</v>
      </c>
      <c r="S2465" s="75">
        <f t="shared" si="91"/>
        <v>33036</v>
      </c>
      <c r="T2465" s="124" t="s">
        <v>5772</v>
      </c>
      <c r="U2465" s="8">
        <v>45106</v>
      </c>
      <c r="V2465" s="6" t="s">
        <v>36</v>
      </c>
      <c r="W2465" s="6" t="s">
        <v>33</v>
      </c>
      <c r="X2465" s="7">
        <v>53594</v>
      </c>
    </row>
    <row r="2466" spans="1:24" x14ac:dyDescent="0.25">
      <c r="A2466" s="6" t="s">
        <v>25</v>
      </c>
      <c r="B2466" s="94" t="s">
        <v>7270</v>
      </c>
      <c r="C2466" s="6" t="s">
        <v>7534</v>
      </c>
      <c r="D2466" s="140">
        <v>11992729</v>
      </c>
      <c r="E2466" s="6" t="s">
        <v>678</v>
      </c>
      <c r="F2466" s="10" t="s">
        <v>1588</v>
      </c>
      <c r="G2466" s="6" t="s">
        <v>7535</v>
      </c>
      <c r="H2466" s="8">
        <v>45300</v>
      </c>
      <c r="I2466" s="8">
        <v>44600</v>
      </c>
      <c r="J2466" s="8">
        <v>44620</v>
      </c>
      <c r="K2466" s="95">
        <v>44634</v>
      </c>
      <c r="L2466" s="95" t="s">
        <v>31</v>
      </c>
      <c r="M2466" s="8">
        <v>44655</v>
      </c>
      <c r="N2466" s="8">
        <v>44993</v>
      </c>
      <c r="O2466" s="8">
        <v>44985</v>
      </c>
      <c r="P2466" s="6" t="s">
        <v>35</v>
      </c>
      <c r="Q2466" s="96">
        <v>1825</v>
      </c>
      <c r="R2466" s="97">
        <f t="shared" si="90"/>
        <v>5</v>
      </c>
      <c r="S2466" s="75">
        <f t="shared" si="91"/>
        <v>41295</v>
      </c>
      <c r="U2466" s="8">
        <v>44993</v>
      </c>
      <c r="W2466" s="6" t="s">
        <v>33</v>
      </c>
      <c r="X2466" s="7">
        <v>52663</v>
      </c>
    </row>
    <row r="2467" spans="1:24" x14ac:dyDescent="0.25">
      <c r="A2467" s="6" t="s">
        <v>25</v>
      </c>
      <c r="B2467" s="94" t="s">
        <v>7536</v>
      </c>
      <c r="C2467" s="6" t="s">
        <v>7537</v>
      </c>
      <c r="D2467" s="140">
        <v>11057363</v>
      </c>
      <c r="E2467" s="6" t="s">
        <v>686</v>
      </c>
      <c r="F2467" s="10" t="s">
        <v>44</v>
      </c>
      <c r="G2467" s="6" t="s">
        <v>7538</v>
      </c>
      <c r="H2467" s="8">
        <v>45819</v>
      </c>
      <c r="I2467" s="8">
        <v>44600</v>
      </c>
      <c r="J2467" s="8">
        <v>44622</v>
      </c>
      <c r="K2467" s="95">
        <v>44634</v>
      </c>
      <c r="L2467" s="95" t="s">
        <v>31</v>
      </c>
      <c r="M2467" s="8">
        <v>44655</v>
      </c>
      <c r="N2467" s="8">
        <v>45044</v>
      </c>
      <c r="O2467" s="8">
        <v>45040</v>
      </c>
      <c r="P2467" s="6" t="s">
        <v>35</v>
      </c>
      <c r="Q2467" s="96">
        <v>365</v>
      </c>
      <c r="R2467" s="97">
        <f t="shared" si="90"/>
        <v>1</v>
      </c>
      <c r="S2467" s="75">
        <f t="shared" si="91"/>
        <v>8259</v>
      </c>
      <c r="U2467" s="8">
        <v>45054</v>
      </c>
      <c r="W2467" s="6" t="s">
        <v>33</v>
      </c>
      <c r="X2467" s="7">
        <v>50307</v>
      </c>
    </row>
    <row r="2468" spans="1:24" ht="30" x14ac:dyDescent="0.25">
      <c r="A2468" s="6" t="s">
        <v>25</v>
      </c>
      <c r="B2468" s="94" t="s">
        <v>4665</v>
      </c>
      <c r="C2468" s="6" t="s">
        <v>7539</v>
      </c>
      <c r="D2468" s="140">
        <v>11539016</v>
      </c>
      <c r="E2468" s="6" t="s">
        <v>428</v>
      </c>
      <c r="F2468" s="10" t="s">
        <v>44</v>
      </c>
      <c r="G2468" s="6" t="s">
        <v>7540</v>
      </c>
      <c r="H2468" s="8">
        <v>48735</v>
      </c>
      <c r="I2468" s="8">
        <v>44608</v>
      </c>
      <c r="J2468" s="8">
        <v>44620</v>
      </c>
      <c r="K2468" s="95">
        <v>44634</v>
      </c>
      <c r="L2468" s="95" t="s">
        <v>31</v>
      </c>
      <c r="M2468" s="8">
        <v>44655</v>
      </c>
      <c r="N2468" s="8">
        <v>45272</v>
      </c>
      <c r="O2468" s="8">
        <v>45267</v>
      </c>
      <c r="P2468" s="6" t="s">
        <v>90</v>
      </c>
      <c r="Q2468" s="96">
        <v>3650</v>
      </c>
      <c r="R2468" s="97">
        <f t="shared" si="90"/>
        <v>10</v>
      </c>
      <c r="S2468" s="75">
        <f t="shared" si="91"/>
        <v>82590</v>
      </c>
      <c r="T2468" s="124" t="s">
        <v>7541</v>
      </c>
      <c r="U2468" s="8">
        <v>45338</v>
      </c>
      <c r="V2468" s="6" t="s">
        <v>581</v>
      </c>
      <c r="W2468" s="6" t="s">
        <v>84</v>
      </c>
      <c r="X2468" s="7">
        <v>47141</v>
      </c>
    </row>
    <row r="2469" spans="1:24" x14ac:dyDescent="0.25">
      <c r="A2469" s="6" t="s">
        <v>25</v>
      </c>
      <c r="B2469" s="94" t="s">
        <v>7542</v>
      </c>
      <c r="C2469" s="6" t="s">
        <v>7543</v>
      </c>
      <c r="D2469" s="140">
        <v>11478495</v>
      </c>
      <c r="E2469" s="6" t="s">
        <v>7544</v>
      </c>
      <c r="F2469" s="10" t="s">
        <v>44</v>
      </c>
      <c r="G2469" s="6" t="s">
        <v>7545</v>
      </c>
      <c r="H2469" s="8">
        <v>47813</v>
      </c>
      <c r="I2469" s="8">
        <v>44602</v>
      </c>
      <c r="J2469" s="8">
        <v>44620</v>
      </c>
      <c r="K2469" s="95">
        <v>44634</v>
      </c>
      <c r="L2469" s="95" t="s">
        <v>31</v>
      </c>
      <c r="M2469" s="8">
        <v>44655</v>
      </c>
      <c r="N2469" s="8">
        <v>45037</v>
      </c>
      <c r="O2469" s="8">
        <v>45036</v>
      </c>
      <c r="P2469" s="6" t="s">
        <v>35</v>
      </c>
      <c r="Q2469" s="96">
        <v>3650</v>
      </c>
      <c r="R2469" s="97">
        <f t="shared" si="90"/>
        <v>10</v>
      </c>
      <c r="S2469" s="75">
        <f t="shared" si="91"/>
        <v>82590</v>
      </c>
      <c r="U2469" s="8">
        <v>45054</v>
      </c>
      <c r="W2469" s="6" t="s">
        <v>84</v>
      </c>
      <c r="X2469" s="7">
        <v>46601</v>
      </c>
    </row>
    <row r="2470" spans="1:24" ht="30" x14ac:dyDescent="0.25">
      <c r="A2470" s="6" t="s">
        <v>25</v>
      </c>
      <c r="B2470" s="94" t="s">
        <v>630</v>
      </c>
      <c r="C2470" s="6" t="s">
        <v>7546</v>
      </c>
      <c r="D2470" s="140">
        <v>11485491</v>
      </c>
      <c r="E2470" s="6" t="s">
        <v>878</v>
      </c>
      <c r="F2470" s="10" t="s">
        <v>44</v>
      </c>
      <c r="G2470" s="6" t="s">
        <v>7547</v>
      </c>
      <c r="H2470" s="8">
        <v>60162</v>
      </c>
      <c r="I2470" s="8">
        <v>44603</v>
      </c>
      <c r="J2470" s="8">
        <v>44616</v>
      </c>
      <c r="K2470" s="95">
        <v>44634</v>
      </c>
      <c r="L2470" s="95" t="s">
        <v>31</v>
      </c>
      <c r="M2470" s="8">
        <v>44655</v>
      </c>
      <c r="N2470" s="8">
        <v>45049</v>
      </c>
      <c r="O2470" s="8">
        <v>45043</v>
      </c>
      <c r="P2470" s="6" t="s">
        <v>35</v>
      </c>
      <c r="Q2470" s="96">
        <v>20075</v>
      </c>
      <c r="R2470" s="97">
        <f t="shared" si="90"/>
        <v>55</v>
      </c>
      <c r="S2470" s="75">
        <f t="shared" si="91"/>
        <v>454245</v>
      </c>
      <c r="U2470" s="8">
        <v>45343</v>
      </c>
      <c r="W2470" s="6" t="s">
        <v>84</v>
      </c>
      <c r="X2470" s="7">
        <v>48950</v>
      </c>
    </row>
    <row r="2471" spans="1:24" x14ac:dyDescent="0.25">
      <c r="A2471" s="6" t="s">
        <v>168</v>
      </c>
      <c r="B2471" s="94" t="s">
        <v>7548</v>
      </c>
      <c r="C2471" s="6" t="s">
        <v>7549</v>
      </c>
      <c r="D2471" s="140">
        <v>11026156</v>
      </c>
      <c r="E2471" s="6" t="s">
        <v>304</v>
      </c>
      <c r="F2471" s="10" t="s">
        <v>139</v>
      </c>
      <c r="G2471" s="6" t="s">
        <v>7550</v>
      </c>
      <c r="H2471" s="8">
        <v>47796</v>
      </c>
      <c r="I2471" s="8">
        <v>44609</v>
      </c>
      <c r="J2471" s="8">
        <v>44634</v>
      </c>
      <c r="K2471" s="95">
        <v>44634</v>
      </c>
      <c r="L2471" s="95" t="s">
        <v>31</v>
      </c>
      <c r="M2471" s="8">
        <v>44655</v>
      </c>
      <c r="R2471" s="97" t="str">
        <f t="shared" si="90"/>
        <v/>
      </c>
      <c r="S2471" s="75" t="str">
        <f t="shared" si="91"/>
        <v/>
      </c>
      <c r="W2471" s="6" t="s">
        <v>84</v>
      </c>
      <c r="X2471" s="7">
        <v>45726</v>
      </c>
    </row>
    <row r="2472" spans="1:24" x14ac:dyDescent="0.25">
      <c r="A2472" s="6" t="s">
        <v>168</v>
      </c>
      <c r="B2472" s="94" t="s">
        <v>7551</v>
      </c>
      <c r="C2472" s="6" t="s">
        <v>7552</v>
      </c>
      <c r="D2472" s="140">
        <v>11187624</v>
      </c>
      <c r="E2472" s="6" t="s">
        <v>2454</v>
      </c>
      <c r="F2472" s="10" t="s">
        <v>62</v>
      </c>
      <c r="G2472" s="6" t="s">
        <v>7553</v>
      </c>
      <c r="H2472" s="8">
        <v>25221</v>
      </c>
      <c r="I2472" s="8">
        <v>44614</v>
      </c>
      <c r="J2472" s="8">
        <v>44634</v>
      </c>
      <c r="K2472" s="95">
        <v>44634</v>
      </c>
      <c r="L2472" s="95" t="s">
        <v>359</v>
      </c>
      <c r="R2472" s="97" t="str">
        <f t="shared" si="90"/>
        <v/>
      </c>
      <c r="S2472" s="75" t="str">
        <f t="shared" si="91"/>
        <v/>
      </c>
      <c r="W2472" s="6" t="s">
        <v>84</v>
      </c>
      <c r="X2472" s="7">
        <v>47029</v>
      </c>
    </row>
    <row r="2473" spans="1:24" x14ac:dyDescent="0.25">
      <c r="A2473" s="6" t="s">
        <v>168</v>
      </c>
      <c r="B2473" s="94" t="s">
        <v>7343</v>
      </c>
      <c r="C2473" s="6" t="s">
        <v>7554</v>
      </c>
      <c r="D2473" s="140">
        <v>11060159</v>
      </c>
      <c r="E2473" s="6" t="s">
        <v>714</v>
      </c>
      <c r="F2473" s="10" t="s">
        <v>44</v>
      </c>
      <c r="G2473" s="6" t="s">
        <v>7555</v>
      </c>
      <c r="H2473" s="8">
        <v>59078</v>
      </c>
      <c r="I2473" s="8">
        <v>44607</v>
      </c>
      <c r="J2473" s="8">
        <v>44624</v>
      </c>
      <c r="K2473" s="95">
        <v>44634</v>
      </c>
      <c r="L2473" s="95" t="s">
        <v>31</v>
      </c>
      <c r="M2473" s="8">
        <v>44655</v>
      </c>
      <c r="N2473" s="8">
        <v>44826</v>
      </c>
      <c r="O2473" s="8">
        <v>44819</v>
      </c>
      <c r="P2473" s="6" t="s">
        <v>35</v>
      </c>
      <c r="Q2473" s="96">
        <v>4297</v>
      </c>
      <c r="R2473" s="97">
        <f t="shared" si="90"/>
        <v>11.772602739726027</v>
      </c>
      <c r="S2473" s="75">
        <f t="shared" si="91"/>
        <v>97229.926027397261</v>
      </c>
      <c r="U2473" s="8">
        <v>44831</v>
      </c>
      <c r="W2473" s="6" t="s">
        <v>84</v>
      </c>
      <c r="X2473" s="7">
        <v>49124</v>
      </c>
    </row>
    <row r="2474" spans="1:24" x14ac:dyDescent="0.25">
      <c r="A2474" s="6" t="s">
        <v>168</v>
      </c>
      <c r="B2474" s="94" t="s">
        <v>7556</v>
      </c>
      <c r="C2474" s="6" t="s">
        <v>7557</v>
      </c>
      <c r="D2474" s="140">
        <v>11013477</v>
      </c>
      <c r="E2474" s="6" t="s">
        <v>386</v>
      </c>
      <c r="F2474" s="10" t="s">
        <v>299</v>
      </c>
      <c r="G2474" s="6" t="s">
        <v>7558</v>
      </c>
      <c r="H2474" s="8">
        <v>48843</v>
      </c>
      <c r="I2474" s="8">
        <v>44610</v>
      </c>
      <c r="J2474" s="8">
        <v>44634</v>
      </c>
      <c r="K2474" s="95">
        <v>44634</v>
      </c>
      <c r="L2474" s="95" t="s">
        <v>359</v>
      </c>
      <c r="R2474" s="97" t="str">
        <f t="shared" si="90"/>
        <v/>
      </c>
      <c r="S2474" s="75" t="str">
        <f t="shared" si="91"/>
        <v/>
      </c>
      <c r="W2474" s="6" t="s">
        <v>33</v>
      </c>
      <c r="X2474" s="7">
        <v>47760</v>
      </c>
    </row>
    <row r="2475" spans="1:24" x14ac:dyDescent="0.25">
      <c r="A2475" s="6" t="s">
        <v>168</v>
      </c>
      <c r="B2475" s="94" t="s">
        <v>7559</v>
      </c>
      <c r="C2475" s="6" t="s">
        <v>7560</v>
      </c>
      <c r="D2475" s="140">
        <v>11242262</v>
      </c>
      <c r="E2475" s="6" t="s">
        <v>3644</v>
      </c>
      <c r="F2475" s="10" t="s">
        <v>57</v>
      </c>
      <c r="G2475" s="6" t="s">
        <v>7561</v>
      </c>
      <c r="H2475" s="8">
        <v>46551</v>
      </c>
      <c r="I2475" s="8">
        <v>44609</v>
      </c>
      <c r="J2475" s="8">
        <v>44634</v>
      </c>
      <c r="K2475" s="95">
        <v>44634</v>
      </c>
      <c r="L2475" s="95" t="s">
        <v>359</v>
      </c>
      <c r="R2475" s="97" t="str">
        <f t="shared" si="90"/>
        <v/>
      </c>
      <c r="S2475" s="75" t="str">
        <f t="shared" si="91"/>
        <v/>
      </c>
      <c r="W2475" s="6" t="s">
        <v>33</v>
      </c>
      <c r="X2475" s="7">
        <v>44872</v>
      </c>
    </row>
    <row r="2476" spans="1:24" x14ac:dyDescent="0.25">
      <c r="A2476" s="6" t="s">
        <v>168</v>
      </c>
      <c r="B2476" s="94" t="s">
        <v>7562</v>
      </c>
      <c r="C2476" s="6" t="s">
        <v>7563</v>
      </c>
      <c r="D2476" s="140">
        <v>11075211</v>
      </c>
      <c r="E2476" s="6" t="s">
        <v>99</v>
      </c>
      <c r="F2476" s="10" t="s">
        <v>100</v>
      </c>
      <c r="G2476" s="6">
        <v>102931</v>
      </c>
      <c r="H2476" s="8">
        <v>47326</v>
      </c>
      <c r="I2476" s="8">
        <v>44615</v>
      </c>
      <c r="J2476" s="8">
        <v>44634</v>
      </c>
      <c r="K2476" s="95">
        <v>44634</v>
      </c>
      <c r="R2476" s="97" t="str">
        <f t="shared" si="90"/>
        <v/>
      </c>
      <c r="S2476" s="75" t="str">
        <f t="shared" si="91"/>
        <v/>
      </c>
    </row>
    <row r="2477" spans="1:24" x14ac:dyDescent="0.25">
      <c r="A2477" s="6" t="s">
        <v>168</v>
      </c>
      <c r="B2477" s="94" t="s">
        <v>7564</v>
      </c>
      <c r="C2477" s="6" t="s">
        <v>7565</v>
      </c>
      <c r="D2477" s="140">
        <v>11962490</v>
      </c>
      <c r="E2477" s="6" t="s">
        <v>130</v>
      </c>
      <c r="F2477" s="10" t="s">
        <v>44</v>
      </c>
      <c r="G2477" s="6" t="s">
        <v>7566</v>
      </c>
      <c r="H2477" s="8">
        <v>53703</v>
      </c>
      <c r="I2477" s="8">
        <v>44610</v>
      </c>
      <c r="J2477" s="8">
        <v>44634</v>
      </c>
      <c r="K2477" s="95">
        <v>44634</v>
      </c>
      <c r="L2477" s="95" t="s">
        <v>359</v>
      </c>
      <c r="R2477" s="97" t="str">
        <f t="shared" si="90"/>
        <v/>
      </c>
      <c r="S2477" s="75" t="str">
        <f t="shared" si="91"/>
        <v/>
      </c>
      <c r="W2477" s="6" t="s">
        <v>84</v>
      </c>
      <c r="X2477" s="7">
        <v>48219</v>
      </c>
    </row>
    <row r="2478" spans="1:24" ht="30" x14ac:dyDescent="0.25">
      <c r="A2478" s="6" t="s">
        <v>25</v>
      </c>
      <c r="B2478" s="94" t="s">
        <v>7567</v>
      </c>
      <c r="C2478" s="6" t="s">
        <v>7568</v>
      </c>
      <c r="D2478" s="140">
        <v>11674939</v>
      </c>
      <c r="E2478" s="6" t="s">
        <v>4044</v>
      </c>
      <c r="F2478" s="10" t="s">
        <v>134</v>
      </c>
      <c r="G2478" s="6" t="s">
        <v>7569</v>
      </c>
      <c r="H2478" s="8">
        <v>51598</v>
      </c>
      <c r="I2478" s="8">
        <v>44595</v>
      </c>
      <c r="J2478" s="8">
        <v>44627</v>
      </c>
      <c r="K2478" s="95">
        <v>44627</v>
      </c>
      <c r="L2478" s="95" t="s">
        <v>359</v>
      </c>
      <c r="R2478" s="97" t="str">
        <f t="shared" si="90"/>
        <v/>
      </c>
      <c r="S2478" s="75" t="str">
        <f t="shared" si="91"/>
        <v/>
      </c>
      <c r="T2478" s="124" t="s">
        <v>7570</v>
      </c>
      <c r="W2478" s="6" t="s">
        <v>33</v>
      </c>
      <c r="X2478" s="7">
        <v>50816</v>
      </c>
    </row>
    <row r="2479" spans="1:24" x14ac:dyDescent="0.25">
      <c r="A2479" s="6" t="s">
        <v>168</v>
      </c>
      <c r="B2479" s="94" t="s">
        <v>7571</v>
      </c>
      <c r="C2479" s="6" t="s">
        <v>7572</v>
      </c>
      <c r="D2479" s="140">
        <v>11607678</v>
      </c>
      <c r="E2479" s="6" t="s">
        <v>7220</v>
      </c>
      <c r="F2479" s="10" t="s">
        <v>139</v>
      </c>
      <c r="G2479" s="6" t="s">
        <v>7573</v>
      </c>
      <c r="H2479" s="8">
        <v>68661</v>
      </c>
      <c r="I2479" s="8">
        <v>44622</v>
      </c>
      <c r="J2479" s="8">
        <v>44622</v>
      </c>
      <c r="K2479" s="95">
        <v>44644</v>
      </c>
      <c r="L2479" s="95" t="s">
        <v>359</v>
      </c>
      <c r="R2479" s="97" t="str">
        <f t="shared" si="90"/>
        <v/>
      </c>
      <c r="S2479" s="75" t="str">
        <f t="shared" si="91"/>
        <v/>
      </c>
      <c r="W2479" s="6" t="s">
        <v>84</v>
      </c>
      <c r="X2479" s="7">
        <v>50791</v>
      </c>
    </row>
    <row r="2480" spans="1:24" x14ac:dyDescent="0.25">
      <c r="A2480" s="6" t="s">
        <v>168</v>
      </c>
      <c r="B2480" s="94" t="s">
        <v>7574</v>
      </c>
      <c r="C2480" s="6" t="s">
        <v>7575</v>
      </c>
      <c r="D2480" s="140">
        <v>11109116</v>
      </c>
      <c r="E2480" s="6" t="s">
        <v>318</v>
      </c>
      <c r="F2480" s="10" t="s">
        <v>190</v>
      </c>
      <c r="G2480" s="6" t="s">
        <v>7576</v>
      </c>
      <c r="H2480" s="8">
        <v>47180</v>
      </c>
      <c r="I2480" s="8">
        <v>44624</v>
      </c>
      <c r="J2480" s="8">
        <v>44624</v>
      </c>
      <c r="K2480" s="95">
        <v>44644</v>
      </c>
      <c r="R2480" s="97" t="str">
        <f t="shared" si="90"/>
        <v/>
      </c>
      <c r="S2480" s="75" t="str">
        <f t="shared" si="91"/>
        <v/>
      </c>
    </row>
    <row r="2481" spans="1:24" ht="30" x14ac:dyDescent="0.25">
      <c r="A2481" s="6" t="s">
        <v>168</v>
      </c>
      <c r="B2481" s="94" t="s">
        <v>178</v>
      </c>
      <c r="C2481" s="6" t="s">
        <v>7577</v>
      </c>
      <c r="D2481" s="140">
        <v>11162688</v>
      </c>
      <c r="E2481" s="6" t="s">
        <v>714</v>
      </c>
      <c r="F2481" s="10" t="s">
        <v>44</v>
      </c>
      <c r="G2481" s="6" t="s">
        <v>7578</v>
      </c>
      <c r="H2481" s="8">
        <v>81193</v>
      </c>
      <c r="I2481" s="8">
        <v>44608</v>
      </c>
      <c r="J2481" s="8">
        <v>44624</v>
      </c>
      <c r="K2481" s="95">
        <v>44644</v>
      </c>
      <c r="L2481" s="95" t="s">
        <v>359</v>
      </c>
      <c r="R2481" s="97" t="str">
        <f t="shared" si="90"/>
        <v/>
      </c>
      <c r="S2481" s="75" t="str">
        <f t="shared" si="91"/>
        <v/>
      </c>
    </row>
    <row r="2482" spans="1:24" x14ac:dyDescent="0.25">
      <c r="A2482" s="6" t="s">
        <v>37</v>
      </c>
      <c r="B2482" s="94" t="s">
        <v>7579</v>
      </c>
      <c r="C2482" s="6" t="s">
        <v>7580</v>
      </c>
      <c r="D2482" s="140">
        <v>12143460</v>
      </c>
      <c r="E2482" s="6" t="s">
        <v>783</v>
      </c>
      <c r="F2482" s="10" t="s">
        <v>455</v>
      </c>
      <c r="G2482" s="6" t="s">
        <v>7581</v>
      </c>
      <c r="H2482" s="8">
        <v>46416</v>
      </c>
      <c r="I2482" s="8">
        <v>44623</v>
      </c>
      <c r="J2482" s="8">
        <v>44628</v>
      </c>
      <c r="K2482" s="95">
        <v>44644</v>
      </c>
      <c r="L2482" s="95" t="s">
        <v>31</v>
      </c>
      <c r="M2482" s="8">
        <v>44657</v>
      </c>
      <c r="N2482" s="8">
        <v>44841</v>
      </c>
      <c r="O2482" s="8">
        <v>44826</v>
      </c>
      <c r="P2482" s="6" t="s">
        <v>35</v>
      </c>
      <c r="Q2482" s="96">
        <v>974</v>
      </c>
      <c r="R2482" s="97">
        <f t="shared" si="90"/>
        <v>2.6684931506849314</v>
      </c>
      <c r="S2482" s="75">
        <f t="shared" si="91"/>
        <v>22039.084931506852</v>
      </c>
      <c r="U2482" s="8">
        <v>44854</v>
      </c>
      <c r="W2482" s="6" t="s">
        <v>33</v>
      </c>
      <c r="X2482" s="7">
        <v>53154</v>
      </c>
    </row>
    <row r="2483" spans="1:24" x14ac:dyDescent="0.25">
      <c r="A2483" s="6" t="s">
        <v>37</v>
      </c>
      <c r="B2483" s="94" t="s">
        <v>7582</v>
      </c>
      <c r="C2483" s="6" t="s">
        <v>7583</v>
      </c>
      <c r="D2483" s="140">
        <v>12164664</v>
      </c>
      <c r="E2483" s="6" t="s">
        <v>783</v>
      </c>
      <c r="F2483" s="10" t="s">
        <v>29</v>
      </c>
      <c r="G2483" s="6" t="s">
        <v>7584</v>
      </c>
      <c r="H2483" s="8">
        <v>46011</v>
      </c>
      <c r="I2483" s="8">
        <v>44621</v>
      </c>
      <c r="J2483" s="8">
        <v>44628</v>
      </c>
      <c r="K2483" s="95">
        <v>44644</v>
      </c>
      <c r="L2483" s="95" t="s">
        <v>31</v>
      </c>
      <c r="M2483" s="8">
        <v>44657</v>
      </c>
      <c r="N2483" s="8">
        <v>44967</v>
      </c>
      <c r="O2483" s="8">
        <v>44963</v>
      </c>
      <c r="P2483" s="6" t="s">
        <v>90</v>
      </c>
      <c r="Q2483" s="96">
        <v>2190</v>
      </c>
      <c r="R2483" s="97">
        <f t="shared" si="90"/>
        <v>6</v>
      </c>
      <c r="S2483" s="75">
        <f t="shared" si="91"/>
        <v>49554</v>
      </c>
      <c r="U2483" s="8">
        <v>45021</v>
      </c>
      <c r="V2483" s="6" t="s">
        <v>36</v>
      </c>
      <c r="W2483" s="6" t="s">
        <v>33</v>
      </c>
      <c r="X2483" s="7">
        <v>51766</v>
      </c>
    </row>
    <row r="2484" spans="1:24" x14ac:dyDescent="0.25">
      <c r="A2484" s="6" t="s">
        <v>168</v>
      </c>
      <c r="B2484" s="94" t="s">
        <v>7585</v>
      </c>
      <c r="C2484" s="6" t="s">
        <v>7586</v>
      </c>
      <c r="D2484" s="140">
        <v>11347121</v>
      </c>
      <c r="E2484" s="6" t="s">
        <v>3290</v>
      </c>
      <c r="F2484" s="10" t="s">
        <v>205</v>
      </c>
      <c r="G2484" s="6" t="s">
        <v>7587</v>
      </c>
      <c r="H2484" s="8">
        <v>54582</v>
      </c>
      <c r="I2484" s="8">
        <v>44644</v>
      </c>
      <c r="J2484" s="8">
        <v>44663</v>
      </c>
      <c r="K2484" s="95">
        <v>44665</v>
      </c>
      <c r="L2484" s="95" t="s">
        <v>359</v>
      </c>
      <c r="R2484" s="97" t="str">
        <f t="shared" ref="R2484:R2547" si="92">IF(Q2484&gt;0, Q2484/365, "")</f>
        <v/>
      </c>
      <c r="S2484" s="75" t="str">
        <f t="shared" ref="S2484:S2547" si="93">IF(Q2484&gt;0, SUM(Q2484)*(8259/365), "")</f>
        <v/>
      </c>
      <c r="W2484" s="6" t="s">
        <v>84</v>
      </c>
      <c r="X2484" s="7">
        <v>47780</v>
      </c>
    </row>
    <row r="2485" spans="1:24" x14ac:dyDescent="0.25">
      <c r="A2485" s="6" t="s">
        <v>168</v>
      </c>
      <c r="B2485" s="94" t="s">
        <v>1177</v>
      </c>
      <c r="C2485" s="6" t="s">
        <v>7588</v>
      </c>
      <c r="D2485" s="140">
        <v>11571333</v>
      </c>
      <c r="E2485" s="6" t="s">
        <v>3290</v>
      </c>
      <c r="F2485" s="10" t="s">
        <v>205</v>
      </c>
      <c r="G2485" s="6" t="s">
        <v>7589</v>
      </c>
      <c r="H2485" s="8">
        <v>51597</v>
      </c>
      <c r="I2485" s="8">
        <v>44642</v>
      </c>
      <c r="J2485" s="8">
        <v>44692</v>
      </c>
      <c r="R2485" s="97" t="str">
        <f t="shared" si="92"/>
        <v/>
      </c>
      <c r="S2485" s="75" t="str">
        <f t="shared" si="93"/>
        <v/>
      </c>
      <c r="W2485" s="6" t="s">
        <v>84</v>
      </c>
      <c r="X2485" s="7">
        <v>45796</v>
      </c>
    </row>
    <row r="2486" spans="1:24" x14ac:dyDescent="0.25">
      <c r="A2486" s="6" t="s">
        <v>168</v>
      </c>
      <c r="B2486" s="94" t="s">
        <v>3966</v>
      </c>
      <c r="C2486" s="6" t="s">
        <v>7590</v>
      </c>
      <c r="D2486" s="140">
        <v>11196466</v>
      </c>
      <c r="E2486" s="6" t="s">
        <v>6361</v>
      </c>
      <c r="F2486" s="10" t="s">
        <v>121</v>
      </c>
      <c r="G2486" s="6" t="s">
        <v>7591</v>
      </c>
      <c r="H2486" s="8">
        <v>45975</v>
      </c>
      <c r="I2486" s="8">
        <v>44638</v>
      </c>
      <c r="J2486" s="8">
        <v>44663</v>
      </c>
      <c r="K2486" s="95">
        <v>44665</v>
      </c>
      <c r="L2486" s="95" t="s">
        <v>31</v>
      </c>
      <c r="M2486" s="8">
        <v>44678</v>
      </c>
      <c r="R2486" s="97" t="str">
        <f t="shared" si="92"/>
        <v/>
      </c>
      <c r="S2486" s="75" t="str">
        <f t="shared" si="93"/>
        <v/>
      </c>
      <c r="W2486" s="6" t="s">
        <v>84</v>
      </c>
      <c r="X2486" s="7">
        <v>45926</v>
      </c>
    </row>
    <row r="2487" spans="1:24" x14ac:dyDescent="0.25">
      <c r="A2487" s="6" t="s">
        <v>168</v>
      </c>
      <c r="B2487" s="94" t="s">
        <v>6749</v>
      </c>
      <c r="C2487" s="6" t="s">
        <v>7592</v>
      </c>
      <c r="D2487" s="140">
        <v>11729266</v>
      </c>
      <c r="E2487" s="6" t="s">
        <v>5433</v>
      </c>
      <c r="F2487" s="10" t="s">
        <v>44</v>
      </c>
      <c r="G2487" s="6" t="s">
        <v>7593</v>
      </c>
      <c r="H2487" s="8">
        <v>49499</v>
      </c>
      <c r="I2487" s="8">
        <v>44631</v>
      </c>
      <c r="J2487" s="8">
        <v>44692</v>
      </c>
      <c r="R2487" s="97" t="str">
        <f t="shared" si="92"/>
        <v/>
      </c>
      <c r="S2487" s="75" t="str">
        <f t="shared" si="93"/>
        <v/>
      </c>
      <c r="W2487" s="6" t="s">
        <v>84</v>
      </c>
      <c r="X2487" s="7">
        <v>49158</v>
      </c>
    </row>
    <row r="2488" spans="1:24" x14ac:dyDescent="0.25">
      <c r="A2488" s="6" t="s">
        <v>168</v>
      </c>
      <c r="B2488" s="94" t="s">
        <v>1552</v>
      </c>
      <c r="C2488" s="6" t="s">
        <v>7594</v>
      </c>
      <c r="D2488" s="140">
        <v>10250932</v>
      </c>
      <c r="E2488" s="6" t="s">
        <v>171</v>
      </c>
      <c r="F2488" s="10" t="s">
        <v>44</v>
      </c>
      <c r="G2488" s="6" t="s">
        <v>7595</v>
      </c>
      <c r="H2488" s="8">
        <v>46631</v>
      </c>
      <c r="I2488" s="8">
        <v>44642</v>
      </c>
      <c r="J2488" s="8">
        <v>44715</v>
      </c>
      <c r="K2488" s="95">
        <v>44715</v>
      </c>
      <c r="R2488" s="97" t="str">
        <f t="shared" si="92"/>
        <v/>
      </c>
      <c r="S2488" s="75" t="str">
        <f t="shared" si="93"/>
        <v/>
      </c>
      <c r="W2488" s="6" t="s">
        <v>84</v>
      </c>
      <c r="X2488" s="7">
        <v>46302</v>
      </c>
    </row>
    <row r="2489" spans="1:24" ht="30" x14ac:dyDescent="0.25">
      <c r="A2489" s="6" t="s">
        <v>669</v>
      </c>
      <c r="B2489" s="94" t="s">
        <v>7596</v>
      </c>
      <c r="C2489" s="6" t="s">
        <v>7597</v>
      </c>
      <c r="D2489" s="140">
        <v>12141370</v>
      </c>
      <c r="E2489" s="6" t="s">
        <v>3607</v>
      </c>
      <c r="F2489" s="10" t="s">
        <v>44</v>
      </c>
      <c r="G2489" s="6" t="s">
        <v>7598</v>
      </c>
      <c r="H2489" s="8">
        <v>56205</v>
      </c>
      <c r="I2489" s="8">
        <v>44642</v>
      </c>
      <c r="J2489" s="8">
        <v>44684</v>
      </c>
      <c r="L2489" s="95" t="s">
        <v>31</v>
      </c>
      <c r="M2489" s="8">
        <v>44811</v>
      </c>
      <c r="N2489" s="8">
        <v>44959</v>
      </c>
      <c r="O2489" s="8">
        <v>44956</v>
      </c>
      <c r="P2489" s="6" t="s">
        <v>35</v>
      </c>
      <c r="Q2489" s="96">
        <v>12410</v>
      </c>
      <c r="R2489" s="97">
        <f t="shared" si="92"/>
        <v>34</v>
      </c>
      <c r="S2489" s="75">
        <f t="shared" si="93"/>
        <v>280806</v>
      </c>
      <c r="U2489" s="8">
        <v>45021</v>
      </c>
      <c r="W2489" s="6" t="s">
        <v>84</v>
      </c>
      <c r="X2489" s="7">
        <v>53260</v>
      </c>
    </row>
    <row r="2490" spans="1:24" ht="45" x14ac:dyDescent="0.25">
      <c r="A2490" s="6" t="s">
        <v>25</v>
      </c>
      <c r="B2490" s="94" t="s">
        <v>6352</v>
      </c>
      <c r="C2490" s="6" t="s">
        <v>7599</v>
      </c>
      <c r="D2490" s="140">
        <v>11738819</v>
      </c>
      <c r="E2490" s="6" t="s">
        <v>4366</v>
      </c>
      <c r="F2490" s="10" t="s">
        <v>44</v>
      </c>
      <c r="G2490" s="6" t="s">
        <v>7600</v>
      </c>
      <c r="H2490" s="8">
        <v>71096</v>
      </c>
      <c r="I2490" s="8">
        <v>44644</v>
      </c>
      <c r="J2490" s="8" t="s">
        <v>7601</v>
      </c>
      <c r="K2490" s="95">
        <v>44670</v>
      </c>
      <c r="L2490" s="95" t="s">
        <v>31</v>
      </c>
      <c r="M2490" s="8">
        <v>44720</v>
      </c>
      <c r="R2490" s="97" t="str">
        <f t="shared" si="92"/>
        <v/>
      </c>
      <c r="S2490" s="75" t="str">
        <f t="shared" si="93"/>
        <v/>
      </c>
      <c r="T2490" s="124" t="s">
        <v>7602</v>
      </c>
      <c r="U2490" s="8" t="s">
        <v>7603</v>
      </c>
      <c r="W2490" s="6" t="s">
        <v>84</v>
      </c>
      <c r="X2490" s="7">
        <v>49044</v>
      </c>
    </row>
    <row r="2491" spans="1:24" x14ac:dyDescent="0.25">
      <c r="A2491" s="6" t="s">
        <v>25</v>
      </c>
      <c r="B2491" s="94" t="s">
        <v>7562</v>
      </c>
      <c r="C2491" s="6" t="s">
        <v>7563</v>
      </c>
      <c r="D2491" s="140">
        <v>11075211</v>
      </c>
      <c r="E2491" s="6" t="s">
        <v>7604</v>
      </c>
      <c r="F2491" s="10" t="s">
        <v>100</v>
      </c>
      <c r="G2491" s="6">
        <v>102931</v>
      </c>
      <c r="H2491" s="8">
        <v>47312</v>
      </c>
      <c r="I2491" s="8">
        <v>44615</v>
      </c>
      <c r="J2491" s="8">
        <v>44669</v>
      </c>
      <c r="K2491" s="95">
        <v>44670</v>
      </c>
      <c r="L2491" s="95" t="s">
        <v>31</v>
      </c>
      <c r="M2491" s="8">
        <v>44725</v>
      </c>
      <c r="N2491" s="8">
        <v>44841</v>
      </c>
      <c r="O2491" s="8">
        <v>44831</v>
      </c>
      <c r="P2491" s="6" t="s">
        <v>35</v>
      </c>
      <c r="Q2491" s="96">
        <v>1817</v>
      </c>
      <c r="R2491" s="97">
        <f t="shared" si="92"/>
        <v>4.978082191780822</v>
      </c>
      <c r="S2491" s="75">
        <f t="shared" si="93"/>
        <v>41113.980821917808</v>
      </c>
      <c r="U2491" s="8">
        <v>44845</v>
      </c>
      <c r="V2491" s="6" t="s">
        <v>36</v>
      </c>
      <c r="W2491" s="6" t="s">
        <v>33</v>
      </c>
      <c r="X2491" s="7">
        <v>49470</v>
      </c>
    </row>
    <row r="2492" spans="1:24" x14ac:dyDescent="0.25">
      <c r="A2492" s="6" t="s">
        <v>25</v>
      </c>
      <c r="B2492" s="94" t="s">
        <v>635</v>
      </c>
      <c r="C2492" s="6" t="s">
        <v>7605</v>
      </c>
      <c r="D2492" s="140">
        <v>11950543</v>
      </c>
      <c r="E2492" s="6" t="s">
        <v>6476</v>
      </c>
      <c r="F2492" s="10" t="s">
        <v>44</v>
      </c>
      <c r="G2492" s="6" t="s">
        <v>7606</v>
      </c>
      <c r="H2492" s="8">
        <v>46514</v>
      </c>
      <c r="I2492" s="8">
        <v>44642</v>
      </c>
      <c r="J2492" s="8">
        <v>44669</v>
      </c>
      <c r="K2492" s="95">
        <v>44670</v>
      </c>
      <c r="L2492" s="95" t="s">
        <v>31</v>
      </c>
      <c r="M2492" s="8">
        <v>44720</v>
      </c>
      <c r="N2492" s="8">
        <v>44858</v>
      </c>
      <c r="O2492" s="8">
        <v>44844</v>
      </c>
      <c r="P2492" s="6" t="s">
        <v>90</v>
      </c>
      <c r="Q2492" s="96">
        <v>2555</v>
      </c>
      <c r="R2492" s="97">
        <f t="shared" si="92"/>
        <v>7</v>
      </c>
      <c r="S2492" s="75">
        <f t="shared" si="93"/>
        <v>57813</v>
      </c>
      <c r="T2492" s="124" t="s">
        <v>7607</v>
      </c>
      <c r="U2492" s="8">
        <v>45054</v>
      </c>
      <c r="V2492" s="6" t="s">
        <v>36</v>
      </c>
      <c r="W2492" s="6" t="s">
        <v>33</v>
      </c>
      <c r="X2492" s="7">
        <v>51495</v>
      </c>
    </row>
    <row r="2493" spans="1:24" x14ac:dyDescent="0.25">
      <c r="A2493" s="6" t="s">
        <v>25</v>
      </c>
      <c r="B2493" s="94" t="s">
        <v>3185</v>
      </c>
      <c r="C2493" s="6" t="s">
        <v>7608</v>
      </c>
      <c r="D2493" s="140">
        <v>11578197</v>
      </c>
      <c r="E2493" s="6" t="s">
        <v>4391</v>
      </c>
      <c r="F2493" s="10" t="s">
        <v>139</v>
      </c>
      <c r="G2493" s="6" t="s">
        <v>7609</v>
      </c>
      <c r="H2493" s="8">
        <v>45540</v>
      </c>
      <c r="I2493" s="8">
        <v>44638</v>
      </c>
      <c r="J2493" s="8">
        <v>44669</v>
      </c>
      <c r="K2493" s="95">
        <v>44670</v>
      </c>
      <c r="L2493" s="95" t="s">
        <v>31</v>
      </c>
      <c r="M2493" s="8">
        <v>44725</v>
      </c>
      <c r="N2493" s="8">
        <v>44795</v>
      </c>
      <c r="O2493" s="8">
        <v>44789</v>
      </c>
      <c r="P2493" s="6" t="s">
        <v>35</v>
      </c>
      <c r="Q2493" s="96">
        <v>735</v>
      </c>
      <c r="R2493" s="97">
        <f t="shared" si="92"/>
        <v>2.0136986301369864</v>
      </c>
      <c r="S2493" s="75">
        <f t="shared" si="93"/>
        <v>16631.136986301372</v>
      </c>
      <c r="U2493" s="8">
        <v>44959</v>
      </c>
      <c r="V2493" s="6" t="s">
        <v>36</v>
      </c>
      <c r="W2493" s="6" t="s">
        <v>33</v>
      </c>
      <c r="X2493" s="7">
        <v>52128</v>
      </c>
    </row>
    <row r="2494" spans="1:24" x14ac:dyDescent="0.25">
      <c r="A2494" s="6" t="s">
        <v>25</v>
      </c>
      <c r="B2494" s="94" t="s">
        <v>7610</v>
      </c>
      <c r="C2494" s="6" t="s">
        <v>7611</v>
      </c>
      <c r="D2494" s="140">
        <v>11219071</v>
      </c>
      <c r="E2494" s="6" t="s">
        <v>409</v>
      </c>
      <c r="F2494" s="10" t="s">
        <v>143</v>
      </c>
      <c r="G2494" s="6" t="s">
        <v>7612</v>
      </c>
      <c r="H2494" s="8">
        <v>48688</v>
      </c>
      <c r="I2494" s="8">
        <v>44615</v>
      </c>
      <c r="J2494" s="8">
        <v>44663</v>
      </c>
      <c r="K2494" s="95">
        <v>44665</v>
      </c>
      <c r="L2494" s="95" t="s">
        <v>31</v>
      </c>
      <c r="M2494" s="8">
        <v>44678</v>
      </c>
      <c r="R2494" s="97" t="str">
        <f t="shared" si="92"/>
        <v/>
      </c>
      <c r="S2494" s="75" t="str">
        <f t="shared" si="93"/>
        <v/>
      </c>
      <c r="W2494" s="6" t="s">
        <v>84</v>
      </c>
      <c r="X2494" s="7">
        <v>48668</v>
      </c>
    </row>
    <row r="2495" spans="1:24" ht="30" x14ac:dyDescent="0.25">
      <c r="A2495" s="6" t="s">
        <v>669</v>
      </c>
      <c r="B2495" s="94" t="s">
        <v>7613</v>
      </c>
      <c r="C2495" s="6" t="s">
        <v>7614</v>
      </c>
      <c r="D2495" s="140">
        <v>12189512</v>
      </c>
      <c r="E2495" s="6" t="s">
        <v>195</v>
      </c>
      <c r="F2495" s="10" t="s">
        <v>50</v>
      </c>
      <c r="G2495" s="6" t="s">
        <v>7615</v>
      </c>
      <c r="H2495" s="8">
        <v>46041</v>
      </c>
      <c r="I2495" s="8">
        <v>44623</v>
      </c>
      <c r="J2495" s="8">
        <v>44663</v>
      </c>
      <c r="K2495" s="95">
        <v>44665</v>
      </c>
      <c r="L2495" s="95" t="s">
        <v>31</v>
      </c>
      <c r="M2495" s="8">
        <v>44678</v>
      </c>
      <c r="N2495" s="8">
        <v>44862</v>
      </c>
      <c r="O2495" s="8">
        <v>44862</v>
      </c>
      <c r="P2495" s="6" t="s">
        <v>35</v>
      </c>
      <c r="Q2495" s="96">
        <v>1172</v>
      </c>
      <c r="R2495" s="97">
        <f t="shared" si="92"/>
        <v>3.2109589041095892</v>
      </c>
      <c r="S2495" s="75">
        <f t="shared" si="93"/>
        <v>26519.309589041095</v>
      </c>
      <c r="U2495" s="8">
        <v>44897</v>
      </c>
      <c r="V2495" s="6" t="s">
        <v>36</v>
      </c>
      <c r="W2495" s="6" t="s">
        <v>33</v>
      </c>
      <c r="X2495" s="7">
        <v>55545</v>
      </c>
    </row>
    <row r="2496" spans="1:24" x14ac:dyDescent="0.25">
      <c r="A2496" s="6" t="s">
        <v>25</v>
      </c>
      <c r="B2496" s="94" t="s">
        <v>7616</v>
      </c>
      <c r="C2496" s="6" t="s">
        <v>7617</v>
      </c>
      <c r="D2496" s="140">
        <v>11117364</v>
      </c>
      <c r="E2496" s="6" t="s">
        <v>409</v>
      </c>
      <c r="F2496" s="10" t="s">
        <v>44</v>
      </c>
      <c r="G2496" s="6" t="s">
        <v>7618</v>
      </c>
      <c r="H2496" s="8">
        <v>49935</v>
      </c>
      <c r="I2496" s="8">
        <v>44621</v>
      </c>
      <c r="J2496" s="8">
        <v>44663</v>
      </c>
      <c r="K2496" s="95">
        <v>44665</v>
      </c>
      <c r="L2496" s="95" t="s">
        <v>31</v>
      </c>
      <c r="M2496" s="8">
        <v>44678</v>
      </c>
      <c r="N2496" s="8">
        <v>44840</v>
      </c>
      <c r="O2496" s="8">
        <v>44839</v>
      </c>
      <c r="P2496" s="6" t="s">
        <v>35</v>
      </c>
      <c r="Q2496" s="96">
        <v>4133</v>
      </c>
      <c r="R2496" s="97">
        <f t="shared" si="92"/>
        <v>11.323287671232876</v>
      </c>
      <c r="S2496" s="75">
        <f t="shared" si="93"/>
        <v>93519.032876712328</v>
      </c>
      <c r="U2496" s="8">
        <v>44845</v>
      </c>
    </row>
    <row r="2497" spans="1:24" x14ac:dyDescent="0.25">
      <c r="A2497" s="6" t="s">
        <v>25</v>
      </c>
      <c r="B2497" s="94" t="s">
        <v>7619</v>
      </c>
      <c r="C2497" s="6" t="s">
        <v>7620</v>
      </c>
      <c r="D2497" s="140">
        <v>11576716</v>
      </c>
      <c r="E2497" s="6" t="s">
        <v>826</v>
      </c>
      <c r="F2497" s="10" t="s">
        <v>148</v>
      </c>
      <c r="G2497" s="6" t="s">
        <v>7621</v>
      </c>
      <c r="H2497" s="8">
        <v>45809</v>
      </c>
      <c r="I2497" s="8">
        <v>44609</v>
      </c>
      <c r="J2497" s="8">
        <v>44663</v>
      </c>
      <c r="K2497" s="95">
        <v>44665</v>
      </c>
      <c r="L2497" s="95" t="s">
        <v>31</v>
      </c>
      <c r="M2497" s="8">
        <v>44678</v>
      </c>
      <c r="N2497" s="8">
        <v>44845</v>
      </c>
      <c r="O2497" s="8">
        <v>44841</v>
      </c>
      <c r="P2497" s="6" t="s">
        <v>35</v>
      </c>
      <c r="Q2497" s="96">
        <v>961</v>
      </c>
      <c r="R2497" s="97">
        <f t="shared" si="92"/>
        <v>2.6328767123287671</v>
      </c>
      <c r="S2497" s="75">
        <f t="shared" si="93"/>
        <v>21744.928767123289</v>
      </c>
      <c r="U2497" s="8">
        <v>44897</v>
      </c>
    </row>
    <row r="2498" spans="1:24" x14ac:dyDescent="0.25">
      <c r="A2498" s="6" t="s">
        <v>168</v>
      </c>
      <c r="B2498" s="94" t="s">
        <v>7622</v>
      </c>
      <c r="C2498" s="6" t="s">
        <v>7623</v>
      </c>
      <c r="D2498" s="140">
        <v>11041773</v>
      </c>
      <c r="E2498" s="6" t="s">
        <v>120</v>
      </c>
      <c r="F2498" s="10" t="s">
        <v>205</v>
      </c>
      <c r="G2498" s="6" t="s">
        <v>7624</v>
      </c>
      <c r="H2498" s="8">
        <v>50731</v>
      </c>
      <c r="I2498" s="8">
        <v>44631</v>
      </c>
      <c r="J2498" s="8">
        <v>44663</v>
      </c>
      <c r="K2498" s="95">
        <v>44665</v>
      </c>
      <c r="L2498" s="95" t="s">
        <v>359</v>
      </c>
      <c r="R2498" s="97" t="str">
        <f t="shared" si="92"/>
        <v/>
      </c>
      <c r="S2498" s="75" t="str">
        <f t="shared" si="93"/>
        <v/>
      </c>
    </row>
    <row r="2499" spans="1:24" x14ac:dyDescent="0.25">
      <c r="A2499" s="6" t="s">
        <v>37</v>
      </c>
      <c r="B2499" s="94" t="s">
        <v>4984</v>
      </c>
      <c r="C2499" s="6" t="s">
        <v>7625</v>
      </c>
      <c r="D2499" s="140">
        <v>11630549</v>
      </c>
      <c r="E2499" s="6" t="s">
        <v>783</v>
      </c>
      <c r="F2499" s="10" t="s">
        <v>44</v>
      </c>
      <c r="G2499" s="6" t="s">
        <v>7626</v>
      </c>
      <c r="H2499" s="8">
        <v>58149</v>
      </c>
      <c r="I2499" s="8">
        <v>44623</v>
      </c>
      <c r="J2499" s="8">
        <v>44663</v>
      </c>
      <c r="K2499" s="95">
        <v>44665</v>
      </c>
      <c r="L2499" s="95" t="s">
        <v>31</v>
      </c>
      <c r="M2499" s="8">
        <v>44678</v>
      </c>
      <c r="P2499" s="6" t="s">
        <v>628</v>
      </c>
      <c r="R2499" s="97" t="str">
        <f t="shared" si="92"/>
        <v/>
      </c>
      <c r="S2499" s="75" t="str">
        <f t="shared" si="93"/>
        <v/>
      </c>
      <c r="T2499" s="124" t="s">
        <v>7627</v>
      </c>
      <c r="W2499" s="6" t="s">
        <v>33</v>
      </c>
      <c r="X2499" s="7">
        <v>48450</v>
      </c>
    </row>
    <row r="2500" spans="1:24" x14ac:dyDescent="0.25">
      <c r="A2500" s="6" t="s">
        <v>37</v>
      </c>
      <c r="B2500" s="94" t="s">
        <v>1681</v>
      </c>
      <c r="C2500" s="6" t="s">
        <v>7628</v>
      </c>
      <c r="D2500" s="140">
        <v>1157416</v>
      </c>
      <c r="E2500" s="6" t="s">
        <v>783</v>
      </c>
      <c r="F2500" s="10" t="s">
        <v>44</v>
      </c>
      <c r="G2500" s="6" t="s">
        <v>7629</v>
      </c>
      <c r="H2500" s="8">
        <v>48240</v>
      </c>
      <c r="I2500" s="8">
        <v>44621</v>
      </c>
      <c r="J2500" s="8">
        <v>44663</v>
      </c>
      <c r="K2500" s="95">
        <v>44670</v>
      </c>
      <c r="L2500" s="95" t="s">
        <v>31</v>
      </c>
      <c r="M2500" s="8">
        <v>44720</v>
      </c>
      <c r="P2500" s="6" t="s">
        <v>628</v>
      </c>
      <c r="R2500" s="97" t="str">
        <f t="shared" si="92"/>
        <v/>
      </c>
      <c r="S2500" s="75" t="str">
        <f t="shared" si="93"/>
        <v/>
      </c>
      <c r="T2500" s="124" t="s">
        <v>7630</v>
      </c>
      <c r="W2500" s="6" t="s">
        <v>33</v>
      </c>
      <c r="X2500" s="7">
        <v>45831</v>
      </c>
    </row>
    <row r="2501" spans="1:24" x14ac:dyDescent="0.25">
      <c r="A2501" s="6" t="s">
        <v>37</v>
      </c>
      <c r="B2501" s="94" t="s">
        <v>5345</v>
      </c>
      <c r="C2501" s="6" t="s">
        <v>7631</v>
      </c>
      <c r="D2501" s="140">
        <v>12000176</v>
      </c>
      <c r="E2501" s="6" t="s">
        <v>783</v>
      </c>
      <c r="F2501" s="10" t="s">
        <v>205</v>
      </c>
      <c r="G2501" s="6" t="s">
        <v>7632</v>
      </c>
      <c r="H2501" s="8">
        <v>46821</v>
      </c>
      <c r="I2501" s="8">
        <v>44623</v>
      </c>
      <c r="J2501" s="8">
        <v>44663</v>
      </c>
      <c r="K2501" s="95">
        <v>44665</v>
      </c>
      <c r="L2501" s="95" t="s">
        <v>31</v>
      </c>
      <c r="M2501" s="8">
        <v>44678</v>
      </c>
      <c r="P2501" s="6" t="s">
        <v>628</v>
      </c>
      <c r="R2501" s="97" t="str">
        <f t="shared" si="92"/>
        <v/>
      </c>
      <c r="S2501" s="75" t="str">
        <f t="shared" si="93"/>
        <v/>
      </c>
      <c r="T2501" s="124" t="s">
        <v>7633</v>
      </c>
      <c r="W2501" s="6" t="s">
        <v>33</v>
      </c>
      <c r="X2501" s="7">
        <v>46780</v>
      </c>
    </row>
    <row r="2502" spans="1:24" x14ac:dyDescent="0.25">
      <c r="A2502" s="6" t="s">
        <v>168</v>
      </c>
      <c r="B2502" s="94" t="s">
        <v>7634</v>
      </c>
      <c r="C2502" s="6" t="s">
        <v>7635</v>
      </c>
      <c r="D2502" s="140">
        <v>11593465</v>
      </c>
      <c r="E2502" s="6" t="s">
        <v>3644</v>
      </c>
      <c r="F2502" s="10" t="s">
        <v>293</v>
      </c>
      <c r="G2502" s="6">
        <v>153993</v>
      </c>
      <c r="H2502" s="8">
        <v>49040</v>
      </c>
      <c r="I2502" s="8">
        <v>44614</v>
      </c>
      <c r="J2502" s="8">
        <v>44669</v>
      </c>
      <c r="K2502" s="95">
        <v>44670</v>
      </c>
      <c r="L2502" s="95" t="s">
        <v>359</v>
      </c>
      <c r="R2502" s="97" t="str">
        <f t="shared" si="92"/>
        <v/>
      </c>
      <c r="S2502" s="75" t="str">
        <f t="shared" si="93"/>
        <v/>
      </c>
    </row>
    <row r="2503" spans="1:24" x14ac:dyDescent="0.25">
      <c r="A2503" s="6" t="s">
        <v>168</v>
      </c>
      <c r="B2503" s="94" t="s">
        <v>7636</v>
      </c>
      <c r="C2503" s="6" t="s">
        <v>7637</v>
      </c>
      <c r="D2503" s="140">
        <v>11349236</v>
      </c>
      <c r="E2503" s="6" t="s">
        <v>216</v>
      </c>
      <c r="F2503" s="10" t="s">
        <v>29</v>
      </c>
      <c r="G2503" s="6" t="s">
        <v>7638</v>
      </c>
      <c r="H2503" s="8">
        <v>47058</v>
      </c>
      <c r="I2503" s="8">
        <v>44630</v>
      </c>
      <c r="J2503" s="8">
        <v>44663</v>
      </c>
      <c r="K2503" s="95">
        <v>44665</v>
      </c>
      <c r="L2503" s="95" t="s">
        <v>359</v>
      </c>
      <c r="R2503" s="97" t="str">
        <f t="shared" si="92"/>
        <v/>
      </c>
      <c r="S2503" s="75" t="str">
        <f t="shared" si="93"/>
        <v/>
      </c>
    </row>
    <row r="2504" spans="1:24" x14ac:dyDescent="0.25">
      <c r="A2504" s="6" t="s">
        <v>25</v>
      </c>
      <c r="B2504" s="94" t="s">
        <v>7639</v>
      </c>
      <c r="C2504" s="6" t="s">
        <v>7640</v>
      </c>
      <c r="D2504" s="140">
        <v>11493772</v>
      </c>
      <c r="E2504" s="6" t="s">
        <v>43</v>
      </c>
      <c r="F2504" s="10" t="s">
        <v>44</v>
      </c>
      <c r="G2504" s="6" t="s">
        <v>7641</v>
      </c>
      <c r="H2504" s="8">
        <v>48657</v>
      </c>
      <c r="I2504" s="8">
        <v>44607</v>
      </c>
      <c r="J2504" s="8">
        <v>44663</v>
      </c>
      <c r="K2504" s="95">
        <v>44665</v>
      </c>
      <c r="L2504" s="95" t="s">
        <v>31</v>
      </c>
      <c r="M2504" s="8">
        <v>44678</v>
      </c>
      <c r="N2504" s="8">
        <v>45063</v>
      </c>
      <c r="O2504" s="8">
        <v>45056</v>
      </c>
      <c r="P2504" s="6" t="s">
        <v>35</v>
      </c>
      <c r="Q2504" s="96">
        <v>1825</v>
      </c>
      <c r="R2504" s="97">
        <f t="shared" si="92"/>
        <v>5</v>
      </c>
      <c r="S2504" s="75">
        <f t="shared" si="93"/>
        <v>41295</v>
      </c>
      <c r="U2504" s="8">
        <v>45343</v>
      </c>
      <c r="W2504" s="6" t="s">
        <v>84</v>
      </c>
      <c r="X2504" s="7">
        <v>47920</v>
      </c>
    </row>
    <row r="2505" spans="1:24" x14ac:dyDescent="0.25">
      <c r="A2505" s="6" t="s">
        <v>25</v>
      </c>
      <c r="B2505" s="94" t="s">
        <v>944</v>
      </c>
      <c r="C2505" s="6" t="s">
        <v>7642</v>
      </c>
      <c r="D2505" s="140">
        <v>11931137</v>
      </c>
      <c r="E2505" s="6" t="s">
        <v>835</v>
      </c>
      <c r="F2505" s="10" t="s">
        <v>252</v>
      </c>
      <c r="G2505" s="6">
        <v>50712448</v>
      </c>
      <c r="H2505" s="8">
        <v>50094</v>
      </c>
      <c r="I2505" s="8">
        <v>44621</v>
      </c>
      <c r="J2505" s="8">
        <v>44663</v>
      </c>
      <c r="K2505" s="95">
        <v>44665</v>
      </c>
      <c r="L2505" s="95" t="s">
        <v>31</v>
      </c>
      <c r="M2505" s="8">
        <v>44678</v>
      </c>
      <c r="N2505" s="8">
        <v>44707</v>
      </c>
      <c r="O2505" s="8">
        <v>44706</v>
      </c>
      <c r="P2505" s="6" t="s">
        <v>35</v>
      </c>
      <c r="Q2505" s="96">
        <v>5379</v>
      </c>
      <c r="R2505" s="97">
        <f t="shared" si="92"/>
        <v>14.736986301369862</v>
      </c>
      <c r="S2505" s="75">
        <f t="shared" si="93"/>
        <v>121712.7698630137</v>
      </c>
      <c r="U2505" s="8">
        <v>44712</v>
      </c>
    </row>
    <row r="2506" spans="1:24" x14ac:dyDescent="0.25">
      <c r="A2506" s="6" t="s">
        <v>25</v>
      </c>
      <c r="B2506" s="94" t="s">
        <v>5897</v>
      </c>
      <c r="C2506" s="6" t="s">
        <v>5898</v>
      </c>
      <c r="D2506" s="140">
        <v>11523614</v>
      </c>
      <c r="E2506" s="6" t="s">
        <v>3564</v>
      </c>
      <c r="F2506" s="10" t="s">
        <v>44</v>
      </c>
      <c r="G2506" s="6" t="s">
        <v>5899</v>
      </c>
      <c r="H2506" s="8">
        <v>44648</v>
      </c>
      <c r="I2506" s="8">
        <v>44623</v>
      </c>
      <c r="J2506" s="8">
        <v>44663</v>
      </c>
      <c r="K2506" s="95">
        <v>44665</v>
      </c>
      <c r="L2506" s="95" t="s">
        <v>359</v>
      </c>
      <c r="R2506" s="97" t="str">
        <f t="shared" si="92"/>
        <v/>
      </c>
      <c r="S2506" s="75" t="str">
        <f t="shared" si="93"/>
        <v/>
      </c>
      <c r="W2506" s="6" t="s">
        <v>84</v>
      </c>
      <c r="X2506" s="7">
        <v>47407</v>
      </c>
    </row>
    <row r="2507" spans="1:24" x14ac:dyDescent="0.25">
      <c r="A2507" s="6" t="s">
        <v>25</v>
      </c>
      <c r="B2507" s="94" t="s">
        <v>7643</v>
      </c>
      <c r="C2507" s="6" t="s">
        <v>7644</v>
      </c>
      <c r="D2507" s="140">
        <v>11564803</v>
      </c>
      <c r="E2507" s="6" t="s">
        <v>318</v>
      </c>
      <c r="F2507" s="10" t="s">
        <v>121</v>
      </c>
      <c r="G2507" s="6" t="s">
        <v>4921</v>
      </c>
      <c r="H2507" s="8">
        <v>49274</v>
      </c>
      <c r="I2507" s="8">
        <v>44621</v>
      </c>
      <c r="J2507" s="8">
        <v>44663</v>
      </c>
      <c r="K2507" s="95">
        <v>44665</v>
      </c>
      <c r="L2507" s="95" t="s">
        <v>31</v>
      </c>
      <c r="M2507" s="8">
        <v>44678</v>
      </c>
      <c r="N2507" s="8">
        <v>44935</v>
      </c>
      <c r="O2507" s="8">
        <v>44918</v>
      </c>
      <c r="P2507" s="6" t="s">
        <v>35</v>
      </c>
      <c r="Q2507" s="96">
        <v>3650</v>
      </c>
      <c r="R2507" s="97">
        <f t="shared" si="92"/>
        <v>10</v>
      </c>
      <c r="S2507" s="75">
        <f t="shared" si="93"/>
        <v>82590</v>
      </c>
      <c r="U2507" s="8">
        <v>45047</v>
      </c>
      <c r="W2507" s="6" t="s">
        <v>33</v>
      </c>
      <c r="X2507" s="7">
        <v>45878</v>
      </c>
    </row>
    <row r="2508" spans="1:24" x14ac:dyDescent="0.25">
      <c r="A2508" s="6" t="s">
        <v>25</v>
      </c>
      <c r="B2508" s="94" t="s">
        <v>7270</v>
      </c>
      <c r="C2508" s="6" t="s">
        <v>7645</v>
      </c>
      <c r="D2508" s="140">
        <v>11161647</v>
      </c>
      <c r="E2508" s="6" t="s">
        <v>3335</v>
      </c>
      <c r="F2508" s="10" t="s">
        <v>139</v>
      </c>
      <c r="G2508" s="6">
        <v>36722</v>
      </c>
      <c r="H2508" s="8">
        <v>48991</v>
      </c>
      <c r="I2508" s="8">
        <v>44652</v>
      </c>
      <c r="J2508" s="8">
        <v>44680</v>
      </c>
      <c r="K2508" s="95">
        <v>44683</v>
      </c>
      <c r="L2508" s="95" t="s">
        <v>31</v>
      </c>
      <c r="M2508" s="8">
        <v>44725</v>
      </c>
      <c r="N2508" s="8">
        <v>44874</v>
      </c>
      <c r="O2508" s="8">
        <v>44792</v>
      </c>
      <c r="P2508" s="6" t="s">
        <v>52</v>
      </c>
      <c r="R2508" s="97" t="str">
        <f t="shared" si="92"/>
        <v/>
      </c>
      <c r="S2508" s="75" t="str">
        <f t="shared" si="93"/>
        <v/>
      </c>
      <c r="T2508" s="124" t="s">
        <v>7646</v>
      </c>
      <c r="U2508" s="8">
        <v>44875</v>
      </c>
      <c r="W2508" s="6" t="s">
        <v>84</v>
      </c>
      <c r="X2508" s="7">
        <v>46612</v>
      </c>
    </row>
    <row r="2509" spans="1:24" x14ac:dyDescent="0.25">
      <c r="A2509" s="6" t="s">
        <v>25</v>
      </c>
      <c r="B2509" s="94" t="s">
        <v>630</v>
      </c>
      <c r="C2509" s="6" t="s">
        <v>7647</v>
      </c>
      <c r="D2509" s="140">
        <v>11472549</v>
      </c>
      <c r="E2509" s="6" t="s">
        <v>4354</v>
      </c>
      <c r="F2509" s="10" t="s">
        <v>29</v>
      </c>
      <c r="G2509" s="6" t="s">
        <v>7648</v>
      </c>
      <c r="H2509" s="8">
        <v>53598</v>
      </c>
      <c r="I2509" s="8">
        <v>44650</v>
      </c>
      <c r="J2509" s="8">
        <v>44692</v>
      </c>
      <c r="K2509" s="95">
        <v>44726</v>
      </c>
      <c r="L2509" s="95" t="s">
        <v>31</v>
      </c>
      <c r="M2509" s="8">
        <v>44739</v>
      </c>
      <c r="P2509" s="6" t="s">
        <v>628</v>
      </c>
      <c r="T2509" s="124" t="s">
        <v>7649</v>
      </c>
      <c r="W2509" s="6" t="s">
        <v>33</v>
      </c>
      <c r="X2509" s="7">
        <v>51674</v>
      </c>
    </row>
    <row r="2510" spans="1:24" x14ac:dyDescent="0.25">
      <c r="A2510" s="6" t="s">
        <v>25</v>
      </c>
      <c r="B2510" s="94" t="s">
        <v>2148</v>
      </c>
      <c r="C2510" s="6" t="s">
        <v>7650</v>
      </c>
      <c r="D2510" s="140">
        <v>11637542</v>
      </c>
      <c r="E2510" s="6" t="s">
        <v>4044</v>
      </c>
      <c r="F2510" s="10" t="s">
        <v>44</v>
      </c>
      <c r="G2510" s="6" t="s">
        <v>7651</v>
      </c>
      <c r="H2510" s="8">
        <v>46114</v>
      </c>
      <c r="I2510" s="8">
        <v>44650</v>
      </c>
      <c r="J2510" s="8">
        <v>44680</v>
      </c>
      <c r="K2510" s="95">
        <v>44683</v>
      </c>
      <c r="L2510" s="95" t="s">
        <v>359</v>
      </c>
      <c r="R2510" s="97" t="str">
        <f t="shared" si="92"/>
        <v/>
      </c>
      <c r="S2510" s="75" t="str">
        <f t="shared" si="93"/>
        <v/>
      </c>
      <c r="W2510" s="6" t="s">
        <v>33</v>
      </c>
      <c r="X2510" s="7">
        <v>53330</v>
      </c>
    </row>
    <row r="2511" spans="1:24" x14ac:dyDescent="0.25">
      <c r="A2511" s="6" t="s">
        <v>25</v>
      </c>
      <c r="B2511" s="94" t="s">
        <v>7652</v>
      </c>
      <c r="C2511" s="6" t="s">
        <v>7653</v>
      </c>
      <c r="D2511" s="140">
        <v>11114033</v>
      </c>
      <c r="E2511" s="6" t="s">
        <v>2206</v>
      </c>
      <c r="F2511" s="10" t="s">
        <v>1588</v>
      </c>
      <c r="G2511" s="6" t="s">
        <v>7654</v>
      </c>
      <c r="H2511" s="8">
        <v>48507</v>
      </c>
      <c r="I2511" s="8">
        <v>44652</v>
      </c>
      <c r="J2511" s="8">
        <v>44684</v>
      </c>
      <c r="K2511" s="95">
        <v>44715</v>
      </c>
      <c r="L2511" s="95" t="s">
        <v>31</v>
      </c>
      <c r="M2511" s="8">
        <v>44725</v>
      </c>
      <c r="R2511" s="97" t="str">
        <f t="shared" si="92"/>
        <v/>
      </c>
      <c r="S2511" s="75" t="str">
        <f t="shared" si="93"/>
        <v/>
      </c>
      <c r="W2511" s="6" t="s">
        <v>33</v>
      </c>
      <c r="X2511" s="7">
        <v>51268</v>
      </c>
    </row>
    <row r="2512" spans="1:24" x14ac:dyDescent="0.25">
      <c r="A2512" s="6" t="s">
        <v>168</v>
      </c>
      <c r="B2512" s="94" t="s">
        <v>7655</v>
      </c>
      <c r="C2512" s="6" t="s">
        <v>7656</v>
      </c>
      <c r="D2512" s="140">
        <v>11610991</v>
      </c>
      <c r="E2512" s="6" t="s">
        <v>3354</v>
      </c>
      <c r="F2512" s="10" t="s">
        <v>143</v>
      </c>
      <c r="G2512" s="6" t="s">
        <v>7657</v>
      </c>
      <c r="H2512" s="8">
        <v>47055</v>
      </c>
      <c r="I2512" s="8">
        <v>44635</v>
      </c>
      <c r="J2512" s="8">
        <v>44719</v>
      </c>
      <c r="K2512" s="95">
        <v>44726</v>
      </c>
      <c r="L2512" s="95" t="s">
        <v>359</v>
      </c>
      <c r="R2512" s="97" t="str">
        <f t="shared" si="92"/>
        <v/>
      </c>
      <c r="S2512" s="75" t="str">
        <f t="shared" si="93"/>
        <v/>
      </c>
      <c r="W2512" s="6" t="s">
        <v>84</v>
      </c>
      <c r="X2512" s="7">
        <v>48163</v>
      </c>
    </row>
    <row r="2513" spans="1:24" x14ac:dyDescent="0.25">
      <c r="A2513" s="6" t="s">
        <v>168</v>
      </c>
      <c r="B2513" s="94" t="s">
        <v>7658</v>
      </c>
      <c r="C2513" s="6" t="s">
        <v>7659</v>
      </c>
      <c r="D2513" s="140">
        <v>11060906</v>
      </c>
      <c r="E2513" s="6" t="s">
        <v>3030</v>
      </c>
      <c r="F2513" s="10" t="s">
        <v>134</v>
      </c>
      <c r="G2513" s="6" t="s">
        <v>7660</v>
      </c>
      <c r="H2513" s="8">
        <v>107638</v>
      </c>
      <c r="I2513" s="8">
        <v>44623</v>
      </c>
      <c r="J2513" s="8">
        <v>44715</v>
      </c>
      <c r="K2513" s="95">
        <v>44715</v>
      </c>
      <c r="R2513" s="97" t="str">
        <f t="shared" si="92"/>
        <v/>
      </c>
      <c r="S2513" s="75" t="str">
        <f t="shared" si="93"/>
        <v/>
      </c>
      <c r="W2513" s="6" t="s">
        <v>84</v>
      </c>
      <c r="X2513" s="7">
        <v>49865</v>
      </c>
    </row>
    <row r="2514" spans="1:24" x14ac:dyDescent="0.25">
      <c r="A2514" s="6" t="s">
        <v>25</v>
      </c>
      <c r="B2514" s="94" t="s">
        <v>7661</v>
      </c>
      <c r="C2514" s="6" t="s">
        <v>7662</v>
      </c>
      <c r="D2514" s="140">
        <v>11670529</v>
      </c>
      <c r="E2514" s="6" t="s">
        <v>34</v>
      </c>
      <c r="F2514" s="10" t="s">
        <v>121</v>
      </c>
      <c r="G2514" s="6" t="s">
        <v>7663</v>
      </c>
      <c r="H2514" s="8">
        <v>61642</v>
      </c>
      <c r="I2514" s="8">
        <v>44614</v>
      </c>
      <c r="J2514" s="8">
        <v>44684</v>
      </c>
      <c r="K2514" s="95">
        <v>44715</v>
      </c>
      <c r="L2514" s="95" t="s">
        <v>31</v>
      </c>
      <c r="M2514" s="8">
        <v>44725</v>
      </c>
      <c r="N2514" s="8">
        <v>44837</v>
      </c>
      <c r="O2514" s="8">
        <v>44834</v>
      </c>
      <c r="P2514" s="6" t="s">
        <v>35</v>
      </c>
      <c r="Q2514" s="96">
        <v>515</v>
      </c>
      <c r="R2514" s="97">
        <f t="shared" si="92"/>
        <v>1.4109589041095891</v>
      </c>
      <c r="S2514" s="75">
        <f t="shared" si="93"/>
        <v>11653.109589041096</v>
      </c>
      <c r="T2514" s="124" t="s">
        <v>7664</v>
      </c>
      <c r="U2514" s="8">
        <v>44844</v>
      </c>
      <c r="W2514" s="6" t="s">
        <v>84</v>
      </c>
      <c r="X2514" s="7">
        <v>45355</v>
      </c>
    </row>
    <row r="2515" spans="1:24" x14ac:dyDescent="0.25">
      <c r="A2515" s="6" t="s">
        <v>168</v>
      </c>
      <c r="B2515" s="94" t="s">
        <v>3208</v>
      </c>
      <c r="C2515" s="6" t="s">
        <v>7665</v>
      </c>
      <c r="D2515" s="140">
        <v>11282555</v>
      </c>
      <c r="E2515" s="6" t="s">
        <v>3290</v>
      </c>
      <c r="F2515" s="10" t="s">
        <v>293</v>
      </c>
      <c r="G2515" s="6">
        <v>148316</v>
      </c>
      <c r="H2515" s="8">
        <v>50048</v>
      </c>
      <c r="I2515" s="8">
        <v>44638</v>
      </c>
      <c r="J2515" s="8">
        <v>44680</v>
      </c>
      <c r="K2515" s="95">
        <v>44683</v>
      </c>
      <c r="L2515" s="95" t="s">
        <v>359</v>
      </c>
      <c r="R2515" s="97" t="str">
        <f t="shared" si="92"/>
        <v/>
      </c>
      <c r="S2515" s="75" t="str">
        <f t="shared" si="93"/>
        <v/>
      </c>
      <c r="W2515" s="6" t="s">
        <v>84</v>
      </c>
      <c r="X2515" s="7">
        <v>47182</v>
      </c>
    </row>
    <row r="2516" spans="1:24" x14ac:dyDescent="0.25">
      <c r="A2516" s="6" t="s">
        <v>37</v>
      </c>
      <c r="B2516" s="94" t="s">
        <v>7666</v>
      </c>
      <c r="C2516" s="6" t="s">
        <v>7667</v>
      </c>
      <c r="D2516" s="140">
        <v>12115902</v>
      </c>
      <c r="E2516" s="6" t="s">
        <v>2206</v>
      </c>
      <c r="F2516" s="10" t="s">
        <v>148</v>
      </c>
      <c r="G2516" s="6" t="s">
        <v>7668</v>
      </c>
      <c r="H2516" s="8">
        <v>48651</v>
      </c>
      <c r="I2516" s="8">
        <v>44630</v>
      </c>
      <c r="J2516" s="8">
        <v>44669</v>
      </c>
      <c r="K2516" s="95">
        <v>44670</v>
      </c>
      <c r="L2516" s="95" t="s">
        <v>31</v>
      </c>
      <c r="M2516" s="8">
        <v>44725</v>
      </c>
      <c r="R2516" s="97" t="str">
        <f t="shared" si="92"/>
        <v/>
      </c>
      <c r="S2516" s="75" t="str">
        <f t="shared" si="93"/>
        <v/>
      </c>
      <c r="W2516" s="6" t="s">
        <v>33</v>
      </c>
      <c r="X2516" s="7">
        <v>50059</v>
      </c>
    </row>
    <row r="2517" spans="1:24" x14ac:dyDescent="0.25">
      <c r="A2517" s="6" t="s">
        <v>25</v>
      </c>
      <c r="B2517" s="94" t="s">
        <v>7669</v>
      </c>
      <c r="C2517" s="6" t="s">
        <v>7670</v>
      </c>
      <c r="D2517" s="140">
        <v>11142830</v>
      </c>
      <c r="E2517" s="6" t="s">
        <v>34</v>
      </c>
      <c r="F2517" s="10" t="s">
        <v>1225</v>
      </c>
      <c r="G2517" s="6" t="s">
        <v>7671</v>
      </c>
      <c r="H2517" s="8">
        <v>49094</v>
      </c>
      <c r="I2517" s="8">
        <v>44636</v>
      </c>
      <c r="J2517" s="8">
        <v>44669</v>
      </c>
      <c r="K2517" s="95">
        <v>44670</v>
      </c>
      <c r="L2517" s="95" t="s">
        <v>31</v>
      </c>
      <c r="M2517" s="8">
        <v>44725</v>
      </c>
      <c r="R2517" s="97" t="str">
        <f t="shared" si="92"/>
        <v/>
      </c>
      <c r="S2517" s="75" t="str">
        <f t="shared" si="93"/>
        <v/>
      </c>
      <c r="W2517" s="6" t="s">
        <v>84</v>
      </c>
      <c r="X2517" s="7">
        <v>48624</v>
      </c>
    </row>
    <row r="2518" spans="1:24" x14ac:dyDescent="0.25">
      <c r="A2518" s="6" t="s">
        <v>25</v>
      </c>
      <c r="B2518" s="94" t="s">
        <v>7672</v>
      </c>
      <c r="C2518" s="6" t="s">
        <v>7673</v>
      </c>
      <c r="D2518" s="140">
        <v>11184665</v>
      </c>
      <c r="E2518" s="6" t="s">
        <v>2206</v>
      </c>
      <c r="F2518" s="10" t="s">
        <v>44</v>
      </c>
      <c r="G2518" s="6" t="s">
        <v>7674</v>
      </c>
      <c r="H2518" s="8">
        <v>45759</v>
      </c>
      <c r="I2518" s="8">
        <v>44649</v>
      </c>
      <c r="J2518" s="8">
        <v>44663</v>
      </c>
      <c r="K2518" s="95">
        <v>44665</v>
      </c>
      <c r="L2518" s="95" t="s">
        <v>31</v>
      </c>
      <c r="M2518" s="8">
        <v>44678</v>
      </c>
      <c r="N2518" s="8">
        <v>44789</v>
      </c>
      <c r="O2518" s="8">
        <v>44775</v>
      </c>
      <c r="P2518" s="6" t="s">
        <v>35</v>
      </c>
      <c r="Q2518" s="96">
        <v>969</v>
      </c>
      <c r="R2518" s="97">
        <f t="shared" si="92"/>
        <v>2.6547945205479451</v>
      </c>
      <c r="S2518" s="75">
        <f t="shared" si="93"/>
        <v>21925.94794520548</v>
      </c>
      <c r="U2518" s="8">
        <v>44792</v>
      </c>
      <c r="W2518" s="6" t="s">
        <v>33</v>
      </c>
      <c r="X2518" s="7">
        <v>48803</v>
      </c>
    </row>
    <row r="2519" spans="1:24" x14ac:dyDescent="0.25">
      <c r="A2519" s="6" t="s">
        <v>25</v>
      </c>
      <c r="B2519" s="94" t="s">
        <v>4552</v>
      </c>
      <c r="C2519" s="6" t="s">
        <v>7675</v>
      </c>
      <c r="D2519" s="140">
        <v>11084435</v>
      </c>
      <c r="E2519" s="6" t="s">
        <v>6452</v>
      </c>
      <c r="F2519" s="10" t="s">
        <v>205</v>
      </c>
      <c r="G2519" s="6" t="s">
        <v>7676</v>
      </c>
      <c r="H2519" s="8">
        <v>49175</v>
      </c>
      <c r="I2519" s="8">
        <v>44638</v>
      </c>
      <c r="J2519" s="8">
        <v>44669</v>
      </c>
      <c r="K2519" s="95">
        <v>44670</v>
      </c>
      <c r="L2519" s="95" t="s">
        <v>31</v>
      </c>
      <c r="M2519" s="8">
        <v>44725</v>
      </c>
      <c r="N2519" s="8">
        <v>45163</v>
      </c>
      <c r="O2519" s="8">
        <v>45131</v>
      </c>
      <c r="P2519" s="6" t="s">
        <v>35</v>
      </c>
      <c r="Q2519" s="96">
        <v>3650</v>
      </c>
      <c r="R2519" s="97">
        <f t="shared" si="92"/>
        <v>10</v>
      </c>
      <c r="S2519" s="75">
        <f t="shared" si="93"/>
        <v>82590</v>
      </c>
      <c r="U2519" s="8">
        <v>45188</v>
      </c>
      <c r="W2519" s="6" t="s">
        <v>33</v>
      </c>
      <c r="X2519" s="7">
        <v>46214</v>
      </c>
    </row>
    <row r="2520" spans="1:24" x14ac:dyDescent="0.25">
      <c r="A2520" s="6" t="s">
        <v>25</v>
      </c>
      <c r="B2520" s="94" t="s">
        <v>5784</v>
      </c>
      <c r="C2520" s="6" t="s">
        <v>7677</v>
      </c>
      <c r="D2520" s="140">
        <v>11145981</v>
      </c>
      <c r="E2520" s="6" t="s">
        <v>2206</v>
      </c>
      <c r="F2520" s="10" t="s">
        <v>62</v>
      </c>
      <c r="G2520" s="6" t="s">
        <v>7678</v>
      </c>
      <c r="H2520" s="8">
        <v>45295</v>
      </c>
      <c r="I2520" s="8">
        <v>44659</v>
      </c>
      <c r="J2520" s="8">
        <v>44669</v>
      </c>
      <c r="K2520" s="95">
        <v>44670</v>
      </c>
      <c r="L2520" s="95" t="s">
        <v>31</v>
      </c>
      <c r="M2520" s="8">
        <v>44742</v>
      </c>
      <c r="N2520" s="8">
        <v>44879</v>
      </c>
      <c r="O2520" s="8">
        <v>44874</v>
      </c>
      <c r="P2520" s="6" t="s">
        <v>35</v>
      </c>
      <c r="Q2520" s="96">
        <v>1825</v>
      </c>
      <c r="R2520" s="97">
        <f t="shared" si="92"/>
        <v>5</v>
      </c>
      <c r="S2520" s="75">
        <f t="shared" si="93"/>
        <v>41295</v>
      </c>
      <c r="U2520" s="8">
        <v>45019</v>
      </c>
      <c r="V2520" s="6" t="s">
        <v>36</v>
      </c>
      <c r="W2520" s="6" t="s">
        <v>33</v>
      </c>
      <c r="X2520" s="7">
        <v>46664</v>
      </c>
    </row>
    <row r="2521" spans="1:24" x14ac:dyDescent="0.25">
      <c r="A2521" s="6" t="s">
        <v>25</v>
      </c>
      <c r="B2521" s="94" t="s">
        <v>7679</v>
      </c>
      <c r="C2521" s="6" t="s">
        <v>7680</v>
      </c>
      <c r="D2521" s="140">
        <v>11685512</v>
      </c>
      <c r="E2521" s="6" t="s">
        <v>2466</v>
      </c>
      <c r="F2521" s="10" t="s">
        <v>299</v>
      </c>
      <c r="G2521" s="6" t="s">
        <v>7681</v>
      </c>
      <c r="H2521" s="8">
        <v>46031</v>
      </c>
      <c r="I2521" s="8">
        <v>44637</v>
      </c>
      <c r="J2521" s="8">
        <v>44669</v>
      </c>
      <c r="K2521" s="95">
        <v>44670</v>
      </c>
      <c r="L2521" s="95" t="s">
        <v>31</v>
      </c>
      <c r="M2521" s="8">
        <v>44725</v>
      </c>
      <c r="N2521" s="8">
        <v>45002</v>
      </c>
      <c r="O2521" s="8">
        <v>44993</v>
      </c>
      <c r="P2521" s="6" t="s">
        <v>35</v>
      </c>
      <c r="Q2521" s="96">
        <v>2190</v>
      </c>
      <c r="R2521" s="97">
        <f t="shared" si="92"/>
        <v>6</v>
      </c>
      <c r="S2521" s="75">
        <f t="shared" si="93"/>
        <v>49554</v>
      </c>
      <c r="V2521" s="6" t="s">
        <v>36</v>
      </c>
      <c r="W2521" s="6" t="s">
        <v>33</v>
      </c>
      <c r="X2521" s="7">
        <v>49613</v>
      </c>
    </row>
    <row r="2522" spans="1:24" ht="30" x14ac:dyDescent="0.25">
      <c r="A2522" s="6" t="s">
        <v>25</v>
      </c>
      <c r="B2522" s="94" t="s">
        <v>7682</v>
      </c>
      <c r="C2522" s="6" t="s">
        <v>7683</v>
      </c>
      <c r="D2522" s="140">
        <v>11681639</v>
      </c>
      <c r="E2522" s="6" t="s">
        <v>4366</v>
      </c>
      <c r="F2522" s="10" t="s">
        <v>57</v>
      </c>
      <c r="G2522" s="6" t="s">
        <v>7684</v>
      </c>
      <c r="H2522" s="8">
        <v>44489</v>
      </c>
      <c r="I2522" s="8">
        <v>44628</v>
      </c>
      <c r="J2522" s="8">
        <v>44669</v>
      </c>
      <c r="K2522" s="95">
        <v>44670</v>
      </c>
      <c r="L2522" s="95" t="s">
        <v>31</v>
      </c>
      <c r="M2522" s="8">
        <v>44725</v>
      </c>
      <c r="N2522" s="8">
        <v>44777</v>
      </c>
      <c r="O2522" s="8">
        <v>44771</v>
      </c>
      <c r="P2522" s="6" t="s">
        <v>35</v>
      </c>
      <c r="Q2522" s="96">
        <v>6570</v>
      </c>
      <c r="R2522" s="97">
        <f t="shared" si="92"/>
        <v>18</v>
      </c>
      <c r="S2522" s="75">
        <f t="shared" si="93"/>
        <v>148662</v>
      </c>
      <c r="U2522" s="8">
        <v>44965</v>
      </c>
      <c r="V2522" s="6" t="s">
        <v>581</v>
      </c>
      <c r="W2522" s="6" t="s">
        <v>84</v>
      </c>
      <c r="X2522" s="7">
        <v>47994</v>
      </c>
    </row>
    <row r="2523" spans="1:24" x14ac:dyDescent="0.25">
      <c r="A2523" s="6" t="s">
        <v>25</v>
      </c>
      <c r="B2523" s="94" t="s">
        <v>7685</v>
      </c>
      <c r="C2523" s="6" t="s">
        <v>7686</v>
      </c>
      <c r="D2523" s="140">
        <v>11224426</v>
      </c>
      <c r="E2523" s="6" t="s">
        <v>5479</v>
      </c>
      <c r="F2523" s="10" t="s">
        <v>1588</v>
      </c>
      <c r="G2523" s="6" t="s">
        <v>7687</v>
      </c>
      <c r="H2523" s="8">
        <v>51530</v>
      </c>
      <c r="I2523" s="8">
        <v>44623</v>
      </c>
      <c r="J2523" s="8">
        <v>44669</v>
      </c>
      <c r="K2523" s="95">
        <v>44670</v>
      </c>
      <c r="L2523" s="95" t="s">
        <v>31</v>
      </c>
      <c r="M2523" s="8">
        <v>44725</v>
      </c>
      <c r="R2523" s="97" t="str">
        <f t="shared" si="92"/>
        <v/>
      </c>
      <c r="S2523" s="75" t="str">
        <f t="shared" si="93"/>
        <v/>
      </c>
      <c r="W2523" s="6" t="s">
        <v>84</v>
      </c>
      <c r="X2523" s="7">
        <v>48273</v>
      </c>
    </row>
    <row r="2524" spans="1:24" x14ac:dyDescent="0.25">
      <c r="A2524" s="6" t="s">
        <v>25</v>
      </c>
      <c r="B2524" s="94" t="s">
        <v>1532</v>
      </c>
      <c r="C2524" s="6" t="s">
        <v>7688</v>
      </c>
      <c r="D2524" s="140">
        <v>11799742</v>
      </c>
      <c r="E2524" s="6" t="s">
        <v>3335</v>
      </c>
      <c r="F2524" s="10" t="s">
        <v>29</v>
      </c>
      <c r="G2524" s="6" t="s">
        <v>7689</v>
      </c>
      <c r="H2524" s="8">
        <v>49374</v>
      </c>
      <c r="I2524" s="8">
        <v>44645</v>
      </c>
      <c r="J2524" s="8">
        <v>44669</v>
      </c>
      <c r="K2524" s="95">
        <v>44670</v>
      </c>
      <c r="L2524" s="95" t="s">
        <v>31</v>
      </c>
      <c r="M2524" s="8">
        <v>44720</v>
      </c>
      <c r="N2524" s="8">
        <v>45159</v>
      </c>
      <c r="O2524" s="8">
        <v>45153</v>
      </c>
      <c r="P2524" s="6" t="s">
        <v>35</v>
      </c>
      <c r="Q2524" s="96">
        <v>4745</v>
      </c>
      <c r="R2524" s="97">
        <f t="shared" si="92"/>
        <v>13</v>
      </c>
      <c r="S2524" s="75">
        <f t="shared" si="93"/>
        <v>107367</v>
      </c>
      <c r="U2524" s="8">
        <v>45188</v>
      </c>
      <c r="W2524" s="6" t="s">
        <v>84</v>
      </c>
      <c r="X2524" s="7">
        <v>49345</v>
      </c>
    </row>
    <row r="2525" spans="1:24" x14ac:dyDescent="0.25">
      <c r="A2525" s="6" t="s">
        <v>25</v>
      </c>
      <c r="B2525" s="94" t="s">
        <v>2832</v>
      </c>
      <c r="C2525" s="6" t="s">
        <v>7690</v>
      </c>
      <c r="D2525" s="140">
        <v>11218099</v>
      </c>
      <c r="E2525" s="6" t="s">
        <v>2568</v>
      </c>
      <c r="F2525" s="10" t="s">
        <v>44</v>
      </c>
      <c r="G2525" s="6" t="s">
        <v>7691</v>
      </c>
      <c r="H2525" s="8">
        <v>51050</v>
      </c>
      <c r="I2525" s="8">
        <v>44649</v>
      </c>
      <c r="J2525" s="8">
        <v>44669</v>
      </c>
      <c r="K2525" s="95">
        <v>44670</v>
      </c>
      <c r="L2525" s="95" t="s">
        <v>31</v>
      </c>
      <c r="M2525" s="8">
        <v>44720</v>
      </c>
      <c r="P2525" s="6" t="s">
        <v>628</v>
      </c>
      <c r="R2525" s="97" t="str">
        <f t="shared" si="92"/>
        <v/>
      </c>
      <c r="S2525" s="75" t="str">
        <f t="shared" si="93"/>
        <v/>
      </c>
      <c r="T2525" s="124" t="s">
        <v>7692</v>
      </c>
      <c r="W2525" s="6" t="s">
        <v>33</v>
      </c>
      <c r="X2525" s="7">
        <v>52440</v>
      </c>
    </row>
    <row r="2526" spans="1:24" x14ac:dyDescent="0.25">
      <c r="A2526" s="6" t="s">
        <v>168</v>
      </c>
      <c r="B2526" s="94" t="s">
        <v>5509</v>
      </c>
      <c r="C2526" s="6" t="s">
        <v>7693</v>
      </c>
      <c r="D2526" s="140">
        <v>11332111</v>
      </c>
      <c r="E2526" s="6" t="s">
        <v>4044</v>
      </c>
      <c r="F2526" s="10" t="s">
        <v>29</v>
      </c>
      <c r="G2526" s="6" t="s">
        <v>7694</v>
      </c>
      <c r="H2526" s="8">
        <v>48240</v>
      </c>
      <c r="I2526" s="8">
        <v>44637</v>
      </c>
      <c r="J2526" s="8">
        <v>44669</v>
      </c>
      <c r="K2526" s="95">
        <v>44670</v>
      </c>
      <c r="L2526" s="95" t="s">
        <v>31</v>
      </c>
      <c r="M2526" s="8">
        <v>44720</v>
      </c>
      <c r="N2526" s="8">
        <v>44784</v>
      </c>
      <c r="O2526" s="8">
        <v>44755</v>
      </c>
      <c r="P2526" s="6" t="s">
        <v>90</v>
      </c>
      <c r="Q2526" s="96">
        <v>1511</v>
      </c>
      <c r="R2526" s="97">
        <f t="shared" si="92"/>
        <v>4.13972602739726</v>
      </c>
      <c r="S2526" s="75">
        <f t="shared" si="93"/>
        <v>34189.997260273973</v>
      </c>
      <c r="U2526" s="8">
        <v>44847</v>
      </c>
      <c r="W2526" s="6" t="s">
        <v>84</v>
      </c>
      <c r="X2526" s="7">
        <v>51761</v>
      </c>
    </row>
    <row r="2527" spans="1:24" x14ac:dyDescent="0.25">
      <c r="A2527" s="6" t="s">
        <v>25</v>
      </c>
      <c r="B2527" s="94" t="s">
        <v>3151</v>
      </c>
      <c r="C2527" s="6" t="s">
        <v>3152</v>
      </c>
      <c r="D2527" s="140">
        <v>11867908</v>
      </c>
      <c r="E2527" s="6" t="s">
        <v>3335</v>
      </c>
      <c r="F2527" s="10" t="s">
        <v>2600</v>
      </c>
      <c r="G2527" s="6">
        <v>1353476</v>
      </c>
      <c r="H2527" s="8">
        <v>47521</v>
      </c>
      <c r="I2527" s="8">
        <v>44635</v>
      </c>
      <c r="J2527" s="8">
        <v>44663</v>
      </c>
      <c r="K2527" s="95">
        <v>44665</v>
      </c>
      <c r="L2527" s="95" t="s">
        <v>31</v>
      </c>
      <c r="N2527" s="8">
        <v>44806</v>
      </c>
      <c r="O2527" s="8">
        <v>44799</v>
      </c>
      <c r="P2527" s="6" t="s">
        <v>35</v>
      </c>
      <c r="Q2527" s="96">
        <v>4015</v>
      </c>
      <c r="R2527" s="97">
        <f t="shared" si="92"/>
        <v>11</v>
      </c>
      <c r="S2527" s="75">
        <f t="shared" si="93"/>
        <v>90849</v>
      </c>
      <c r="T2527" s="124" t="s">
        <v>7695</v>
      </c>
      <c r="U2527" s="8">
        <v>44966</v>
      </c>
      <c r="V2527" s="6" t="s">
        <v>36</v>
      </c>
      <c r="W2527" s="6" t="s">
        <v>33</v>
      </c>
      <c r="X2527" s="7">
        <v>51171</v>
      </c>
    </row>
    <row r="2528" spans="1:24" x14ac:dyDescent="0.25">
      <c r="A2528" s="6" t="s">
        <v>25</v>
      </c>
      <c r="B2528" s="94" t="s">
        <v>1000</v>
      </c>
      <c r="C2528" s="6" t="s">
        <v>7696</v>
      </c>
      <c r="D2528" s="140">
        <v>11054061</v>
      </c>
      <c r="E2528" s="6" t="s">
        <v>7697</v>
      </c>
      <c r="F2528" s="10" t="s">
        <v>44</v>
      </c>
      <c r="G2528" s="6" t="s">
        <v>7698</v>
      </c>
      <c r="H2528" s="8">
        <v>46412</v>
      </c>
      <c r="I2528" s="8">
        <v>44659</v>
      </c>
      <c r="J2528" s="8">
        <v>44679</v>
      </c>
      <c r="K2528" s="95">
        <v>44683</v>
      </c>
      <c r="L2528" s="95" t="s">
        <v>31</v>
      </c>
      <c r="M2528" s="8">
        <v>44720</v>
      </c>
      <c r="N2528" s="8">
        <v>45002</v>
      </c>
      <c r="O2528" s="8">
        <v>45002</v>
      </c>
      <c r="P2528" s="6" t="s">
        <v>35</v>
      </c>
      <c r="Q2528" s="96">
        <v>2920</v>
      </c>
      <c r="R2528" s="97">
        <f t="shared" si="92"/>
        <v>8</v>
      </c>
      <c r="S2528" s="75">
        <f t="shared" si="93"/>
        <v>66072</v>
      </c>
      <c r="U2528" s="8">
        <v>45019</v>
      </c>
      <c r="V2528" s="6" t="s">
        <v>36</v>
      </c>
      <c r="W2528" s="6" t="s">
        <v>33</v>
      </c>
      <c r="X2528" s="7">
        <v>49317</v>
      </c>
    </row>
    <row r="2529" spans="1:24" x14ac:dyDescent="0.25">
      <c r="A2529" s="6" t="s">
        <v>25</v>
      </c>
      <c r="B2529" s="94" t="s">
        <v>449</v>
      </c>
      <c r="C2529" s="6" t="s">
        <v>7699</v>
      </c>
      <c r="D2529" s="140">
        <v>11121356</v>
      </c>
      <c r="E2529" s="6" t="s">
        <v>3266</v>
      </c>
      <c r="F2529" s="10" t="s">
        <v>293</v>
      </c>
      <c r="G2529" s="6">
        <v>154398</v>
      </c>
      <c r="H2529" s="8">
        <v>45282</v>
      </c>
      <c r="I2529" s="8">
        <v>44658</v>
      </c>
      <c r="J2529" s="8">
        <v>44679</v>
      </c>
      <c r="K2529" s="95">
        <v>44683</v>
      </c>
      <c r="L2529" s="95" t="s">
        <v>359</v>
      </c>
      <c r="R2529" s="97" t="str">
        <f t="shared" si="92"/>
        <v/>
      </c>
      <c r="S2529" s="75" t="str">
        <f t="shared" si="93"/>
        <v/>
      </c>
      <c r="W2529" s="6" t="s">
        <v>33</v>
      </c>
      <c r="X2529" s="7">
        <v>51701</v>
      </c>
    </row>
    <row r="2530" spans="1:24" x14ac:dyDescent="0.25">
      <c r="A2530" s="6" t="s">
        <v>25</v>
      </c>
      <c r="B2530" s="94" t="s">
        <v>7700</v>
      </c>
      <c r="C2530" s="6" t="s">
        <v>7701</v>
      </c>
      <c r="D2530" s="140">
        <v>11259348</v>
      </c>
      <c r="E2530" s="6" t="s">
        <v>2206</v>
      </c>
      <c r="F2530" s="10" t="s">
        <v>95</v>
      </c>
      <c r="G2530" s="6" t="s">
        <v>7702</v>
      </c>
      <c r="H2530" s="8">
        <v>47865</v>
      </c>
      <c r="I2530" s="8">
        <v>44658</v>
      </c>
      <c r="J2530" s="8">
        <v>44679</v>
      </c>
      <c r="K2530" s="95">
        <v>44683</v>
      </c>
      <c r="L2530" s="95" t="s">
        <v>359</v>
      </c>
      <c r="R2530" s="97" t="str">
        <f t="shared" si="92"/>
        <v/>
      </c>
      <c r="S2530" s="75" t="str">
        <f t="shared" si="93"/>
        <v/>
      </c>
      <c r="W2530" s="6" t="s">
        <v>33</v>
      </c>
      <c r="X2530" s="7">
        <v>49677</v>
      </c>
    </row>
    <row r="2531" spans="1:24" x14ac:dyDescent="0.25">
      <c r="A2531" s="6" t="s">
        <v>25</v>
      </c>
      <c r="B2531" s="94" t="s">
        <v>5111</v>
      </c>
      <c r="C2531" s="6" t="s">
        <v>7703</v>
      </c>
      <c r="D2531" s="140">
        <v>11154576</v>
      </c>
      <c r="E2531" s="6" t="s">
        <v>2879</v>
      </c>
      <c r="F2531" s="10" t="s">
        <v>293</v>
      </c>
      <c r="G2531" s="6" t="s">
        <v>7704</v>
      </c>
      <c r="H2531" s="8">
        <v>46376</v>
      </c>
      <c r="I2531" s="8">
        <v>44659</v>
      </c>
      <c r="J2531" s="8">
        <v>44679</v>
      </c>
      <c r="K2531" s="95">
        <v>44683</v>
      </c>
      <c r="L2531" s="95" t="s">
        <v>31</v>
      </c>
      <c r="M2531" s="8">
        <v>44739</v>
      </c>
      <c r="N2531" s="8">
        <v>44918</v>
      </c>
      <c r="O2531" s="8">
        <v>44916</v>
      </c>
      <c r="P2531" s="6" t="s">
        <v>35</v>
      </c>
      <c r="Q2531" s="96">
        <v>2190</v>
      </c>
      <c r="R2531" s="97">
        <f t="shared" si="92"/>
        <v>6</v>
      </c>
      <c r="S2531" s="75">
        <f t="shared" si="93"/>
        <v>49554</v>
      </c>
      <c r="U2531" s="8">
        <v>45015</v>
      </c>
      <c r="W2531" s="6" t="s">
        <v>33</v>
      </c>
      <c r="X2531" s="7">
        <v>51010</v>
      </c>
    </row>
    <row r="2532" spans="1:24" x14ac:dyDescent="0.25">
      <c r="A2532" s="6" t="s">
        <v>25</v>
      </c>
      <c r="B2532" s="94" t="s">
        <v>7312</v>
      </c>
      <c r="C2532" s="6" t="s">
        <v>7705</v>
      </c>
      <c r="D2532" s="140">
        <v>11203952</v>
      </c>
      <c r="E2532" s="6" t="s">
        <v>7706</v>
      </c>
      <c r="F2532" s="10" t="s">
        <v>62</v>
      </c>
      <c r="G2532" s="6" t="s">
        <v>7707</v>
      </c>
      <c r="H2532" s="8">
        <v>46074</v>
      </c>
      <c r="I2532" s="8">
        <v>44658</v>
      </c>
      <c r="J2532" s="8">
        <v>44679</v>
      </c>
      <c r="K2532" s="95">
        <v>44683</v>
      </c>
      <c r="L2532" s="95" t="s">
        <v>31</v>
      </c>
      <c r="M2532" s="8">
        <v>44725</v>
      </c>
      <c r="N2532" s="8">
        <v>44824</v>
      </c>
      <c r="O2532" s="8">
        <v>44810</v>
      </c>
      <c r="P2532" s="6" t="s">
        <v>75</v>
      </c>
      <c r="R2532" s="97" t="str">
        <f t="shared" si="92"/>
        <v/>
      </c>
      <c r="S2532" s="75" t="str">
        <f t="shared" si="93"/>
        <v/>
      </c>
      <c r="U2532" s="8">
        <v>44825</v>
      </c>
      <c r="W2532" s="6" t="s">
        <v>33</v>
      </c>
      <c r="X2532" s="7">
        <v>53610</v>
      </c>
    </row>
    <row r="2533" spans="1:24" x14ac:dyDescent="0.25">
      <c r="A2533" s="6" t="s">
        <v>25</v>
      </c>
      <c r="B2533" s="94" t="s">
        <v>7708</v>
      </c>
      <c r="C2533" s="6" t="s">
        <v>7709</v>
      </c>
      <c r="D2533" s="140">
        <v>11127273</v>
      </c>
      <c r="E2533" s="6" t="s">
        <v>4044</v>
      </c>
      <c r="F2533" s="10" t="s">
        <v>148</v>
      </c>
      <c r="G2533" s="6" t="s">
        <v>7710</v>
      </c>
      <c r="H2533" s="8">
        <v>47660</v>
      </c>
      <c r="I2533" s="8">
        <v>44664</v>
      </c>
      <c r="J2533" s="8">
        <v>44679</v>
      </c>
      <c r="K2533" s="95">
        <v>44683</v>
      </c>
      <c r="L2533" s="95" t="s">
        <v>359</v>
      </c>
      <c r="R2533" s="97" t="str">
        <f t="shared" si="92"/>
        <v/>
      </c>
      <c r="S2533" s="75" t="str">
        <f t="shared" si="93"/>
        <v/>
      </c>
      <c r="W2533" s="6" t="s">
        <v>84</v>
      </c>
      <c r="X2533" s="7">
        <v>46549</v>
      </c>
    </row>
    <row r="2534" spans="1:24" x14ac:dyDescent="0.25">
      <c r="A2534" s="6" t="s">
        <v>25</v>
      </c>
      <c r="B2534" s="94" t="s">
        <v>7711</v>
      </c>
      <c r="C2534" s="6" t="s">
        <v>7712</v>
      </c>
      <c r="D2534" s="140">
        <v>11242860</v>
      </c>
      <c r="E2534" s="6" t="s">
        <v>4044</v>
      </c>
      <c r="F2534" s="10" t="s">
        <v>134</v>
      </c>
      <c r="G2534" s="6" t="s">
        <v>7713</v>
      </c>
      <c r="H2534" s="8">
        <v>46674</v>
      </c>
      <c r="I2534" s="8">
        <v>44663</v>
      </c>
      <c r="J2534" s="8">
        <v>44679</v>
      </c>
      <c r="K2534" s="95">
        <v>44683</v>
      </c>
      <c r="L2534" s="95" t="s">
        <v>31</v>
      </c>
      <c r="M2534" s="8">
        <v>44725</v>
      </c>
      <c r="N2534" s="8">
        <v>44851</v>
      </c>
      <c r="O2534" s="8">
        <v>44834</v>
      </c>
      <c r="P2534" s="6" t="s">
        <v>35</v>
      </c>
      <c r="Q2534" s="96">
        <v>1825</v>
      </c>
      <c r="R2534" s="97">
        <f t="shared" si="92"/>
        <v>5</v>
      </c>
      <c r="S2534" s="75">
        <f t="shared" si="93"/>
        <v>41295</v>
      </c>
      <c r="U2534" s="8">
        <v>45015</v>
      </c>
      <c r="W2534" s="6" t="s">
        <v>33</v>
      </c>
      <c r="X2534" s="7">
        <v>49698</v>
      </c>
    </row>
    <row r="2535" spans="1:24" x14ac:dyDescent="0.25">
      <c r="A2535" s="6" t="s">
        <v>25</v>
      </c>
      <c r="B2535" s="94" t="s">
        <v>7714</v>
      </c>
      <c r="C2535" s="6" t="s">
        <v>7715</v>
      </c>
      <c r="D2535" s="140">
        <v>11663024</v>
      </c>
      <c r="E2535" s="6" t="s">
        <v>4404</v>
      </c>
      <c r="F2535" s="10" t="s">
        <v>44</v>
      </c>
      <c r="G2535" s="6" t="s">
        <v>7716</v>
      </c>
      <c r="H2535" s="8">
        <v>49152</v>
      </c>
      <c r="I2535" s="8">
        <v>44664</v>
      </c>
      <c r="J2535" s="8">
        <v>44679</v>
      </c>
      <c r="K2535" s="95">
        <v>44683</v>
      </c>
      <c r="L2535" s="95" t="s">
        <v>31</v>
      </c>
      <c r="M2535" s="8">
        <v>44720</v>
      </c>
      <c r="N2535" s="8">
        <v>44741</v>
      </c>
      <c r="O2535" s="8">
        <v>44727</v>
      </c>
      <c r="P2535" s="6" t="s">
        <v>75</v>
      </c>
      <c r="R2535" s="97" t="str">
        <f t="shared" si="92"/>
        <v/>
      </c>
      <c r="S2535" s="75" t="str">
        <f t="shared" si="93"/>
        <v/>
      </c>
      <c r="U2535" s="8">
        <v>44741</v>
      </c>
      <c r="W2535" s="6" t="s">
        <v>33</v>
      </c>
      <c r="X2535" s="7">
        <v>51525</v>
      </c>
    </row>
    <row r="2536" spans="1:24" x14ac:dyDescent="0.25">
      <c r="A2536" s="6" t="s">
        <v>25</v>
      </c>
      <c r="B2536" s="94" t="s">
        <v>2165</v>
      </c>
      <c r="C2536" s="6" t="s">
        <v>7717</v>
      </c>
      <c r="D2536" s="140">
        <v>11245757</v>
      </c>
      <c r="E2536" s="6" t="s">
        <v>3607</v>
      </c>
      <c r="F2536" s="10" t="s">
        <v>134</v>
      </c>
      <c r="G2536" s="6" t="s">
        <v>7718</v>
      </c>
      <c r="H2536" s="8">
        <v>48812</v>
      </c>
      <c r="I2536" s="8">
        <v>44664</v>
      </c>
      <c r="J2536" s="8">
        <v>44692</v>
      </c>
      <c r="K2536" s="95">
        <v>37410</v>
      </c>
      <c r="N2536" s="8">
        <v>44872</v>
      </c>
      <c r="O2536" s="8">
        <v>44868</v>
      </c>
      <c r="P2536" s="6" t="s">
        <v>35</v>
      </c>
      <c r="Q2536" s="96">
        <v>6570</v>
      </c>
      <c r="R2536" s="97">
        <f t="shared" si="92"/>
        <v>18</v>
      </c>
      <c r="S2536" s="75">
        <f t="shared" si="93"/>
        <v>148662</v>
      </c>
      <c r="U2536" s="8">
        <v>45015</v>
      </c>
      <c r="W2536" s="6" t="s">
        <v>84</v>
      </c>
      <c r="X2536" s="7">
        <v>48457</v>
      </c>
    </row>
    <row r="2537" spans="1:24" x14ac:dyDescent="0.25">
      <c r="A2537" s="6" t="s">
        <v>25</v>
      </c>
      <c r="B2537" s="94" t="s">
        <v>7719</v>
      </c>
      <c r="C2537" s="6" t="s">
        <v>7720</v>
      </c>
      <c r="D2537" s="140">
        <v>11224407</v>
      </c>
      <c r="E2537" s="6" t="s">
        <v>3201</v>
      </c>
      <c r="F2537" s="10" t="s">
        <v>139</v>
      </c>
      <c r="G2537" s="6" t="s">
        <v>7721</v>
      </c>
      <c r="H2537" s="8">
        <v>50673</v>
      </c>
      <c r="I2537" s="8">
        <v>44665</v>
      </c>
      <c r="J2537" s="8">
        <v>44692</v>
      </c>
      <c r="K2537" s="95">
        <v>44726</v>
      </c>
      <c r="L2537" s="95" t="s">
        <v>31</v>
      </c>
      <c r="M2537" s="8">
        <v>44739</v>
      </c>
      <c r="N2537" s="8">
        <v>44936</v>
      </c>
      <c r="O2537" s="8">
        <v>44916</v>
      </c>
      <c r="P2537" s="6" t="s">
        <v>35</v>
      </c>
      <c r="Q2537" s="96">
        <v>1217</v>
      </c>
      <c r="R2537" s="97">
        <f t="shared" si="92"/>
        <v>3.3342465753424659</v>
      </c>
      <c r="S2537" s="75">
        <f t="shared" si="93"/>
        <v>27537.542465753424</v>
      </c>
      <c r="U2537" s="8">
        <v>44956</v>
      </c>
      <c r="W2537" s="6" t="s">
        <v>33</v>
      </c>
      <c r="X2537" s="7">
        <v>49456</v>
      </c>
    </row>
    <row r="2538" spans="1:24" x14ac:dyDescent="0.25">
      <c r="A2538" s="6" t="s">
        <v>25</v>
      </c>
      <c r="B2538" s="94" t="s">
        <v>2632</v>
      </c>
      <c r="C2538" s="6" t="s">
        <v>7722</v>
      </c>
      <c r="D2538" s="140">
        <v>11250376</v>
      </c>
      <c r="E2538" s="6" t="s">
        <v>3266</v>
      </c>
      <c r="F2538" s="10" t="s">
        <v>139</v>
      </c>
      <c r="G2538" s="6" t="s">
        <v>7723</v>
      </c>
      <c r="H2538" s="8">
        <v>45657</v>
      </c>
      <c r="I2538" s="8">
        <v>44665</v>
      </c>
      <c r="J2538" s="8">
        <v>44692</v>
      </c>
      <c r="K2538" s="95">
        <v>44726</v>
      </c>
      <c r="L2538" s="95" t="s">
        <v>31</v>
      </c>
      <c r="M2538" s="8">
        <v>44739</v>
      </c>
      <c r="N2538" s="8">
        <v>44798</v>
      </c>
      <c r="O2538" s="8">
        <v>44792</v>
      </c>
      <c r="P2538" s="6" t="s">
        <v>90</v>
      </c>
      <c r="Q2538" s="96">
        <v>1696</v>
      </c>
      <c r="R2538" s="97">
        <f t="shared" si="92"/>
        <v>4.646575342465753</v>
      </c>
      <c r="S2538" s="75">
        <f t="shared" si="93"/>
        <v>38376.065753424657</v>
      </c>
      <c r="T2538" s="124" t="s">
        <v>7724</v>
      </c>
      <c r="U2538" s="8">
        <v>44824</v>
      </c>
      <c r="W2538" s="6" t="s">
        <v>33</v>
      </c>
      <c r="X2538" s="7">
        <v>50167</v>
      </c>
    </row>
    <row r="2539" spans="1:24" x14ac:dyDescent="0.25">
      <c r="A2539" s="6" t="s">
        <v>25</v>
      </c>
      <c r="B2539" s="94" t="s">
        <v>870</v>
      </c>
      <c r="C2539" s="6" t="s">
        <v>7725</v>
      </c>
      <c r="D2539" s="140">
        <v>11183430</v>
      </c>
      <c r="E2539" s="6" t="s">
        <v>5655</v>
      </c>
      <c r="F2539" s="10" t="s">
        <v>134</v>
      </c>
      <c r="G2539" s="6" t="s">
        <v>7726</v>
      </c>
      <c r="H2539" s="8">
        <v>45780</v>
      </c>
      <c r="I2539" s="8">
        <v>44665</v>
      </c>
      <c r="J2539" s="8">
        <v>44692</v>
      </c>
      <c r="K2539" s="95">
        <v>44713</v>
      </c>
      <c r="L2539" s="95" t="s">
        <v>359</v>
      </c>
      <c r="R2539" s="97" t="str">
        <f t="shared" si="92"/>
        <v/>
      </c>
      <c r="S2539" s="75" t="str">
        <f t="shared" si="93"/>
        <v/>
      </c>
      <c r="W2539" s="6" t="s">
        <v>33</v>
      </c>
      <c r="X2539" s="7">
        <v>51402</v>
      </c>
    </row>
    <row r="2540" spans="1:24" x14ac:dyDescent="0.25">
      <c r="A2540" s="6" t="s">
        <v>25</v>
      </c>
      <c r="B2540" s="94" t="s">
        <v>7727</v>
      </c>
      <c r="C2540" s="6" t="s">
        <v>7728</v>
      </c>
      <c r="D2540" s="140">
        <v>11866100</v>
      </c>
      <c r="E2540" s="6" t="s">
        <v>2206</v>
      </c>
      <c r="F2540" s="10" t="s">
        <v>176</v>
      </c>
      <c r="G2540" s="6">
        <v>2009003793</v>
      </c>
      <c r="H2540" s="8">
        <v>47059</v>
      </c>
      <c r="I2540" s="8">
        <v>44665</v>
      </c>
      <c r="J2540" s="8">
        <v>44684</v>
      </c>
      <c r="K2540" s="95">
        <v>44684</v>
      </c>
      <c r="L2540" s="95" t="s">
        <v>31</v>
      </c>
      <c r="M2540" s="8">
        <v>44725</v>
      </c>
      <c r="N2540" s="8">
        <v>44866</v>
      </c>
      <c r="O2540" s="8">
        <v>44848</v>
      </c>
      <c r="P2540" s="6" t="s">
        <v>75</v>
      </c>
      <c r="R2540" s="97" t="str">
        <f t="shared" si="92"/>
        <v/>
      </c>
      <c r="S2540" s="75" t="str">
        <f t="shared" si="93"/>
        <v/>
      </c>
      <c r="T2540" s="124" t="s">
        <v>4881</v>
      </c>
      <c r="U2540" s="8">
        <v>44867</v>
      </c>
      <c r="W2540" s="6" t="s">
        <v>33</v>
      </c>
      <c r="X2540" s="7">
        <v>51582</v>
      </c>
    </row>
    <row r="2541" spans="1:24" x14ac:dyDescent="0.25">
      <c r="A2541" s="6" t="s">
        <v>25</v>
      </c>
      <c r="B2541" s="94" t="s">
        <v>3199</v>
      </c>
      <c r="C2541" s="6" t="s">
        <v>7729</v>
      </c>
      <c r="D2541" s="140">
        <v>11813972</v>
      </c>
      <c r="E2541" s="6" t="s">
        <v>2875</v>
      </c>
      <c r="F2541" s="10" t="s">
        <v>44</v>
      </c>
      <c r="G2541" s="6" t="s">
        <v>7730</v>
      </c>
      <c r="H2541" s="8">
        <v>47913</v>
      </c>
      <c r="I2541" s="8">
        <v>44665</v>
      </c>
      <c r="J2541" s="8">
        <v>44684</v>
      </c>
      <c r="K2541" s="95">
        <v>44684</v>
      </c>
      <c r="L2541" s="95" t="s">
        <v>31</v>
      </c>
      <c r="M2541" s="8">
        <v>44720</v>
      </c>
      <c r="P2541" s="107" t="s">
        <v>628</v>
      </c>
      <c r="R2541" s="97" t="str">
        <f t="shared" si="92"/>
        <v/>
      </c>
      <c r="S2541" s="75" t="str">
        <f t="shared" si="93"/>
        <v/>
      </c>
      <c r="T2541" s="129" t="s">
        <v>7731</v>
      </c>
      <c r="W2541" s="6" t="s">
        <v>33</v>
      </c>
      <c r="X2541" s="7">
        <v>50462</v>
      </c>
    </row>
    <row r="2542" spans="1:24" ht="30" x14ac:dyDescent="0.25">
      <c r="A2542" s="6" t="s">
        <v>25</v>
      </c>
      <c r="B2542" s="94" t="s">
        <v>7732</v>
      </c>
      <c r="C2542" s="6" t="s">
        <v>7733</v>
      </c>
      <c r="D2542" s="140">
        <v>11636060</v>
      </c>
      <c r="E2542" s="6" t="s">
        <v>2764</v>
      </c>
      <c r="F2542" s="10" t="s">
        <v>44</v>
      </c>
      <c r="G2542" s="6" t="s">
        <v>7734</v>
      </c>
      <c r="H2542" s="8">
        <v>47530</v>
      </c>
      <c r="I2542" s="8">
        <v>44665</v>
      </c>
      <c r="J2542" s="8">
        <v>44684</v>
      </c>
      <c r="K2542" s="95">
        <v>44684</v>
      </c>
      <c r="L2542" s="95" t="s">
        <v>31</v>
      </c>
      <c r="M2542" s="8">
        <v>44720</v>
      </c>
      <c r="N2542" s="8">
        <v>44811</v>
      </c>
      <c r="O2542" s="8">
        <v>44802</v>
      </c>
      <c r="P2542" s="6" t="s">
        <v>52</v>
      </c>
      <c r="R2542" s="97" t="str">
        <f t="shared" si="92"/>
        <v/>
      </c>
      <c r="S2542" s="75" t="str">
        <f t="shared" si="93"/>
        <v/>
      </c>
      <c r="T2542" s="157" t="s">
        <v>7735</v>
      </c>
      <c r="U2542" s="8">
        <v>45015</v>
      </c>
      <c r="W2542" s="6" t="s">
        <v>33</v>
      </c>
      <c r="X2542" s="7">
        <v>54400</v>
      </c>
    </row>
    <row r="2543" spans="1:24" x14ac:dyDescent="0.25">
      <c r="A2543" s="6" t="s">
        <v>25</v>
      </c>
      <c r="B2543" s="94" t="s">
        <v>7736</v>
      </c>
      <c r="C2543" s="6" t="s">
        <v>7737</v>
      </c>
      <c r="D2543" s="140">
        <v>11155349</v>
      </c>
      <c r="E2543" s="6" t="s">
        <v>4366</v>
      </c>
      <c r="F2543" s="10" t="s">
        <v>1384</v>
      </c>
      <c r="G2543" s="6" t="s">
        <v>7738</v>
      </c>
      <c r="H2543" s="8">
        <v>46862</v>
      </c>
      <c r="I2543" s="8">
        <v>44665</v>
      </c>
      <c r="J2543" s="8">
        <v>44684</v>
      </c>
      <c r="K2543" s="95">
        <v>44684</v>
      </c>
      <c r="L2543" s="95" t="s">
        <v>359</v>
      </c>
      <c r="R2543" s="97" t="str">
        <f t="shared" si="92"/>
        <v/>
      </c>
      <c r="S2543" s="75" t="str">
        <f t="shared" si="93"/>
        <v/>
      </c>
      <c r="W2543" s="6" t="s">
        <v>33</v>
      </c>
      <c r="X2543" s="7">
        <v>51604</v>
      </c>
    </row>
    <row r="2544" spans="1:24" x14ac:dyDescent="0.25">
      <c r="A2544" s="6" t="s">
        <v>25</v>
      </c>
      <c r="B2544" s="94" t="s">
        <v>7739</v>
      </c>
      <c r="C2544" s="6" t="s">
        <v>7740</v>
      </c>
      <c r="D2544" s="140">
        <v>11972337</v>
      </c>
      <c r="E2544" s="6" t="s">
        <v>2879</v>
      </c>
      <c r="F2544" s="10" t="s">
        <v>44</v>
      </c>
      <c r="G2544" s="6" t="s">
        <v>7741</v>
      </c>
      <c r="H2544" s="8">
        <v>45839</v>
      </c>
      <c r="I2544" s="8">
        <v>44678</v>
      </c>
      <c r="J2544" s="8">
        <v>44715</v>
      </c>
      <c r="K2544" s="95">
        <v>44715</v>
      </c>
      <c r="L2544" s="95" t="s">
        <v>31</v>
      </c>
      <c r="M2544" s="8">
        <v>44736</v>
      </c>
      <c r="R2544" s="97" t="str">
        <f t="shared" si="92"/>
        <v/>
      </c>
      <c r="S2544" s="75" t="str">
        <f t="shared" si="93"/>
        <v/>
      </c>
      <c r="T2544" s="124" t="s">
        <v>1702</v>
      </c>
      <c r="W2544" s="6" t="s">
        <v>33</v>
      </c>
      <c r="X2544" s="7">
        <v>50506</v>
      </c>
    </row>
    <row r="2545" spans="1:24" x14ac:dyDescent="0.25">
      <c r="A2545" s="6" t="s">
        <v>25</v>
      </c>
      <c r="B2545" s="94" t="s">
        <v>482</v>
      </c>
      <c r="C2545" s="6" t="s">
        <v>7742</v>
      </c>
      <c r="D2545" s="140">
        <v>11806564</v>
      </c>
      <c r="E2545" s="6" t="s">
        <v>2568</v>
      </c>
      <c r="F2545" s="10" t="s">
        <v>143</v>
      </c>
      <c r="G2545" s="6" t="s">
        <v>7743</v>
      </c>
      <c r="H2545" s="8">
        <v>50834</v>
      </c>
      <c r="I2545" s="8">
        <v>44679</v>
      </c>
      <c r="J2545" s="8">
        <v>44712</v>
      </c>
      <c r="K2545" s="95">
        <v>44713</v>
      </c>
      <c r="L2545" s="95" t="s">
        <v>31</v>
      </c>
      <c r="M2545" s="8">
        <v>44725</v>
      </c>
      <c r="N2545" s="8">
        <v>45187</v>
      </c>
      <c r="O2545" s="8">
        <v>45184</v>
      </c>
      <c r="P2545" s="6" t="s">
        <v>35</v>
      </c>
      <c r="Q2545" s="96">
        <v>7665</v>
      </c>
      <c r="R2545" s="97">
        <f t="shared" si="92"/>
        <v>21</v>
      </c>
      <c r="S2545" s="75">
        <f t="shared" si="93"/>
        <v>173439</v>
      </c>
      <c r="U2545" s="8">
        <v>45190</v>
      </c>
      <c r="W2545" s="6" t="s">
        <v>84</v>
      </c>
      <c r="X2545" s="7">
        <v>49845</v>
      </c>
    </row>
    <row r="2546" spans="1:24" x14ac:dyDescent="0.25">
      <c r="A2546" s="6" t="s">
        <v>25</v>
      </c>
      <c r="B2546" s="94" t="s">
        <v>178</v>
      </c>
      <c r="C2546" s="6" t="s">
        <v>7744</v>
      </c>
      <c r="D2546" s="140">
        <v>11798798</v>
      </c>
      <c r="E2546" s="6" t="s">
        <v>3266</v>
      </c>
      <c r="F2546" s="10" t="s">
        <v>44</v>
      </c>
      <c r="G2546" s="6" t="s">
        <v>7745</v>
      </c>
      <c r="H2546" s="8">
        <v>45685</v>
      </c>
      <c r="I2546" s="8">
        <v>44672</v>
      </c>
      <c r="J2546" s="8">
        <v>44684</v>
      </c>
      <c r="K2546" s="95">
        <v>44684</v>
      </c>
      <c r="L2546" s="95" t="s">
        <v>359</v>
      </c>
      <c r="R2546" s="97" t="str">
        <f t="shared" si="92"/>
        <v/>
      </c>
      <c r="S2546" s="75" t="str">
        <f t="shared" si="93"/>
        <v/>
      </c>
      <c r="W2546" s="6" t="s">
        <v>33</v>
      </c>
      <c r="X2546" s="7">
        <v>51702</v>
      </c>
    </row>
    <row r="2547" spans="1:24" x14ac:dyDescent="0.25">
      <c r="A2547" s="6" t="s">
        <v>25</v>
      </c>
      <c r="B2547" s="94" t="s">
        <v>1894</v>
      </c>
      <c r="C2547" s="6" t="s">
        <v>7746</v>
      </c>
      <c r="D2547" s="140">
        <v>11746707</v>
      </c>
      <c r="E2547" s="6" t="s">
        <v>3201</v>
      </c>
      <c r="F2547" s="10" t="s">
        <v>44</v>
      </c>
      <c r="G2547" s="6" t="s">
        <v>7747</v>
      </c>
      <c r="H2547" s="8">
        <v>63400</v>
      </c>
      <c r="I2547" s="8">
        <v>44672</v>
      </c>
      <c r="J2547" s="8">
        <v>44684</v>
      </c>
      <c r="K2547" s="95">
        <v>44742</v>
      </c>
      <c r="L2547" s="95" t="s">
        <v>31</v>
      </c>
      <c r="M2547" s="8">
        <v>44788</v>
      </c>
      <c r="R2547" s="97" t="str">
        <f t="shared" si="92"/>
        <v/>
      </c>
      <c r="S2547" s="75" t="str">
        <f t="shared" si="93"/>
        <v/>
      </c>
      <c r="W2547" s="6" t="s">
        <v>84</v>
      </c>
      <c r="X2547" s="7">
        <v>48254</v>
      </c>
    </row>
    <row r="2548" spans="1:24" x14ac:dyDescent="0.25">
      <c r="A2548" s="6" t="s">
        <v>25</v>
      </c>
      <c r="B2548" s="94" t="s">
        <v>145</v>
      </c>
      <c r="C2548" s="6" t="s">
        <v>7748</v>
      </c>
      <c r="D2548" s="140">
        <v>11884800</v>
      </c>
      <c r="E2548" s="6" t="s">
        <v>3431</v>
      </c>
      <c r="F2548" s="10" t="s">
        <v>44</v>
      </c>
      <c r="G2548" s="6" t="s">
        <v>7749</v>
      </c>
      <c r="H2548" s="8">
        <v>49075</v>
      </c>
      <c r="I2548" s="8">
        <v>44685</v>
      </c>
      <c r="J2548" s="8">
        <v>44712</v>
      </c>
      <c r="K2548" s="95">
        <v>44713</v>
      </c>
      <c r="L2548" s="95" t="s">
        <v>31</v>
      </c>
      <c r="M2548" s="8">
        <v>44725</v>
      </c>
      <c r="N2548" s="8">
        <v>44854</v>
      </c>
      <c r="O2548" s="8">
        <v>44853</v>
      </c>
      <c r="P2548" s="6" t="s">
        <v>35</v>
      </c>
      <c r="Q2548" s="96">
        <v>2124</v>
      </c>
      <c r="R2548" s="97">
        <f t="shared" ref="R2548:R2611" si="94">IF(Q2548&gt;0, Q2548/365, "")</f>
        <v>5.8191780821917805</v>
      </c>
      <c r="S2548" s="75">
        <f t="shared" ref="S2548:S2611" si="95">IF(Q2548&gt;0, SUM(Q2548)*(8259/365), "")</f>
        <v>48060.591780821916</v>
      </c>
      <c r="U2548" s="8">
        <v>44867</v>
      </c>
      <c r="W2548" s="6" t="s">
        <v>84</v>
      </c>
      <c r="X2548" s="7">
        <v>50827</v>
      </c>
    </row>
    <row r="2549" spans="1:24" x14ac:dyDescent="0.25">
      <c r="A2549" s="6" t="s">
        <v>25</v>
      </c>
      <c r="B2549" s="94" t="s">
        <v>1016</v>
      </c>
      <c r="C2549" s="6" t="s">
        <v>7750</v>
      </c>
      <c r="D2549" s="140">
        <v>11160601</v>
      </c>
      <c r="E2549" s="6" t="s">
        <v>2502</v>
      </c>
      <c r="F2549" s="10" t="s">
        <v>252</v>
      </c>
      <c r="G2549" s="6">
        <v>41873819</v>
      </c>
      <c r="H2549" s="8">
        <v>47634</v>
      </c>
      <c r="I2549" s="8">
        <v>44670</v>
      </c>
      <c r="J2549" s="8">
        <v>44692</v>
      </c>
      <c r="K2549" s="95">
        <v>44726</v>
      </c>
      <c r="L2549" s="95" t="s">
        <v>359</v>
      </c>
      <c r="R2549" s="97" t="str">
        <f t="shared" si="94"/>
        <v/>
      </c>
      <c r="S2549" s="75" t="str">
        <f t="shared" si="95"/>
        <v/>
      </c>
      <c r="W2549" s="6" t="s">
        <v>33</v>
      </c>
      <c r="X2549" s="7">
        <v>51661</v>
      </c>
    </row>
    <row r="2550" spans="1:24" x14ac:dyDescent="0.25">
      <c r="A2550" s="6" t="s">
        <v>25</v>
      </c>
      <c r="B2550" s="94" t="s">
        <v>7751</v>
      </c>
      <c r="C2550" s="6" t="s">
        <v>7752</v>
      </c>
      <c r="D2550" s="140">
        <v>11142014</v>
      </c>
      <c r="E2550" s="6" t="s">
        <v>5931</v>
      </c>
      <c r="F2550" s="10" t="s">
        <v>176</v>
      </c>
      <c r="G2550" s="6">
        <v>2011021886</v>
      </c>
      <c r="H2550" s="8">
        <v>47837</v>
      </c>
      <c r="I2550" s="8">
        <v>44672</v>
      </c>
      <c r="J2550" s="8">
        <v>44692</v>
      </c>
      <c r="K2550" s="95">
        <v>44726</v>
      </c>
      <c r="L2550" s="95" t="s">
        <v>359</v>
      </c>
      <c r="R2550" s="97" t="str">
        <f t="shared" si="94"/>
        <v/>
      </c>
      <c r="S2550" s="75" t="str">
        <f t="shared" si="95"/>
        <v/>
      </c>
      <c r="W2550" s="6" t="s">
        <v>33</v>
      </c>
      <c r="X2550" s="7">
        <v>49840</v>
      </c>
    </row>
    <row r="2551" spans="1:24" x14ac:dyDescent="0.25">
      <c r="A2551" s="6" t="s">
        <v>25</v>
      </c>
      <c r="B2551" s="94" t="s">
        <v>7753</v>
      </c>
      <c r="C2551" s="6" t="s">
        <v>7754</v>
      </c>
      <c r="D2551" s="140">
        <v>11461335</v>
      </c>
      <c r="E2551" s="6" t="s">
        <v>6476</v>
      </c>
      <c r="F2551" s="10" t="s">
        <v>44</v>
      </c>
      <c r="G2551" s="6" t="s">
        <v>7755</v>
      </c>
      <c r="H2551" s="8">
        <v>49083</v>
      </c>
      <c r="I2551" s="8">
        <v>44677</v>
      </c>
      <c r="J2551" s="8">
        <v>44692</v>
      </c>
      <c r="K2551" s="95">
        <v>44726</v>
      </c>
      <c r="L2551" s="95" t="s">
        <v>31</v>
      </c>
      <c r="M2551" s="8">
        <v>44733</v>
      </c>
      <c r="N2551" s="8">
        <v>44858</v>
      </c>
      <c r="O2551" s="8">
        <v>44855</v>
      </c>
      <c r="P2551" s="6" t="s">
        <v>35</v>
      </c>
      <c r="Q2551" s="96">
        <v>5475</v>
      </c>
      <c r="R2551" s="97">
        <f t="shared" si="94"/>
        <v>15</v>
      </c>
      <c r="S2551" s="75">
        <f t="shared" si="95"/>
        <v>123885</v>
      </c>
      <c r="U2551" s="8">
        <v>44867</v>
      </c>
      <c r="W2551" s="6" t="s">
        <v>84</v>
      </c>
      <c r="X2551" s="7">
        <v>45899</v>
      </c>
    </row>
    <row r="2552" spans="1:24" ht="30" x14ac:dyDescent="0.25">
      <c r="A2552" s="6" t="s">
        <v>25</v>
      </c>
      <c r="B2552" s="94" t="s">
        <v>7756</v>
      </c>
      <c r="C2552" s="6" t="s">
        <v>7757</v>
      </c>
      <c r="D2552" s="140">
        <v>11676117</v>
      </c>
      <c r="E2552" s="6" t="s">
        <v>6290</v>
      </c>
      <c r="F2552" s="10" t="s">
        <v>44</v>
      </c>
      <c r="G2552" s="6" t="s">
        <v>7758</v>
      </c>
      <c r="H2552" s="8">
        <v>47024</v>
      </c>
      <c r="I2552" s="8">
        <v>44677</v>
      </c>
      <c r="J2552" s="8">
        <v>44692</v>
      </c>
      <c r="K2552" s="95">
        <v>44713</v>
      </c>
      <c r="L2552" s="95" t="s">
        <v>31</v>
      </c>
      <c r="M2552" s="8">
        <v>44725</v>
      </c>
      <c r="N2552" s="8">
        <v>44854</v>
      </c>
      <c r="O2552" s="8">
        <v>44853</v>
      </c>
      <c r="P2552" s="6" t="s">
        <v>35</v>
      </c>
      <c r="Q2552" s="96">
        <v>5110</v>
      </c>
      <c r="R2552" s="97">
        <f t="shared" si="94"/>
        <v>14</v>
      </c>
      <c r="S2552" s="75">
        <f t="shared" si="95"/>
        <v>115626</v>
      </c>
      <c r="U2552" s="8">
        <v>45012</v>
      </c>
      <c r="V2552" s="6" t="s">
        <v>581</v>
      </c>
      <c r="W2552" s="6" t="s">
        <v>33</v>
      </c>
      <c r="X2552" s="7">
        <v>49017</v>
      </c>
    </row>
    <row r="2553" spans="1:24" x14ac:dyDescent="0.25">
      <c r="A2553" s="6" t="s">
        <v>25</v>
      </c>
      <c r="B2553" s="94" t="s">
        <v>1223</v>
      </c>
      <c r="C2553" s="6" t="s">
        <v>7759</v>
      </c>
      <c r="D2553" s="140">
        <v>11182336</v>
      </c>
      <c r="E2553" s="6" t="s">
        <v>4366</v>
      </c>
      <c r="F2553" s="10" t="s">
        <v>44</v>
      </c>
      <c r="G2553" s="6" t="s">
        <v>7760</v>
      </c>
      <c r="H2553" s="8">
        <v>53162</v>
      </c>
      <c r="I2553" s="8">
        <v>44677</v>
      </c>
      <c r="J2553" s="8">
        <v>44720</v>
      </c>
      <c r="K2553" s="95">
        <v>44726</v>
      </c>
      <c r="L2553" s="95" t="s">
        <v>31</v>
      </c>
      <c r="M2553" s="8">
        <v>44736</v>
      </c>
      <c r="N2553" s="8">
        <v>45079</v>
      </c>
      <c r="O2553" s="8">
        <v>45078</v>
      </c>
      <c r="P2553" s="6" t="s">
        <v>90</v>
      </c>
      <c r="Q2553" s="96">
        <v>15330</v>
      </c>
      <c r="R2553" s="97">
        <f t="shared" si="94"/>
        <v>42</v>
      </c>
      <c r="S2553" s="75">
        <f t="shared" si="95"/>
        <v>346878</v>
      </c>
      <c r="T2553" s="124" t="s">
        <v>7761</v>
      </c>
      <c r="U2553" s="8">
        <v>45107</v>
      </c>
      <c r="V2553" s="6" t="s">
        <v>36</v>
      </c>
      <c r="W2553" s="6" t="s">
        <v>84</v>
      </c>
      <c r="X2553" s="7">
        <v>46507</v>
      </c>
    </row>
    <row r="2554" spans="1:24" x14ac:dyDescent="0.25">
      <c r="A2554" s="6" t="s">
        <v>25</v>
      </c>
      <c r="B2554" s="94" t="s">
        <v>7762</v>
      </c>
      <c r="C2554" s="6" t="s">
        <v>7763</v>
      </c>
      <c r="D2554" s="140">
        <v>11480116</v>
      </c>
      <c r="E2554" s="6" t="s">
        <v>3222</v>
      </c>
      <c r="F2554" s="10" t="s">
        <v>44</v>
      </c>
      <c r="G2554" s="6" t="s">
        <v>7764</v>
      </c>
      <c r="H2554" s="8">
        <v>47804</v>
      </c>
      <c r="I2554" s="8">
        <v>44677</v>
      </c>
      <c r="J2554" s="8">
        <v>44720</v>
      </c>
      <c r="K2554" s="95">
        <v>44726</v>
      </c>
      <c r="L2554" s="95" t="s">
        <v>359</v>
      </c>
      <c r="R2554" s="97" t="str">
        <f t="shared" si="94"/>
        <v/>
      </c>
      <c r="S2554" s="75" t="str">
        <f t="shared" si="95"/>
        <v/>
      </c>
      <c r="W2554" s="6" t="s">
        <v>84</v>
      </c>
      <c r="X2554" s="7">
        <v>46330</v>
      </c>
    </row>
    <row r="2555" spans="1:24" x14ac:dyDescent="0.25">
      <c r="A2555" s="6" t="s">
        <v>25</v>
      </c>
      <c r="B2555" s="94" t="s">
        <v>7765</v>
      </c>
      <c r="C2555" s="6" t="s">
        <v>7766</v>
      </c>
      <c r="D2555" s="140">
        <v>11177966</v>
      </c>
      <c r="E2555" s="6" t="s">
        <v>7767</v>
      </c>
      <c r="F2555" s="10" t="s">
        <v>95</v>
      </c>
      <c r="G2555" s="6" t="s">
        <v>7768</v>
      </c>
      <c r="H2555" s="8">
        <v>76033</v>
      </c>
      <c r="I2555" s="8">
        <v>44677</v>
      </c>
      <c r="J2555" s="8">
        <v>44712</v>
      </c>
      <c r="K2555" s="95">
        <v>44713</v>
      </c>
      <c r="L2555" s="95" t="s">
        <v>31</v>
      </c>
      <c r="M2555" s="8">
        <v>44739</v>
      </c>
      <c r="R2555" s="97" t="str">
        <f t="shared" si="94"/>
        <v/>
      </c>
      <c r="S2555" s="75" t="str">
        <f t="shared" si="95"/>
        <v/>
      </c>
      <c r="W2555" s="6" t="s">
        <v>84</v>
      </c>
      <c r="X2555" s="7">
        <v>51198</v>
      </c>
    </row>
    <row r="2556" spans="1:24" x14ac:dyDescent="0.25">
      <c r="A2556" s="6" t="s">
        <v>25</v>
      </c>
      <c r="B2556" s="94" t="s">
        <v>2245</v>
      </c>
      <c r="C2556" s="6" t="s">
        <v>7769</v>
      </c>
      <c r="D2556" s="140">
        <v>11475707</v>
      </c>
      <c r="E2556" s="6" t="s">
        <v>3290</v>
      </c>
      <c r="F2556" s="10" t="s">
        <v>44</v>
      </c>
      <c r="G2556" s="6" t="s">
        <v>7770</v>
      </c>
      <c r="H2556" s="8">
        <v>53085</v>
      </c>
      <c r="I2556" s="8">
        <v>44677</v>
      </c>
      <c r="J2556" s="8">
        <v>44712</v>
      </c>
      <c r="K2556" s="95">
        <v>44713</v>
      </c>
      <c r="L2556" s="95" t="s">
        <v>31</v>
      </c>
      <c r="M2556" s="8">
        <v>44725</v>
      </c>
      <c r="N2556" s="8">
        <v>44998</v>
      </c>
      <c r="O2556" s="8">
        <v>44967</v>
      </c>
      <c r="P2556" s="6" t="s">
        <v>90</v>
      </c>
      <c r="Q2556" s="96">
        <v>10220</v>
      </c>
      <c r="R2556" s="97">
        <f t="shared" si="94"/>
        <v>28</v>
      </c>
      <c r="S2556" s="75">
        <f t="shared" si="95"/>
        <v>231252</v>
      </c>
      <c r="T2556" s="124" t="s">
        <v>7771</v>
      </c>
      <c r="U2556" s="8">
        <v>45054</v>
      </c>
      <c r="V2556" s="6" t="s">
        <v>36</v>
      </c>
      <c r="W2556" s="6" t="s">
        <v>84</v>
      </c>
      <c r="X2556" s="7">
        <v>51132</v>
      </c>
    </row>
    <row r="2557" spans="1:24" x14ac:dyDescent="0.25">
      <c r="A2557" s="6" t="s">
        <v>25</v>
      </c>
      <c r="B2557" s="94" t="s">
        <v>3310</v>
      </c>
      <c r="C2557" s="6" t="s">
        <v>7772</v>
      </c>
      <c r="D2557" s="140">
        <v>11292451</v>
      </c>
      <c r="E2557" s="6" t="s">
        <v>3222</v>
      </c>
      <c r="F2557" s="10" t="s">
        <v>44</v>
      </c>
      <c r="G2557" s="6" t="s">
        <v>7773</v>
      </c>
      <c r="H2557" s="8">
        <v>51020</v>
      </c>
      <c r="I2557" s="8">
        <v>44677</v>
      </c>
      <c r="J2557" s="8">
        <v>44720</v>
      </c>
      <c r="K2557" s="95">
        <v>44726</v>
      </c>
      <c r="L2557" s="95" t="s">
        <v>31</v>
      </c>
      <c r="M2557" s="8">
        <v>44739</v>
      </c>
      <c r="N2557" s="8">
        <v>45065</v>
      </c>
      <c r="O2557" s="8">
        <v>45061</v>
      </c>
      <c r="P2557" s="6" t="s">
        <v>35</v>
      </c>
      <c r="Q2557" s="96">
        <v>8760</v>
      </c>
      <c r="R2557" s="97">
        <f t="shared" si="94"/>
        <v>24</v>
      </c>
      <c r="S2557" s="75">
        <f t="shared" si="95"/>
        <v>198216</v>
      </c>
      <c r="T2557" s="124" t="s">
        <v>7774</v>
      </c>
      <c r="U2557" s="8">
        <v>45205</v>
      </c>
      <c r="V2557" s="6" t="s">
        <v>36</v>
      </c>
      <c r="W2557" s="6" t="s">
        <v>33</v>
      </c>
      <c r="X2557" s="7">
        <v>51773</v>
      </c>
    </row>
    <row r="2558" spans="1:24" x14ac:dyDescent="0.25">
      <c r="A2558" s="6" t="s">
        <v>25</v>
      </c>
      <c r="B2558" s="94" t="s">
        <v>7775</v>
      </c>
      <c r="C2558" s="6" t="s">
        <v>7776</v>
      </c>
      <c r="D2558" s="140">
        <v>11972850</v>
      </c>
      <c r="E2558" s="6" t="s">
        <v>5273</v>
      </c>
      <c r="F2558" s="10" t="s">
        <v>44</v>
      </c>
      <c r="G2558" s="6" t="s">
        <v>7777</v>
      </c>
      <c r="H2558" s="8">
        <v>46230</v>
      </c>
      <c r="I2558" s="8">
        <v>44677</v>
      </c>
      <c r="J2558" s="8">
        <v>44720</v>
      </c>
      <c r="K2558" s="95">
        <v>44726</v>
      </c>
      <c r="L2558" s="95" t="s">
        <v>31</v>
      </c>
      <c r="M2558" s="8">
        <v>44739</v>
      </c>
      <c r="N2558" s="8">
        <v>44784</v>
      </c>
      <c r="O2558" s="8">
        <v>44778</v>
      </c>
      <c r="P2558" s="6" t="s">
        <v>35</v>
      </c>
      <c r="Q2558" s="96">
        <v>1217</v>
      </c>
      <c r="R2558" s="97">
        <f t="shared" si="94"/>
        <v>3.3342465753424659</v>
      </c>
      <c r="S2558" s="75">
        <f t="shared" si="95"/>
        <v>27537.542465753424</v>
      </c>
      <c r="U2558" s="8">
        <v>44792</v>
      </c>
      <c r="W2558" s="6" t="s">
        <v>33</v>
      </c>
      <c r="X2558" s="7">
        <v>52281</v>
      </c>
    </row>
    <row r="2559" spans="1:24" x14ac:dyDescent="0.25">
      <c r="A2559" s="6" t="s">
        <v>25</v>
      </c>
      <c r="B2559" s="94" t="s">
        <v>7412</v>
      </c>
      <c r="C2559" s="6" t="s">
        <v>7778</v>
      </c>
      <c r="D2559" s="140">
        <v>11275850</v>
      </c>
      <c r="E2559" s="6" t="s">
        <v>4366</v>
      </c>
      <c r="F2559" s="10" t="s">
        <v>134</v>
      </c>
      <c r="G2559" s="6" t="s">
        <v>7779</v>
      </c>
      <c r="H2559" s="8">
        <v>48561</v>
      </c>
      <c r="I2559" s="8">
        <v>44677</v>
      </c>
      <c r="J2559" s="8">
        <v>44720</v>
      </c>
      <c r="K2559" s="95">
        <v>44726</v>
      </c>
      <c r="L2559" s="95" t="s">
        <v>359</v>
      </c>
      <c r="R2559" s="97" t="str">
        <f t="shared" si="94"/>
        <v/>
      </c>
      <c r="S2559" s="75" t="str">
        <f t="shared" si="95"/>
        <v/>
      </c>
      <c r="W2559" s="6" t="s">
        <v>33</v>
      </c>
      <c r="X2559" s="7">
        <v>50870</v>
      </c>
    </row>
    <row r="2560" spans="1:24" x14ac:dyDescent="0.25">
      <c r="A2560" s="6" t="s">
        <v>25</v>
      </c>
      <c r="B2560" s="94" t="s">
        <v>1775</v>
      </c>
      <c r="C2560" s="6" t="s">
        <v>7780</v>
      </c>
      <c r="D2560" s="140">
        <v>11241104</v>
      </c>
      <c r="E2560" s="6" t="s">
        <v>3290</v>
      </c>
      <c r="F2560" s="10" t="s">
        <v>44</v>
      </c>
      <c r="G2560" s="6" t="s">
        <v>7781</v>
      </c>
      <c r="H2560" s="8">
        <v>46341</v>
      </c>
      <c r="I2560" s="8">
        <v>44677</v>
      </c>
      <c r="J2560" s="8">
        <v>44712</v>
      </c>
      <c r="K2560" s="95">
        <v>44713</v>
      </c>
      <c r="L2560" s="95" t="s">
        <v>31</v>
      </c>
      <c r="M2560" s="8">
        <v>44725</v>
      </c>
      <c r="N2560" s="8">
        <v>44987</v>
      </c>
      <c r="O2560" s="8">
        <v>44987</v>
      </c>
      <c r="P2560" s="6" t="s">
        <v>35</v>
      </c>
      <c r="Q2560" s="96">
        <v>6935</v>
      </c>
      <c r="R2560" s="97">
        <f t="shared" si="94"/>
        <v>19</v>
      </c>
      <c r="S2560" s="75">
        <f t="shared" si="95"/>
        <v>156921</v>
      </c>
      <c r="U2560" s="8">
        <v>45012</v>
      </c>
      <c r="V2560" s="6" t="s">
        <v>36</v>
      </c>
      <c r="W2560" s="6" t="s">
        <v>84</v>
      </c>
      <c r="X2560" s="7">
        <v>46202</v>
      </c>
    </row>
    <row r="2561" spans="1:24" x14ac:dyDescent="0.25">
      <c r="A2561" s="6" t="s">
        <v>25</v>
      </c>
      <c r="B2561" s="94" t="s">
        <v>3698</v>
      </c>
      <c r="C2561" s="6" t="s">
        <v>7782</v>
      </c>
      <c r="D2561" s="140">
        <v>11236108</v>
      </c>
      <c r="E2561" s="6" t="s">
        <v>6476</v>
      </c>
      <c r="F2561" s="10" t="s">
        <v>44</v>
      </c>
      <c r="G2561" s="6" t="s">
        <v>7783</v>
      </c>
      <c r="H2561" s="8">
        <v>52358</v>
      </c>
      <c r="I2561" s="8">
        <v>44677</v>
      </c>
      <c r="J2561" s="8">
        <v>44712</v>
      </c>
      <c r="K2561" s="95">
        <v>44713</v>
      </c>
      <c r="L2561" s="95" t="s">
        <v>31</v>
      </c>
      <c r="M2561" s="8">
        <v>44725</v>
      </c>
      <c r="N2561" s="8">
        <v>44950</v>
      </c>
      <c r="O2561" s="8">
        <v>44945</v>
      </c>
      <c r="P2561" s="6" t="s">
        <v>90</v>
      </c>
      <c r="Q2561" s="96">
        <v>15330</v>
      </c>
      <c r="R2561" s="97">
        <f t="shared" si="94"/>
        <v>42</v>
      </c>
      <c r="S2561" s="75">
        <f t="shared" si="95"/>
        <v>346878</v>
      </c>
      <c r="U2561" s="8">
        <v>44993</v>
      </c>
      <c r="V2561" s="6" t="s">
        <v>36</v>
      </c>
      <c r="W2561" s="6" t="s">
        <v>84</v>
      </c>
      <c r="X2561" s="7">
        <v>46235</v>
      </c>
    </row>
    <row r="2562" spans="1:24" ht="75" x14ac:dyDescent="0.25">
      <c r="A2562" s="6" t="s">
        <v>25</v>
      </c>
      <c r="B2562" s="94" t="s">
        <v>4968</v>
      </c>
      <c r="C2562" s="6" t="s">
        <v>7784</v>
      </c>
      <c r="D2562" s="140">
        <v>11166124</v>
      </c>
      <c r="E2562" s="6" t="s">
        <v>2314</v>
      </c>
      <c r="F2562" s="10" t="s">
        <v>44</v>
      </c>
      <c r="G2562" s="6" t="s">
        <v>7785</v>
      </c>
      <c r="H2562" s="8">
        <v>47789</v>
      </c>
      <c r="I2562" s="8">
        <v>44677</v>
      </c>
      <c r="J2562" s="8">
        <v>44712</v>
      </c>
      <c r="K2562" s="95">
        <v>44713</v>
      </c>
      <c r="L2562" s="95" t="s">
        <v>31</v>
      </c>
      <c r="M2562" s="8">
        <v>44725</v>
      </c>
      <c r="P2562" s="6" t="s">
        <v>628</v>
      </c>
      <c r="R2562" s="97" t="str">
        <f t="shared" si="94"/>
        <v/>
      </c>
      <c r="S2562" s="75" t="str">
        <f t="shared" si="95"/>
        <v/>
      </c>
      <c r="T2562" s="124" t="s">
        <v>7786</v>
      </c>
      <c r="W2562" s="6" t="s">
        <v>84</v>
      </c>
      <c r="X2562" s="7">
        <v>46051</v>
      </c>
    </row>
    <row r="2563" spans="1:24" x14ac:dyDescent="0.25">
      <c r="A2563" s="6" t="s">
        <v>168</v>
      </c>
      <c r="B2563" s="94" t="s">
        <v>7787</v>
      </c>
      <c r="C2563" s="6" t="s">
        <v>7788</v>
      </c>
      <c r="D2563" s="140">
        <v>11055091</v>
      </c>
      <c r="E2563" s="6" t="s">
        <v>5655</v>
      </c>
      <c r="F2563" s="10" t="s">
        <v>44</v>
      </c>
      <c r="G2563" s="6" t="s">
        <v>7789</v>
      </c>
      <c r="H2563" s="8">
        <v>68596</v>
      </c>
      <c r="I2563" s="8">
        <v>44677</v>
      </c>
      <c r="J2563" s="8">
        <v>44692</v>
      </c>
      <c r="R2563" s="97" t="str">
        <f t="shared" si="94"/>
        <v/>
      </c>
      <c r="S2563" s="75" t="str">
        <f t="shared" si="95"/>
        <v/>
      </c>
      <c r="W2563" s="6" t="s">
        <v>84</v>
      </c>
      <c r="X2563" s="7">
        <v>47509</v>
      </c>
    </row>
    <row r="2564" spans="1:24" x14ac:dyDescent="0.25">
      <c r="A2564" s="6" t="s">
        <v>25</v>
      </c>
      <c r="B2564" s="94" t="s">
        <v>7790</v>
      </c>
      <c r="C2564" s="6" t="s">
        <v>7791</v>
      </c>
      <c r="D2564" s="140">
        <v>11483782</v>
      </c>
      <c r="E2564" s="6" t="s">
        <v>5580</v>
      </c>
      <c r="F2564" s="10" t="s">
        <v>44</v>
      </c>
      <c r="G2564" s="6" t="s">
        <v>7792</v>
      </c>
      <c r="H2564" s="8">
        <v>56968</v>
      </c>
      <c r="I2564" s="8">
        <v>44679</v>
      </c>
      <c r="J2564" s="8">
        <v>44720</v>
      </c>
      <c r="K2564" s="95">
        <v>44726</v>
      </c>
      <c r="L2564" s="95" t="s">
        <v>31</v>
      </c>
      <c r="M2564" s="8">
        <v>44736</v>
      </c>
      <c r="R2564" s="97" t="str">
        <f t="shared" si="94"/>
        <v/>
      </c>
      <c r="S2564" s="75" t="str">
        <f t="shared" si="95"/>
        <v/>
      </c>
      <c r="T2564" s="124" t="s">
        <v>1702</v>
      </c>
      <c r="W2564" s="6" t="s">
        <v>84</v>
      </c>
      <c r="X2564" s="7">
        <v>46057</v>
      </c>
    </row>
    <row r="2565" spans="1:24" x14ac:dyDescent="0.25">
      <c r="A2565" s="6" t="s">
        <v>25</v>
      </c>
      <c r="B2565" s="94" t="s">
        <v>6147</v>
      </c>
      <c r="C2565" s="6" t="s">
        <v>7793</v>
      </c>
      <c r="D2565" s="140">
        <v>11162310</v>
      </c>
      <c r="E2565" s="6" t="s">
        <v>4044</v>
      </c>
      <c r="F2565" s="10" t="s">
        <v>44</v>
      </c>
      <c r="G2565" s="6" t="s">
        <v>7794</v>
      </c>
      <c r="H2565" s="8">
        <v>47239</v>
      </c>
      <c r="I2565" s="8">
        <v>44679</v>
      </c>
      <c r="J2565" s="8">
        <v>44720</v>
      </c>
      <c r="K2565" s="95">
        <v>44726</v>
      </c>
      <c r="L2565" s="95" t="s">
        <v>31</v>
      </c>
      <c r="M2565" s="8">
        <v>44736</v>
      </c>
      <c r="N2565" s="8">
        <v>44965</v>
      </c>
      <c r="O2565" s="8">
        <v>44970</v>
      </c>
      <c r="P2565" s="6" t="s">
        <v>35</v>
      </c>
      <c r="Q2565" s="96">
        <v>3650</v>
      </c>
      <c r="R2565" s="97">
        <f t="shared" si="94"/>
        <v>10</v>
      </c>
      <c r="S2565" s="75">
        <f t="shared" si="95"/>
        <v>82590</v>
      </c>
      <c r="U2565" s="8">
        <v>45012</v>
      </c>
      <c r="W2565" s="6" t="s">
        <v>84</v>
      </c>
      <c r="X2565" s="7">
        <v>46054</v>
      </c>
    </row>
    <row r="2566" spans="1:24" ht="30" x14ac:dyDescent="0.25">
      <c r="A2566" s="6" t="s">
        <v>25</v>
      </c>
      <c r="B2566" s="94" t="s">
        <v>1094</v>
      </c>
      <c r="C2566" s="6" t="s">
        <v>4358</v>
      </c>
      <c r="D2566" s="140">
        <v>11593415</v>
      </c>
      <c r="E2566" s="6" t="s">
        <v>3362</v>
      </c>
      <c r="F2566" s="10" t="s">
        <v>57</v>
      </c>
      <c r="G2566" s="6" t="s">
        <v>4359</v>
      </c>
      <c r="H2566" s="8">
        <v>45307</v>
      </c>
      <c r="I2566" s="8">
        <v>44679</v>
      </c>
      <c r="J2566" s="8">
        <v>44720</v>
      </c>
      <c r="K2566" s="95">
        <v>44726</v>
      </c>
      <c r="L2566" s="95" t="s">
        <v>359</v>
      </c>
      <c r="R2566" s="97" t="str">
        <f t="shared" si="94"/>
        <v/>
      </c>
      <c r="S2566" s="75" t="str">
        <f t="shared" si="95"/>
        <v/>
      </c>
      <c r="T2566" s="124" t="s">
        <v>7795</v>
      </c>
    </row>
    <row r="2567" spans="1:24" x14ac:dyDescent="0.25">
      <c r="A2567" s="6" t="s">
        <v>25</v>
      </c>
      <c r="B2567" s="94" t="s">
        <v>6184</v>
      </c>
      <c r="C2567" s="6" t="s">
        <v>7796</v>
      </c>
      <c r="D2567" s="140">
        <v>11097634</v>
      </c>
      <c r="E2567" s="6" t="s">
        <v>714</v>
      </c>
      <c r="F2567" s="10" t="s">
        <v>44</v>
      </c>
      <c r="G2567" s="6" t="s">
        <v>7797</v>
      </c>
      <c r="H2567" s="8">
        <v>46694</v>
      </c>
      <c r="I2567" s="8">
        <v>44677</v>
      </c>
      <c r="J2567" s="8">
        <v>44712</v>
      </c>
      <c r="K2567" s="95">
        <v>44713</v>
      </c>
      <c r="L2567" s="95" t="s">
        <v>31</v>
      </c>
      <c r="M2567" s="8">
        <v>44725</v>
      </c>
      <c r="N2567" s="8">
        <v>45076</v>
      </c>
      <c r="O2567" s="8">
        <v>45064</v>
      </c>
      <c r="P2567" s="6" t="s">
        <v>35</v>
      </c>
      <c r="Q2567" s="96">
        <v>1825</v>
      </c>
      <c r="R2567" s="97">
        <f t="shared" si="94"/>
        <v>5</v>
      </c>
      <c r="S2567" s="75">
        <f t="shared" si="95"/>
        <v>41295</v>
      </c>
      <c r="U2567" s="8">
        <v>45338</v>
      </c>
      <c r="W2567" s="6" t="s">
        <v>84</v>
      </c>
      <c r="X2567" s="7">
        <v>46312</v>
      </c>
    </row>
    <row r="2568" spans="1:24" x14ac:dyDescent="0.25">
      <c r="A2568" s="6" t="s">
        <v>369</v>
      </c>
      <c r="B2568" s="94" t="s">
        <v>145</v>
      </c>
      <c r="C2568" s="6" t="s">
        <v>7798</v>
      </c>
      <c r="D2568" s="140">
        <v>11712632</v>
      </c>
      <c r="E2568" s="6" t="s">
        <v>729</v>
      </c>
      <c r="F2568" s="10" t="s">
        <v>528</v>
      </c>
      <c r="G2568" s="6" t="s">
        <v>7799</v>
      </c>
      <c r="H2568" s="8">
        <v>45423</v>
      </c>
      <c r="I2568" s="8">
        <v>44718</v>
      </c>
      <c r="J2568" s="8">
        <v>44718</v>
      </c>
      <c r="R2568" s="97" t="str">
        <f t="shared" si="94"/>
        <v/>
      </c>
      <c r="S2568" s="75" t="str">
        <f t="shared" si="95"/>
        <v/>
      </c>
      <c r="W2568" s="6" t="s">
        <v>33</v>
      </c>
      <c r="X2568" s="7">
        <v>45423</v>
      </c>
    </row>
    <row r="2569" spans="1:24" x14ac:dyDescent="0.25">
      <c r="A2569" s="6" t="s">
        <v>25</v>
      </c>
      <c r="B2569" s="94" t="s">
        <v>6188</v>
      </c>
      <c r="C2569" s="6" t="s">
        <v>7800</v>
      </c>
      <c r="D2569" s="140">
        <v>11127682</v>
      </c>
      <c r="E2569" s="6" t="s">
        <v>1927</v>
      </c>
      <c r="F2569" s="10" t="s">
        <v>293</v>
      </c>
      <c r="G2569" s="6" t="s">
        <v>7801</v>
      </c>
      <c r="H2569" s="8">
        <v>48812</v>
      </c>
      <c r="I2569" s="8">
        <v>44687</v>
      </c>
      <c r="J2569" s="8">
        <v>44722</v>
      </c>
      <c r="K2569" s="95">
        <v>44726</v>
      </c>
      <c r="L2569" s="95" t="s">
        <v>359</v>
      </c>
      <c r="R2569" s="97" t="str">
        <f t="shared" si="94"/>
        <v/>
      </c>
      <c r="S2569" s="75" t="str">
        <f t="shared" si="95"/>
        <v/>
      </c>
    </row>
    <row r="2570" spans="1:24" x14ac:dyDescent="0.25">
      <c r="A2570" s="6" t="s">
        <v>25</v>
      </c>
      <c r="B2570" s="94" t="s">
        <v>7802</v>
      </c>
      <c r="C2570" s="6" t="s">
        <v>7803</v>
      </c>
      <c r="D2570" s="140">
        <v>11136896</v>
      </c>
      <c r="E2570" s="6" t="s">
        <v>3644</v>
      </c>
      <c r="F2570" s="10" t="s">
        <v>44</v>
      </c>
      <c r="G2570" s="6" t="s">
        <v>7804</v>
      </c>
      <c r="H2570" s="8">
        <v>47866</v>
      </c>
      <c r="I2570" s="8">
        <v>44687</v>
      </c>
      <c r="J2570" s="8">
        <v>44722</v>
      </c>
      <c r="K2570" s="95">
        <v>44726</v>
      </c>
      <c r="L2570" s="95" t="s">
        <v>31</v>
      </c>
      <c r="M2570" s="8">
        <v>44736</v>
      </c>
      <c r="N2570" s="8">
        <v>45195</v>
      </c>
      <c r="O2570" s="8">
        <v>45163</v>
      </c>
      <c r="P2570" s="6" t="s">
        <v>35</v>
      </c>
      <c r="Q2570" s="96">
        <v>4015</v>
      </c>
      <c r="R2570" s="97">
        <f t="shared" si="94"/>
        <v>11</v>
      </c>
      <c r="S2570" s="75">
        <f t="shared" si="95"/>
        <v>90849</v>
      </c>
      <c r="U2570" s="8">
        <v>45338</v>
      </c>
      <c r="W2570" s="6" t="s">
        <v>84</v>
      </c>
      <c r="X2570" s="7">
        <v>45220</v>
      </c>
    </row>
    <row r="2571" spans="1:24" x14ac:dyDescent="0.25">
      <c r="A2571" s="6" t="s">
        <v>25</v>
      </c>
      <c r="B2571" s="94" t="s">
        <v>430</v>
      </c>
      <c r="C2571" s="6" t="s">
        <v>7805</v>
      </c>
      <c r="D2571" s="140">
        <v>11105409</v>
      </c>
      <c r="E2571" s="6" t="s">
        <v>3468</v>
      </c>
      <c r="F2571" s="10" t="s">
        <v>44</v>
      </c>
      <c r="G2571" s="6" t="s">
        <v>7806</v>
      </c>
      <c r="H2571" s="8">
        <v>45555</v>
      </c>
      <c r="I2571" s="8">
        <v>44687</v>
      </c>
      <c r="J2571" s="8">
        <v>44736</v>
      </c>
      <c r="K2571" s="95">
        <v>44742</v>
      </c>
      <c r="L2571" s="95" t="s">
        <v>31</v>
      </c>
      <c r="M2571" s="8">
        <v>44757</v>
      </c>
      <c r="N2571" s="8">
        <v>45147</v>
      </c>
      <c r="O2571" s="8">
        <v>45134</v>
      </c>
      <c r="P2571" s="6" t="s">
        <v>90</v>
      </c>
      <c r="Q2571" s="96">
        <v>1825</v>
      </c>
      <c r="R2571" s="97">
        <f t="shared" si="94"/>
        <v>5</v>
      </c>
      <c r="S2571" s="75">
        <f t="shared" si="95"/>
        <v>41295</v>
      </c>
      <c r="T2571" s="124" t="s">
        <v>6710</v>
      </c>
      <c r="U2571" s="8">
        <v>45205</v>
      </c>
      <c r="V2571" s="6" t="s">
        <v>36</v>
      </c>
      <c r="W2571" s="6" t="s">
        <v>33</v>
      </c>
      <c r="X2571" s="7">
        <v>45555</v>
      </c>
    </row>
    <row r="2572" spans="1:24" x14ac:dyDescent="0.25">
      <c r="A2572" s="6" t="s">
        <v>25</v>
      </c>
      <c r="B2572" s="94" t="s">
        <v>7807</v>
      </c>
      <c r="C2572" s="6" t="s">
        <v>7808</v>
      </c>
      <c r="D2572" s="140">
        <v>11186328</v>
      </c>
      <c r="E2572" s="6" t="s">
        <v>1151</v>
      </c>
      <c r="F2572" s="10" t="s">
        <v>44</v>
      </c>
      <c r="G2572" s="6" t="s">
        <v>7809</v>
      </c>
      <c r="H2572" s="8">
        <v>46232</v>
      </c>
      <c r="I2572" s="8">
        <v>44691</v>
      </c>
      <c r="J2572" s="8">
        <v>44736</v>
      </c>
      <c r="K2572" s="95">
        <v>44742</v>
      </c>
      <c r="L2572" s="95" t="s">
        <v>31</v>
      </c>
      <c r="M2572" s="8">
        <v>44757</v>
      </c>
      <c r="N2572" s="8">
        <v>44936</v>
      </c>
      <c r="O2572" s="8">
        <v>44917</v>
      </c>
      <c r="P2572" s="6" t="s">
        <v>35</v>
      </c>
      <c r="Q2572" s="96">
        <v>1281</v>
      </c>
      <c r="R2572" s="97">
        <f t="shared" si="94"/>
        <v>3.5095890410958903</v>
      </c>
      <c r="S2572" s="75">
        <f t="shared" si="95"/>
        <v>28985.69589041096</v>
      </c>
      <c r="U2572" s="8">
        <v>44938</v>
      </c>
      <c r="W2572" s="6" t="s">
        <v>84</v>
      </c>
      <c r="X2572" s="7">
        <v>46222</v>
      </c>
    </row>
    <row r="2573" spans="1:24" x14ac:dyDescent="0.25">
      <c r="A2573" s="6" t="s">
        <v>25</v>
      </c>
      <c r="B2573" s="94" t="s">
        <v>7810</v>
      </c>
      <c r="C2573" s="6" t="s">
        <v>7811</v>
      </c>
      <c r="D2573" s="140">
        <v>11104718</v>
      </c>
      <c r="E2573" s="6" t="s">
        <v>826</v>
      </c>
      <c r="F2573" s="10" t="s">
        <v>44</v>
      </c>
      <c r="G2573" s="6" t="s">
        <v>7812</v>
      </c>
      <c r="H2573" s="8">
        <v>47699</v>
      </c>
      <c r="I2573" s="8">
        <v>44698</v>
      </c>
      <c r="J2573" s="8">
        <v>44736</v>
      </c>
      <c r="K2573" s="95">
        <v>44742</v>
      </c>
      <c r="L2573" s="95" t="s">
        <v>31</v>
      </c>
      <c r="M2573" s="8">
        <v>44757</v>
      </c>
      <c r="N2573" s="8">
        <v>45223</v>
      </c>
      <c r="O2573" s="8">
        <v>45166</v>
      </c>
      <c r="P2573" s="6" t="s">
        <v>35</v>
      </c>
      <c r="Q2573" s="96">
        <v>1460</v>
      </c>
      <c r="R2573" s="97">
        <f t="shared" si="94"/>
        <v>4</v>
      </c>
      <c r="S2573" s="75">
        <f t="shared" si="95"/>
        <v>33036</v>
      </c>
      <c r="U2573" s="8">
        <v>45338</v>
      </c>
      <c r="W2573" s="6" t="s">
        <v>33</v>
      </c>
      <c r="X2573" s="7">
        <v>47699</v>
      </c>
    </row>
    <row r="2574" spans="1:24" x14ac:dyDescent="0.25">
      <c r="A2574" s="6" t="s">
        <v>25</v>
      </c>
      <c r="B2574" s="94" t="s">
        <v>797</v>
      </c>
      <c r="C2574" s="6" t="s">
        <v>7813</v>
      </c>
      <c r="D2574" s="140">
        <v>11185114</v>
      </c>
      <c r="E2574" s="6" t="s">
        <v>1752</v>
      </c>
      <c r="F2574" s="10" t="s">
        <v>44</v>
      </c>
      <c r="G2574" s="6" t="s">
        <v>7814</v>
      </c>
      <c r="H2574" s="8">
        <v>54742</v>
      </c>
      <c r="I2574" s="8">
        <v>44691</v>
      </c>
      <c r="J2574" s="8">
        <v>44736</v>
      </c>
      <c r="K2574" s="95">
        <v>44742</v>
      </c>
      <c r="L2574" s="95" t="s">
        <v>359</v>
      </c>
      <c r="R2574" s="97" t="str">
        <f t="shared" si="94"/>
        <v/>
      </c>
      <c r="S2574" s="75" t="str">
        <f t="shared" si="95"/>
        <v/>
      </c>
    </row>
    <row r="2575" spans="1:24" x14ac:dyDescent="0.25">
      <c r="A2575" s="6" t="s">
        <v>25</v>
      </c>
      <c r="B2575" s="94" t="s">
        <v>7815</v>
      </c>
      <c r="C2575" s="6" t="s">
        <v>7816</v>
      </c>
      <c r="D2575" s="140">
        <v>11144669</v>
      </c>
      <c r="E2575" s="6" t="s">
        <v>6290</v>
      </c>
      <c r="F2575" s="10" t="s">
        <v>2296</v>
      </c>
      <c r="G2575" s="6" t="s">
        <v>7817</v>
      </c>
      <c r="H2575" s="8">
        <v>53326</v>
      </c>
      <c r="I2575" s="8">
        <v>44713</v>
      </c>
      <c r="J2575" s="8">
        <v>44719</v>
      </c>
      <c r="K2575" s="95">
        <v>44742</v>
      </c>
      <c r="L2575" s="95" t="s">
        <v>31</v>
      </c>
      <c r="M2575" s="8">
        <v>44757</v>
      </c>
      <c r="N2575" s="8">
        <v>45098</v>
      </c>
      <c r="O2575" s="8">
        <v>45076</v>
      </c>
      <c r="P2575" s="6" t="s">
        <v>35</v>
      </c>
      <c r="Q2575" s="96">
        <v>13870</v>
      </c>
      <c r="R2575" s="97">
        <f t="shared" si="94"/>
        <v>38</v>
      </c>
      <c r="S2575" s="75">
        <f t="shared" si="95"/>
        <v>313842</v>
      </c>
      <c r="U2575" s="8">
        <v>45098</v>
      </c>
      <c r="W2575" s="6" t="s">
        <v>84</v>
      </c>
      <c r="X2575" s="7">
        <v>46515</v>
      </c>
    </row>
    <row r="2576" spans="1:24" x14ac:dyDescent="0.25">
      <c r="A2576" s="6" t="s">
        <v>25</v>
      </c>
      <c r="B2576" s="94" t="s">
        <v>458</v>
      </c>
      <c r="C2576" s="6" t="s">
        <v>7818</v>
      </c>
      <c r="D2576" s="140">
        <v>11647421</v>
      </c>
      <c r="E2576" s="6" t="s">
        <v>7819</v>
      </c>
      <c r="F2576" s="10" t="s">
        <v>29</v>
      </c>
      <c r="G2576" s="6" t="s">
        <v>7820</v>
      </c>
      <c r="H2576" s="8">
        <v>45464</v>
      </c>
      <c r="I2576" s="8">
        <v>44713</v>
      </c>
      <c r="J2576" s="8">
        <v>44767</v>
      </c>
      <c r="K2576" s="95">
        <v>44768</v>
      </c>
      <c r="R2576" s="97" t="str">
        <f t="shared" si="94"/>
        <v/>
      </c>
      <c r="S2576" s="75" t="str">
        <f t="shared" si="95"/>
        <v/>
      </c>
      <c r="W2576" s="6" t="s">
        <v>33</v>
      </c>
      <c r="X2576" s="7">
        <v>53642</v>
      </c>
    </row>
    <row r="2577" spans="1:24" x14ac:dyDescent="0.25">
      <c r="A2577" s="6" t="s">
        <v>25</v>
      </c>
      <c r="B2577" s="94" t="s">
        <v>7821</v>
      </c>
      <c r="C2577" s="6" t="s">
        <v>7822</v>
      </c>
      <c r="D2577" s="140">
        <v>11682372</v>
      </c>
      <c r="E2577" s="6" t="s">
        <v>5794</v>
      </c>
      <c r="F2577" s="10" t="s">
        <v>134</v>
      </c>
      <c r="G2577" s="6" t="s">
        <v>7823</v>
      </c>
      <c r="H2577" s="8">
        <v>48468</v>
      </c>
      <c r="I2577" s="8">
        <v>44713</v>
      </c>
      <c r="J2577" s="8">
        <v>44742</v>
      </c>
      <c r="K2577" s="95">
        <v>44749</v>
      </c>
      <c r="L2577" s="95" t="s">
        <v>31</v>
      </c>
      <c r="M2577" s="8">
        <v>44757</v>
      </c>
      <c r="N2577" s="8">
        <v>44988</v>
      </c>
      <c r="O2577" s="8">
        <v>44988</v>
      </c>
      <c r="P2577" s="6" t="s">
        <v>35</v>
      </c>
      <c r="Q2577" s="96">
        <v>6935</v>
      </c>
      <c r="R2577" s="97">
        <f t="shared" si="94"/>
        <v>19</v>
      </c>
      <c r="S2577" s="75">
        <f t="shared" si="95"/>
        <v>156921</v>
      </c>
      <c r="U2577" s="8">
        <v>45009</v>
      </c>
      <c r="W2577" s="6" t="s">
        <v>84</v>
      </c>
      <c r="X2577" s="7">
        <v>45637</v>
      </c>
    </row>
    <row r="2578" spans="1:24" x14ac:dyDescent="0.25">
      <c r="A2578" s="6" t="s">
        <v>25</v>
      </c>
      <c r="B2578" s="94" t="s">
        <v>7824</v>
      </c>
      <c r="C2578" s="6" t="s">
        <v>7825</v>
      </c>
      <c r="D2578" s="140">
        <v>11149792</v>
      </c>
      <c r="E2578" s="6" t="s">
        <v>6476</v>
      </c>
      <c r="F2578" s="10" t="s">
        <v>44</v>
      </c>
      <c r="G2578" s="6" t="s">
        <v>7826</v>
      </c>
      <c r="H2578" s="8">
        <v>55902</v>
      </c>
      <c r="I2578" s="8">
        <v>44713</v>
      </c>
      <c r="J2578" s="8">
        <v>44742</v>
      </c>
      <c r="K2578" s="95">
        <v>44753</v>
      </c>
      <c r="N2578" s="8">
        <v>45148</v>
      </c>
      <c r="O2578" s="8">
        <v>45135</v>
      </c>
      <c r="P2578" s="6" t="s">
        <v>90</v>
      </c>
      <c r="Q2578" s="96">
        <v>17155</v>
      </c>
      <c r="R2578" s="97">
        <f t="shared" si="94"/>
        <v>47</v>
      </c>
      <c r="S2578" s="75">
        <f t="shared" si="95"/>
        <v>388173</v>
      </c>
      <c r="T2578" s="124" t="s">
        <v>7827</v>
      </c>
      <c r="U2578" s="8">
        <v>45184</v>
      </c>
      <c r="V2578" s="6" t="s">
        <v>36</v>
      </c>
      <c r="W2578" s="6" t="s">
        <v>84</v>
      </c>
      <c r="X2578" s="7">
        <v>45400</v>
      </c>
    </row>
    <row r="2579" spans="1:24" x14ac:dyDescent="0.25">
      <c r="A2579" s="6" t="s">
        <v>25</v>
      </c>
      <c r="B2579" s="94" t="s">
        <v>7828</v>
      </c>
      <c r="C2579" s="6" t="s">
        <v>7829</v>
      </c>
      <c r="D2579" s="140">
        <v>11113793</v>
      </c>
      <c r="E2579" s="6" t="s">
        <v>2314</v>
      </c>
      <c r="F2579" s="10" t="s">
        <v>44</v>
      </c>
      <c r="G2579" s="6" t="s">
        <v>7830</v>
      </c>
      <c r="H2579" s="8">
        <v>47761</v>
      </c>
      <c r="I2579" s="8">
        <v>44713</v>
      </c>
      <c r="J2579" s="8">
        <v>44743</v>
      </c>
      <c r="K2579" s="95">
        <v>44749</v>
      </c>
      <c r="L2579" s="95" t="s">
        <v>31</v>
      </c>
      <c r="M2579" s="8">
        <v>44757</v>
      </c>
      <c r="P2579" s="6" t="s">
        <v>628</v>
      </c>
      <c r="R2579" s="97" t="str">
        <f t="shared" si="94"/>
        <v/>
      </c>
      <c r="S2579" s="75" t="str">
        <f t="shared" si="95"/>
        <v/>
      </c>
      <c r="T2579" s="124" t="s">
        <v>7831</v>
      </c>
      <c r="W2579" s="6" t="s">
        <v>84</v>
      </c>
      <c r="X2579" s="7">
        <v>46020</v>
      </c>
    </row>
    <row r="2580" spans="1:24" x14ac:dyDescent="0.25">
      <c r="A2580" s="6" t="s">
        <v>25</v>
      </c>
      <c r="B2580" s="94" t="s">
        <v>7832</v>
      </c>
      <c r="C2580" s="6" t="s">
        <v>7833</v>
      </c>
      <c r="D2580" s="140">
        <v>11081702</v>
      </c>
      <c r="E2580" s="6" t="s">
        <v>6295</v>
      </c>
      <c r="F2580" s="10" t="s">
        <v>57</v>
      </c>
      <c r="G2580" s="6" t="s">
        <v>7834</v>
      </c>
      <c r="H2580" s="8">
        <v>59533</v>
      </c>
      <c r="I2580" s="8">
        <v>44713</v>
      </c>
      <c r="J2580" s="8">
        <v>44742</v>
      </c>
      <c r="K2580" s="95">
        <v>44749</v>
      </c>
      <c r="L2580" s="95" t="s">
        <v>359</v>
      </c>
      <c r="R2580" s="97" t="str">
        <f t="shared" si="94"/>
        <v/>
      </c>
      <c r="S2580" s="75" t="str">
        <f t="shared" si="95"/>
        <v/>
      </c>
      <c r="W2580" s="6" t="s">
        <v>84</v>
      </c>
      <c r="X2580" s="7">
        <v>46314</v>
      </c>
    </row>
    <row r="2581" spans="1:24" x14ac:dyDescent="0.25">
      <c r="A2581" s="6" t="s">
        <v>25</v>
      </c>
      <c r="B2581" s="94" t="s">
        <v>590</v>
      </c>
      <c r="C2581" s="6" t="s">
        <v>7835</v>
      </c>
      <c r="D2581" s="140">
        <v>11338616</v>
      </c>
      <c r="E2581" s="6" t="s">
        <v>4366</v>
      </c>
      <c r="F2581" s="10" t="s">
        <v>134</v>
      </c>
      <c r="G2581" s="6" t="s">
        <v>7836</v>
      </c>
      <c r="H2581" s="8">
        <v>48936</v>
      </c>
      <c r="I2581" s="8">
        <v>44713</v>
      </c>
      <c r="J2581" s="8">
        <v>44742</v>
      </c>
      <c r="K2581" s="95">
        <v>44749</v>
      </c>
      <c r="L2581" s="95" t="s">
        <v>31</v>
      </c>
      <c r="M2581" s="8">
        <v>44757</v>
      </c>
      <c r="N2581" s="8">
        <v>44886</v>
      </c>
      <c r="O2581" s="8">
        <v>44875</v>
      </c>
      <c r="P2581" s="6" t="s">
        <v>35</v>
      </c>
      <c r="Q2581" s="96">
        <v>2555</v>
      </c>
      <c r="R2581" s="97">
        <f t="shared" si="94"/>
        <v>7</v>
      </c>
      <c r="S2581" s="75">
        <f t="shared" si="95"/>
        <v>57813</v>
      </c>
      <c r="U2581" s="8">
        <v>45054</v>
      </c>
      <c r="W2581" s="6" t="s">
        <v>33</v>
      </c>
      <c r="X2581" s="7">
        <v>54255</v>
      </c>
    </row>
    <row r="2582" spans="1:24" x14ac:dyDescent="0.25">
      <c r="A2582" s="6" t="s">
        <v>25</v>
      </c>
      <c r="B2582" s="94" t="s">
        <v>873</v>
      </c>
      <c r="C2582" s="6" t="s">
        <v>7837</v>
      </c>
      <c r="D2582" s="140">
        <v>11413957</v>
      </c>
      <c r="E2582" s="6" t="s">
        <v>4044</v>
      </c>
      <c r="F2582" s="10" t="s">
        <v>44</v>
      </c>
      <c r="G2582" s="6" t="s">
        <v>7838</v>
      </c>
      <c r="H2582" s="8">
        <v>48202</v>
      </c>
      <c r="I2582" s="8">
        <v>44713</v>
      </c>
      <c r="R2582" s="97" t="str">
        <f t="shared" si="94"/>
        <v/>
      </c>
      <c r="S2582" s="75" t="str">
        <f t="shared" si="95"/>
        <v/>
      </c>
      <c r="W2582" s="6" t="s">
        <v>84</v>
      </c>
      <c r="X2582" s="7">
        <v>48098</v>
      </c>
    </row>
    <row r="2583" spans="1:24" ht="60" x14ac:dyDescent="0.25">
      <c r="A2583" s="6" t="s">
        <v>25</v>
      </c>
      <c r="B2583" s="94" t="s">
        <v>5894</v>
      </c>
      <c r="C2583" s="6" t="s">
        <v>7839</v>
      </c>
      <c r="D2583" s="140">
        <v>11451162</v>
      </c>
      <c r="E2583" s="6" t="s">
        <v>3008</v>
      </c>
      <c r="F2583" s="10" t="s">
        <v>44</v>
      </c>
      <c r="G2583" s="6" t="s">
        <v>7840</v>
      </c>
      <c r="H2583" s="8">
        <v>48622</v>
      </c>
      <c r="I2583" s="8">
        <v>44713</v>
      </c>
      <c r="J2583" s="8">
        <v>44743</v>
      </c>
      <c r="K2583" s="95">
        <v>44749</v>
      </c>
      <c r="L2583" s="95" t="s">
        <v>31</v>
      </c>
      <c r="M2583" s="8">
        <v>44762</v>
      </c>
      <c r="P2583" s="6" t="s">
        <v>628</v>
      </c>
      <c r="R2583" s="97" t="str">
        <f t="shared" si="94"/>
        <v/>
      </c>
      <c r="S2583" s="75" t="str">
        <f t="shared" si="95"/>
        <v/>
      </c>
      <c r="T2583" s="157" t="s">
        <v>7841</v>
      </c>
      <c r="W2583" s="6" t="s">
        <v>84</v>
      </c>
      <c r="X2583" s="7">
        <v>46417</v>
      </c>
    </row>
    <row r="2584" spans="1:24" x14ac:dyDescent="0.25">
      <c r="A2584" s="6" t="s">
        <v>25</v>
      </c>
      <c r="B2584" s="94" t="s">
        <v>605</v>
      </c>
      <c r="C2584" s="6" t="s">
        <v>7842</v>
      </c>
      <c r="D2584" s="140">
        <v>11178216</v>
      </c>
      <c r="E2584" s="6" t="s">
        <v>4044</v>
      </c>
      <c r="F2584" s="10" t="s">
        <v>44</v>
      </c>
      <c r="G2584" s="6" t="s">
        <v>7843</v>
      </c>
      <c r="H2584" s="8">
        <v>50158</v>
      </c>
      <c r="I2584" s="8">
        <v>44713</v>
      </c>
      <c r="J2584" s="8">
        <v>44743</v>
      </c>
      <c r="K2584" s="95">
        <v>44749</v>
      </c>
      <c r="L2584" s="95" t="s">
        <v>31</v>
      </c>
      <c r="M2584" s="8">
        <v>44757</v>
      </c>
      <c r="P2584" s="6" t="s">
        <v>628</v>
      </c>
      <c r="R2584" s="97" t="str">
        <f t="shared" si="94"/>
        <v/>
      </c>
      <c r="S2584" s="75" t="str">
        <f t="shared" si="95"/>
        <v/>
      </c>
      <c r="T2584" s="124" t="s">
        <v>7844</v>
      </c>
      <c r="W2584" s="6" t="s">
        <v>84</v>
      </c>
      <c r="X2584" s="7">
        <v>47756</v>
      </c>
    </row>
    <row r="2585" spans="1:24" x14ac:dyDescent="0.25">
      <c r="A2585" s="6" t="s">
        <v>25</v>
      </c>
      <c r="B2585" s="94" t="s">
        <v>323</v>
      </c>
      <c r="C2585" s="6" t="s">
        <v>7845</v>
      </c>
      <c r="D2585" s="140">
        <v>11723102</v>
      </c>
      <c r="E2585" s="6" t="s">
        <v>5048</v>
      </c>
      <c r="F2585" s="10" t="s">
        <v>44</v>
      </c>
      <c r="G2585" s="6" t="s">
        <v>7846</v>
      </c>
      <c r="H2585" s="8">
        <v>48366</v>
      </c>
      <c r="I2585" s="8">
        <v>44713</v>
      </c>
      <c r="J2585" s="8">
        <v>44743</v>
      </c>
      <c r="K2585" s="95">
        <v>44749</v>
      </c>
      <c r="L2585" s="95" t="s">
        <v>359</v>
      </c>
      <c r="R2585" s="97" t="str">
        <f t="shared" si="94"/>
        <v/>
      </c>
      <c r="S2585" s="75" t="str">
        <f t="shared" si="95"/>
        <v/>
      </c>
      <c r="W2585" s="6" t="s">
        <v>84</v>
      </c>
      <c r="X2585" s="7">
        <v>49050</v>
      </c>
    </row>
    <row r="2586" spans="1:24" x14ac:dyDescent="0.25">
      <c r="A2586" s="6" t="s">
        <v>25</v>
      </c>
      <c r="B2586" s="94" t="s">
        <v>5836</v>
      </c>
      <c r="C2586" s="6" t="s">
        <v>7847</v>
      </c>
      <c r="D2586" s="140">
        <v>11068121</v>
      </c>
      <c r="E2586" s="6" t="s">
        <v>2568</v>
      </c>
      <c r="F2586" s="10" t="s">
        <v>134</v>
      </c>
      <c r="G2586" s="6" t="s">
        <v>7848</v>
      </c>
      <c r="H2586" s="8">
        <v>46198</v>
      </c>
      <c r="I2586" s="8">
        <v>44713</v>
      </c>
      <c r="J2586" s="8">
        <v>44743</v>
      </c>
      <c r="K2586" s="95">
        <v>44749</v>
      </c>
      <c r="L2586" s="95" t="s">
        <v>359</v>
      </c>
      <c r="R2586" s="97" t="str">
        <f t="shared" si="94"/>
        <v/>
      </c>
      <c r="S2586" s="75" t="str">
        <f t="shared" si="95"/>
        <v/>
      </c>
      <c r="W2586" s="6" t="s">
        <v>33</v>
      </c>
      <c r="X2586" s="7">
        <v>49586</v>
      </c>
    </row>
    <row r="2587" spans="1:24" x14ac:dyDescent="0.25">
      <c r="A2587" s="6" t="s">
        <v>25</v>
      </c>
      <c r="B2587" s="94" t="s">
        <v>7849</v>
      </c>
      <c r="C2587" s="6" t="s">
        <v>7850</v>
      </c>
      <c r="D2587" s="140">
        <v>11898204</v>
      </c>
      <c r="E2587" s="6" t="s">
        <v>1573</v>
      </c>
      <c r="F2587" s="10" t="s">
        <v>44</v>
      </c>
      <c r="G2587" s="6" t="s">
        <v>7851</v>
      </c>
      <c r="H2587" s="8">
        <v>45961</v>
      </c>
      <c r="I2587" s="8">
        <v>44713</v>
      </c>
      <c r="J2587" s="8">
        <v>44743</v>
      </c>
      <c r="K2587" s="95">
        <v>44749</v>
      </c>
      <c r="N2587" s="8">
        <v>45041</v>
      </c>
      <c r="O2587" s="8">
        <v>45040</v>
      </c>
      <c r="P2587" s="6" t="s">
        <v>90</v>
      </c>
      <c r="Q2587" s="96">
        <v>5110</v>
      </c>
      <c r="R2587" s="97">
        <f t="shared" si="94"/>
        <v>14</v>
      </c>
      <c r="S2587" s="75">
        <f t="shared" si="95"/>
        <v>115626</v>
      </c>
      <c r="T2587" s="124" t="s">
        <v>7852</v>
      </c>
      <c r="U2587" s="8">
        <v>45054</v>
      </c>
      <c r="V2587" s="6" t="s">
        <v>36</v>
      </c>
      <c r="W2587" s="6" t="s">
        <v>84</v>
      </c>
      <c r="X2587" s="7">
        <v>50936</v>
      </c>
    </row>
    <row r="2588" spans="1:24" ht="30" x14ac:dyDescent="0.25">
      <c r="A2588" s="6" t="s">
        <v>25</v>
      </c>
      <c r="B2588" s="94" t="s">
        <v>7853</v>
      </c>
      <c r="C2588" s="6" t="s">
        <v>7854</v>
      </c>
      <c r="D2588" s="140">
        <v>11882444</v>
      </c>
      <c r="E2588" s="6" t="s">
        <v>5916</v>
      </c>
      <c r="F2588" s="10" t="s">
        <v>44</v>
      </c>
      <c r="G2588" s="6" t="s">
        <v>7855</v>
      </c>
      <c r="H2588" s="8">
        <v>47066</v>
      </c>
      <c r="I2588" s="8">
        <v>44713</v>
      </c>
      <c r="J2588" s="8">
        <v>44767</v>
      </c>
      <c r="K2588" s="95">
        <v>44768</v>
      </c>
      <c r="R2588" s="97" t="str">
        <f t="shared" si="94"/>
        <v/>
      </c>
      <c r="S2588" s="75" t="str">
        <f t="shared" si="95"/>
        <v/>
      </c>
      <c r="T2588" s="124" t="s">
        <v>7856</v>
      </c>
      <c r="W2588" s="6" t="s">
        <v>33</v>
      </c>
      <c r="X2588" s="7">
        <v>51564</v>
      </c>
    </row>
    <row r="2589" spans="1:24" ht="45" x14ac:dyDescent="0.25">
      <c r="A2589" s="6" t="s">
        <v>25</v>
      </c>
      <c r="B2589" s="94" t="s">
        <v>7857</v>
      </c>
      <c r="C2589" s="6" t="s">
        <v>7858</v>
      </c>
      <c r="D2589" s="140">
        <v>12170616</v>
      </c>
      <c r="E2589" s="6" t="s">
        <v>3266</v>
      </c>
      <c r="F2589" s="10" t="s">
        <v>176</v>
      </c>
      <c r="G2589" s="6">
        <v>2016044130</v>
      </c>
      <c r="H2589" s="8">
        <v>46093</v>
      </c>
      <c r="I2589" s="8">
        <v>44713</v>
      </c>
      <c r="J2589" s="8">
        <v>44743</v>
      </c>
      <c r="K2589" s="95">
        <v>44749</v>
      </c>
      <c r="L2589" s="95" t="s">
        <v>31</v>
      </c>
      <c r="M2589" s="8">
        <v>44760</v>
      </c>
      <c r="N2589" s="8">
        <v>44789</v>
      </c>
      <c r="O2589" s="8">
        <v>44784</v>
      </c>
      <c r="P2589" s="6" t="s">
        <v>52</v>
      </c>
      <c r="R2589" s="97" t="str">
        <f t="shared" si="94"/>
        <v/>
      </c>
      <c r="S2589" s="75" t="str">
        <f t="shared" si="95"/>
        <v/>
      </c>
      <c r="T2589" s="124" t="s">
        <v>7859</v>
      </c>
      <c r="U2589" s="8">
        <v>44956</v>
      </c>
      <c r="W2589" s="6" t="s">
        <v>33</v>
      </c>
      <c r="X2589" s="7">
        <v>54700</v>
      </c>
    </row>
    <row r="2590" spans="1:24" x14ac:dyDescent="0.25">
      <c r="A2590" s="6" t="s">
        <v>25</v>
      </c>
      <c r="B2590" s="94" t="s">
        <v>7860</v>
      </c>
      <c r="C2590" s="6" t="s">
        <v>7861</v>
      </c>
      <c r="D2590" s="140">
        <v>11066432</v>
      </c>
      <c r="E2590" s="6" t="s">
        <v>3362</v>
      </c>
      <c r="F2590" s="10" t="s">
        <v>134</v>
      </c>
      <c r="G2590" s="6" t="s">
        <v>7862</v>
      </c>
      <c r="H2590" s="8">
        <v>46638</v>
      </c>
      <c r="I2590" s="8">
        <v>44713</v>
      </c>
      <c r="L2590" s="95" t="s">
        <v>359</v>
      </c>
      <c r="R2590" s="97" t="str">
        <f t="shared" si="94"/>
        <v/>
      </c>
      <c r="S2590" s="75" t="str">
        <f t="shared" si="95"/>
        <v/>
      </c>
      <c r="W2590" s="6" t="s">
        <v>33</v>
      </c>
      <c r="X2590" s="7">
        <v>49520</v>
      </c>
    </row>
    <row r="2591" spans="1:24" x14ac:dyDescent="0.25">
      <c r="A2591" s="6" t="s">
        <v>25</v>
      </c>
      <c r="B2591" s="94" t="s">
        <v>7293</v>
      </c>
      <c r="C2591" s="6" t="s">
        <v>7863</v>
      </c>
      <c r="D2591" s="140">
        <v>11653068</v>
      </c>
      <c r="E2591" s="6" t="s">
        <v>6405</v>
      </c>
      <c r="F2591" s="10" t="s">
        <v>44</v>
      </c>
      <c r="G2591" s="6" t="s">
        <v>7864</v>
      </c>
      <c r="H2591" s="8">
        <v>63882</v>
      </c>
      <c r="I2591" s="8">
        <v>44713</v>
      </c>
      <c r="J2591" s="8">
        <v>44774</v>
      </c>
      <c r="L2591" s="95" t="s">
        <v>31</v>
      </c>
      <c r="M2591" s="8">
        <v>44788</v>
      </c>
      <c r="R2591" s="97" t="str">
        <f t="shared" si="94"/>
        <v/>
      </c>
      <c r="S2591" s="75" t="str">
        <f t="shared" si="95"/>
        <v/>
      </c>
      <c r="W2591" s="6" t="s">
        <v>84</v>
      </c>
      <c r="X2591" s="7">
        <v>45734</v>
      </c>
    </row>
    <row r="2592" spans="1:24" ht="30" x14ac:dyDescent="0.25">
      <c r="A2592" s="6" t="s">
        <v>25</v>
      </c>
      <c r="B2592" s="94" t="s">
        <v>373</v>
      </c>
      <c r="C2592" s="6" t="s">
        <v>7865</v>
      </c>
      <c r="D2592" s="140">
        <v>11125193</v>
      </c>
      <c r="E2592" s="6" t="s">
        <v>6346</v>
      </c>
      <c r="F2592" s="10" t="s">
        <v>57</v>
      </c>
      <c r="G2592" s="6" t="s">
        <v>7866</v>
      </c>
      <c r="H2592" s="8">
        <v>46552</v>
      </c>
      <c r="I2592" s="8">
        <v>44713</v>
      </c>
      <c r="J2592" s="8">
        <v>44774</v>
      </c>
      <c r="L2592" s="95" t="s">
        <v>31</v>
      </c>
      <c r="M2592" s="8">
        <v>44788</v>
      </c>
      <c r="N2592" s="8">
        <v>44820</v>
      </c>
      <c r="O2592" s="8">
        <v>44806</v>
      </c>
      <c r="P2592" s="6" t="s">
        <v>35</v>
      </c>
      <c r="Q2592" s="96">
        <v>3650</v>
      </c>
      <c r="R2592" s="97">
        <f t="shared" si="94"/>
        <v>10</v>
      </c>
      <c r="S2592" s="75">
        <f t="shared" si="95"/>
        <v>82590</v>
      </c>
      <c r="U2592" s="8">
        <v>44965</v>
      </c>
      <c r="V2592" s="6" t="s">
        <v>36</v>
      </c>
      <c r="W2592" s="6" t="s">
        <v>33</v>
      </c>
      <c r="X2592" s="7">
        <v>46258</v>
      </c>
    </row>
    <row r="2593" spans="1:24" x14ac:dyDescent="0.25">
      <c r="A2593" s="6" t="s">
        <v>25</v>
      </c>
      <c r="B2593" s="94" t="s">
        <v>26</v>
      </c>
      <c r="C2593" s="6" t="s">
        <v>27</v>
      </c>
      <c r="D2593" s="140">
        <v>11846296</v>
      </c>
      <c r="E2593" s="6" t="s">
        <v>34</v>
      </c>
      <c r="F2593" s="10" t="s">
        <v>29</v>
      </c>
      <c r="G2593" s="6" t="s">
        <v>30</v>
      </c>
      <c r="H2593" s="8">
        <v>46119</v>
      </c>
      <c r="I2593" s="8">
        <v>44713</v>
      </c>
      <c r="J2593" s="8">
        <v>44767</v>
      </c>
      <c r="K2593" s="95">
        <v>44768</v>
      </c>
      <c r="L2593" s="95" t="s">
        <v>31</v>
      </c>
      <c r="M2593" s="8">
        <v>44788</v>
      </c>
      <c r="N2593" s="8">
        <v>45026</v>
      </c>
      <c r="O2593" s="8">
        <v>45026</v>
      </c>
      <c r="P2593" s="6" t="s">
        <v>35</v>
      </c>
      <c r="Q2593" s="96">
        <v>1825</v>
      </c>
      <c r="R2593" s="97">
        <f t="shared" si="94"/>
        <v>5</v>
      </c>
      <c r="S2593" s="75">
        <f t="shared" si="95"/>
        <v>41295</v>
      </c>
      <c r="U2593" s="8">
        <v>45107</v>
      </c>
      <c r="V2593" s="6" t="s">
        <v>36</v>
      </c>
      <c r="W2593" s="6" t="s">
        <v>33</v>
      </c>
      <c r="X2593" s="7">
        <v>50753</v>
      </c>
    </row>
    <row r="2594" spans="1:24" x14ac:dyDescent="0.25">
      <c r="A2594" s="6" t="s">
        <v>25</v>
      </c>
      <c r="B2594" s="94" t="s">
        <v>554</v>
      </c>
      <c r="C2594" s="6" t="s">
        <v>7867</v>
      </c>
      <c r="D2594" s="140">
        <v>11234079</v>
      </c>
      <c r="E2594" s="6" t="s">
        <v>4044</v>
      </c>
      <c r="F2594" s="10" t="s">
        <v>44</v>
      </c>
      <c r="G2594" s="6" t="s">
        <v>7868</v>
      </c>
      <c r="H2594" s="8">
        <v>46983</v>
      </c>
      <c r="I2594" s="8">
        <v>44713</v>
      </c>
      <c r="J2594" s="8">
        <v>44774</v>
      </c>
      <c r="L2594" s="95" t="s">
        <v>31</v>
      </c>
      <c r="M2594" s="8">
        <v>44788</v>
      </c>
      <c r="N2594" s="8">
        <v>44882</v>
      </c>
      <c r="O2594" s="8">
        <v>44869</v>
      </c>
      <c r="P2594" s="6" t="s">
        <v>35</v>
      </c>
      <c r="Q2594" s="96">
        <v>1577</v>
      </c>
      <c r="R2594" s="97">
        <f t="shared" si="94"/>
        <v>4.3205479452054796</v>
      </c>
      <c r="S2594" s="75">
        <f t="shared" si="95"/>
        <v>35683.405479452056</v>
      </c>
      <c r="U2594" s="8">
        <v>44882</v>
      </c>
      <c r="W2594" s="6" t="s">
        <v>84</v>
      </c>
      <c r="X2594" s="7">
        <v>47028</v>
      </c>
    </row>
    <row r="2595" spans="1:24" x14ac:dyDescent="0.25">
      <c r="A2595" s="6" t="s">
        <v>25</v>
      </c>
      <c r="B2595" s="94" t="s">
        <v>7869</v>
      </c>
      <c r="C2595" s="6" t="s">
        <v>7870</v>
      </c>
      <c r="D2595" s="140">
        <v>11660600</v>
      </c>
      <c r="E2595" s="6" t="s">
        <v>3410</v>
      </c>
      <c r="F2595" s="10" t="s">
        <v>44</v>
      </c>
      <c r="G2595" s="6" t="s">
        <v>7871</v>
      </c>
      <c r="H2595" s="8">
        <v>50097</v>
      </c>
      <c r="I2595" s="8">
        <v>44713</v>
      </c>
      <c r="J2595" s="8">
        <v>44743</v>
      </c>
      <c r="K2595" s="95">
        <v>44749</v>
      </c>
      <c r="L2595" s="95" t="s">
        <v>31</v>
      </c>
      <c r="M2595" s="8">
        <v>44762</v>
      </c>
      <c r="N2595" s="8">
        <v>45225</v>
      </c>
      <c r="O2595" s="8">
        <v>45222</v>
      </c>
      <c r="P2595" s="6" t="s">
        <v>35</v>
      </c>
      <c r="Q2595" s="96">
        <v>7300</v>
      </c>
      <c r="R2595" s="97">
        <f t="shared" si="94"/>
        <v>20</v>
      </c>
      <c r="S2595" s="75">
        <f t="shared" si="95"/>
        <v>165180</v>
      </c>
      <c r="U2595" s="8">
        <v>45343</v>
      </c>
      <c r="W2595" s="6" t="s">
        <v>84</v>
      </c>
      <c r="X2595" s="7">
        <v>47705</v>
      </c>
    </row>
    <row r="2596" spans="1:24" x14ac:dyDescent="0.25">
      <c r="A2596" s="6" t="s">
        <v>25</v>
      </c>
      <c r="B2596" s="94" t="s">
        <v>7872</v>
      </c>
      <c r="C2596" s="6" t="s">
        <v>7873</v>
      </c>
      <c r="D2596" s="140">
        <v>11109499</v>
      </c>
      <c r="E2596" s="6" t="s">
        <v>6110</v>
      </c>
      <c r="F2596" s="10" t="s">
        <v>44</v>
      </c>
      <c r="G2596" s="6" t="s">
        <v>7874</v>
      </c>
      <c r="H2596" s="8">
        <v>50111</v>
      </c>
      <c r="I2596" s="8">
        <v>44713</v>
      </c>
      <c r="J2596" s="8">
        <v>44743</v>
      </c>
      <c r="K2596" s="95">
        <v>44749</v>
      </c>
      <c r="L2596" s="95" t="s">
        <v>31</v>
      </c>
      <c r="M2596" s="8">
        <v>44757</v>
      </c>
      <c r="R2596" s="97" t="str">
        <f t="shared" si="94"/>
        <v/>
      </c>
      <c r="S2596" s="75" t="str">
        <f t="shared" si="95"/>
        <v/>
      </c>
      <c r="W2596" s="6" t="s">
        <v>84</v>
      </c>
      <c r="X2596" s="7">
        <v>48702</v>
      </c>
    </row>
    <row r="2597" spans="1:24" x14ac:dyDescent="0.25">
      <c r="A2597" s="6" t="s">
        <v>25</v>
      </c>
      <c r="B2597" s="94" t="s">
        <v>2050</v>
      </c>
      <c r="C2597" s="6" t="s">
        <v>7875</v>
      </c>
      <c r="D2597" s="140">
        <v>11595912</v>
      </c>
      <c r="E2597" s="6" t="s">
        <v>2502</v>
      </c>
      <c r="F2597" s="10" t="s">
        <v>299</v>
      </c>
      <c r="G2597" s="6" t="s">
        <v>7876</v>
      </c>
      <c r="H2597" s="8">
        <v>60289</v>
      </c>
      <c r="I2597" s="8">
        <v>44713</v>
      </c>
      <c r="L2597" s="95" t="s">
        <v>359</v>
      </c>
      <c r="R2597" s="97" t="str">
        <f t="shared" si="94"/>
        <v/>
      </c>
      <c r="S2597" s="75" t="str">
        <f t="shared" si="95"/>
        <v/>
      </c>
      <c r="T2597" s="124" t="s">
        <v>7877</v>
      </c>
      <c r="W2597" s="6" t="s">
        <v>84</v>
      </c>
      <c r="X2597" s="7">
        <v>51167</v>
      </c>
    </row>
    <row r="2598" spans="1:24" x14ac:dyDescent="0.25">
      <c r="A2598" s="6" t="s">
        <v>25</v>
      </c>
      <c r="B2598" s="94" t="s">
        <v>7878</v>
      </c>
      <c r="C2598" s="6" t="s">
        <v>7879</v>
      </c>
      <c r="D2598" s="140">
        <v>11211265</v>
      </c>
      <c r="E2598" s="6" t="s">
        <v>6290</v>
      </c>
      <c r="F2598" s="10" t="s">
        <v>252</v>
      </c>
      <c r="G2598" s="6">
        <v>50613539</v>
      </c>
      <c r="H2598" s="8">
        <v>52370</v>
      </c>
      <c r="I2598" s="8">
        <v>44713</v>
      </c>
      <c r="L2598" s="95" t="s">
        <v>359</v>
      </c>
      <c r="R2598" s="97" t="str">
        <f t="shared" si="94"/>
        <v/>
      </c>
      <c r="S2598" s="75" t="str">
        <f t="shared" si="95"/>
        <v/>
      </c>
      <c r="W2598" s="6" t="s">
        <v>84</v>
      </c>
      <c r="X2598" s="7">
        <v>48126</v>
      </c>
    </row>
    <row r="2599" spans="1:24" x14ac:dyDescent="0.25">
      <c r="A2599" s="6" t="s">
        <v>25</v>
      </c>
      <c r="B2599" s="94" t="s">
        <v>7880</v>
      </c>
      <c r="C2599" s="6" t="s">
        <v>7881</v>
      </c>
      <c r="D2599" s="140">
        <v>11511521</v>
      </c>
      <c r="E2599" s="6" t="s">
        <v>5974</v>
      </c>
      <c r="F2599" s="10" t="s">
        <v>44</v>
      </c>
      <c r="G2599" s="6" t="s">
        <v>7882</v>
      </c>
      <c r="H2599" s="8">
        <v>49171</v>
      </c>
      <c r="I2599" s="8">
        <v>44713</v>
      </c>
      <c r="L2599" s="95" t="s">
        <v>359</v>
      </c>
      <c r="R2599" s="97" t="str">
        <f t="shared" si="94"/>
        <v/>
      </c>
      <c r="S2599" s="75" t="str">
        <f t="shared" si="95"/>
        <v/>
      </c>
      <c r="W2599" s="6" t="s">
        <v>84</v>
      </c>
      <c r="X2599" s="7">
        <v>47469</v>
      </c>
    </row>
    <row r="2600" spans="1:24" x14ac:dyDescent="0.25">
      <c r="A2600" s="6" t="s">
        <v>25</v>
      </c>
      <c r="B2600" s="94" t="s">
        <v>291</v>
      </c>
      <c r="C2600" s="6" t="s">
        <v>7883</v>
      </c>
      <c r="D2600" s="140">
        <v>11221573</v>
      </c>
      <c r="E2600" s="6" t="s">
        <v>7884</v>
      </c>
      <c r="F2600" s="10" t="s">
        <v>44</v>
      </c>
      <c r="G2600" s="6" t="s">
        <v>7885</v>
      </c>
      <c r="H2600" s="8">
        <v>46394</v>
      </c>
      <c r="I2600" s="8">
        <v>44713</v>
      </c>
      <c r="L2600" s="95" t="s">
        <v>359</v>
      </c>
      <c r="R2600" s="97" t="str">
        <f t="shared" si="94"/>
        <v/>
      </c>
      <c r="S2600" s="75" t="str">
        <f t="shared" si="95"/>
        <v/>
      </c>
      <c r="W2600" s="6" t="s">
        <v>33</v>
      </c>
      <c r="X2600" s="7">
        <v>49069</v>
      </c>
    </row>
    <row r="2601" spans="1:24" x14ac:dyDescent="0.25">
      <c r="A2601" s="6" t="s">
        <v>37</v>
      </c>
      <c r="B2601" s="94" t="s">
        <v>1196</v>
      </c>
      <c r="C2601" s="6" t="s">
        <v>7886</v>
      </c>
      <c r="D2601" s="140">
        <v>11174492</v>
      </c>
      <c r="E2601" s="6" t="s">
        <v>5580</v>
      </c>
      <c r="F2601" s="10" t="s">
        <v>44</v>
      </c>
      <c r="G2601" s="6" t="s">
        <v>7887</v>
      </c>
      <c r="H2601" s="8">
        <v>47248</v>
      </c>
      <c r="I2601" s="8">
        <v>44713</v>
      </c>
      <c r="J2601" s="8">
        <v>44783</v>
      </c>
      <c r="L2601" s="95" t="s">
        <v>31</v>
      </c>
      <c r="M2601" s="8">
        <v>44788</v>
      </c>
      <c r="N2601" s="8">
        <v>45106</v>
      </c>
      <c r="O2601" s="8">
        <v>45097</v>
      </c>
      <c r="P2601" s="6" t="s">
        <v>35</v>
      </c>
      <c r="Q2601" s="96">
        <v>5475</v>
      </c>
      <c r="R2601" s="97">
        <f t="shared" si="94"/>
        <v>15</v>
      </c>
      <c r="S2601" s="75">
        <f t="shared" si="95"/>
        <v>123885</v>
      </c>
      <c r="U2601" s="8">
        <v>45107</v>
      </c>
      <c r="V2601" s="6" t="s">
        <v>36</v>
      </c>
      <c r="W2601" s="6" t="s">
        <v>84</v>
      </c>
      <c r="X2601" s="7">
        <v>45994</v>
      </c>
    </row>
    <row r="2602" spans="1:24" ht="30" x14ac:dyDescent="0.25">
      <c r="A2602" s="6" t="s">
        <v>25</v>
      </c>
      <c r="B2602" s="94" t="s">
        <v>7888</v>
      </c>
      <c r="C2602" s="6" t="s">
        <v>7889</v>
      </c>
      <c r="D2602" s="140">
        <v>11136789</v>
      </c>
      <c r="E2602" s="6" t="s">
        <v>3319</v>
      </c>
      <c r="F2602" s="10" t="s">
        <v>57</v>
      </c>
      <c r="G2602" s="6" t="s">
        <v>7890</v>
      </c>
      <c r="H2602" s="8">
        <v>46368</v>
      </c>
      <c r="I2602" s="8">
        <v>44713</v>
      </c>
      <c r="J2602" s="8">
        <v>44805</v>
      </c>
      <c r="L2602" s="95" t="s">
        <v>31</v>
      </c>
      <c r="M2602" s="8">
        <v>44811</v>
      </c>
      <c r="N2602" s="8">
        <v>44859</v>
      </c>
      <c r="O2602" s="8">
        <v>44839</v>
      </c>
      <c r="P2602" s="6" t="s">
        <v>90</v>
      </c>
      <c r="Q2602" s="96">
        <v>5475</v>
      </c>
      <c r="R2602" s="97">
        <f t="shared" si="94"/>
        <v>15</v>
      </c>
      <c r="S2602" s="75">
        <f t="shared" si="95"/>
        <v>123885</v>
      </c>
      <c r="U2602" s="8">
        <v>44873</v>
      </c>
      <c r="V2602" s="6" t="s">
        <v>581</v>
      </c>
      <c r="W2602" s="6" t="s">
        <v>84</v>
      </c>
      <c r="X2602" s="7">
        <v>45991</v>
      </c>
    </row>
    <row r="2603" spans="1:24" x14ac:dyDescent="0.25">
      <c r="A2603" s="6" t="s">
        <v>37</v>
      </c>
      <c r="B2603" s="94" t="s">
        <v>7891</v>
      </c>
      <c r="C2603" s="6" t="s">
        <v>7892</v>
      </c>
      <c r="D2603" s="140">
        <v>11929661</v>
      </c>
      <c r="E2603" s="6" t="s">
        <v>7893</v>
      </c>
      <c r="F2603" s="10" t="s">
        <v>1352</v>
      </c>
      <c r="G2603" s="6" t="s">
        <v>7894</v>
      </c>
      <c r="H2603" s="8">
        <v>66501</v>
      </c>
      <c r="I2603" s="8">
        <v>44713</v>
      </c>
      <c r="J2603" s="8">
        <v>44783</v>
      </c>
      <c r="L2603" s="95" t="s">
        <v>31</v>
      </c>
      <c r="M2603" s="8">
        <v>44788</v>
      </c>
      <c r="R2603" s="97" t="str">
        <f t="shared" si="94"/>
        <v/>
      </c>
      <c r="S2603" s="75" t="str">
        <f t="shared" si="95"/>
        <v/>
      </c>
      <c r="W2603" s="6" t="s">
        <v>84</v>
      </c>
      <c r="X2603" s="7">
        <v>46320</v>
      </c>
    </row>
    <row r="2604" spans="1:24" x14ac:dyDescent="0.25">
      <c r="A2604" s="6" t="s">
        <v>25</v>
      </c>
      <c r="B2604" s="94" t="s">
        <v>7895</v>
      </c>
      <c r="C2604" s="6" t="s">
        <v>7896</v>
      </c>
      <c r="D2604" s="140">
        <v>11455366</v>
      </c>
      <c r="E2604" s="6" t="s">
        <v>4366</v>
      </c>
      <c r="F2604" s="10" t="s">
        <v>121</v>
      </c>
      <c r="G2604" s="6" t="s">
        <v>7897</v>
      </c>
      <c r="H2604" s="8">
        <v>46597</v>
      </c>
      <c r="I2604" s="8">
        <v>44713</v>
      </c>
      <c r="L2604" s="95" t="s">
        <v>359</v>
      </c>
      <c r="R2604" s="97" t="str">
        <f t="shared" si="94"/>
        <v/>
      </c>
      <c r="S2604" s="75" t="str">
        <f t="shared" si="95"/>
        <v/>
      </c>
      <c r="W2604" s="6" t="s">
        <v>84</v>
      </c>
      <c r="X2604" s="7">
        <v>45913</v>
      </c>
    </row>
    <row r="2605" spans="1:24" x14ac:dyDescent="0.25">
      <c r="A2605" s="6" t="s">
        <v>25</v>
      </c>
      <c r="B2605" s="94" t="s">
        <v>7898</v>
      </c>
      <c r="C2605" s="6" t="s">
        <v>7899</v>
      </c>
      <c r="D2605" s="140">
        <v>11186408</v>
      </c>
      <c r="E2605" s="6" t="s">
        <v>2314</v>
      </c>
      <c r="F2605" s="10" t="s">
        <v>44</v>
      </c>
      <c r="G2605" s="6" t="s">
        <v>7900</v>
      </c>
      <c r="H2605" s="8">
        <v>48491</v>
      </c>
      <c r="I2605" s="8">
        <v>44713</v>
      </c>
      <c r="J2605" s="8">
        <v>44774</v>
      </c>
      <c r="K2605" s="95">
        <v>44775</v>
      </c>
      <c r="L2605" s="95" t="s">
        <v>31</v>
      </c>
      <c r="M2605" s="8">
        <v>44788</v>
      </c>
      <c r="N2605" s="8">
        <v>44818</v>
      </c>
      <c r="O2605" s="8">
        <v>44817</v>
      </c>
      <c r="P2605" s="6" t="s">
        <v>90</v>
      </c>
      <c r="Q2605" s="96">
        <v>7884</v>
      </c>
      <c r="R2605" s="97">
        <f t="shared" si="94"/>
        <v>21.6</v>
      </c>
      <c r="S2605" s="75">
        <f t="shared" si="95"/>
        <v>178394.4</v>
      </c>
      <c r="U2605" s="8">
        <v>44974</v>
      </c>
      <c r="V2605" s="6" t="s">
        <v>36</v>
      </c>
      <c r="W2605" s="6" t="s">
        <v>84</v>
      </c>
      <c r="X2605" s="7">
        <v>46786</v>
      </c>
    </row>
    <row r="2606" spans="1:24" x14ac:dyDescent="0.25">
      <c r="A2606" s="6" t="s">
        <v>25</v>
      </c>
      <c r="B2606" s="94" t="s">
        <v>1668</v>
      </c>
      <c r="C2606" s="6" t="s">
        <v>7901</v>
      </c>
      <c r="D2606" s="140">
        <v>11788400</v>
      </c>
      <c r="E2606" s="6" t="s">
        <v>5048</v>
      </c>
      <c r="F2606" s="10" t="s">
        <v>44</v>
      </c>
      <c r="G2606" s="6" t="s">
        <v>7902</v>
      </c>
      <c r="H2606" s="8">
        <v>48661</v>
      </c>
      <c r="I2606" s="8">
        <v>44713</v>
      </c>
      <c r="J2606" s="8">
        <v>44788</v>
      </c>
      <c r="K2606" s="95">
        <v>44788</v>
      </c>
      <c r="L2606" s="95" t="s">
        <v>31</v>
      </c>
      <c r="M2606" s="8">
        <v>44795</v>
      </c>
      <c r="N2606" s="8">
        <v>45203</v>
      </c>
      <c r="O2606" s="8">
        <v>45202</v>
      </c>
      <c r="P2606" s="6" t="s">
        <v>90</v>
      </c>
      <c r="Q2606" s="96">
        <v>6935</v>
      </c>
      <c r="R2606" s="97">
        <f t="shared" si="94"/>
        <v>19</v>
      </c>
      <c r="S2606" s="75">
        <f t="shared" si="95"/>
        <v>156921</v>
      </c>
      <c r="T2606" s="124" t="s">
        <v>7903</v>
      </c>
      <c r="U2606" s="8">
        <v>45205</v>
      </c>
      <c r="V2606" s="6" t="s">
        <v>36</v>
      </c>
      <c r="W2606" s="6" t="s">
        <v>84</v>
      </c>
      <c r="X2606" s="7">
        <v>49798</v>
      </c>
    </row>
    <row r="2607" spans="1:24" x14ac:dyDescent="0.25">
      <c r="A2607" s="6" t="s">
        <v>25</v>
      </c>
      <c r="B2607" s="94" t="s">
        <v>291</v>
      </c>
      <c r="C2607" s="6" t="s">
        <v>7904</v>
      </c>
      <c r="D2607" s="140">
        <v>11126508</v>
      </c>
      <c r="E2607" s="6" t="s">
        <v>3201</v>
      </c>
      <c r="F2607" s="10" t="s">
        <v>57</v>
      </c>
      <c r="G2607" s="6" t="s">
        <v>7905</v>
      </c>
      <c r="H2607" s="8">
        <v>51310</v>
      </c>
      <c r="I2607" s="8">
        <v>44728</v>
      </c>
      <c r="J2607" s="8">
        <v>44767</v>
      </c>
      <c r="K2607" s="95">
        <v>44768</v>
      </c>
      <c r="L2607" s="95" t="s">
        <v>31</v>
      </c>
      <c r="M2607" s="8">
        <v>44788</v>
      </c>
      <c r="R2607" s="97" t="str">
        <f t="shared" si="94"/>
        <v/>
      </c>
      <c r="S2607" s="75" t="str">
        <f t="shared" si="95"/>
        <v/>
      </c>
      <c r="W2607" s="6" t="s">
        <v>33</v>
      </c>
      <c r="X2607" s="7">
        <v>48378</v>
      </c>
    </row>
    <row r="2608" spans="1:24" x14ac:dyDescent="0.25">
      <c r="A2608" s="6" t="s">
        <v>25</v>
      </c>
      <c r="B2608" s="94" t="s">
        <v>102</v>
      </c>
      <c r="C2608" s="6" t="s">
        <v>7906</v>
      </c>
      <c r="D2608" s="140">
        <v>11067495</v>
      </c>
      <c r="E2608" s="6" t="s">
        <v>3290</v>
      </c>
      <c r="F2608" s="10" t="s">
        <v>44</v>
      </c>
      <c r="G2608" s="6" t="s">
        <v>7907</v>
      </c>
      <c r="H2608" s="8">
        <v>49317</v>
      </c>
      <c r="I2608" s="8">
        <v>44728</v>
      </c>
      <c r="J2608" s="8">
        <v>44774</v>
      </c>
      <c r="L2608" s="95" t="s">
        <v>31</v>
      </c>
      <c r="M2608" s="8">
        <v>44788</v>
      </c>
      <c r="P2608" s="6" t="s">
        <v>628</v>
      </c>
      <c r="R2608" s="97" t="str">
        <f t="shared" si="94"/>
        <v/>
      </c>
      <c r="S2608" s="75" t="str">
        <f t="shared" si="95"/>
        <v/>
      </c>
      <c r="T2608" s="124" t="s">
        <v>7908</v>
      </c>
      <c r="W2608" s="6" t="s">
        <v>84</v>
      </c>
      <c r="X2608" s="7">
        <v>49490</v>
      </c>
    </row>
    <row r="2609" spans="1:24" ht="30" x14ac:dyDescent="0.25">
      <c r="A2609" s="6" t="s">
        <v>25</v>
      </c>
      <c r="B2609" s="94" t="s">
        <v>178</v>
      </c>
      <c r="C2609" s="6" t="s">
        <v>7577</v>
      </c>
      <c r="D2609" s="140">
        <v>11162688</v>
      </c>
      <c r="E2609" s="6" t="s">
        <v>3290</v>
      </c>
      <c r="F2609" s="10" t="s">
        <v>44</v>
      </c>
      <c r="G2609" s="6" t="s">
        <v>7578</v>
      </c>
      <c r="H2609" s="8">
        <v>81193</v>
      </c>
      <c r="I2609" s="8">
        <v>44608</v>
      </c>
      <c r="J2609" s="8">
        <v>44775</v>
      </c>
      <c r="L2609" s="95" t="s">
        <v>31</v>
      </c>
      <c r="M2609" s="8">
        <v>44788</v>
      </c>
      <c r="P2609" s="6" t="s">
        <v>628</v>
      </c>
      <c r="R2609" s="97" t="str">
        <f t="shared" si="94"/>
        <v/>
      </c>
      <c r="S2609" s="75" t="str">
        <f t="shared" si="95"/>
        <v/>
      </c>
      <c r="T2609" s="124" t="s">
        <v>7909</v>
      </c>
      <c r="W2609" s="6" t="s">
        <v>84</v>
      </c>
      <c r="X2609" s="7">
        <v>46362</v>
      </c>
    </row>
    <row r="2610" spans="1:24" ht="60" x14ac:dyDescent="0.25">
      <c r="A2610" s="6" t="s">
        <v>25</v>
      </c>
      <c r="B2610" s="94" t="s">
        <v>97</v>
      </c>
      <c r="C2610" s="6" t="s">
        <v>7910</v>
      </c>
      <c r="D2610" s="140">
        <v>11231254</v>
      </c>
      <c r="E2610" s="6" t="s">
        <v>7911</v>
      </c>
      <c r="F2610" s="10" t="s">
        <v>44</v>
      </c>
      <c r="G2610" s="6" t="s">
        <v>7912</v>
      </c>
      <c r="H2610" s="8">
        <v>46821</v>
      </c>
      <c r="I2610" s="8">
        <v>44771</v>
      </c>
      <c r="J2610" s="8">
        <v>44774</v>
      </c>
      <c r="K2610" s="95">
        <v>44775</v>
      </c>
      <c r="L2610" s="95" t="s">
        <v>31</v>
      </c>
      <c r="M2610" s="8">
        <v>44788</v>
      </c>
      <c r="N2610" s="8">
        <v>44797</v>
      </c>
      <c r="O2610" s="8">
        <v>44789</v>
      </c>
      <c r="P2610" s="6" t="s">
        <v>628</v>
      </c>
      <c r="R2610" s="97" t="str">
        <f t="shared" si="94"/>
        <v/>
      </c>
      <c r="S2610" s="75" t="str">
        <f t="shared" si="95"/>
        <v/>
      </c>
      <c r="T2610" s="157" t="s">
        <v>7913</v>
      </c>
      <c r="W2610" s="6" t="s">
        <v>84</v>
      </c>
      <c r="X2610" s="7">
        <v>48465</v>
      </c>
    </row>
    <row r="2611" spans="1:24" x14ac:dyDescent="0.25">
      <c r="A2611" s="6" t="s">
        <v>25</v>
      </c>
      <c r="B2611" s="94" t="s">
        <v>7914</v>
      </c>
      <c r="C2611" s="6" t="s">
        <v>7915</v>
      </c>
      <c r="D2611" s="140">
        <v>11220260</v>
      </c>
      <c r="E2611" s="6" t="s">
        <v>7025</v>
      </c>
      <c r="F2611" s="10" t="s">
        <v>44</v>
      </c>
      <c r="G2611" s="6" t="s">
        <v>7916</v>
      </c>
      <c r="H2611" s="8">
        <v>63708</v>
      </c>
      <c r="I2611" s="8">
        <v>44771</v>
      </c>
      <c r="J2611" s="8">
        <v>44774</v>
      </c>
      <c r="K2611" s="95">
        <v>44775</v>
      </c>
      <c r="L2611" s="95" t="s">
        <v>31</v>
      </c>
      <c r="N2611" s="8">
        <v>45037</v>
      </c>
      <c r="O2611" s="8">
        <v>45034</v>
      </c>
      <c r="P2611" s="6" t="s">
        <v>35</v>
      </c>
      <c r="Q2611" s="96">
        <v>25404</v>
      </c>
      <c r="R2611" s="97">
        <f t="shared" si="94"/>
        <v>69.599999999999994</v>
      </c>
      <c r="S2611" s="75">
        <f t="shared" si="95"/>
        <v>574826.4</v>
      </c>
      <c r="T2611" s="124" t="s">
        <v>7917</v>
      </c>
      <c r="U2611" s="8">
        <v>45047</v>
      </c>
      <c r="V2611" s="6" t="s">
        <v>36</v>
      </c>
      <c r="W2611" s="6" t="s">
        <v>33</v>
      </c>
      <c r="X2611" s="7">
        <v>48416</v>
      </c>
    </row>
    <row r="2612" spans="1:24" x14ac:dyDescent="0.25">
      <c r="A2612" s="6" t="s">
        <v>25</v>
      </c>
      <c r="B2612" s="94" t="s">
        <v>884</v>
      </c>
      <c r="C2612" s="6" t="s">
        <v>7918</v>
      </c>
      <c r="D2612" s="140">
        <v>11064243</v>
      </c>
      <c r="E2612" s="6" t="s">
        <v>3276</v>
      </c>
      <c r="F2612" s="10" t="s">
        <v>44</v>
      </c>
      <c r="G2612" s="6" t="s">
        <v>7919</v>
      </c>
      <c r="H2612" s="8">
        <v>52100</v>
      </c>
      <c r="I2612" s="8">
        <v>44771</v>
      </c>
      <c r="J2612" s="8">
        <v>44774</v>
      </c>
      <c r="K2612" s="95">
        <v>44775</v>
      </c>
      <c r="R2612" s="97" t="str">
        <f t="shared" ref="R2612:R2675" si="96">IF(Q2612&gt;0, Q2612/365, "")</f>
        <v/>
      </c>
      <c r="S2612" s="75" t="str">
        <f t="shared" ref="S2612:S2675" si="97">IF(Q2612&gt;0, SUM(Q2612)*(8259/365), "")</f>
        <v/>
      </c>
      <c r="W2612" s="6" t="s">
        <v>84</v>
      </c>
      <c r="X2612" s="7">
        <v>49285</v>
      </c>
    </row>
    <row r="2613" spans="1:24" x14ac:dyDescent="0.25">
      <c r="A2613" s="6" t="s">
        <v>25</v>
      </c>
      <c r="B2613" s="94" t="s">
        <v>2245</v>
      </c>
      <c r="C2613" s="6" t="s">
        <v>7920</v>
      </c>
      <c r="D2613" s="140">
        <v>11052607</v>
      </c>
      <c r="E2613" s="6" t="s">
        <v>4411</v>
      </c>
      <c r="F2613" s="10" t="s">
        <v>44</v>
      </c>
      <c r="G2613" s="6" t="s">
        <v>7921</v>
      </c>
      <c r="H2613" s="8">
        <v>46148</v>
      </c>
      <c r="I2613" s="8">
        <v>44771</v>
      </c>
      <c r="J2613" s="8">
        <v>44783</v>
      </c>
      <c r="L2613" s="95" t="s">
        <v>31</v>
      </c>
      <c r="M2613" s="8">
        <v>44788</v>
      </c>
      <c r="N2613" s="8">
        <v>45002</v>
      </c>
      <c r="O2613" s="8">
        <v>44998</v>
      </c>
      <c r="P2613" s="6" t="s">
        <v>90</v>
      </c>
      <c r="Q2613" s="96">
        <v>2190</v>
      </c>
      <c r="R2613" s="97">
        <f t="shared" si="96"/>
        <v>6</v>
      </c>
      <c r="S2613" s="75">
        <f t="shared" si="97"/>
        <v>49554</v>
      </c>
      <c r="U2613" s="8">
        <v>45015</v>
      </c>
      <c r="V2613" s="6" t="s">
        <v>36</v>
      </c>
      <c r="W2613" s="6" t="s">
        <v>33</v>
      </c>
      <c r="X2613" s="7">
        <v>45009</v>
      </c>
    </row>
    <row r="2614" spans="1:24" x14ac:dyDescent="0.25">
      <c r="A2614" s="6" t="s">
        <v>25</v>
      </c>
      <c r="B2614" s="94" t="s">
        <v>145</v>
      </c>
      <c r="C2614" s="6" t="s">
        <v>6069</v>
      </c>
      <c r="D2614" s="140">
        <v>11077330</v>
      </c>
      <c r="E2614" s="6" t="s">
        <v>318</v>
      </c>
      <c r="F2614" s="10" t="s">
        <v>6070</v>
      </c>
      <c r="G2614" s="6" t="s">
        <v>6071</v>
      </c>
      <c r="H2614" s="8">
        <v>52619</v>
      </c>
      <c r="I2614" s="8">
        <v>44764</v>
      </c>
      <c r="J2614" s="8">
        <v>44783</v>
      </c>
      <c r="L2614" s="95" t="s">
        <v>31</v>
      </c>
      <c r="M2614" s="8">
        <v>44788</v>
      </c>
      <c r="R2614" s="97" t="str">
        <f t="shared" si="96"/>
        <v/>
      </c>
      <c r="S2614" s="75" t="str">
        <f t="shared" si="97"/>
        <v/>
      </c>
      <c r="W2614" s="6" t="s">
        <v>33</v>
      </c>
      <c r="X2614" s="7">
        <v>47462</v>
      </c>
    </row>
    <row r="2615" spans="1:24" x14ac:dyDescent="0.25">
      <c r="A2615" s="6" t="s">
        <v>25</v>
      </c>
      <c r="B2615" s="94" t="s">
        <v>7922</v>
      </c>
      <c r="C2615" s="6" t="s">
        <v>7923</v>
      </c>
      <c r="D2615" s="140">
        <v>11047992</v>
      </c>
      <c r="E2615" s="6" t="s">
        <v>1960</v>
      </c>
      <c r="F2615" s="10" t="s">
        <v>143</v>
      </c>
      <c r="G2615" s="6" t="s">
        <v>7924</v>
      </c>
      <c r="H2615" s="8">
        <v>49957</v>
      </c>
      <c r="I2615" s="8">
        <v>44764</v>
      </c>
      <c r="J2615" s="8">
        <v>44783</v>
      </c>
      <c r="L2615" s="95" t="s">
        <v>31</v>
      </c>
      <c r="M2615" s="8">
        <v>44788</v>
      </c>
      <c r="R2615" s="97" t="str">
        <f t="shared" si="96"/>
        <v/>
      </c>
      <c r="S2615" s="75" t="str">
        <f t="shared" si="97"/>
        <v/>
      </c>
      <c r="W2615" s="6" t="s">
        <v>84</v>
      </c>
      <c r="X2615" s="7">
        <v>48529</v>
      </c>
    </row>
    <row r="2616" spans="1:24" x14ac:dyDescent="0.25">
      <c r="A2616" s="6" t="s">
        <v>25</v>
      </c>
      <c r="B2616" s="94" t="s">
        <v>449</v>
      </c>
      <c r="C2616" s="6" t="s">
        <v>7925</v>
      </c>
      <c r="D2616" s="140">
        <v>11055479</v>
      </c>
      <c r="E2616" s="6" t="s">
        <v>382</v>
      </c>
      <c r="F2616" s="10" t="s">
        <v>293</v>
      </c>
      <c r="G2616" s="6" t="s">
        <v>7926</v>
      </c>
      <c r="H2616" s="8">
        <v>49791</v>
      </c>
      <c r="I2616" s="8">
        <v>44764</v>
      </c>
      <c r="J2616" s="8">
        <v>44788</v>
      </c>
      <c r="K2616" s="95">
        <v>44788</v>
      </c>
      <c r="L2616" s="95" t="s">
        <v>31</v>
      </c>
      <c r="M2616" s="8">
        <v>44795</v>
      </c>
      <c r="N2616" s="8">
        <v>45125</v>
      </c>
      <c r="O2616" s="8">
        <v>45121</v>
      </c>
      <c r="P2616" s="6" t="s">
        <v>35</v>
      </c>
      <c r="Q2616" s="96">
        <v>8614</v>
      </c>
      <c r="R2616" s="97">
        <f t="shared" si="96"/>
        <v>23.6</v>
      </c>
      <c r="S2616" s="75">
        <f t="shared" si="97"/>
        <v>194912.4</v>
      </c>
      <c r="U2616" s="8">
        <v>45127</v>
      </c>
      <c r="W2616" s="6" t="s">
        <v>84</v>
      </c>
      <c r="X2616" s="7">
        <v>48279</v>
      </c>
    </row>
    <row r="2617" spans="1:24" ht="30" x14ac:dyDescent="0.25">
      <c r="A2617" s="6" t="s">
        <v>25</v>
      </c>
      <c r="B2617" s="94" t="s">
        <v>7927</v>
      </c>
      <c r="C2617" s="6" t="s">
        <v>7928</v>
      </c>
      <c r="D2617" s="140">
        <v>11091566</v>
      </c>
      <c r="E2617" s="6" t="s">
        <v>43</v>
      </c>
      <c r="F2617" s="10" t="s">
        <v>44</v>
      </c>
      <c r="G2617" s="6" t="s">
        <v>7929</v>
      </c>
      <c r="H2617" s="8">
        <v>52183</v>
      </c>
      <c r="I2617" s="8">
        <v>44764</v>
      </c>
      <c r="J2617" s="8">
        <v>44783</v>
      </c>
      <c r="L2617" s="95" t="s">
        <v>31</v>
      </c>
      <c r="M2617" s="8">
        <v>44788</v>
      </c>
      <c r="R2617" s="97" t="str">
        <f t="shared" si="96"/>
        <v/>
      </c>
      <c r="S2617" s="75" t="str">
        <f t="shared" si="97"/>
        <v/>
      </c>
      <c r="W2617" s="6" t="s">
        <v>84</v>
      </c>
      <c r="X2617" s="7">
        <v>49615</v>
      </c>
    </row>
    <row r="2618" spans="1:24" ht="30" x14ac:dyDescent="0.25">
      <c r="A2618" s="6" t="s">
        <v>37</v>
      </c>
      <c r="B2618" s="94" t="s">
        <v>6489</v>
      </c>
      <c r="C2618" s="6" t="s">
        <v>7930</v>
      </c>
      <c r="D2618" s="140">
        <v>11572735</v>
      </c>
      <c r="E2618" s="6" t="s">
        <v>199</v>
      </c>
      <c r="F2618" s="10" t="s">
        <v>134</v>
      </c>
      <c r="G2618" s="6" t="s">
        <v>7931</v>
      </c>
      <c r="H2618" s="8">
        <v>51967</v>
      </c>
      <c r="I2618" s="8">
        <v>44750</v>
      </c>
      <c r="J2618" s="8">
        <v>44783</v>
      </c>
      <c r="L2618" s="95" t="s">
        <v>31</v>
      </c>
      <c r="M2618" s="8">
        <v>44788</v>
      </c>
      <c r="N2618" s="8">
        <v>44981</v>
      </c>
      <c r="O2618" s="8">
        <v>44974</v>
      </c>
      <c r="P2618" s="6" t="s">
        <v>35</v>
      </c>
      <c r="R2618" s="97" t="str">
        <f t="shared" si="96"/>
        <v/>
      </c>
      <c r="S2618" s="75" t="str">
        <f t="shared" si="97"/>
        <v/>
      </c>
      <c r="U2618" s="8">
        <v>44993</v>
      </c>
      <c r="W2618" s="6" t="s">
        <v>33</v>
      </c>
      <c r="X2618" s="7">
        <v>51925</v>
      </c>
    </row>
    <row r="2619" spans="1:24" x14ac:dyDescent="0.25">
      <c r="A2619" s="6" t="s">
        <v>25</v>
      </c>
      <c r="B2619" s="94" t="s">
        <v>5906</v>
      </c>
      <c r="C2619" s="6" t="s">
        <v>7932</v>
      </c>
      <c r="D2619" s="140">
        <v>11108922</v>
      </c>
      <c r="E2619" s="6" t="s">
        <v>409</v>
      </c>
      <c r="F2619" s="10" t="s">
        <v>44</v>
      </c>
      <c r="G2619" s="6" t="s">
        <v>7933</v>
      </c>
      <c r="H2619" s="8">
        <v>47433</v>
      </c>
      <c r="I2619" s="8">
        <v>44764</v>
      </c>
      <c r="J2619" s="8">
        <v>44783</v>
      </c>
      <c r="L2619" s="95" t="s">
        <v>31</v>
      </c>
      <c r="M2619" s="8">
        <v>44788</v>
      </c>
      <c r="N2619" s="8">
        <v>45187</v>
      </c>
      <c r="O2619" s="8">
        <v>45176</v>
      </c>
      <c r="P2619" s="6" t="s">
        <v>90</v>
      </c>
      <c r="Q2619" s="96">
        <v>6935</v>
      </c>
      <c r="R2619" s="97">
        <f t="shared" si="96"/>
        <v>19</v>
      </c>
      <c r="S2619" s="75">
        <f t="shared" si="97"/>
        <v>156921</v>
      </c>
      <c r="T2619" s="124" t="s">
        <v>7934</v>
      </c>
      <c r="U2619" s="8">
        <v>45208</v>
      </c>
      <c r="V2619" s="6" t="s">
        <v>36</v>
      </c>
      <c r="W2619" s="6" t="s">
        <v>33</v>
      </c>
      <c r="X2619" s="7">
        <v>46456</v>
      </c>
    </row>
    <row r="2620" spans="1:24" ht="30" x14ac:dyDescent="0.25">
      <c r="A2620" s="6" t="s">
        <v>25</v>
      </c>
      <c r="B2620" s="94" t="s">
        <v>291</v>
      </c>
      <c r="C2620" s="6" t="s">
        <v>7935</v>
      </c>
      <c r="D2620" s="140">
        <v>11186198</v>
      </c>
      <c r="E2620" s="6" t="s">
        <v>1927</v>
      </c>
      <c r="F2620" s="10" t="s">
        <v>205</v>
      </c>
      <c r="G2620" s="6" t="s">
        <v>7936</v>
      </c>
      <c r="H2620" s="8">
        <v>45425</v>
      </c>
      <c r="I2620" s="8">
        <v>44771</v>
      </c>
      <c r="J2620" s="8">
        <v>44791</v>
      </c>
      <c r="K2620" s="95">
        <v>44791</v>
      </c>
      <c r="L2620" s="95" t="s">
        <v>31</v>
      </c>
      <c r="M2620" s="8">
        <v>44795</v>
      </c>
      <c r="N2620" s="8">
        <v>44939</v>
      </c>
      <c r="O2620" s="8">
        <v>44936</v>
      </c>
      <c r="P2620" s="6" t="s">
        <v>35</v>
      </c>
      <c r="Q2620" s="96">
        <v>3650</v>
      </c>
      <c r="R2620" s="97">
        <f t="shared" si="96"/>
        <v>10</v>
      </c>
      <c r="S2620" s="75">
        <f t="shared" si="97"/>
        <v>82590</v>
      </c>
      <c r="U2620" s="8">
        <v>44951</v>
      </c>
      <c r="V2620" s="6" t="s">
        <v>581</v>
      </c>
      <c r="W2620" s="6" t="s">
        <v>33</v>
      </c>
      <c r="X2620" s="7">
        <v>45425</v>
      </c>
    </row>
    <row r="2621" spans="1:24" x14ac:dyDescent="0.25">
      <c r="A2621" s="6" t="s">
        <v>25</v>
      </c>
      <c r="B2621" s="94" t="s">
        <v>5345</v>
      </c>
      <c r="C2621" s="6" t="s">
        <v>7937</v>
      </c>
      <c r="D2621" s="140">
        <v>11253484</v>
      </c>
      <c r="E2621" s="6" t="s">
        <v>261</v>
      </c>
      <c r="F2621" s="10" t="s">
        <v>44</v>
      </c>
      <c r="G2621" s="6" t="s">
        <v>7938</v>
      </c>
      <c r="H2621" s="8">
        <v>47833</v>
      </c>
      <c r="I2621" s="8">
        <v>44771</v>
      </c>
      <c r="J2621" s="8">
        <v>44788</v>
      </c>
      <c r="K2621" s="95">
        <v>44788</v>
      </c>
      <c r="L2621" s="95" t="s">
        <v>31</v>
      </c>
      <c r="M2621" s="8">
        <v>44795</v>
      </c>
      <c r="N2621" s="8">
        <v>45335</v>
      </c>
      <c r="O2621" s="8">
        <v>45302</v>
      </c>
      <c r="P2621" s="6" t="s">
        <v>35</v>
      </c>
      <c r="Q2621" s="96">
        <v>1460</v>
      </c>
      <c r="R2621" s="97">
        <f t="shared" si="96"/>
        <v>4</v>
      </c>
      <c r="S2621" s="75">
        <f t="shared" si="97"/>
        <v>33036</v>
      </c>
      <c r="U2621" s="8">
        <v>45344</v>
      </c>
      <c r="W2621" s="6" t="s">
        <v>33</v>
      </c>
      <c r="X2621" s="7">
        <v>47813</v>
      </c>
    </row>
    <row r="2622" spans="1:24" x14ac:dyDescent="0.25">
      <c r="A2622" s="6" t="s">
        <v>25</v>
      </c>
      <c r="B2622" s="94" t="s">
        <v>7939</v>
      </c>
      <c r="C2622" s="6" t="s">
        <v>7940</v>
      </c>
      <c r="D2622" s="140">
        <v>11071488</v>
      </c>
      <c r="E2622" s="6" t="s">
        <v>714</v>
      </c>
      <c r="F2622" s="10" t="s">
        <v>44</v>
      </c>
      <c r="G2622" s="6" t="s">
        <v>7941</v>
      </c>
      <c r="H2622" s="8">
        <v>64861</v>
      </c>
      <c r="I2622" s="8">
        <v>44764</v>
      </c>
      <c r="J2622" s="8">
        <v>44788</v>
      </c>
      <c r="K2622" s="95">
        <v>44788</v>
      </c>
      <c r="L2622" s="95" t="s">
        <v>31</v>
      </c>
      <c r="M2622" s="8">
        <v>44795</v>
      </c>
      <c r="N2622" s="8">
        <v>45001</v>
      </c>
      <c r="O2622" s="8">
        <v>44993</v>
      </c>
      <c r="P2622" s="6" t="s">
        <v>35</v>
      </c>
      <c r="Q2622" s="96">
        <v>8395</v>
      </c>
      <c r="R2622" s="97">
        <f t="shared" si="96"/>
        <v>23</v>
      </c>
      <c r="S2622" s="75">
        <f t="shared" si="97"/>
        <v>189957</v>
      </c>
      <c r="U2622" s="8">
        <v>45344</v>
      </c>
      <c r="W2622" s="6" t="s">
        <v>84</v>
      </c>
      <c r="X2622" s="7">
        <v>51092</v>
      </c>
    </row>
    <row r="2623" spans="1:24" x14ac:dyDescent="0.25">
      <c r="A2623" s="6" t="s">
        <v>25</v>
      </c>
      <c r="B2623" s="94" t="s">
        <v>7942</v>
      </c>
      <c r="C2623" s="6" t="s">
        <v>7943</v>
      </c>
      <c r="D2623" s="140">
        <v>11048591</v>
      </c>
      <c r="E2623" s="6" t="s">
        <v>175</v>
      </c>
      <c r="F2623" s="10" t="s">
        <v>44</v>
      </c>
      <c r="G2623" s="6" t="s">
        <v>7944</v>
      </c>
      <c r="H2623" s="8">
        <v>57539</v>
      </c>
      <c r="I2623" s="8">
        <v>44764</v>
      </c>
      <c r="J2623" s="8">
        <v>44788</v>
      </c>
      <c r="K2623" s="95">
        <v>44788</v>
      </c>
      <c r="L2623" s="95" t="s">
        <v>31</v>
      </c>
      <c r="M2623" s="8">
        <v>44795</v>
      </c>
      <c r="N2623" s="8">
        <v>45156</v>
      </c>
      <c r="O2623" s="8">
        <v>45133</v>
      </c>
      <c r="P2623" s="6" t="s">
        <v>35</v>
      </c>
      <c r="Q2623" s="96">
        <v>7300</v>
      </c>
      <c r="R2623" s="97">
        <f t="shared" si="96"/>
        <v>20</v>
      </c>
      <c r="S2623" s="75">
        <f t="shared" si="97"/>
        <v>165180</v>
      </c>
      <c r="U2623" s="8">
        <v>45344</v>
      </c>
      <c r="W2623" s="6" t="s">
        <v>84</v>
      </c>
      <c r="X2623" s="7">
        <v>48049</v>
      </c>
    </row>
    <row r="2624" spans="1:24" x14ac:dyDescent="0.25">
      <c r="A2624" s="6" t="s">
        <v>25</v>
      </c>
      <c r="B2624" s="94" t="s">
        <v>7945</v>
      </c>
      <c r="C2624" s="6" t="s">
        <v>7946</v>
      </c>
      <c r="D2624" s="140">
        <v>11911185</v>
      </c>
      <c r="E2624" s="6" t="s">
        <v>2708</v>
      </c>
      <c r="F2624" s="10" t="s">
        <v>29</v>
      </c>
      <c r="G2624" s="6" t="s">
        <v>7947</v>
      </c>
      <c r="H2624" s="8">
        <v>46006</v>
      </c>
      <c r="I2624" s="8">
        <v>44771</v>
      </c>
      <c r="J2624" s="8">
        <v>44788</v>
      </c>
      <c r="K2624" s="95">
        <v>44788</v>
      </c>
      <c r="L2624" s="95" t="s">
        <v>31</v>
      </c>
      <c r="M2624" s="8">
        <v>44795</v>
      </c>
      <c r="N2624" s="8">
        <v>45168</v>
      </c>
      <c r="O2624" s="8">
        <v>45159</v>
      </c>
      <c r="P2624" s="6" t="s">
        <v>35</v>
      </c>
      <c r="Q2624" s="96">
        <v>1971</v>
      </c>
      <c r="R2624" s="97">
        <f t="shared" si="96"/>
        <v>5.4</v>
      </c>
      <c r="S2624" s="75">
        <f t="shared" si="97"/>
        <v>44598.6</v>
      </c>
      <c r="T2624" s="124" t="s">
        <v>7948</v>
      </c>
      <c r="U2624" s="8">
        <v>45188</v>
      </c>
      <c r="V2624" s="6" t="s">
        <v>36</v>
      </c>
      <c r="W2624" s="6" t="s">
        <v>33</v>
      </c>
      <c r="X2624" s="7">
        <v>48681</v>
      </c>
    </row>
    <row r="2625" spans="1:24" x14ac:dyDescent="0.25">
      <c r="A2625" s="6" t="s">
        <v>25</v>
      </c>
      <c r="B2625" s="94" t="s">
        <v>7949</v>
      </c>
      <c r="C2625" s="6" t="s">
        <v>7950</v>
      </c>
      <c r="D2625" s="140">
        <v>11094208</v>
      </c>
      <c r="E2625" s="6" t="s">
        <v>2160</v>
      </c>
      <c r="F2625" s="10" t="s">
        <v>44</v>
      </c>
      <c r="G2625" s="6" t="s">
        <v>7951</v>
      </c>
      <c r="H2625" s="8">
        <v>52657</v>
      </c>
      <c r="I2625" s="8">
        <v>44774</v>
      </c>
      <c r="J2625" s="8">
        <v>44788</v>
      </c>
      <c r="K2625" s="95">
        <v>44788</v>
      </c>
      <c r="L2625" s="95" t="s">
        <v>31</v>
      </c>
      <c r="M2625" s="8">
        <v>44795</v>
      </c>
      <c r="R2625" s="97" t="str">
        <f t="shared" si="96"/>
        <v/>
      </c>
      <c r="S2625" s="75" t="str">
        <f t="shared" si="97"/>
        <v/>
      </c>
      <c r="W2625" s="6" t="s">
        <v>84</v>
      </c>
      <c r="X2625" s="7">
        <v>49487</v>
      </c>
    </row>
    <row r="2626" spans="1:24" x14ac:dyDescent="0.25">
      <c r="A2626" s="6" t="s">
        <v>25</v>
      </c>
      <c r="B2626" s="94" t="s">
        <v>7952</v>
      </c>
      <c r="C2626" s="6" t="s">
        <v>7953</v>
      </c>
      <c r="D2626" s="140">
        <v>11115786</v>
      </c>
      <c r="E2626" s="6" t="s">
        <v>783</v>
      </c>
      <c r="F2626" s="10" t="s">
        <v>44</v>
      </c>
      <c r="G2626" s="6" t="s">
        <v>7954</v>
      </c>
      <c r="H2626" s="8">
        <v>46360</v>
      </c>
      <c r="I2626" s="8">
        <v>44571</v>
      </c>
      <c r="J2626" s="8">
        <v>44593</v>
      </c>
      <c r="K2626" s="95">
        <v>44593</v>
      </c>
      <c r="L2626" s="95" t="s">
        <v>359</v>
      </c>
      <c r="R2626" s="97" t="str">
        <f t="shared" si="96"/>
        <v/>
      </c>
      <c r="S2626" s="75" t="str">
        <f t="shared" si="97"/>
        <v/>
      </c>
      <c r="W2626" s="6" t="s">
        <v>33</v>
      </c>
      <c r="X2626" s="7">
        <v>48679</v>
      </c>
    </row>
    <row r="2627" spans="1:24" x14ac:dyDescent="0.25">
      <c r="A2627" s="6" t="s">
        <v>168</v>
      </c>
      <c r="B2627" s="94" t="s">
        <v>7955</v>
      </c>
      <c r="C2627" s="6" t="s">
        <v>7956</v>
      </c>
      <c r="D2627" s="140">
        <v>11330225</v>
      </c>
      <c r="E2627" s="6" t="s">
        <v>714</v>
      </c>
      <c r="F2627" s="10" t="s">
        <v>293</v>
      </c>
      <c r="G2627" s="6" t="s">
        <v>7956</v>
      </c>
      <c r="H2627" s="8">
        <v>76309</v>
      </c>
      <c r="L2627" s="95" t="s">
        <v>359</v>
      </c>
      <c r="R2627" s="97" t="str">
        <f t="shared" si="96"/>
        <v/>
      </c>
      <c r="S2627" s="75" t="str">
        <f t="shared" si="97"/>
        <v/>
      </c>
    </row>
    <row r="2628" spans="1:24" x14ac:dyDescent="0.25">
      <c r="A2628" s="6" t="s">
        <v>168</v>
      </c>
      <c r="B2628" s="94" t="s">
        <v>797</v>
      </c>
      <c r="C2628" s="6" t="s">
        <v>7957</v>
      </c>
      <c r="D2628" s="140">
        <v>11276992</v>
      </c>
      <c r="E2628" s="6" t="s">
        <v>714</v>
      </c>
      <c r="F2628" s="10" t="s">
        <v>293</v>
      </c>
      <c r="G2628" s="6">
        <v>166071</v>
      </c>
      <c r="H2628" s="8">
        <v>56998</v>
      </c>
      <c r="L2628" s="95" t="s">
        <v>359</v>
      </c>
      <c r="R2628" s="97" t="str">
        <f t="shared" si="96"/>
        <v/>
      </c>
      <c r="S2628" s="75" t="str">
        <f t="shared" si="97"/>
        <v/>
      </c>
    </row>
    <row r="2629" spans="1:24" x14ac:dyDescent="0.25">
      <c r="A2629" s="6" t="s">
        <v>25</v>
      </c>
      <c r="B2629" s="94" t="s">
        <v>302</v>
      </c>
      <c r="C2629" s="6" t="s">
        <v>7958</v>
      </c>
      <c r="D2629" s="140">
        <v>11141278</v>
      </c>
      <c r="E2629" s="6" t="s">
        <v>1650</v>
      </c>
      <c r="F2629" s="10" t="s">
        <v>293</v>
      </c>
      <c r="G2629" s="6" t="s">
        <v>7959</v>
      </c>
      <c r="H2629" s="8">
        <v>48922</v>
      </c>
      <c r="L2629" s="95" t="s">
        <v>359</v>
      </c>
      <c r="R2629" s="97" t="str">
        <f t="shared" si="96"/>
        <v/>
      </c>
      <c r="S2629" s="75" t="str">
        <f t="shared" si="97"/>
        <v/>
      </c>
    </row>
    <row r="2630" spans="1:24" x14ac:dyDescent="0.25">
      <c r="A2630" s="6" t="s">
        <v>25</v>
      </c>
      <c r="B2630" s="94" t="s">
        <v>7960</v>
      </c>
      <c r="C2630" s="6" t="s">
        <v>7961</v>
      </c>
      <c r="D2630" s="140">
        <v>11113157</v>
      </c>
      <c r="E2630" s="6" t="s">
        <v>344</v>
      </c>
      <c r="F2630" s="10" t="s">
        <v>293</v>
      </c>
      <c r="G2630" s="6">
        <v>141347</v>
      </c>
      <c r="H2630" s="8">
        <v>47977</v>
      </c>
      <c r="L2630" s="95" t="s">
        <v>359</v>
      </c>
      <c r="R2630" s="97" t="str">
        <f t="shared" si="96"/>
        <v/>
      </c>
      <c r="S2630" s="75" t="str">
        <f t="shared" si="97"/>
        <v/>
      </c>
    </row>
    <row r="2631" spans="1:24" x14ac:dyDescent="0.25">
      <c r="A2631" s="6" t="s">
        <v>25</v>
      </c>
      <c r="B2631" s="94" t="s">
        <v>7962</v>
      </c>
      <c r="C2631" s="6" t="s">
        <v>7963</v>
      </c>
      <c r="D2631" s="140">
        <v>11974816</v>
      </c>
      <c r="E2631" s="6" t="s">
        <v>1064</v>
      </c>
      <c r="F2631" s="10" t="s">
        <v>252</v>
      </c>
      <c r="G2631" s="6">
        <v>51505684</v>
      </c>
      <c r="H2631" s="8">
        <v>45618</v>
      </c>
      <c r="L2631" s="95" t="s">
        <v>359</v>
      </c>
      <c r="R2631" s="97" t="str">
        <f t="shared" si="96"/>
        <v/>
      </c>
      <c r="S2631" s="75" t="str">
        <f t="shared" si="97"/>
        <v/>
      </c>
    </row>
    <row r="2632" spans="1:24" x14ac:dyDescent="0.25">
      <c r="A2632" s="6" t="s">
        <v>25</v>
      </c>
      <c r="B2632" s="94" t="s">
        <v>7964</v>
      </c>
      <c r="C2632" s="6" t="s">
        <v>7965</v>
      </c>
      <c r="D2632" s="140">
        <v>11264031</v>
      </c>
      <c r="E2632" s="6" t="s">
        <v>88</v>
      </c>
      <c r="F2632" s="10" t="s">
        <v>252</v>
      </c>
      <c r="G2632" s="6">
        <v>51522218</v>
      </c>
      <c r="H2632" s="8">
        <v>47029</v>
      </c>
      <c r="L2632" s="95" t="s">
        <v>359</v>
      </c>
      <c r="R2632" s="97" t="str">
        <f t="shared" si="96"/>
        <v/>
      </c>
      <c r="S2632" s="75" t="str">
        <f t="shared" si="97"/>
        <v/>
      </c>
    </row>
    <row r="2633" spans="1:24" ht="30" x14ac:dyDescent="0.25">
      <c r="A2633" s="6" t="s">
        <v>168</v>
      </c>
      <c r="B2633" s="94" t="s">
        <v>7966</v>
      </c>
      <c r="C2633" s="6" t="s">
        <v>7967</v>
      </c>
      <c r="D2633" s="140">
        <v>11975999</v>
      </c>
      <c r="E2633" s="6" t="s">
        <v>43</v>
      </c>
      <c r="F2633" s="10" t="s">
        <v>252</v>
      </c>
      <c r="G2633" s="6" t="s">
        <v>7968</v>
      </c>
      <c r="H2633" s="8">
        <v>46873</v>
      </c>
      <c r="L2633" s="95" t="s">
        <v>359</v>
      </c>
      <c r="R2633" s="97" t="str">
        <f t="shared" si="96"/>
        <v/>
      </c>
      <c r="S2633" s="75" t="str">
        <f t="shared" si="97"/>
        <v/>
      </c>
    </row>
    <row r="2634" spans="1:24" x14ac:dyDescent="0.25">
      <c r="A2634" s="6" t="s">
        <v>25</v>
      </c>
      <c r="B2634" s="94" t="s">
        <v>3552</v>
      </c>
      <c r="C2634" s="6" t="s">
        <v>7969</v>
      </c>
      <c r="D2634" s="140">
        <v>11330523</v>
      </c>
      <c r="E2634" s="6" t="s">
        <v>3484</v>
      </c>
      <c r="F2634" s="10" t="s">
        <v>148</v>
      </c>
      <c r="G2634" s="6" t="s">
        <v>7970</v>
      </c>
      <c r="H2634" s="8">
        <v>45302</v>
      </c>
      <c r="L2634" s="95" t="s">
        <v>359</v>
      </c>
      <c r="R2634" s="97" t="str">
        <f t="shared" si="96"/>
        <v/>
      </c>
      <c r="S2634" s="75" t="str">
        <f t="shared" si="97"/>
        <v/>
      </c>
    </row>
    <row r="2635" spans="1:24" x14ac:dyDescent="0.25">
      <c r="A2635" s="6" t="s">
        <v>25</v>
      </c>
      <c r="B2635" s="94" t="s">
        <v>164</v>
      </c>
      <c r="C2635" s="6" t="s">
        <v>7971</v>
      </c>
      <c r="D2635" s="140">
        <v>11099204</v>
      </c>
      <c r="E2635" s="6" t="s">
        <v>318</v>
      </c>
      <c r="F2635" s="10" t="s">
        <v>148</v>
      </c>
      <c r="G2635" s="6" t="s">
        <v>7972</v>
      </c>
      <c r="H2635" s="8">
        <v>46493</v>
      </c>
      <c r="L2635" s="95" t="s">
        <v>359</v>
      </c>
      <c r="R2635" s="97" t="str">
        <f t="shared" si="96"/>
        <v/>
      </c>
      <c r="S2635" s="75" t="str">
        <f t="shared" si="97"/>
        <v/>
      </c>
    </row>
    <row r="2636" spans="1:24" x14ac:dyDescent="0.25">
      <c r="A2636" s="6" t="s">
        <v>25</v>
      </c>
      <c r="B2636" s="94" t="s">
        <v>7973</v>
      </c>
      <c r="C2636" s="6" t="s">
        <v>7974</v>
      </c>
      <c r="D2636" s="140">
        <v>11734756</v>
      </c>
      <c r="E2636" s="6" t="s">
        <v>1927</v>
      </c>
      <c r="F2636" s="10" t="s">
        <v>148</v>
      </c>
      <c r="G2636" s="6" t="s">
        <v>7975</v>
      </c>
      <c r="H2636" s="8">
        <v>54266</v>
      </c>
      <c r="L2636" s="95" t="s">
        <v>359</v>
      </c>
      <c r="R2636" s="97" t="str">
        <f t="shared" si="96"/>
        <v/>
      </c>
      <c r="S2636" s="75" t="str">
        <f t="shared" si="97"/>
        <v/>
      </c>
    </row>
    <row r="2637" spans="1:24" x14ac:dyDescent="0.25">
      <c r="A2637" s="6" t="s">
        <v>25</v>
      </c>
      <c r="B2637" s="94" t="s">
        <v>4687</v>
      </c>
      <c r="C2637" s="6" t="s">
        <v>7976</v>
      </c>
      <c r="D2637" s="140">
        <v>11077854</v>
      </c>
      <c r="E2637" s="6" t="s">
        <v>3163</v>
      </c>
      <c r="F2637" s="10" t="s">
        <v>3874</v>
      </c>
      <c r="G2637" s="6" t="s">
        <v>7977</v>
      </c>
      <c r="H2637" s="8">
        <v>46417</v>
      </c>
      <c r="L2637" s="95" t="s">
        <v>359</v>
      </c>
      <c r="R2637" s="97" t="str">
        <f t="shared" si="96"/>
        <v/>
      </c>
      <c r="S2637" s="75" t="str">
        <f t="shared" si="97"/>
        <v/>
      </c>
    </row>
    <row r="2638" spans="1:24" x14ac:dyDescent="0.25">
      <c r="A2638" s="6" t="s">
        <v>25</v>
      </c>
      <c r="B2638" s="94" t="s">
        <v>188</v>
      </c>
      <c r="C2638" s="6" t="s">
        <v>7978</v>
      </c>
      <c r="D2638" s="140">
        <v>11070148</v>
      </c>
      <c r="E2638" s="6" t="s">
        <v>958</v>
      </c>
      <c r="F2638" s="10" t="s">
        <v>44</v>
      </c>
      <c r="G2638" s="6" t="s">
        <v>7979</v>
      </c>
      <c r="H2638" s="8">
        <v>45671</v>
      </c>
      <c r="L2638" s="95" t="s">
        <v>359</v>
      </c>
      <c r="R2638" s="97" t="str">
        <f t="shared" si="96"/>
        <v/>
      </c>
      <c r="S2638" s="75" t="str">
        <f t="shared" si="97"/>
        <v/>
      </c>
    </row>
    <row r="2639" spans="1:24" x14ac:dyDescent="0.25">
      <c r="A2639" s="6" t="s">
        <v>25</v>
      </c>
      <c r="B2639" s="94" t="s">
        <v>2440</v>
      </c>
      <c r="C2639" s="6" t="s">
        <v>7980</v>
      </c>
      <c r="D2639" s="140">
        <v>11871985</v>
      </c>
      <c r="E2639" s="6" t="s">
        <v>1539</v>
      </c>
      <c r="F2639" s="10" t="s">
        <v>44</v>
      </c>
      <c r="G2639" s="6" t="s">
        <v>7981</v>
      </c>
      <c r="H2639" s="8">
        <v>45544</v>
      </c>
      <c r="L2639" s="95" t="s">
        <v>359</v>
      </c>
      <c r="R2639" s="97" t="str">
        <f t="shared" si="96"/>
        <v/>
      </c>
      <c r="S2639" s="75" t="str">
        <f t="shared" si="97"/>
        <v/>
      </c>
    </row>
    <row r="2640" spans="1:24" x14ac:dyDescent="0.25">
      <c r="A2640" s="6" t="s">
        <v>37</v>
      </c>
      <c r="B2640" s="94" t="s">
        <v>7982</v>
      </c>
      <c r="C2640" s="6" t="s">
        <v>7983</v>
      </c>
      <c r="D2640" s="140">
        <v>12130577</v>
      </c>
      <c r="E2640" s="6" t="s">
        <v>1539</v>
      </c>
      <c r="F2640" s="10" t="s">
        <v>44</v>
      </c>
      <c r="G2640" s="6" t="s">
        <v>7984</v>
      </c>
      <c r="H2640" s="8">
        <v>54204</v>
      </c>
      <c r="L2640" s="95" t="s">
        <v>359</v>
      </c>
      <c r="R2640" s="97" t="str">
        <f t="shared" si="96"/>
        <v/>
      </c>
      <c r="S2640" s="75" t="str">
        <f t="shared" si="97"/>
        <v/>
      </c>
    </row>
    <row r="2641" spans="1:19" x14ac:dyDescent="0.25">
      <c r="A2641" s="6" t="s">
        <v>25</v>
      </c>
      <c r="B2641" s="94" t="s">
        <v>1793</v>
      </c>
      <c r="C2641" s="6" t="s">
        <v>7985</v>
      </c>
      <c r="D2641" s="140">
        <v>11579681</v>
      </c>
      <c r="E2641" s="6" t="s">
        <v>185</v>
      </c>
      <c r="F2641" s="10" t="s">
        <v>44</v>
      </c>
      <c r="G2641" s="6" t="s">
        <v>7986</v>
      </c>
      <c r="H2641" s="8">
        <v>46768</v>
      </c>
      <c r="L2641" s="95" t="s">
        <v>359</v>
      </c>
      <c r="R2641" s="97" t="str">
        <f t="shared" si="96"/>
        <v/>
      </c>
      <c r="S2641" s="75" t="str">
        <f t="shared" si="97"/>
        <v/>
      </c>
    </row>
    <row r="2642" spans="1:19" x14ac:dyDescent="0.25">
      <c r="A2642" s="6" t="s">
        <v>25</v>
      </c>
      <c r="B2642" s="94" t="s">
        <v>806</v>
      </c>
      <c r="C2642" s="6" t="s">
        <v>7987</v>
      </c>
      <c r="D2642" s="140">
        <v>11266193</v>
      </c>
      <c r="E2642" s="6" t="s">
        <v>714</v>
      </c>
      <c r="F2642" s="10" t="s">
        <v>44</v>
      </c>
      <c r="G2642" s="6" t="s">
        <v>7988</v>
      </c>
      <c r="H2642" s="8">
        <v>48451</v>
      </c>
      <c r="L2642" s="95" t="s">
        <v>359</v>
      </c>
      <c r="R2642" s="97" t="str">
        <f t="shared" si="96"/>
        <v/>
      </c>
      <c r="S2642" s="75" t="str">
        <f t="shared" si="97"/>
        <v/>
      </c>
    </row>
    <row r="2643" spans="1:19" x14ac:dyDescent="0.25">
      <c r="A2643" s="6" t="s">
        <v>25</v>
      </c>
      <c r="B2643" s="94" t="s">
        <v>646</v>
      </c>
      <c r="C2643" s="6" t="s">
        <v>7989</v>
      </c>
      <c r="D2643" s="140">
        <v>12102071</v>
      </c>
      <c r="E2643" s="6" t="s">
        <v>3644</v>
      </c>
      <c r="F2643" s="10" t="s">
        <v>44</v>
      </c>
      <c r="G2643" s="6" t="s">
        <v>7990</v>
      </c>
      <c r="H2643" s="8">
        <v>45368</v>
      </c>
      <c r="L2643" s="95" t="s">
        <v>359</v>
      </c>
      <c r="R2643" s="97" t="str">
        <f t="shared" si="96"/>
        <v/>
      </c>
      <c r="S2643" s="75" t="str">
        <f t="shared" si="97"/>
        <v/>
      </c>
    </row>
    <row r="2644" spans="1:19" x14ac:dyDescent="0.25">
      <c r="A2644" s="6" t="s">
        <v>25</v>
      </c>
      <c r="B2644" s="94" t="s">
        <v>5012</v>
      </c>
      <c r="C2644" s="6" t="s">
        <v>7991</v>
      </c>
      <c r="D2644" s="140">
        <v>12174662</v>
      </c>
      <c r="E2644" s="6" t="s">
        <v>946</v>
      </c>
      <c r="F2644" s="10" t="s">
        <v>44</v>
      </c>
      <c r="G2644" s="6" t="s">
        <v>7992</v>
      </c>
      <c r="H2644" s="8">
        <v>47546</v>
      </c>
      <c r="L2644" s="95" t="s">
        <v>359</v>
      </c>
      <c r="R2644" s="97" t="str">
        <f t="shared" si="96"/>
        <v/>
      </c>
      <c r="S2644" s="75" t="str">
        <f t="shared" si="97"/>
        <v/>
      </c>
    </row>
    <row r="2645" spans="1:19" x14ac:dyDescent="0.25">
      <c r="A2645" s="6" t="s">
        <v>25</v>
      </c>
      <c r="B2645" s="94" t="s">
        <v>7993</v>
      </c>
      <c r="C2645" s="6" t="s">
        <v>7994</v>
      </c>
      <c r="D2645" s="140">
        <v>11521311</v>
      </c>
      <c r="E2645" s="6" t="s">
        <v>409</v>
      </c>
      <c r="F2645" s="10" t="s">
        <v>44</v>
      </c>
      <c r="G2645" s="6" t="s">
        <v>7995</v>
      </c>
      <c r="H2645" s="8">
        <v>46610</v>
      </c>
      <c r="L2645" s="95" t="s">
        <v>359</v>
      </c>
      <c r="R2645" s="97" t="str">
        <f t="shared" si="96"/>
        <v/>
      </c>
      <c r="S2645" s="75" t="str">
        <f t="shared" si="97"/>
        <v/>
      </c>
    </row>
    <row r="2646" spans="1:19" x14ac:dyDescent="0.25">
      <c r="A2646" s="6" t="s">
        <v>168</v>
      </c>
      <c r="B2646" s="94" t="s">
        <v>7996</v>
      </c>
      <c r="C2646" s="6" t="s">
        <v>7997</v>
      </c>
      <c r="D2646" s="140">
        <v>11627760</v>
      </c>
      <c r="E2646" s="6" t="s">
        <v>714</v>
      </c>
      <c r="F2646" s="10" t="s">
        <v>44</v>
      </c>
      <c r="G2646" s="6" t="s">
        <v>7998</v>
      </c>
      <c r="H2646" s="8">
        <v>48554</v>
      </c>
      <c r="L2646" s="95" t="s">
        <v>359</v>
      </c>
      <c r="R2646" s="97" t="str">
        <f t="shared" si="96"/>
        <v/>
      </c>
      <c r="S2646" s="75" t="str">
        <f t="shared" si="97"/>
        <v/>
      </c>
    </row>
    <row r="2647" spans="1:19" x14ac:dyDescent="0.25">
      <c r="A2647" s="6" t="s">
        <v>168</v>
      </c>
      <c r="B2647" s="94" t="s">
        <v>7999</v>
      </c>
      <c r="C2647" s="6" t="s">
        <v>8000</v>
      </c>
      <c r="D2647" s="140">
        <v>11627822</v>
      </c>
      <c r="E2647" s="6" t="s">
        <v>714</v>
      </c>
      <c r="F2647" s="10" t="s">
        <v>44</v>
      </c>
      <c r="G2647" s="6" t="s">
        <v>8001</v>
      </c>
      <c r="H2647" s="8">
        <v>52092</v>
      </c>
      <c r="L2647" s="95" t="s">
        <v>359</v>
      </c>
      <c r="R2647" s="97" t="str">
        <f t="shared" si="96"/>
        <v/>
      </c>
      <c r="S2647" s="75" t="str">
        <f t="shared" si="97"/>
        <v/>
      </c>
    </row>
    <row r="2648" spans="1:19" x14ac:dyDescent="0.25">
      <c r="A2648" s="6" t="s">
        <v>25</v>
      </c>
      <c r="B2648" s="94" t="s">
        <v>8002</v>
      </c>
      <c r="C2648" s="6" t="s">
        <v>8003</v>
      </c>
      <c r="D2648" s="140">
        <v>11686138</v>
      </c>
      <c r="E2648" s="6" t="s">
        <v>615</v>
      </c>
      <c r="F2648" s="10" t="s">
        <v>44</v>
      </c>
      <c r="G2648" s="6" t="s">
        <v>8004</v>
      </c>
      <c r="H2648" s="8">
        <v>49131</v>
      </c>
      <c r="L2648" s="95" t="s">
        <v>359</v>
      </c>
      <c r="R2648" s="97" t="str">
        <f t="shared" si="96"/>
        <v/>
      </c>
      <c r="S2648" s="75" t="str">
        <f t="shared" si="97"/>
        <v/>
      </c>
    </row>
    <row r="2649" spans="1:19" x14ac:dyDescent="0.25">
      <c r="A2649" s="6" t="s">
        <v>168</v>
      </c>
      <c r="B2649" s="94" t="s">
        <v>1177</v>
      </c>
      <c r="C2649" s="6" t="s">
        <v>8005</v>
      </c>
      <c r="D2649" s="140">
        <v>11855090</v>
      </c>
      <c r="E2649" s="6" t="s">
        <v>180</v>
      </c>
      <c r="F2649" s="10" t="s">
        <v>44</v>
      </c>
      <c r="G2649" s="6" t="s">
        <v>8006</v>
      </c>
      <c r="H2649" s="8">
        <v>45509</v>
      </c>
      <c r="L2649" s="95" t="s">
        <v>359</v>
      </c>
      <c r="R2649" s="97" t="str">
        <f t="shared" si="96"/>
        <v/>
      </c>
      <c r="S2649" s="75" t="str">
        <f t="shared" si="97"/>
        <v/>
      </c>
    </row>
    <row r="2650" spans="1:19" x14ac:dyDescent="0.25">
      <c r="A2650" s="6" t="s">
        <v>25</v>
      </c>
      <c r="B2650" s="94" t="s">
        <v>1717</v>
      </c>
      <c r="C2650" s="6" t="s">
        <v>8007</v>
      </c>
      <c r="D2650" s="140">
        <v>11917982</v>
      </c>
      <c r="E2650" s="6" t="s">
        <v>490</v>
      </c>
      <c r="F2650" s="10" t="s">
        <v>44</v>
      </c>
      <c r="G2650" s="6" t="s">
        <v>5434</v>
      </c>
      <c r="H2650" s="8">
        <v>50250</v>
      </c>
      <c r="L2650" s="95" t="s">
        <v>359</v>
      </c>
      <c r="R2650" s="97" t="str">
        <f t="shared" si="96"/>
        <v/>
      </c>
      <c r="S2650" s="75" t="str">
        <f t="shared" si="97"/>
        <v/>
      </c>
    </row>
    <row r="2651" spans="1:19" x14ac:dyDescent="0.25">
      <c r="A2651" s="6" t="s">
        <v>25</v>
      </c>
      <c r="B2651" s="94" t="s">
        <v>291</v>
      </c>
      <c r="C2651" s="6" t="s">
        <v>8008</v>
      </c>
      <c r="D2651" s="140">
        <v>11275582</v>
      </c>
      <c r="E2651" s="6" t="s">
        <v>8009</v>
      </c>
      <c r="F2651" s="10" t="s">
        <v>44</v>
      </c>
      <c r="G2651" s="6" t="s">
        <v>8010</v>
      </c>
      <c r="H2651" s="8">
        <v>47533</v>
      </c>
      <c r="L2651" s="95" t="s">
        <v>359</v>
      </c>
      <c r="R2651" s="97" t="str">
        <f t="shared" si="96"/>
        <v/>
      </c>
      <c r="S2651" s="75" t="str">
        <f t="shared" si="97"/>
        <v/>
      </c>
    </row>
    <row r="2652" spans="1:19" x14ac:dyDescent="0.25">
      <c r="A2652" s="6" t="s">
        <v>168</v>
      </c>
      <c r="B2652" s="94" t="s">
        <v>8011</v>
      </c>
      <c r="C2652" s="6" t="s">
        <v>8012</v>
      </c>
      <c r="D2652" s="140">
        <v>11036510</v>
      </c>
      <c r="E2652" s="6" t="s">
        <v>2779</v>
      </c>
      <c r="F2652" s="10" t="s">
        <v>44</v>
      </c>
      <c r="G2652" s="6" t="s">
        <v>8013</v>
      </c>
      <c r="H2652" s="8">
        <v>46058</v>
      </c>
      <c r="L2652" s="95" t="s">
        <v>359</v>
      </c>
      <c r="R2652" s="97" t="str">
        <f t="shared" si="96"/>
        <v/>
      </c>
      <c r="S2652" s="75" t="str">
        <f t="shared" si="97"/>
        <v/>
      </c>
    </row>
    <row r="2653" spans="1:19" x14ac:dyDescent="0.25">
      <c r="A2653" s="6" t="s">
        <v>168</v>
      </c>
      <c r="B2653" s="94" t="s">
        <v>6359</v>
      </c>
      <c r="C2653" s="6" t="s">
        <v>8014</v>
      </c>
      <c r="D2653" s="140">
        <v>11027442</v>
      </c>
      <c r="E2653" s="6" t="s">
        <v>386</v>
      </c>
      <c r="F2653" s="10" t="s">
        <v>44</v>
      </c>
      <c r="G2653" s="6" t="s">
        <v>8015</v>
      </c>
      <c r="H2653" s="8">
        <v>45804</v>
      </c>
      <c r="L2653" s="95" t="s">
        <v>359</v>
      </c>
      <c r="R2653" s="97" t="str">
        <f t="shared" si="96"/>
        <v/>
      </c>
      <c r="S2653" s="75" t="str">
        <f t="shared" si="97"/>
        <v/>
      </c>
    </row>
    <row r="2654" spans="1:19" x14ac:dyDescent="0.25">
      <c r="A2654" s="6" t="s">
        <v>25</v>
      </c>
      <c r="B2654" s="94" t="s">
        <v>4774</v>
      </c>
      <c r="C2654" s="6" t="s">
        <v>8016</v>
      </c>
      <c r="D2654" s="140">
        <v>11090244</v>
      </c>
      <c r="E2654" s="6" t="s">
        <v>2160</v>
      </c>
      <c r="F2654" s="10" t="s">
        <v>44</v>
      </c>
      <c r="G2654" s="6" t="s">
        <v>8017</v>
      </c>
      <c r="H2654" s="8">
        <v>47880</v>
      </c>
      <c r="L2654" s="95" t="s">
        <v>359</v>
      </c>
      <c r="R2654" s="97" t="str">
        <f t="shared" si="96"/>
        <v/>
      </c>
      <c r="S2654" s="75" t="str">
        <f t="shared" si="97"/>
        <v/>
      </c>
    </row>
    <row r="2655" spans="1:19" x14ac:dyDescent="0.25">
      <c r="A2655" s="6" t="s">
        <v>25</v>
      </c>
      <c r="B2655" s="94" t="s">
        <v>8018</v>
      </c>
      <c r="C2655" s="6" t="s">
        <v>8019</v>
      </c>
      <c r="D2655" s="140">
        <v>11513644</v>
      </c>
      <c r="E2655" s="6" t="s">
        <v>318</v>
      </c>
      <c r="F2655" s="10" t="s">
        <v>44</v>
      </c>
      <c r="G2655" s="6" t="s">
        <v>8020</v>
      </c>
      <c r="H2655" s="8">
        <v>50321</v>
      </c>
      <c r="L2655" s="95" t="s">
        <v>359</v>
      </c>
      <c r="R2655" s="97" t="str">
        <f t="shared" si="96"/>
        <v/>
      </c>
      <c r="S2655" s="75" t="str">
        <f t="shared" si="97"/>
        <v/>
      </c>
    </row>
    <row r="2656" spans="1:19" x14ac:dyDescent="0.25">
      <c r="A2656" s="6" t="s">
        <v>25</v>
      </c>
      <c r="B2656" s="94" t="s">
        <v>8021</v>
      </c>
      <c r="C2656" s="6" t="s">
        <v>8022</v>
      </c>
      <c r="D2656" s="140">
        <v>11089278</v>
      </c>
      <c r="E2656" s="6" t="s">
        <v>8023</v>
      </c>
      <c r="F2656" s="10" t="s">
        <v>44</v>
      </c>
      <c r="G2656" s="6" t="s">
        <v>8024</v>
      </c>
      <c r="H2656" s="8">
        <v>48644</v>
      </c>
      <c r="L2656" s="95" t="s">
        <v>359</v>
      </c>
      <c r="R2656" s="97" t="str">
        <f t="shared" si="96"/>
        <v/>
      </c>
      <c r="S2656" s="75" t="str">
        <f t="shared" si="97"/>
        <v/>
      </c>
    </row>
    <row r="2657" spans="1:19" x14ac:dyDescent="0.25">
      <c r="A2657" s="6" t="s">
        <v>25</v>
      </c>
      <c r="B2657" s="94" t="s">
        <v>8025</v>
      </c>
      <c r="C2657" s="6" t="s">
        <v>8026</v>
      </c>
      <c r="D2657" s="140">
        <v>11742159</v>
      </c>
      <c r="E2657" s="6" t="s">
        <v>209</v>
      </c>
      <c r="F2657" s="10" t="s">
        <v>44</v>
      </c>
      <c r="G2657" s="6" t="s">
        <v>8027</v>
      </c>
      <c r="H2657" s="8">
        <v>47485</v>
      </c>
      <c r="L2657" s="95" t="s">
        <v>359</v>
      </c>
      <c r="R2657" s="97" t="str">
        <f t="shared" si="96"/>
        <v/>
      </c>
      <c r="S2657" s="75" t="str">
        <f t="shared" si="97"/>
        <v/>
      </c>
    </row>
    <row r="2658" spans="1:19" x14ac:dyDescent="0.25">
      <c r="A2658" s="6" t="s">
        <v>25</v>
      </c>
      <c r="B2658" s="94" t="s">
        <v>145</v>
      </c>
      <c r="C2658" s="6" t="s">
        <v>8028</v>
      </c>
      <c r="D2658" s="140">
        <v>11158557</v>
      </c>
      <c r="E2658" s="6" t="s">
        <v>8029</v>
      </c>
      <c r="F2658" s="10" t="s">
        <v>44</v>
      </c>
      <c r="G2658" s="6" t="s">
        <v>8030</v>
      </c>
      <c r="H2658" s="8">
        <v>48665</v>
      </c>
      <c r="L2658" s="95" t="s">
        <v>359</v>
      </c>
      <c r="R2658" s="97" t="str">
        <f t="shared" si="96"/>
        <v/>
      </c>
      <c r="S2658" s="75" t="str">
        <f t="shared" si="97"/>
        <v/>
      </c>
    </row>
    <row r="2659" spans="1:19" x14ac:dyDescent="0.25">
      <c r="A2659" s="6" t="s">
        <v>25</v>
      </c>
      <c r="B2659" s="94" t="s">
        <v>8031</v>
      </c>
      <c r="C2659" s="6" t="s">
        <v>8032</v>
      </c>
      <c r="D2659" s="140">
        <v>10247431</v>
      </c>
      <c r="E2659" s="6" t="s">
        <v>304</v>
      </c>
      <c r="F2659" s="10" t="s">
        <v>44</v>
      </c>
      <c r="G2659" s="6" t="s">
        <v>8033</v>
      </c>
      <c r="H2659" s="8">
        <v>49025</v>
      </c>
      <c r="L2659" s="95" t="s">
        <v>359</v>
      </c>
      <c r="R2659" s="97" t="str">
        <f t="shared" si="96"/>
        <v/>
      </c>
      <c r="S2659" s="75" t="str">
        <f t="shared" si="97"/>
        <v/>
      </c>
    </row>
    <row r="2660" spans="1:19" x14ac:dyDescent="0.25">
      <c r="A2660" s="6" t="s">
        <v>25</v>
      </c>
      <c r="B2660" s="94" t="s">
        <v>1925</v>
      </c>
      <c r="C2660" s="6" t="s">
        <v>8034</v>
      </c>
      <c r="D2660" s="140">
        <v>11921818</v>
      </c>
      <c r="E2660" s="6" t="s">
        <v>7419</v>
      </c>
      <c r="F2660" s="10" t="s">
        <v>44</v>
      </c>
      <c r="G2660" s="6" t="s">
        <v>8035</v>
      </c>
      <c r="H2660" s="8">
        <v>45534</v>
      </c>
      <c r="L2660" s="95" t="s">
        <v>359</v>
      </c>
      <c r="R2660" s="97" t="str">
        <f t="shared" si="96"/>
        <v/>
      </c>
      <c r="S2660" s="75" t="str">
        <f t="shared" si="97"/>
        <v/>
      </c>
    </row>
    <row r="2661" spans="1:19" x14ac:dyDescent="0.25">
      <c r="A2661" s="6" t="s">
        <v>25</v>
      </c>
      <c r="B2661" s="94" t="s">
        <v>723</v>
      </c>
      <c r="C2661" s="6" t="s">
        <v>8036</v>
      </c>
      <c r="D2661" s="140">
        <v>11097234</v>
      </c>
      <c r="E2661" s="6" t="s">
        <v>1443</v>
      </c>
      <c r="F2661" s="10" t="s">
        <v>44</v>
      </c>
      <c r="G2661" s="6" t="s">
        <v>8037</v>
      </c>
      <c r="H2661" s="8">
        <v>48087</v>
      </c>
      <c r="L2661" s="95" t="s">
        <v>359</v>
      </c>
      <c r="R2661" s="97" t="str">
        <f t="shared" si="96"/>
        <v/>
      </c>
      <c r="S2661" s="75" t="str">
        <f t="shared" si="97"/>
        <v/>
      </c>
    </row>
    <row r="2662" spans="1:19" x14ac:dyDescent="0.25">
      <c r="A2662" s="6" t="s">
        <v>25</v>
      </c>
      <c r="B2662" s="94" t="s">
        <v>1668</v>
      </c>
      <c r="C2662" s="6" t="s">
        <v>8038</v>
      </c>
      <c r="D2662" s="140">
        <v>11070166</v>
      </c>
      <c r="E2662" s="6" t="s">
        <v>175</v>
      </c>
      <c r="F2662" s="10" t="s">
        <v>44</v>
      </c>
      <c r="G2662" s="6" t="s">
        <v>8039</v>
      </c>
      <c r="H2662" s="8">
        <v>46996</v>
      </c>
      <c r="L2662" s="95" t="s">
        <v>359</v>
      </c>
      <c r="R2662" s="97" t="str">
        <f t="shared" si="96"/>
        <v/>
      </c>
      <c r="S2662" s="75" t="str">
        <f t="shared" si="97"/>
        <v/>
      </c>
    </row>
    <row r="2663" spans="1:19" x14ac:dyDescent="0.25">
      <c r="A2663" s="6" t="s">
        <v>25</v>
      </c>
      <c r="B2663" s="94" t="s">
        <v>8040</v>
      </c>
      <c r="C2663" s="6" t="s">
        <v>8041</v>
      </c>
      <c r="D2663" s="140">
        <v>11068947</v>
      </c>
      <c r="E2663" s="6" t="s">
        <v>783</v>
      </c>
      <c r="F2663" s="10" t="s">
        <v>44</v>
      </c>
      <c r="G2663" s="6" t="s">
        <v>8042</v>
      </c>
      <c r="H2663" s="8">
        <v>47225</v>
      </c>
      <c r="L2663" s="95" t="s">
        <v>359</v>
      </c>
      <c r="R2663" s="97" t="str">
        <f t="shared" si="96"/>
        <v/>
      </c>
      <c r="S2663" s="75" t="str">
        <f t="shared" si="97"/>
        <v/>
      </c>
    </row>
    <row r="2664" spans="1:19" x14ac:dyDescent="0.25">
      <c r="A2664" s="6" t="s">
        <v>168</v>
      </c>
      <c r="B2664" s="94" t="s">
        <v>8043</v>
      </c>
      <c r="C2664" s="6" t="s">
        <v>8044</v>
      </c>
      <c r="D2664" s="140">
        <v>12147766</v>
      </c>
      <c r="E2664" s="6" t="s">
        <v>714</v>
      </c>
      <c r="F2664" s="10" t="s">
        <v>44</v>
      </c>
      <c r="G2664" s="6" t="s">
        <v>8045</v>
      </c>
      <c r="H2664" s="8">
        <v>45732</v>
      </c>
      <c r="L2664" s="95" t="s">
        <v>359</v>
      </c>
      <c r="R2664" s="97" t="str">
        <f t="shared" si="96"/>
        <v/>
      </c>
      <c r="S2664" s="75" t="str">
        <f t="shared" si="97"/>
        <v/>
      </c>
    </row>
    <row r="2665" spans="1:19" x14ac:dyDescent="0.25">
      <c r="A2665" s="6" t="s">
        <v>25</v>
      </c>
      <c r="B2665" s="94" t="s">
        <v>944</v>
      </c>
      <c r="C2665" s="6" t="s">
        <v>8046</v>
      </c>
      <c r="D2665" s="140">
        <v>11122745</v>
      </c>
      <c r="E2665" s="6" t="s">
        <v>615</v>
      </c>
      <c r="F2665" s="10" t="s">
        <v>44</v>
      </c>
      <c r="G2665" s="6" t="s">
        <v>8047</v>
      </c>
      <c r="H2665" s="8">
        <v>47442</v>
      </c>
      <c r="L2665" s="95" t="s">
        <v>359</v>
      </c>
      <c r="R2665" s="97" t="str">
        <f t="shared" si="96"/>
        <v/>
      </c>
      <c r="S2665" s="75" t="str">
        <f t="shared" si="97"/>
        <v/>
      </c>
    </row>
    <row r="2666" spans="1:19" x14ac:dyDescent="0.25">
      <c r="A2666" s="6" t="s">
        <v>25</v>
      </c>
      <c r="B2666" s="94" t="s">
        <v>8048</v>
      </c>
      <c r="C2666" s="6" t="s">
        <v>8049</v>
      </c>
      <c r="D2666" s="140">
        <v>11626117</v>
      </c>
      <c r="E2666" s="6" t="s">
        <v>584</v>
      </c>
      <c r="F2666" s="10" t="s">
        <v>44</v>
      </c>
      <c r="G2666" s="6" t="s">
        <v>8050</v>
      </c>
      <c r="H2666" s="8">
        <v>46861</v>
      </c>
      <c r="L2666" s="95" t="s">
        <v>359</v>
      </c>
      <c r="R2666" s="97" t="str">
        <f t="shared" si="96"/>
        <v/>
      </c>
      <c r="S2666" s="75" t="str">
        <f t="shared" si="97"/>
        <v/>
      </c>
    </row>
    <row r="2667" spans="1:19" x14ac:dyDescent="0.25">
      <c r="A2667" s="6" t="s">
        <v>25</v>
      </c>
      <c r="B2667" s="94" t="s">
        <v>8051</v>
      </c>
      <c r="C2667" s="6" t="s">
        <v>8052</v>
      </c>
      <c r="D2667" s="140">
        <v>11118084</v>
      </c>
      <c r="E2667" s="6" t="s">
        <v>1271</v>
      </c>
      <c r="F2667" s="10" t="s">
        <v>44</v>
      </c>
      <c r="G2667" s="6" t="s">
        <v>8053</v>
      </c>
      <c r="H2667" s="8">
        <v>47099</v>
      </c>
      <c r="L2667" s="95" t="s">
        <v>359</v>
      </c>
      <c r="R2667" s="97" t="str">
        <f t="shared" si="96"/>
        <v/>
      </c>
      <c r="S2667" s="75" t="str">
        <f t="shared" si="97"/>
        <v/>
      </c>
    </row>
    <row r="2668" spans="1:19" x14ac:dyDescent="0.25">
      <c r="A2668" s="6" t="s">
        <v>25</v>
      </c>
      <c r="B2668" s="94" t="s">
        <v>8054</v>
      </c>
      <c r="C2668" s="6" t="s">
        <v>8055</v>
      </c>
      <c r="D2668" s="140">
        <v>11884617</v>
      </c>
      <c r="E2668" s="6" t="s">
        <v>153</v>
      </c>
      <c r="F2668" s="10" t="s">
        <v>44</v>
      </c>
      <c r="G2668" s="6" t="s">
        <v>8056</v>
      </c>
      <c r="H2668" s="8">
        <v>47189</v>
      </c>
      <c r="L2668" s="95" t="s">
        <v>359</v>
      </c>
      <c r="R2668" s="97" t="str">
        <f t="shared" si="96"/>
        <v/>
      </c>
      <c r="S2668" s="75" t="str">
        <f t="shared" si="97"/>
        <v/>
      </c>
    </row>
    <row r="2669" spans="1:19" x14ac:dyDescent="0.25">
      <c r="A2669" s="6" t="s">
        <v>25</v>
      </c>
      <c r="B2669" s="94" t="s">
        <v>197</v>
      </c>
      <c r="C2669" s="6" t="s">
        <v>8057</v>
      </c>
      <c r="D2669" s="140">
        <v>11172288</v>
      </c>
      <c r="E2669" s="6" t="s">
        <v>8058</v>
      </c>
      <c r="F2669" s="10" t="s">
        <v>57</v>
      </c>
      <c r="G2669" s="6" t="s">
        <v>8059</v>
      </c>
      <c r="H2669" s="8">
        <v>45271</v>
      </c>
      <c r="L2669" s="95" t="s">
        <v>359</v>
      </c>
      <c r="R2669" s="97" t="str">
        <f t="shared" si="96"/>
        <v/>
      </c>
      <c r="S2669" s="75" t="str">
        <f t="shared" si="97"/>
        <v/>
      </c>
    </row>
    <row r="2670" spans="1:19" x14ac:dyDescent="0.25">
      <c r="A2670" s="6" t="s">
        <v>25</v>
      </c>
      <c r="B2670" s="94" t="s">
        <v>8060</v>
      </c>
      <c r="C2670" s="6" t="s">
        <v>8061</v>
      </c>
      <c r="D2670" s="140">
        <v>11059163</v>
      </c>
      <c r="E2670" s="6" t="s">
        <v>472</v>
      </c>
      <c r="F2670" s="10" t="s">
        <v>57</v>
      </c>
      <c r="G2670" s="6" t="s">
        <v>8062</v>
      </c>
      <c r="H2670" s="8">
        <v>45435</v>
      </c>
      <c r="L2670" s="95" t="s">
        <v>359</v>
      </c>
      <c r="R2670" s="97" t="str">
        <f t="shared" si="96"/>
        <v/>
      </c>
      <c r="S2670" s="75" t="str">
        <f t="shared" si="97"/>
        <v/>
      </c>
    </row>
    <row r="2671" spans="1:19" x14ac:dyDescent="0.25">
      <c r="A2671" s="6" t="s">
        <v>25</v>
      </c>
      <c r="B2671" s="94" t="s">
        <v>1793</v>
      </c>
      <c r="C2671" s="6" t="s">
        <v>8063</v>
      </c>
      <c r="D2671" s="140">
        <v>11071415</v>
      </c>
      <c r="E2671" s="6" t="s">
        <v>409</v>
      </c>
      <c r="F2671" s="10" t="s">
        <v>57</v>
      </c>
      <c r="G2671" s="6" t="s">
        <v>8064</v>
      </c>
      <c r="H2671" s="8">
        <v>49311</v>
      </c>
      <c r="L2671" s="95" t="s">
        <v>359</v>
      </c>
      <c r="R2671" s="97" t="str">
        <f t="shared" si="96"/>
        <v/>
      </c>
      <c r="S2671" s="75" t="str">
        <f t="shared" si="97"/>
        <v/>
      </c>
    </row>
    <row r="2672" spans="1:19" x14ac:dyDescent="0.25">
      <c r="A2672" s="6" t="s">
        <v>168</v>
      </c>
      <c r="B2672" s="94" t="s">
        <v>8065</v>
      </c>
      <c r="C2672" s="6" t="s">
        <v>8066</v>
      </c>
      <c r="D2672" s="140">
        <v>11867485</v>
      </c>
      <c r="E2672" s="6" t="s">
        <v>1459</v>
      </c>
      <c r="F2672" s="10" t="s">
        <v>29</v>
      </c>
      <c r="G2672" s="6" t="s">
        <v>8067</v>
      </c>
      <c r="H2672" s="8">
        <v>80804</v>
      </c>
      <c r="L2672" s="95" t="s">
        <v>359</v>
      </c>
      <c r="R2672" s="97" t="str">
        <f t="shared" si="96"/>
        <v/>
      </c>
      <c r="S2672" s="75" t="str">
        <f t="shared" si="97"/>
        <v/>
      </c>
    </row>
    <row r="2673" spans="1:19" x14ac:dyDescent="0.25">
      <c r="A2673" s="6" t="s">
        <v>25</v>
      </c>
      <c r="B2673" s="94" t="s">
        <v>86</v>
      </c>
      <c r="C2673" s="6" t="s">
        <v>8068</v>
      </c>
      <c r="D2673" s="140">
        <v>11943015</v>
      </c>
      <c r="E2673" s="6" t="s">
        <v>43</v>
      </c>
      <c r="F2673" s="10" t="s">
        <v>29</v>
      </c>
      <c r="G2673" s="6" t="s">
        <v>8069</v>
      </c>
      <c r="H2673" s="8">
        <v>47604</v>
      </c>
      <c r="L2673" s="95" t="s">
        <v>359</v>
      </c>
      <c r="R2673" s="97" t="str">
        <f t="shared" si="96"/>
        <v/>
      </c>
      <c r="S2673" s="75" t="str">
        <f t="shared" si="97"/>
        <v/>
      </c>
    </row>
    <row r="2674" spans="1:19" x14ac:dyDescent="0.25">
      <c r="A2674" s="6" t="s">
        <v>25</v>
      </c>
      <c r="B2674" s="94" t="s">
        <v>944</v>
      </c>
      <c r="C2674" s="6" t="s">
        <v>8070</v>
      </c>
      <c r="D2674" s="140">
        <v>11060293</v>
      </c>
      <c r="E2674" s="6" t="s">
        <v>7220</v>
      </c>
      <c r="F2674" s="10" t="s">
        <v>29</v>
      </c>
      <c r="G2674" s="6" t="s">
        <v>8071</v>
      </c>
      <c r="H2674" s="8">
        <v>46365</v>
      </c>
      <c r="L2674" s="95" t="s">
        <v>359</v>
      </c>
      <c r="R2674" s="97" t="str">
        <f t="shared" si="96"/>
        <v/>
      </c>
      <c r="S2674" s="75" t="str">
        <f t="shared" si="97"/>
        <v/>
      </c>
    </row>
    <row r="2675" spans="1:19" x14ac:dyDescent="0.25">
      <c r="A2675" s="6" t="s">
        <v>168</v>
      </c>
      <c r="B2675" s="94" t="s">
        <v>5469</v>
      </c>
      <c r="C2675" s="6" t="s">
        <v>8072</v>
      </c>
      <c r="D2675" s="140">
        <v>11565000</v>
      </c>
      <c r="E2675" s="6" t="s">
        <v>714</v>
      </c>
      <c r="F2675" s="10" t="s">
        <v>205</v>
      </c>
      <c r="G2675" s="6" t="s">
        <v>8073</v>
      </c>
      <c r="H2675" s="8">
        <v>51816</v>
      </c>
      <c r="L2675" s="95" t="s">
        <v>359</v>
      </c>
      <c r="R2675" s="97" t="str">
        <f t="shared" si="96"/>
        <v/>
      </c>
      <c r="S2675" s="75" t="str">
        <f t="shared" si="97"/>
        <v/>
      </c>
    </row>
    <row r="2676" spans="1:19" x14ac:dyDescent="0.25">
      <c r="A2676" s="6" t="s">
        <v>25</v>
      </c>
      <c r="B2676" s="94" t="s">
        <v>8074</v>
      </c>
      <c r="C2676" s="6" t="s">
        <v>8075</v>
      </c>
      <c r="D2676" s="140">
        <v>11917004</v>
      </c>
      <c r="E2676" s="6" t="s">
        <v>49</v>
      </c>
      <c r="F2676" s="10" t="s">
        <v>205</v>
      </c>
      <c r="G2676" s="6" t="s">
        <v>8076</v>
      </c>
      <c r="H2676" s="8">
        <v>48165</v>
      </c>
      <c r="L2676" s="95" t="s">
        <v>359</v>
      </c>
      <c r="R2676" s="97" t="str">
        <f t="shared" ref="R2676:R2722" si="98">IF(Q2676&gt;0, Q2676/365, "")</f>
        <v/>
      </c>
      <c r="S2676" s="75" t="str">
        <f t="shared" ref="S2676:S2722" si="99">IF(Q2676&gt;0, SUM(Q2676)*(8259/365), "")</f>
        <v/>
      </c>
    </row>
    <row r="2677" spans="1:19" x14ac:dyDescent="0.25">
      <c r="A2677" s="6" t="s">
        <v>168</v>
      </c>
      <c r="B2677" s="94" t="s">
        <v>364</v>
      </c>
      <c r="C2677" s="6" t="s">
        <v>8077</v>
      </c>
      <c r="D2677" s="140">
        <v>12004437</v>
      </c>
      <c r="E2677" s="6" t="s">
        <v>3564</v>
      </c>
      <c r="F2677" s="10" t="s">
        <v>205</v>
      </c>
      <c r="G2677" s="6" t="s">
        <v>8078</v>
      </c>
      <c r="H2677" s="8">
        <v>56864</v>
      </c>
      <c r="L2677" s="95" t="s">
        <v>359</v>
      </c>
      <c r="R2677" s="97" t="str">
        <f t="shared" si="98"/>
        <v/>
      </c>
      <c r="S2677" s="75" t="str">
        <f t="shared" si="99"/>
        <v/>
      </c>
    </row>
    <row r="2678" spans="1:19" x14ac:dyDescent="0.25">
      <c r="A2678" s="6" t="s">
        <v>25</v>
      </c>
      <c r="B2678" s="94" t="s">
        <v>6516</v>
      </c>
      <c r="C2678" s="6" t="s">
        <v>8079</v>
      </c>
      <c r="D2678" s="140">
        <v>11106465</v>
      </c>
      <c r="E2678" s="6" t="s">
        <v>1151</v>
      </c>
      <c r="F2678" s="10" t="s">
        <v>205</v>
      </c>
      <c r="G2678" s="6" t="s">
        <v>8080</v>
      </c>
      <c r="H2678" s="8">
        <v>54518</v>
      </c>
      <c r="L2678" s="95" t="s">
        <v>359</v>
      </c>
      <c r="R2678" s="97" t="str">
        <f t="shared" si="98"/>
        <v/>
      </c>
      <c r="S2678" s="75" t="str">
        <f t="shared" si="99"/>
        <v/>
      </c>
    </row>
    <row r="2679" spans="1:19" x14ac:dyDescent="0.25">
      <c r="A2679" s="6" t="s">
        <v>25</v>
      </c>
      <c r="B2679" s="94" t="s">
        <v>8081</v>
      </c>
      <c r="C2679" s="6" t="s">
        <v>8082</v>
      </c>
      <c r="D2679" s="140">
        <v>11559409</v>
      </c>
      <c r="E2679" s="6" t="s">
        <v>344</v>
      </c>
      <c r="F2679" s="10" t="s">
        <v>121</v>
      </c>
      <c r="G2679" s="6" t="s">
        <v>8083</v>
      </c>
      <c r="H2679" s="8">
        <v>45829</v>
      </c>
      <c r="L2679" s="95" t="s">
        <v>359</v>
      </c>
      <c r="R2679" s="97" t="str">
        <f t="shared" si="98"/>
        <v/>
      </c>
      <c r="S2679" s="75" t="str">
        <f t="shared" si="99"/>
        <v/>
      </c>
    </row>
    <row r="2680" spans="1:19" x14ac:dyDescent="0.25">
      <c r="A2680" s="6" t="s">
        <v>25</v>
      </c>
      <c r="B2680" s="94" t="s">
        <v>5248</v>
      </c>
      <c r="C2680" s="6" t="s">
        <v>8084</v>
      </c>
      <c r="D2680" s="140">
        <v>11046361</v>
      </c>
      <c r="E2680" s="6" t="s">
        <v>2086</v>
      </c>
      <c r="F2680" s="10" t="s">
        <v>134</v>
      </c>
      <c r="G2680" s="6" t="s">
        <v>8085</v>
      </c>
      <c r="H2680" s="8">
        <v>46253</v>
      </c>
      <c r="L2680" s="95" t="s">
        <v>359</v>
      </c>
      <c r="R2680" s="97" t="str">
        <f t="shared" si="98"/>
        <v/>
      </c>
      <c r="S2680" s="75" t="str">
        <f t="shared" si="99"/>
        <v/>
      </c>
    </row>
    <row r="2681" spans="1:19" x14ac:dyDescent="0.25">
      <c r="A2681" s="6" t="s">
        <v>25</v>
      </c>
      <c r="B2681" s="94" t="s">
        <v>8086</v>
      </c>
      <c r="C2681" s="6" t="s">
        <v>8087</v>
      </c>
      <c r="D2681" s="140">
        <v>11369491</v>
      </c>
      <c r="E2681" s="6" t="s">
        <v>783</v>
      </c>
      <c r="F2681" s="10" t="s">
        <v>134</v>
      </c>
      <c r="G2681" s="6" t="s">
        <v>8088</v>
      </c>
      <c r="H2681" s="8">
        <v>46354</v>
      </c>
      <c r="L2681" s="95" t="s">
        <v>359</v>
      </c>
      <c r="R2681" s="97" t="str">
        <f t="shared" si="98"/>
        <v/>
      </c>
      <c r="S2681" s="75" t="str">
        <f t="shared" si="99"/>
        <v/>
      </c>
    </row>
    <row r="2682" spans="1:19" x14ac:dyDescent="0.25">
      <c r="A2682" s="6" t="s">
        <v>37</v>
      </c>
      <c r="B2682" s="94" t="s">
        <v>202</v>
      </c>
      <c r="C2682" s="6" t="s">
        <v>8089</v>
      </c>
      <c r="D2682" s="140">
        <v>11548869</v>
      </c>
      <c r="E2682" s="6" t="s">
        <v>1539</v>
      </c>
      <c r="F2682" s="10" t="s">
        <v>134</v>
      </c>
      <c r="G2682" s="6" t="s">
        <v>8090</v>
      </c>
      <c r="H2682" s="8">
        <v>59901</v>
      </c>
      <c r="L2682" s="95" t="s">
        <v>359</v>
      </c>
      <c r="R2682" s="97" t="str">
        <f t="shared" si="98"/>
        <v/>
      </c>
      <c r="S2682" s="75" t="str">
        <f t="shared" si="99"/>
        <v/>
      </c>
    </row>
    <row r="2683" spans="1:19" x14ac:dyDescent="0.25">
      <c r="A2683" s="6" t="s">
        <v>37</v>
      </c>
      <c r="B2683" s="94" t="s">
        <v>8091</v>
      </c>
      <c r="C2683" s="6" t="s">
        <v>8092</v>
      </c>
      <c r="D2683" s="140">
        <v>11700161</v>
      </c>
      <c r="E2683" s="6" t="s">
        <v>1539</v>
      </c>
      <c r="F2683" s="10" t="s">
        <v>134</v>
      </c>
      <c r="G2683" s="6" t="s">
        <v>8093</v>
      </c>
      <c r="H2683" s="8">
        <v>47553</v>
      </c>
      <c r="L2683" s="95" t="s">
        <v>359</v>
      </c>
      <c r="R2683" s="97" t="str">
        <f t="shared" si="98"/>
        <v/>
      </c>
      <c r="S2683" s="75" t="str">
        <f t="shared" si="99"/>
        <v/>
      </c>
    </row>
    <row r="2684" spans="1:19" x14ac:dyDescent="0.25">
      <c r="A2684" s="6" t="s">
        <v>25</v>
      </c>
      <c r="B2684" s="94" t="s">
        <v>8094</v>
      </c>
      <c r="C2684" s="6" t="s">
        <v>8095</v>
      </c>
      <c r="D2684" s="140">
        <v>1134263</v>
      </c>
      <c r="E2684" s="6" t="s">
        <v>826</v>
      </c>
      <c r="F2684" s="10" t="s">
        <v>134</v>
      </c>
      <c r="G2684" s="6" t="s">
        <v>8096</v>
      </c>
      <c r="H2684" s="8">
        <v>75257</v>
      </c>
      <c r="L2684" s="95" t="s">
        <v>359</v>
      </c>
      <c r="R2684" s="97" t="str">
        <f t="shared" si="98"/>
        <v/>
      </c>
      <c r="S2684" s="75" t="str">
        <f t="shared" si="99"/>
        <v/>
      </c>
    </row>
    <row r="2685" spans="1:19" x14ac:dyDescent="0.25">
      <c r="A2685" s="6" t="s">
        <v>25</v>
      </c>
      <c r="B2685" s="94" t="s">
        <v>8097</v>
      </c>
      <c r="C2685" s="6" t="s">
        <v>8098</v>
      </c>
      <c r="D2685" s="140">
        <v>11080051</v>
      </c>
      <c r="E2685" s="6" t="s">
        <v>1143</v>
      </c>
      <c r="F2685" s="10" t="s">
        <v>134</v>
      </c>
      <c r="G2685" s="6" t="s">
        <v>8099</v>
      </c>
      <c r="H2685" s="8">
        <v>48444</v>
      </c>
      <c r="L2685" s="95" t="s">
        <v>359</v>
      </c>
      <c r="R2685" s="97" t="str">
        <f t="shared" si="98"/>
        <v/>
      </c>
      <c r="S2685" s="75" t="str">
        <f t="shared" si="99"/>
        <v/>
      </c>
    </row>
    <row r="2686" spans="1:19" x14ac:dyDescent="0.25">
      <c r="A2686" s="6" t="s">
        <v>25</v>
      </c>
      <c r="B2686" s="94" t="s">
        <v>4517</v>
      </c>
      <c r="C2686" s="6" t="s">
        <v>8100</v>
      </c>
      <c r="D2686" s="140">
        <v>11217621</v>
      </c>
      <c r="E2686" s="6" t="s">
        <v>783</v>
      </c>
      <c r="F2686" s="10" t="s">
        <v>134</v>
      </c>
      <c r="G2686" s="6" t="s">
        <v>8101</v>
      </c>
      <c r="H2686" s="8">
        <v>46490</v>
      </c>
      <c r="L2686" s="95" t="s">
        <v>359</v>
      </c>
      <c r="R2686" s="97" t="str">
        <f t="shared" si="98"/>
        <v/>
      </c>
      <c r="S2686" s="75" t="str">
        <f t="shared" si="99"/>
        <v/>
      </c>
    </row>
    <row r="2687" spans="1:19" x14ac:dyDescent="0.25">
      <c r="A2687" s="6" t="s">
        <v>25</v>
      </c>
      <c r="B2687" s="94" t="s">
        <v>8102</v>
      </c>
      <c r="C2687" s="6" t="s">
        <v>8103</v>
      </c>
      <c r="D2687" s="140">
        <v>11261568</v>
      </c>
      <c r="E2687" s="6" t="s">
        <v>318</v>
      </c>
      <c r="F2687" s="10" t="s">
        <v>134</v>
      </c>
      <c r="G2687" s="6" t="s">
        <v>8104</v>
      </c>
      <c r="H2687" s="8">
        <v>45726</v>
      </c>
      <c r="L2687" s="95" t="s">
        <v>359</v>
      </c>
      <c r="R2687" s="97" t="str">
        <f t="shared" si="98"/>
        <v/>
      </c>
      <c r="S2687" s="75" t="str">
        <f t="shared" si="99"/>
        <v/>
      </c>
    </row>
    <row r="2688" spans="1:19" x14ac:dyDescent="0.25">
      <c r="A2688" s="6" t="s">
        <v>25</v>
      </c>
      <c r="B2688" s="94" t="s">
        <v>723</v>
      </c>
      <c r="C2688" s="6" t="s">
        <v>8105</v>
      </c>
      <c r="D2688" s="140">
        <v>11042815</v>
      </c>
      <c r="E2688" s="6" t="s">
        <v>881</v>
      </c>
      <c r="F2688" s="10" t="s">
        <v>134</v>
      </c>
      <c r="G2688" s="6" t="s">
        <v>8106</v>
      </c>
      <c r="H2688" s="8">
        <v>45551</v>
      </c>
      <c r="L2688" s="95" t="s">
        <v>359</v>
      </c>
      <c r="R2688" s="97" t="str">
        <f t="shared" si="98"/>
        <v/>
      </c>
      <c r="S2688" s="75" t="str">
        <f t="shared" si="99"/>
        <v/>
      </c>
    </row>
    <row r="2689" spans="1:19" x14ac:dyDescent="0.25">
      <c r="A2689" s="6" t="s">
        <v>25</v>
      </c>
      <c r="B2689" s="94" t="s">
        <v>8107</v>
      </c>
      <c r="C2689" s="6" t="s">
        <v>8108</v>
      </c>
      <c r="D2689" s="140">
        <v>11516227</v>
      </c>
      <c r="E2689" s="6" t="s">
        <v>8109</v>
      </c>
      <c r="F2689" s="10" t="s">
        <v>134</v>
      </c>
      <c r="G2689" s="6" t="s">
        <v>8110</v>
      </c>
      <c r="H2689" s="8">
        <v>52020</v>
      </c>
      <c r="L2689" s="95" t="s">
        <v>359</v>
      </c>
      <c r="R2689" s="97" t="str">
        <f t="shared" si="98"/>
        <v/>
      </c>
      <c r="S2689" s="75" t="str">
        <f t="shared" si="99"/>
        <v/>
      </c>
    </row>
    <row r="2690" spans="1:19" x14ac:dyDescent="0.25">
      <c r="A2690" s="6" t="s">
        <v>168</v>
      </c>
      <c r="B2690" s="94" t="s">
        <v>102</v>
      </c>
      <c r="C2690" s="6" t="s">
        <v>8111</v>
      </c>
      <c r="D2690" s="140">
        <v>12158593</v>
      </c>
      <c r="E2690" s="6" t="s">
        <v>878</v>
      </c>
      <c r="F2690" s="10" t="s">
        <v>134</v>
      </c>
      <c r="G2690" s="6" t="s">
        <v>8112</v>
      </c>
      <c r="H2690" s="8">
        <v>48189</v>
      </c>
      <c r="L2690" s="95" t="s">
        <v>359</v>
      </c>
      <c r="R2690" s="97" t="str">
        <f t="shared" si="98"/>
        <v/>
      </c>
      <c r="S2690" s="75" t="str">
        <f t="shared" si="99"/>
        <v/>
      </c>
    </row>
    <row r="2691" spans="1:19" x14ac:dyDescent="0.25">
      <c r="A2691" s="6" t="s">
        <v>25</v>
      </c>
      <c r="B2691" s="94" t="s">
        <v>8113</v>
      </c>
      <c r="C2691" s="6" t="s">
        <v>8114</v>
      </c>
      <c r="D2691" s="140">
        <v>11116562</v>
      </c>
      <c r="E2691" s="6" t="s">
        <v>1927</v>
      </c>
      <c r="F2691" s="10" t="s">
        <v>134</v>
      </c>
      <c r="G2691" s="6" t="s">
        <v>8115</v>
      </c>
      <c r="H2691" s="8">
        <v>80367</v>
      </c>
      <c r="L2691" s="95" t="s">
        <v>359</v>
      </c>
      <c r="R2691" s="97" t="str">
        <f t="shared" si="98"/>
        <v/>
      </c>
      <c r="S2691" s="75" t="str">
        <f t="shared" si="99"/>
        <v/>
      </c>
    </row>
    <row r="2692" spans="1:19" x14ac:dyDescent="0.25">
      <c r="A2692" s="6" t="s">
        <v>25</v>
      </c>
      <c r="B2692" s="94" t="s">
        <v>8116</v>
      </c>
      <c r="C2692" s="6" t="s">
        <v>8117</v>
      </c>
      <c r="D2692" s="140">
        <v>11176721</v>
      </c>
      <c r="E2692" s="6" t="s">
        <v>498</v>
      </c>
      <c r="F2692" s="10" t="s">
        <v>134</v>
      </c>
      <c r="G2692" s="6" t="s">
        <v>8118</v>
      </c>
      <c r="H2692" s="8">
        <v>46904</v>
      </c>
      <c r="L2692" s="95" t="s">
        <v>359</v>
      </c>
      <c r="R2692" s="97" t="str">
        <f t="shared" si="98"/>
        <v/>
      </c>
      <c r="S2692" s="75" t="str">
        <f t="shared" si="99"/>
        <v/>
      </c>
    </row>
    <row r="2693" spans="1:19" x14ac:dyDescent="0.25">
      <c r="A2693" s="6" t="s">
        <v>168</v>
      </c>
      <c r="B2693" s="94" t="s">
        <v>8119</v>
      </c>
      <c r="C2693" s="6" t="s">
        <v>8120</v>
      </c>
      <c r="D2693" s="140">
        <v>11340810</v>
      </c>
      <c r="E2693" s="6" t="s">
        <v>714</v>
      </c>
      <c r="F2693" s="10" t="s">
        <v>299</v>
      </c>
      <c r="G2693" s="6" t="s">
        <v>8121</v>
      </c>
      <c r="H2693" s="8">
        <v>48226</v>
      </c>
      <c r="L2693" s="95" t="s">
        <v>359</v>
      </c>
      <c r="R2693" s="97" t="str">
        <f t="shared" si="98"/>
        <v/>
      </c>
      <c r="S2693" s="75" t="str">
        <f t="shared" si="99"/>
        <v/>
      </c>
    </row>
    <row r="2694" spans="1:19" x14ac:dyDescent="0.25">
      <c r="A2694" s="6" t="s">
        <v>25</v>
      </c>
      <c r="B2694" s="94" t="s">
        <v>8122</v>
      </c>
      <c r="C2694" s="6" t="s">
        <v>8123</v>
      </c>
      <c r="D2694" s="140">
        <v>12000243</v>
      </c>
      <c r="E2694" s="6" t="s">
        <v>1151</v>
      </c>
      <c r="F2694" s="10" t="s">
        <v>299</v>
      </c>
      <c r="G2694" s="6" t="s">
        <v>8124</v>
      </c>
      <c r="H2694" s="8">
        <v>49915</v>
      </c>
      <c r="L2694" s="95" t="s">
        <v>359</v>
      </c>
      <c r="R2694" s="97" t="str">
        <f t="shared" si="98"/>
        <v/>
      </c>
      <c r="S2694" s="75" t="str">
        <f t="shared" si="99"/>
        <v/>
      </c>
    </row>
    <row r="2695" spans="1:19" x14ac:dyDescent="0.25">
      <c r="A2695" s="6" t="s">
        <v>25</v>
      </c>
      <c r="B2695" s="94" t="s">
        <v>646</v>
      </c>
      <c r="C2695" s="6" t="s">
        <v>8125</v>
      </c>
      <c r="D2695" s="140">
        <v>11145584</v>
      </c>
      <c r="E2695" s="6" t="s">
        <v>1927</v>
      </c>
      <c r="F2695" s="10" t="s">
        <v>2600</v>
      </c>
      <c r="G2695" s="6">
        <v>1144039</v>
      </c>
      <c r="H2695" s="8">
        <v>48896</v>
      </c>
      <c r="L2695" s="95" t="s">
        <v>359</v>
      </c>
      <c r="R2695" s="97" t="str">
        <f t="shared" si="98"/>
        <v/>
      </c>
      <c r="S2695" s="75" t="str">
        <f t="shared" si="99"/>
        <v/>
      </c>
    </row>
    <row r="2696" spans="1:19" x14ac:dyDescent="0.25">
      <c r="A2696" s="6" t="s">
        <v>25</v>
      </c>
      <c r="B2696" s="94" t="s">
        <v>178</v>
      </c>
      <c r="C2696" s="6" t="s">
        <v>8126</v>
      </c>
      <c r="D2696" s="140">
        <v>11943206</v>
      </c>
      <c r="E2696" s="6" t="s">
        <v>714</v>
      </c>
      <c r="F2696" s="10" t="s">
        <v>2600</v>
      </c>
      <c r="G2696" s="6">
        <v>1068597</v>
      </c>
      <c r="H2696" s="8">
        <v>46541</v>
      </c>
      <c r="L2696" s="95" t="s">
        <v>359</v>
      </c>
      <c r="R2696" s="97" t="str">
        <f t="shared" si="98"/>
        <v/>
      </c>
      <c r="S2696" s="75" t="str">
        <f t="shared" si="99"/>
        <v/>
      </c>
    </row>
    <row r="2697" spans="1:19" x14ac:dyDescent="0.25">
      <c r="A2697" s="6" t="s">
        <v>25</v>
      </c>
      <c r="B2697" s="94" t="s">
        <v>8127</v>
      </c>
      <c r="C2697" s="6" t="s">
        <v>8128</v>
      </c>
      <c r="D2697" s="140">
        <v>11871156</v>
      </c>
      <c r="E2697" s="6" t="s">
        <v>2454</v>
      </c>
      <c r="F2697" s="10" t="s">
        <v>143</v>
      </c>
      <c r="G2697" s="6" t="s">
        <v>8129</v>
      </c>
      <c r="H2697" s="8">
        <v>52921</v>
      </c>
      <c r="L2697" s="95" t="s">
        <v>359</v>
      </c>
      <c r="R2697" s="97" t="str">
        <f t="shared" si="98"/>
        <v/>
      </c>
      <c r="S2697" s="75" t="str">
        <f t="shared" si="99"/>
        <v/>
      </c>
    </row>
    <row r="2698" spans="1:19" x14ac:dyDescent="0.25">
      <c r="A2698" s="6" t="s">
        <v>25</v>
      </c>
      <c r="B2698" s="94" t="s">
        <v>8130</v>
      </c>
      <c r="C2698" s="6" t="s">
        <v>8131</v>
      </c>
      <c r="D2698" s="140">
        <v>11120421</v>
      </c>
      <c r="E2698" s="6" t="s">
        <v>142</v>
      </c>
      <c r="F2698" s="10" t="s">
        <v>143</v>
      </c>
      <c r="G2698" s="6" t="s">
        <v>8132</v>
      </c>
      <c r="H2698" s="8">
        <v>48433</v>
      </c>
      <c r="L2698" s="95" t="s">
        <v>359</v>
      </c>
      <c r="R2698" s="97" t="str">
        <f t="shared" si="98"/>
        <v/>
      </c>
      <c r="S2698" s="75" t="str">
        <f t="shared" si="99"/>
        <v/>
      </c>
    </row>
    <row r="2699" spans="1:19" x14ac:dyDescent="0.25">
      <c r="A2699" s="6" t="s">
        <v>25</v>
      </c>
      <c r="B2699" s="94" t="s">
        <v>1395</v>
      </c>
      <c r="C2699" s="6" t="s">
        <v>8133</v>
      </c>
      <c r="D2699" s="140">
        <v>11109354</v>
      </c>
      <c r="E2699" s="6" t="s">
        <v>244</v>
      </c>
      <c r="F2699" s="10" t="s">
        <v>143</v>
      </c>
      <c r="G2699" s="6" t="s">
        <v>8134</v>
      </c>
      <c r="H2699" s="8">
        <v>68868</v>
      </c>
      <c r="L2699" s="95" t="s">
        <v>359</v>
      </c>
      <c r="R2699" s="97" t="str">
        <f t="shared" si="98"/>
        <v/>
      </c>
      <c r="S2699" s="75" t="str">
        <f t="shared" si="99"/>
        <v/>
      </c>
    </row>
    <row r="2700" spans="1:19" x14ac:dyDescent="0.25">
      <c r="A2700" s="6" t="s">
        <v>25</v>
      </c>
      <c r="B2700" s="94" t="s">
        <v>8135</v>
      </c>
      <c r="C2700" s="6" t="s">
        <v>8136</v>
      </c>
      <c r="D2700" s="140">
        <v>11949025</v>
      </c>
      <c r="E2700" s="6" t="s">
        <v>99</v>
      </c>
      <c r="F2700" s="10" t="s">
        <v>143</v>
      </c>
      <c r="G2700" s="6" t="s">
        <v>8137</v>
      </c>
      <c r="H2700" s="8">
        <v>84559</v>
      </c>
      <c r="L2700" s="95" t="s">
        <v>359</v>
      </c>
      <c r="R2700" s="97" t="str">
        <f t="shared" si="98"/>
        <v/>
      </c>
      <c r="S2700" s="75" t="str">
        <f t="shared" si="99"/>
        <v/>
      </c>
    </row>
    <row r="2701" spans="1:19" x14ac:dyDescent="0.25">
      <c r="A2701" s="6" t="s">
        <v>25</v>
      </c>
      <c r="B2701" s="94" t="s">
        <v>704</v>
      </c>
      <c r="C2701" s="6" t="s">
        <v>8138</v>
      </c>
      <c r="D2701" s="140">
        <v>11360875</v>
      </c>
      <c r="E2701" s="6" t="s">
        <v>382</v>
      </c>
      <c r="F2701" s="10" t="s">
        <v>50</v>
      </c>
      <c r="G2701" s="6" t="s">
        <v>8139</v>
      </c>
      <c r="H2701" s="8">
        <v>46296</v>
      </c>
      <c r="L2701" s="95" t="s">
        <v>359</v>
      </c>
      <c r="R2701" s="97" t="str">
        <f t="shared" si="98"/>
        <v/>
      </c>
      <c r="S2701" s="75" t="str">
        <f t="shared" si="99"/>
        <v/>
      </c>
    </row>
    <row r="2702" spans="1:19" x14ac:dyDescent="0.25">
      <c r="A2702" s="6" t="s">
        <v>168</v>
      </c>
      <c r="B2702" s="94" t="s">
        <v>5877</v>
      </c>
      <c r="C2702" s="6" t="s">
        <v>5878</v>
      </c>
      <c r="D2702" s="140">
        <v>11371106</v>
      </c>
      <c r="E2702" s="6" t="s">
        <v>1650</v>
      </c>
      <c r="F2702" s="10" t="s">
        <v>100</v>
      </c>
      <c r="G2702" s="6">
        <v>100002</v>
      </c>
      <c r="H2702" s="8">
        <v>47976</v>
      </c>
      <c r="L2702" s="95" t="s">
        <v>359</v>
      </c>
      <c r="R2702" s="97" t="str">
        <f t="shared" si="98"/>
        <v/>
      </c>
      <c r="S2702" s="75" t="str">
        <f t="shared" si="99"/>
        <v/>
      </c>
    </row>
    <row r="2703" spans="1:19" ht="30" x14ac:dyDescent="0.25">
      <c r="A2703" s="6" t="s">
        <v>25</v>
      </c>
      <c r="B2703" s="94" t="s">
        <v>8140</v>
      </c>
      <c r="C2703" s="6" t="s">
        <v>8141</v>
      </c>
      <c r="D2703" s="140">
        <v>11077465</v>
      </c>
      <c r="E2703" s="6" t="s">
        <v>318</v>
      </c>
      <c r="F2703" s="10" t="s">
        <v>143</v>
      </c>
      <c r="G2703" s="6" t="s">
        <v>8142</v>
      </c>
      <c r="H2703" s="8">
        <v>59316</v>
      </c>
      <c r="L2703" s="95" t="s">
        <v>359</v>
      </c>
      <c r="R2703" s="97" t="str">
        <f t="shared" si="98"/>
        <v/>
      </c>
      <c r="S2703" s="75" t="str">
        <f t="shared" si="99"/>
        <v/>
      </c>
    </row>
    <row r="2704" spans="1:19" ht="30" x14ac:dyDescent="0.25">
      <c r="A2704" s="6" t="s">
        <v>25</v>
      </c>
      <c r="B2704" s="94" t="s">
        <v>8143</v>
      </c>
      <c r="C2704" s="6" t="s">
        <v>8144</v>
      </c>
      <c r="D2704" s="140">
        <v>11107109</v>
      </c>
      <c r="E2704" s="6" t="s">
        <v>3644</v>
      </c>
      <c r="F2704" s="10" t="s">
        <v>2600</v>
      </c>
      <c r="G2704" s="6" t="s">
        <v>8145</v>
      </c>
      <c r="H2704" s="8">
        <v>54099</v>
      </c>
      <c r="L2704" s="95" t="s">
        <v>359</v>
      </c>
      <c r="R2704" s="97" t="str">
        <f t="shared" si="98"/>
        <v/>
      </c>
      <c r="S2704" s="75" t="str">
        <f t="shared" si="99"/>
        <v/>
      </c>
    </row>
    <row r="2705" spans="1:24" ht="30" x14ac:dyDescent="0.25">
      <c r="A2705" s="6" t="s">
        <v>25</v>
      </c>
      <c r="B2705" s="94" t="s">
        <v>8146</v>
      </c>
      <c r="C2705" s="6" t="s">
        <v>8147</v>
      </c>
      <c r="D2705" s="140">
        <v>11050538</v>
      </c>
      <c r="E2705" s="6" t="s">
        <v>409</v>
      </c>
      <c r="F2705" s="10" t="s">
        <v>44</v>
      </c>
      <c r="G2705" s="6" t="s">
        <v>8148</v>
      </c>
      <c r="H2705" s="8">
        <v>50930</v>
      </c>
      <c r="L2705" s="95" t="s">
        <v>359</v>
      </c>
      <c r="R2705" s="97" t="str">
        <f t="shared" si="98"/>
        <v/>
      </c>
      <c r="S2705" s="75" t="str">
        <f t="shared" si="99"/>
        <v/>
      </c>
    </row>
    <row r="2706" spans="1:24" x14ac:dyDescent="0.25">
      <c r="A2706" s="6" t="s">
        <v>168</v>
      </c>
      <c r="B2706" s="94" t="s">
        <v>2179</v>
      </c>
      <c r="C2706" s="6" t="s">
        <v>8149</v>
      </c>
      <c r="D2706" s="140">
        <v>11288175</v>
      </c>
      <c r="E2706" s="6" t="s">
        <v>714</v>
      </c>
      <c r="F2706" s="10" t="s">
        <v>44</v>
      </c>
      <c r="G2706" s="6" t="s">
        <v>8150</v>
      </c>
      <c r="H2706" s="8">
        <v>49896</v>
      </c>
      <c r="L2706" s="95" t="s">
        <v>359</v>
      </c>
      <c r="R2706" s="97" t="str">
        <f t="shared" si="98"/>
        <v/>
      </c>
      <c r="S2706" s="75" t="str">
        <f t="shared" si="99"/>
        <v/>
      </c>
    </row>
    <row r="2707" spans="1:24" x14ac:dyDescent="0.25">
      <c r="A2707" s="6" t="s">
        <v>168</v>
      </c>
      <c r="B2707" s="94" t="s">
        <v>774</v>
      </c>
      <c r="C2707" s="6" t="s">
        <v>775</v>
      </c>
      <c r="D2707" s="140">
        <v>12004292</v>
      </c>
      <c r="E2707" s="6" t="s">
        <v>714</v>
      </c>
      <c r="F2707" s="10" t="s">
        <v>44</v>
      </c>
      <c r="G2707" s="6" t="s">
        <v>776</v>
      </c>
      <c r="H2707" s="8">
        <v>54577</v>
      </c>
      <c r="L2707" s="95" t="s">
        <v>359</v>
      </c>
      <c r="R2707" s="97" t="str">
        <f t="shared" si="98"/>
        <v/>
      </c>
      <c r="S2707" s="75" t="str">
        <f t="shared" si="99"/>
        <v/>
      </c>
    </row>
    <row r="2708" spans="1:24" x14ac:dyDescent="0.25">
      <c r="A2708" s="6" t="s">
        <v>25</v>
      </c>
      <c r="B2708" s="94" t="s">
        <v>8151</v>
      </c>
      <c r="C2708" s="6" t="s">
        <v>8152</v>
      </c>
      <c r="D2708" s="140">
        <v>11132176</v>
      </c>
      <c r="E2708" s="6" t="s">
        <v>209</v>
      </c>
      <c r="F2708" s="10" t="s">
        <v>44</v>
      </c>
      <c r="G2708" s="6" t="s">
        <v>8153</v>
      </c>
      <c r="H2708" s="8">
        <v>55527</v>
      </c>
      <c r="L2708" s="95" t="s">
        <v>359</v>
      </c>
      <c r="R2708" s="97" t="str">
        <f t="shared" si="98"/>
        <v/>
      </c>
      <c r="S2708" s="75" t="str">
        <f t="shared" si="99"/>
        <v/>
      </c>
    </row>
    <row r="2709" spans="1:24" ht="15.75" customHeight="1" x14ac:dyDescent="0.25">
      <c r="A2709" s="6" t="s">
        <v>25</v>
      </c>
      <c r="B2709" s="94" t="s">
        <v>8154</v>
      </c>
      <c r="C2709" s="6" t="s">
        <v>8155</v>
      </c>
      <c r="D2709" s="140">
        <v>11532655</v>
      </c>
      <c r="E2709" s="6" t="s">
        <v>298</v>
      </c>
      <c r="F2709" s="10" t="s">
        <v>44</v>
      </c>
      <c r="G2709" s="6" t="s">
        <v>8156</v>
      </c>
      <c r="H2709" s="8">
        <v>49595</v>
      </c>
      <c r="L2709" s="95" t="s">
        <v>359</v>
      </c>
      <c r="R2709" s="97" t="str">
        <f t="shared" si="98"/>
        <v/>
      </c>
      <c r="S2709" s="75" t="str">
        <f t="shared" si="99"/>
        <v/>
      </c>
    </row>
    <row r="2710" spans="1:24" x14ac:dyDescent="0.25">
      <c r="A2710" s="6" t="s">
        <v>25</v>
      </c>
      <c r="B2710" s="94" t="s">
        <v>8157</v>
      </c>
      <c r="C2710" s="6" t="s">
        <v>8158</v>
      </c>
      <c r="D2710" s="140">
        <v>10978797</v>
      </c>
      <c r="E2710" s="6" t="s">
        <v>120</v>
      </c>
      <c r="F2710" s="10" t="s">
        <v>62</v>
      </c>
      <c r="G2710" s="6" t="s">
        <v>8159</v>
      </c>
      <c r="H2710" s="8">
        <v>49990</v>
      </c>
      <c r="I2710" s="8">
        <v>44774</v>
      </c>
      <c r="J2710" s="8">
        <v>44774</v>
      </c>
      <c r="L2710" s="95" t="s">
        <v>31</v>
      </c>
      <c r="M2710" s="8">
        <v>44788</v>
      </c>
      <c r="N2710" s="8">
        <v>44991</v>
      </c>
      <c r="O2710" s="8">
        <v>44985</v>
      </c>
      <c r="P2710" s="6" t="s">
        <v>35</v>
      </c>
      <c r="Q2710" s="96">
        <v>5475</v>
      </c>
      <c r="R2710" s="97">
        <f t="shared" si="98"/>
        <v>15</v>
      </c>
      <c r="S2710" s="75">
        <f t="shared" si="99"/>
        <v>123885</v>
      </c>
      <c r="U2710" s="8">
        <v>45014</v>
      </c>
      <c r="W2710" s="6" t="s">
        <v>84</v>
      </c>
      <c r="X2710" s="7">
        <v>49955</v>
      </c>
    </row>
    <row r="2711" spans="1:24" ht="45" x14ac:dyDescent="0.25">
      <c r="A2711" s="6" t="s">
        <v>25</v>
      </c>
      <c r="B2711" s="94" t="s">
        <v>8160</v>
      </c>
      <c r="C2711" s="6" t="s">
        <v>8161</v>
      </c>
      <c r="D2711" s="140">
        <v>11923236</v>
      </c>
      <c r="E2711" s="6" t="s">
        <v>80</v>
      </c>
      <c r="F2711" s="10" t="s">
        <v>44</v>
      </c>
      <c r="G2711" s="6" t="s">
        <v>8162</v>
      </c>
      <c r="H2711" s="8">
        <v>50936</v>
      </c>
      <c r="I2711" s="8">
        <v>44774</v>
      </c>
      <c r="J2711" s="8">
        <v>44774</v>
      </c>
      <c r="L2711" s="95" t="s">
        <v>31</v>
      </c>
      <c r="M2711" s="8">
        <v>44788</v>
      </c>
      <c r="N2711" s="8">
        <v>44796</v>
      </c>
      <c r="P2711" s="6" t="s">
        <v>628</v>
      </c>
      <c r="R2711" s="97" t="str">
        <f t="shared" si="98"/>
        <v/>
      </c>
      <c r="S2711" s="75" t="str">
        <f t="shared" si="99"/>
        <v/>
      </c>
      <c r="T2711" s="124" t="s">
        <v>8163</v>
      </c>
      <c r="W2711" s="6" t="s">
        <v>84</v>
      </c>
      <c r="X2711" s="7">
        <v>50936</v>
      </c>
    </row>
    <row r="2712" spans="1:24" x14ac:dyDescent="0.25">
      <c r="A2712" s="6" t="s">
        <v>25</v>
      </c>
      <c r="B2712" s="94" t="s">
        <v>2971</v>
      </c>
      <c r="C2712" s="6" t="s">
        <v>8164</v>
      </c>
      <c r="D2712" s="140">
        <v>11203344</v>
      </c>
      <c r="E2712" s="6" t="s">
        <v>409</v>
      </c>
      <c r="F2712" s="10" t="s">
        <v>44</v>
      </c>
      <c r="G2712" s="6" t="s">
        <v>8165</v>
      </c>
      <c r="H2712" s="8">
        <v>50391</v>
      </c>
      <c r="I2712" s="8">
        <v>44830</v>
      </c>
      <c r="J2712" s="8">
        <v>44830</v>
      </c>
      <c r="L2712" s="95" t="s">
        <v>31</v>
      </c>
      <c r="M2712" s="8">
        <v>44853</v>
      </c>
      <c r="R2712" s="97" t="str">
        <f t="shared" si="98"/>
        <v/>
      </c>
      <c r="S2712" s="75" t="str">
        <f t="shared" si="99"/>
        <v/>
      </c>
      <c r="W2712" s="6" t="s">
        <v>84</v>
      </c>
      <c r="X2712" s="7">
        <v>47332</v>
      </c>
    </row>
    <row r="2713" spans="1:24" x14ac:dyDescent="0.25">
      <c r="A2713" s="6" t="s">
        <v>168</v>
      </c>
      <c r="B2713" s="94" t="s">
        <v>7914</v>
      </c>
      <c r="C2713" s="6" t="s">
        <v>7915</v>
      </c>
      <c r="D2713" s="140">
        <v>11220260</v>
      </c>
      <c r="E2713" s="6" t="s">
        <v>166</v>
      </c>
      <c r="F2713" s="10" t="s">
        <v>44</v>
      </c>
      <c r="G2713" s="6" t="s">
        <v>7916</v>
      </c>
      <c r="H2713" s="8">
        <v>60526</v>
      </c>
      <c r="I2713" s="8">
        <v>44774</v>
      </c>
      <c r="J2713" s="8">
        <v>44774</v>
      </c>
      <c r="L2713" s="95" t="s">
        <v>31</v>
      </c>
      <c r="M2713" s="8">
        <v>44792</v>
      </c>
      <c r="N2713" s="8">
        <v>45037</v>
      </c>
      <c r="O2713" s="8">
        <v>45034</v>
      </c>
      <c r="P2713" s="6" t="s">
        <v>90</v>
      </c>
      <c r="Q2713" s="96">
        <v>25404</v>
      </c>
      <c r="R2713" s="97">
        <f t="shared" si="98"/>
        <v>69.599999999999994</v>
      </c>
      <c r="S2713" s="75">
        <f t="shared" si="99"/>
        <v>574826.4</v>
      </c>
      <c r="T2713" s="124" t="s">
        <v>7917</v>
      </c>
      <c r="U2713" s="8">
        <v>45344</v>
      </c>
      <c r="V2713" s="6" t="s">
        <v>36</v>
      </c>
      <c r="W2713" s="6" t="s">
        <v>33</v>
      </c>
      <c r="X2713" s="7">
        <v>48416</v>
      </c>
    </row>
    <row r="2714" spans="1:24" x14ac:dyDescent="0.25">
      <c r="A2714" s="6" t="s">
        <v>25</v>
      </c>
      <c r="B2714" s="94" t="s">
        <v>102</v>
      </c>
      <c r="C2714" s="6" t="s">
        <v>8166</v>
      </c>
      <c r="D2714" s="140">
        <v>11139246</v>
      </c>
      <c r="E2714" s="6" t="s">
        <v>584</v>
      </c>
      <c r="F2714" s="10" t="s">
        <v>44</v>
      </c>
      <c r="G2714" s="6" t="s">
        <v>8167</v>
      </c>
      <c r="H2714" s="8">
        <v>47459</v>
      </c>
      <c r="I2714" s="8">
        <v>44805</v>
      </c>
      <c r="J2714" s="8">
        <v>44805</v>
      </c>
      <c r="L2714" s="95" t="s">
        <v>31</v>
      </c>
      <c r="M2714" s="8">
        <v>44811</v>
      </c>
      <c r="R2714" s="97" t="str">
        <f t="shared" si="98"/>
        <v/>
      </c>
      <c r="S2714" s="75" t="str">
        <f t="shared" si="99"/>
        <v/>
      </c>
      <c r="W2714" s="6" t="s">
        <v>33</v>
      </c>
      <c r="X2714" s="7">
        <v>47459</v>
      </c>
    </row>
    <row r="2715" spans="1:24" x14ac:dyDescent="0.25">
      <c r="A2715" s="6" t="s">
        <v>25</v>
      </c>
      <c r="B2715" s="94" t="s">
        <v>2896</v>
      </c>
      <c r="C2715" s="6" t="s">
        <v>8168</v>
      </c>
      <c r="D2715" s="140">
        <v>11101723</v>
      </c>
      <c r="E2715" s="6" t="s">
        <v>318</v>
      </c>
      <c r="F2715" s="10" t="s">
        <v>44</v>
      </c>
      <c r="G2715" s="6" t="s">
        <v>8169</v>
      </c>
      <c r="H2715" s="8">
        <v>49201</v>
      </c>
      <c r="I2715" s="8">
        <v>44805</v>
      </c>
      <c r="J2715" s="8">
        <v>44805</v>
      </c>
      <c r="L2715" s="95" t="s">
        <v>31</v>
      </c>
      <c r="M2715" s="8">
        <v>44811</v>
      </c>
      <c r="P2715" s="6" t="s">
        <v>628</v>
      </c>
      <c r="R2715" s="97" t="str">
        <f t="shared" si="98"/>
        <v/>
      </c>
      <c r="S2715" s="75" t="str">
        <f t="shared" si="99"/>
        <v/>
      </c>
      <c r="W2715" s="6" t="s">
        <v>84</v>
      </c>
      <c r="X2715" s="7">
        <v>48129</v>
      </c>
    </row>
    <row r="2716" spans="1:24" x14ac:dyDescent="0.25">
      <c r="A2716" s="6" t="s">
        <v>25</v>
      </c>
      <c r="B2716" s="94" t="s">
        <v>8170</v>
      </c>
      <c r="C2716" s="6" t="s">
        <v>8171</v>
      </c>
      <c r="D2716" s="140">
        <v>11104162</v>
      </c>
      <c r="E2716" s="6" t="s">
        <v>298</v>
      </c>
      <c r="F2716" s="10" t="s">
        <v>29</v>
      </c>
      <c r="G2716" s="6" t="s">
        <v>8172</v>
      </c>
      <c r="H2716" s="8">
        <v>61611</v>
      </c>
      <c r="I2716" s="8">
        <v>44805</v>
      </c>
      <c r="J2716" s="8">
        <v>44805</v>
      </c>
      <c r="L2716" s="95" t="s">
        <v>31</v>
      </c>
      <c r="M2716" s="8">
        <v>44811</v>
      </c>
      <c r="R2716" s="97" t="str">
        <f t="shared" si="98"/>
        <v/>
      </c>
      <c r="S2716" s="75" t="str">
        <f t="shared" si="99"/>
        <v/>
      </c>
      <c r="W2716" s="6" t="s">
        <v>84</v>
      </c>
      <c r="X2716" s="7">
        <v>47069</v>
      </c>
    </row>
    <row r="2717" spans="1:24" x14ac:dyDescent="0.25">
      <c r="A2717" s="6" t="s">
        <v>25</v>
      </c>
      <c r="B2717" s="94" t="s">
        <v>86</v>
      </c>
      <c r="C2717" s="6" t="s">
        <v>8173</v>
      </c>
      <c r="D2717" s="140">
        <v>11108638</v>
      </c>
      <c r="E2717" s="6" t="s">
        <v>714</v>
      </c>
      <c r="F2717" s="10" t="s">
        <v>205</v>
      </c>
      <c r="G2717" s="6" t="s">
        <v>8174</v>
      </c>
      <c r="H2717" s="8">
        <v>47556</v>
      </c>
      <c r="I2717" s="8">
        <v>44805</v>
      </c>
      <c r="J2717" s="8">
        <v>44805</v>
      </c>
      <c r="L2717" s="95" t="s">
        <v>31</v>
      </c>
      <c r="M2717" s="8">
        <v>44811</v>
      </c>
      <c r="N2717" s="8">
        <v>45106</v>
      </c>
      <c r="O2717" s="8">
        <v>45103</v>
      </c>
      <c r="P2717" s="6" t="s">
        <v>35</v>
      </c>
      <c r="Q2717" s="96">
        <v>1825</v>
      </c>
      <c r="R2717" s="97">
        <f t="shared" si="98"/>
        <v>5</v>
      </c>
      <c r="S2717" s="75">
        <f t="shared" si="99"/>
        <v>41295</v>
      </c>
      <c r="U2717" s="8">
        <v>45106</v>
      </c>
      <c r="W2717" s="6" t="s">
        <v>84</v>
      </c>
      <c r="X2717" s="7">
        <v>45800</v>
      </c>
    </row>
    <row r="2718" spans="1:24" x14ac:dyDescent="0.25">
      <c r="A2718" s="6" t="s">
        <v>25</v>
      </c>
      <c r="B2718" s="94" t="s">
        <v>6489</v>
      </c>
      <c r="C2718" s="6" t="s">
        <v>7930</v>
      </c>
      <c r="D2718" s="140">
        <v>11572735</v>
      </c>
      <c r="E2718" s="6" t="s">
        <v>199</v>
      </c>
      <c r="F2718" s="10" t="s">
        <v>134</v>
      </c>
      <c r="G2718" s="6" t="s">
        <v>8175</v>
      </c>
      <c r="H2718" s="8">
        <v>51925</v>
      </c>
      <c r="I2718" s="8">
        <v>44783</v>
      </c>
      <c r="J2718" s="8">
        <v>44783</v>
      </c>
      <c r="L2718" s="95" t="s">
        <v>31</v>
      </c>
      <c r="M2718" s="8">
        <v>44788</v>
      </c>
      <c r="N2718" s="8">
        <v>44981</v>
      </c>
      <c r="O2718" s="8">
        <v>44974</v>
      </c>
      <c r="P2718" s="6" t="s">
        <v>90</v>
      </c>
      <c r="Q2718" s="96">
        <v>1825</v>
      </c>
      <c r="R2718" s="97">
        <f t="shared" si="98"/>
        <v>5</v>
      </c>
      <c r="S2718" s="75">
        <f t="shared" si="99"/>
        <v>41295</v>
      </c>
      <c r="U2718" s="8">
        <v>45014</v>
      </c>
      <c r="W2718" s="6" t="s">
        <v>33</v>
      </c>
      <c r="X2718" s="7">
        <v>51925</v>
      </c>
    </row>
    <row r="2719" spans="1:24" x14ac:dyDescent="0.25">
      <c r="A2719" s="6" t="s">
        <v>25</v>
      </c>
      <c r="B2719" s="94" t="s">
        <v>8176</v>
      </c>
      <c r="C2719" s="6" t="s">
        <v>8177</v>
      </c>
      <c r="D2719" s="140">
        <v>11021269</v>
      </c>
      <c r="E2719" s="6" t="s">
        <v>386</v>
      </c>
      <c r="F2719" s="10" t="s">
        <v>134</v>
      </c>
      <c r="G2719" s="6" t="s">
        <v>8178</v>
      </c>
      <c r="H2719" s="8">
        <v>46097</v>
      </c>
      <c r="I2719" s="8">
        <v>44774</v>
      </c>
      <c r="J2719" s="8">
        <v>44774</v>
      </c>
      <c r="L2719" s="95" t="s">
        <v>31</v>
      </c>
      <c r="M2719" s="8">
        <v>44788</v>
      </c>
      <c r="N2719" s="8">
        <v>44971</v>
      </c>
      <c r="O2719" s="8">
        <v>44965</v>
      </c>
      <c r="P2719" s="6" t="s">
        <v>35</v>
      </c>
      <c r="Q2719" s="96">
        <v>1825</v>
      </c>
      <c r="R2719" s="97">
        <f t="shared" si="98"/>
        <v>5</v>
      </c>
      <c r="S2719" s="75">
        <f t="shared" si="99"/>
        <v>41295</v>
      </c>
      <c r="U2719" s="8">
        <v>45014</v>
      </c>
      <c r="W2719" s="6" t="s">
        <v>33</v>
      </c>
      <c r="X2719" s="7">
        <v>46087</v>
      </c>
    </row>
    <row r="2720" spans="1:24" x14ac:dyDescent="0.25">
      <c r="A2720" s="6" t="s">
        <v>25</v>
      </c>
      <c r="B2720" s="94" t="s">
        <v>1366</v>
      </c>
      <c r="C2720" s="6" t="s">
        <v>8179</v>
      </c>
      <c r="D2720" s="140">
        <v>11115370</v>
      </c>
      <c r="E2720" s="6" t="s">
        <v>7220</v>
      </c>
      <c r="F2720" s="10" t="s">
        <v>134</v>
      </c>
      <c r="G2720" s="6" t="s">
        <v>8180</v>
      </c>
      <c r="H2720" s="8">
        <v>47131</v>
      </c>
      <c r="I2720" s="8">
        <v>44805</v>
      </c>
      <c r="J2720" s="8">
        <v>44805</v>
      </c>
      <c r="L2720" s="95" t="s">
        <v>31</v>
      </c>
      <c r="M2720" s="8">
        <v>44811</v>
      </c>
      <c r="N2720" s="8">
        <v>45071</v>
      </c>
      <c r="O2720" s="8">
        <v>45065</v>
      </c>
      <c r="P2720" s="6" t="s">
        <v>35</v>
      </c>
      <c r="Q2720" s="96">
        <v>4964</v>
      </c>
      <c r="R2720" s="97">
        <f t="shared" si="98"/>
        <v>13.6</v>
      </c>
      <c r="S2720" s="75">
        <f t="shared" si="99"/>
        <v>112322.40000000001</v>
      </c>
      <c r="U2720" s="8">
        <v>45076</v>
      </c>
      <c r="W2720" s="6" t="s">
        <v>84</v>
      </c>
      <c r="X2720" s="7">
        <v>45819</v>
      </c>
    </row>
    <row r="2721" spans="1:24" x14ac:dyDescent="0.25">
      <c r="A2721" s="6" t="s">
        <v>25</v>
      </c>
      <c r="B2721" s="94" t="s">
        <v>6665</v>
      </c>
      <c r="C2721" s="6" t="s">
        <v>8181</v>
      </c>
      <c r="D2721" s="140">
        <v>11794170</v>
      </c>
      <c r="E2721" s="6" t="s">
        <v>175</v>
      </c>
      <c r="F2721" s="10" t="s">
        <v>62</v>
      </c>
      <c r="G2721" s="6" t="s">
        <v>8182</v>
      </c>
      <c r="H2721" s="8">
        <v>50224</v>
      </c>
      <c r="I2721" s="8">
        <v>44830</v>
      </c>
      <c r="J2721" s="8">
        <v>44830</v>
      </c>
      <c r="L2721" s="95" t="s">
        <v>31</v>
      </c>
      <c r="M2721" s="8">
        <v>44853</v>
      </c>
      <c r="N2721" s="8">
        <v>44981</v>
      </c>
      <c r="O2721" s="8">
        <v>44973</v>
      </c>
      <c r="P2721" s="6" t="s">
        <v>35</v>
      </c>
      <c r="Q2721" s="96">
        <v>9125</v>
      </c>
      <c r="R2721" s="97">
        <f t="shared" si="98"/>
        <v>25</v>
      </c>
      <c r="S2721" s="75">
        <f t="shared" si="99"/>
        <v>206475</v>
      </c>
      <c r="U2721" s="8">
        <v>45021</v>
      </c>
      <c r="W2721" s="6" t="s">
        <v>84</v>
      </c>
      <c r="X2721" s="7">
        <v>50224</v>
      </c>
    </row>
    <row r="2722" spans="1:24" x14ac:dyDescent="0.25">
      <c r="A2722" s="6" t="s">
        <v>25</v>
      </c>
      <c r="B2722" s="94" t="s">
        <v>26</v>
      </c>
      <c r="C2722" s="6" t="s">
        <v>27</v>
      </c>
      <c r="D2722" s="140">
        <v>11846296</v>
      </c>
      <c r="E2722" s="6" t="s">
        <v>28</v>
      </c>
      <c r="F2722" s="10" t="s">
        <v>29</v>
      </c>
      <c r="G2722" s="6" t="s">
        <v>30</v>
      </c>
      <c r="H2722" s="8">
        <v>46119</v>
      </c>
      <c r="I2722" s="8">
        <v>44769</v>
      </c>
      <c r="J2722" s="8">
        <v>44769</v>
      </c>
      <c r="L2722" s="95" t="s">
        <v>31</v>
      </c>
      <c r="M2722" s="8">
        <v>44788</v>
      </c>
      <c r="R2722" s="97" t="str">
        <f t="shared" si="98"/>
        <v/>
      </c>
      <c r="S2722" s="75" t="str">
        <f t="shared" si="99"/>
        <v/>
      </c>
      <c r="W2722" s="6" t="s">
        <v>33</v>
      </c>
      <c r="X2722" s="7">
        <v>46119</v>
      </c>
    </row>
    <row r="2723" spans="1:24" x14ac:dyDescent="0.25">
      <c r="A2723" s="6" t="s">
        <v>25</v>
      </c>
      <c r="B2723" s="94" t="s">
        <v>108</v>
      </c>
      <c r="C2723" s="6" t="s">
        <v>8183</v>
      </c>
      <c r="D2723" s="140">
        <v>10260727</v>
      </c>
      <c r="E2723" s="6" t="s">
        <v>729</v>
      </c>
      <c r="F2723" s="10" t="s">
        <v>62</v>
      </c>
      <c r="G2723" s="140" t="s">
        <v>8184</v>
      </c>
      <c r="H2723" s="8">
        <v>45462</v>
      </c>
      <c r="I2723" s="8">
        <v>44774</v>
      </c>
      <c r="J2723" s="8">
        <v>44774</v>
      </c>
      <c r="L2723" s="95" t="s">
        <v>31</v>
      </c>
      <c r="M2723" s="8">
        <v>44788</v>
      </c>
      <c r="N2723" s="8">
        <v>44869</v>
      </c>
      <c r="O2723" s="8">
        <v>44859</v>
      </c>
      <c r="P2723" s="6" t="s">
        <v>35</v>
      </c>
      <c r="Q2723" s="96">
        <v>1217</v>
      </c>
      <c r="R2723" s="97">
        <f t="shared" ref="R2723:R2786" si="100">IF(Q2723&gt;0, Q2723/365, "")</f>
        <v>3.3342465753424659</v>
      </c>
      <c r="S2723" s="75">
        <f t="shared" ref="S2723:S2786" si="101">IF(Q2723&gt;0, SUM(Q2723)*(8259/365), "")</f>
        <v>27537.542465753424</v>
      </c>
      <c r="U2723" s="8">
        <v>44869</v>
      </c>
      <c r="W2723" s="6" t="s">
        <v>33</v>
      </c>
      <c r="X2723" s="7">
        <v>45462</v>
      </c>
    </row>
    <row r="2724" spans="1:24" x14ac:dyDescent="0.25">
      <c r="A2724" s="6" t="s">
        <v>25</v>
      </c>
      <c r="B2724" s="94" t="s">
        <v>8185</v>
      </c>
      <c r="C2724" s="6" t="s">
        <v>8186</v>
      </c>
      <c r="D2724" s="140">
        <v>11195978</v>
      </c>
      <c r="E2724" s="6" t="s">
        <v>1960</v>
      </c>
      <c r="F2724" s="10" t="s">
        <v>143</v>
      </c>
      <c r="G2724" s="6" t="s">
        <v>8187</v>
      </c>
      <c r="H2724" s="8">
        <v>56572</v>
      </c>
      <c r="I2724" s="8">
        <v>44847</v>
      </c>
      <c r="J2724" s="8">
        <v>44847</v>
      </c>
      <c r="L2724" s="95" t="s">
        <v>31</v>
      </c>
      <c r="M2724" s="8">
        <v>44853</v>
      </c>
      <c r="N2724" s="8">
        <v>45049</v>
      </c>
      <c r="O2724" s="8">
        <v>45049</v>
      </c>
      <c r="P2724" s="6" t="s">
        <v>35</v>
      </c>
      <c r="Q2724" s="96">
        <v>19199</v>
      </c>
      <c r="R2724" s="97">
        <f t="shared" si="100"/>
        <v>52.6</v>
      </c>
      <c r="S2724" s="75">
        <f t="shared" si="101"/>
        <v>434423.4</v>
      </c>
      <c r="U2724" s="8">
        <v>45050</v>
      </c>
      <c r="W2724" s="6" t="s">
        <v>84</v>
      </c>
      <c r="X2724" s="7">
        <v>47238</v>
      </c>
    </row>
    <row r="2725" spans="1:24" x14ac:dyDescent="0.25">
      <c r="A2725" s="6" t="s">
        <v>25</v>
      </c>
      <c r="B2725" s="94" t="s">
        <v>1639</v>
      </c>
      <c r="C2725" s="6" t="s">
        <v>8188</v>
      </c>
      <c r="D2725" s="140">
        <v>11861965</v>
      </c>
      <c r="E2725" s="6" t="s">
        <v>2454</v>
      </c>
      <c r="F2725" s="10" t="s">
        <v>148</v>
      </c>
      <c r="G2725" s="6" t="s">
        <v>8189</v>
      </c>
      <c r="H2725" s="8">
        <v>53442</v>
      </c>
      <c r="I2725" s="8">
        <v>44854</v>
      </c>
      <c r="J2725" s="8">
        <v>44854</v>
      </c>
      <c r="L2725" s="95" t="s">
        <v>31</v>
      </c>
      <c r="M2725" s="8">
        <v>44860</v>
      </c>
      <c r="R2725" s="97" t="str">
        <f t="shared" si="100"/>
        <v/>
      </c>
      <c r="S2725" s="75" t="str">
        <f t="shared" si="101"/>
        <v/>
      </c>
      <c r="W2725" s="6" t="s">
        <v>84</v>
      </c>
      <c r="X2725" s="7">
        <v>51409</v>
      </c>
    </row>
    <row r="2726" spans="1:24" x14ac:dyDescent="0.25">
      <c r="A2726" s="6" t="s">
        <v>25</v>
      </c>
      <c r="B2726" s="94" t="s">
        <v>449</v>
      </c>
      <c r="C2726" s="6" t="s">
        <v>8190</v>
      </c>
      <c r="D2726" s="140">
        <v>11526193</v>
      </c>
      <c r="E2726" s="6" t="s">
        <v>2160</v>
      </c>
      <c r="F2726" s="10" t="s">
        <v>29</v>
      </c>
      <c r="G2726" s="6" t="s">
        <v>8191</v>
      </c>
      <c r="H2726" s="8">
        <v>57628</v>
      </c>
      <c r="I2726" s="8">
        <v>44847</v>
      </c>
      <c r="J2726" s="8">
        <v>44847</v>
      </c>
      <c r="L2726" s="95" t="s">
        <v>31</v>
      </c>
      <c r="M2726" s="8">
        <v>44853</v>
      </c>
      <c r="N2726" s="8">
        <v>44914</v>
      </c>
      <c r="O2726" s="8">
        <v>44867</v>
      </c>
      <c r="P2726" s="6" t="s">
        <v>35</v>
      </c>
      <c r="Q2726" s="96">
        <v>5840</v>
      </c>
      <c r="R2726" s="97">
        <f t="shared" si="100"/>
        <v>16</v>
      </c>
      <c r="S2726" s="75">
        <f t="shared" si="101"/>
        <v>132144</v>
      </c>
      <c r="U2726" s="8">
        <v>45014</v>
      </c>
      <c r="W2726" s="6" t="s">
        <v>84</v>
      </c>
      <c r="X2726" s="7">
        <v>50711</v>
      </c>
    </row>
    <row r="2727" spans="1:24" x14ac:dyDescent="0.25">
      <c r="A2727" s="6" t="s">
        <v>25</v>
      </c>
      <c r="B2727" s="94" t="s">
        <v>8192</v>
      </c>
      <c r="C2727" s="6" t="s">
        <v>8193</v>
      </c>
      <c r="D2727" s="140">
        <v>11369672</v>
      </c>
      <c r="E2727" s="6" t="s">
        <v>104</v>
      </c>
      <c r="F2727" s="10" t="s">
        <v>44</v>
      </c>
      <c r="G2727" s="6" t="s">
        <v>8194</v>
      </c>
      <c r="H2727" s="8">
        <v>49365</v>
      </c>
      <c r="L2727" s="95" t="s">
        <v>359</v>
      </c>
      <c r="R2727" s="97" t="str">
        <f t="shared" si="100"/>
        <v/>
      </c>
      <c r="S2727" s="75" t="str">
        <f t="shared" si="101"/>
        <v/>
      </c>
    </row>
    <row r="2728" spans="1:24" x14ac:dyDescent="0.25">
      <c r="A2728" s="6" t="s">
        <v>25</v>
      </c>
      <c r="B2728" s="94" t="s">
        <v>3552</v>
      </c>
      <c r="C2728" s="6" t="s">
        <v>8195</v>
      </c>
      <c r="D2728" s="140">
        <v>11360361</v>
      </c>
      <c r="E2728" s="6" t="s">
        <v>3468</v>
      </c>
      <c r="F2728" s="10" t="s">
        <v>44</v>
      </c>
      <c r="G2728" s="6" t="s">
        <v>8196</v>
      </c>
      <c r="H2728" s="8">
        <v>49528</v>
      </c>
      <c r="L2728" s="95" t="s">
        <v>359</v>
      </c>
      <c r="R2728" s="97" t="str">
        <f t="shared" si="100"/>
        <v/>
      </c>
      <c r="S2728" s="75" t="str">
        <f t="shared" si="101"/>
        <v/>
      </c>
    </row>
    <row r="2729" spans="1:24" x14ac:dyDescent="0.25">
      <c r="A2729" s="6" t="s">
        <v>25</v>
      </c>
      <c r="B2729" s="94" t="s">
        <v>8197</v>
      </c>
      <c r="C2729" s="6" t="s">
        <v>8198</v>
      </c>
      <c r="D2729" s="140">
        <v>11863766</v>
      </c>
      <c r="E2729" s="6" t="s">
        <v>1018</v>
      </c>
      <c r="F2729" s="10" t="s">
        <v>121</v>
      </c>
      <c r="G2729" s="6" t="s">
        <v>8199</v>
      </c>
      <c r="H2729" s="8">
        <v>46567</v>
      </c>
      <c r="L2729" s="95" t="s">
        <v>359</v>
      </c>
      <c r="R2729" s="97" t="str">
        <f t="shared" si="100"/>
        <v/>
      </c>
      <c r="S2729" s="75" t="str">
        <f t="shared" si="101"/>
        <v/>
      </c>
    </row>
    <row r="2730" spans="1:24" x14ac:dyDescent="0.25">
      <c r="A2730" s="6" t="s">
        <v>25</v>
      </c>
      <c r="B2730" s="94" t="s">
        <v>8200</v>
      </c>
      <c r="C2730" s="6" t="s">
        <v>8201</v>
      </c>
      <c r="D2730" s="140">
        <v>11655677</v>
      </c>
      <c r="E2730" s="6" t="s">
        <v>204</v>
      </c>
      <c r="F2730" s="10" t="s">
        <v>299</v>
      </c>
      <c r="G2730" s="6" t="s">
        <v>8202</v>
      </c>
      <c r="H2730" s="8">
        <v>45539</v>
      </c>
      <c r="L2730" s="95" t="s">
        <v>359</v>
      </c>
      <c r="R2730" s="97" t="str">
        <f t="shared" si="100"/>
        <v/>
      </c>
      <c r="S2730" s="75" t="str">
        <f t="shared" si="101"/>
        <v/>
      </c>
    </row>
    <row r="2731" spans="1:24" x14ac:dyDescent="0.25">
      <c r="A2731" s="6" t="s">
        <v>25</v>
      </c>
      <c r="B2731" s="94" t="s">
        <v>2433</v>
      </c>
      <c r="C2731" s="6" t="s">
        <v>8203</v>
      </c>
      <c r="D2731" s="140">
        <v>11110688</v>
      </c>
      <c r="E2731" s="6" t="s">
        <v>3163</v>
      </c>
      <c r="F2731" s="10" t="s">
        <v>299</v>
      </c>
      <c r="G2731" s="6" t="s">
        <v>8204</v>
      </c>
      <c r="H2731" s="8">
        <v>47640</v>
      </c>
      <c r="L2731" s="95" t="s">
        <v>359</v>
      </c>
      <c r="R2731" s="97" t="str">
        <f t="shared" si="100"/>
        <v/>
      </c>
      <c r="S2731" s="75" t="str">
        <f t="shared" si="101"/>
        <v/>
      </c>
    </row>
    <row r="2732" spans="1:24" x14ac:dyDescent="0.25">
      <c r="A2732" s="6" t="s">
        <v>25</v>
      </c>
      <c r="B2732" s="94" t="s">
        <v>1613</v>
      </c>
      <c r="C2732" s="6" t="s">
        <v>8205</v>
      </c>
      <c r="D2732" s="140">
        <v>11267183</v>
      </c>
      <c r="E2732" s="6" t="s">
        <v>1752</v>
      </c>
      <c r="F2732" s="10" t="s">
        <v>1384</v>
      </c>
      <c r="G2732" s="6" t="s">
        <v>8206</v>
      </c>
      <c r="H2732" s="8">
        <v>49480</v>
      </c>
      <c r="L2732" s="95" t="s">
        <v>359</v>
      </c>
      <c r="R2732" s="97" t="str">
        <f t="shared" si="100"/>
        <v/>
      </c>
      <c r="S2732" s="75" t="str">
        <f t="shared" si="101"/>
        <v/>
      </c>
    </row>
    <row r="2733" spans="1:24" x14ac:dyDescent="0.25">
      <c r="A2733" s="6" t="s">
        <v>25</v>
      </c>
      <c r="B2733" s="94" t="s">
        <v>323</v>
      </c>
      <c r="C2733" s="6" t="s">
        <v>8207</v>
      </c>
      <c r="D2733" s="140">
        <v>11239242</v>
      </c>
      <c r="E2733" s="6" t="s">
        <v>540</v>
      </c>
      <c r="F2733" s="10" t="s">
        <v>176</v>
      </c>
      <c r="G2733" s="6" t="s">
        <v>8208</v>
      </c>
      <c r="H2733" s="8">
        <v>50849</v>
      </c>
      <c r="L2733" s="95" t="s">
        <v>359</v>
      </c>
      <c r="R2733" s="97" t="str">
        <f t="shared" si="100"/>
        <v/>
      </c>
      <c r="S2733" s="75" t="str">
        <f t="shared" si="101"/>
        <v/>
      </c>
    </row>
    <row r="2734" spans="1:24" x14ac:dyDescent="0.25">
      <c r="A2734" s="6" t="s">
        <v>25</v>
      </c>
      <c r="B2734" s="94" t="s">
        <v>2329</v>
      </c>
      <c r="C2734" s="6" t="s">
        <v>8209</v>
      </c>
      <c r="D2734" s="140">
        <v>11477586</v>
      </c>
      <c r="E2734" s="6" t="s">
        <v>247</v>
      </c>
      <c r="F2734" s="10" t="s">
        <v>44</v>
      </c>
      <c r="G2734" s="6" t="s">
        <v>8210</v>
      </c>
      <c r="H2734" s="8">
        <v>57159</v>
      </c>
      <c r="L2734" s="95" t="s">
        <v>359</v>
      </c>
      <c r="R2734" s="97" t="str">
        <f t="shared" si="100"/>
        <v/>
      </c>
      <c r="S2734" s="75" t="str">
        <f t="shared" si="101"/>
        <v/>
      </c>
    </row>
    <row r="2735" spans="1:24" x14ac:dyDescent="0.25">
      <c r="A2735" s="6" t="s">
        <v>25</v>
      </c>
      <c r="B2735" s="94" t="s">
        <v>323</v>
      </c>
      <c r="C2735" s="6" t="s">
        <v>8211</v>
      </c>
      <c r="D2735" s="140">
        <v>11780959</v>
      </c>
      <c r="E2735" s="6" t="s">
        <v>1752</v>
      </c>
      <c r="F2735" s="10" t="s">
        <v>205</v>
      </c>
      <c r="G2735" s="6" t="s">
        <v>8212</v>
      </c>
      <c r="H2735" s="8">
        <v>48995</v>
      </c>
      <c r="L2735" s="95" t="s">
        <v>359</v>
      </c>
      <c r="R2735" s="97" t="str">
        <f t="shared" si="100"/>
        <v/>
      </c>
      <c r="S2735" s="75" t="str">
        <f t="shared" si="101"/>
        <v/>
      </c>
    </row>
    <row r="2736" spans="1:24" ht="30" x14ac:dyDescent="0.25">
      <c r="A2736" s="6" t="s">
        <v>25</v>
      </c>
      <c r="B2736" s="94" t="s">
        <v>1196</v>
      </c>
      <c r="C2736" s="6" t="s">
        <v>8213</v>
      </c>
      <c r="D2736" s="140">
        <v>11633281</v>
      </c>
      <c r="E2736" s="6" t="s">
        <v>162</v>
      </c>
      <c r="F2736" s="10" t="s">
        <v>44</v>
      </c>
      <c r="G2736" s="6" t="s">
        <v>8214</v>
      </c>
      <c r="H2736" s="8">
        <v>48173</v>
      </c>
      <c r="L2736" s="95" t="s">
        <v>359</v>
      </c>
      <c r="R2736" s="97" t="str">
        <f t="shared" si="100"/>
        <v/>
      </c>
      <c r="S2736" s="75" t="str">
        <f t="shared" si="101"/>
        <v/>
      </c>
    </row>
    <row r="2737" spans="1:19" x14ac:dyDescent="0.25">
      <c r="A2737" s="6" t="s">
        <v>25</v>
      </c>
      <c r="B2737" s="94" t="s">
        <v>8215</v>
      </c>
      <c r="C2737" s="6" t="s">
        <v>8216</v>
      </c>
      <c r="D2737" s="140">
        <v>12165147</v>
      </c>
      <c r="E2737" s="6" t="s">
        <v>49</v>
      </c>
      <c r="F2737" s="10" t="s">
        <v>2296</v>
      </c>
      <c r="G2737" s="6">
        <v>72008828</v>
      </c>
      <c r="H2737" s="8">
        <v>47169</v>
      </c>
      <c r="L2737" s="95" t="s">
        <v>359</v>
      </c>
      <c r="R2737" s="97" t="str">
        <f t="shared" si="100"/>
        <v/>
      </c>
      <c r="S2737" s="75" t="str">
        <f t="shared" si="101"/>
        <v/>
      </c>
    </row>
    <row r="2738" spans="1:19" x14ac:dyDescent="0.25">
      <c r="A2738" s="6" t="s">
        <v>25</v>
      </c>
      <c r="B2738" s="94" t="s">
        <v>8217</v>
      </c>
      <c r="C2738" s="6" t="s">
        <v>8218</v>
      </c>
      <c r="D2738" s="140">
        <v>11130190</v>
      </c>
      <c r="E2738" s="6" t="s">
        <v>1443</v>
      </c>
      <c r="F2738" s="10" t="s">
        <v>134</v>
      </c>
      <c r="G2738" s="6" t="s">
        <v>8219</v>
      </c>
      <c r="H2738" s="8">
        <v>47275</v>
      </c>
      <c r="L2738" s="95" t="s">
        <v>359</v>
      </c>
      <c r="R2738" s="97" t="str">
        <f t="shared" si="100"/>
        <v/>
      </c>
      <c r="S2738" s="75" t="str">
        <f t="shared" si="101"/>
        <v/>
      </c>
    </row>
    <row r="2739" spans="1:19" x14ac:dyDescent="0.25">
      <c r="A2739" s="6" t="s">
        <v>25</v>
      </c>
      <c r="B2739" s="94" t="s">
        <v>8220</v>
      </c>
      <c r="C2739" s="6" t="s">
        <v>8221</v>
      </c>
      <c r="D2739" s="140">
        <v>11056613</v>
      </c>
      <c r="E2739" s="6" t="s">
        <v>8222</v>
      </c>
      <c r="F2739" s="10" t="s">
        <v>143</v>
      </c>
      <c r="G2739" s="6" t="s">
        <v>8223</v>
      </c>
      <c r="H2739" s="8">
        <v>45941</v>
      </c>
      <c r="L2739" s="95" t="s">
        <v>359</v>
      </c>
      <c r="R2739" s="97" t="str">
        <f t="shared" si="100"/>
        <v/>
      </c>
      <c r="S2739" s="75" t="str">
        <f t="shared" si="101"/>
        <v/>
      </c>
    </row>
    <row r="2740" spans="1:19" x14ac:dyDescent="0.25">
      <c r="A2740" s="6" t="s">
        <v>25</v>
      </c>
      <c r="B2740" s="94" t="s">
        <v>8224</v>
      </c>
      <c r="C2740" s="6" t="s">
        <v>8225</v>
      </c>
      <c r="D2740" s="140">
        <v>11222758</v>
      </c>
      <c r="E2740" s="6" t="s">
        <v>3468</v>
      </c>
      <c r="F2740" s="10" t="s">
        <v>44</v>
      </c>
      <c r="G2740" s="6" t="s">
        <v>8226</v>
      </c>
      <c r="H2740" s="8">
        <v>46642</v>
      </c>
      <c r="L2740" s="95" t="s">
        <v>359</v>
      </c>
      <c r="R2740" s="97" t="str">
        <f t="shared" si="100"/>
        <v/>
      </c>
      <c r="S2740" s="75" t="str">
        <f t="shared" si="101"/>
        <v/>
      </c>
    </row>
    <row r="2741" spans="1:19" x14ac:dyDescent="0.25">
      <c r="A2741" s="6" t="s">
        <v>25</v>
      </c>
      <c r="B2741" s="94" t="s">
        <v>1154</v>
      </c>
      <c r="C2741" s="6" t="s">
        <v>8227</v>
      </c>
      <c r="D2741" s="140">
        <v>11511734</v>
      </c>
      <c r="E2741" s="6" t="s">
        <v>962</v>
      </c>
      <c r="F2741" s="10" t="s">
        <v>44</v>
      </c>
      <c r="G2741" s="6" t="s">
        <v>8228</v>
      </c>
      <c r="H2741" s="8">
        <v>51725</v>
      </c>
      <c r="L2741" s="95" t="s">
        <v>359</v>
      </c>
      <c r="R2741" s="97" t="str">
        <f t="shared" si="100"/>
        <v/>
      </c>
      <c r="S2741" s="75" t="str">
        <f t="shared" si="101"/>
        <v/>
      </c>
    </row>
    <row r="2742" spans="1:19" x14ac:dyDescent="0.25">
      <c r="A2742" s="6" t="s">
        <v>25</v>
      </c>
      <c r="B2742" s="94" t="s">
        <v>948</v>
      </c>
      <c r="C2742" s="6" t="s">
        <v>8229</v>
      </c>
      <c r="D2742" s="140">
        <v>11206700</v>
      </c>
      <c r="E2742" s="6" t="s">
        <v>409</v>
      </c>
      <c r="F2742" s="10" t="s">
        <v>44</v>
      </c>
      <c r="G2742" s="6" t="s">
        <v>8230</v>
      </c>
      <c r="H2742" s="8">
        <v>46462</v>
      </c>
      <c r="L2742" s="95" t="s">
        <v>359</v>
      </c>
      <c r="R2742" s="97" t="str">
        <f t="shared" si="100"/>
        <v/>
      </c>
      <c r="S2742" s="75" t="str">
        <f t="shared" si="101"/>
        <v/>
      </c>
    </row>
    <row r="2743" spans="1:19" x14ac:dyDescent="0.25">
      <c r="A2743" s="6" t="s">
        <v>25</v>
      </c>
      <c r="B2743" s="94" t="s">
        <v>1227</v>
      </c>
      <c r="C2743" s="6" t="s">
        <v>8231</v>
      </c>
      <c r="D2743" s="140">
        <v>11508629</v>
      </c>
      <c r="E2743" s="6" t="s">
        <v>216</v>
      </c>
      <c r="F2743" s="10" t="s">
        <v>44</v>
      </c>
      <c r="G2743" s="6" t="s">
        <v>8232</v>
      </c>
      <c r="H2743" s="8">
        <v>49447</v>
      </c>
      <c r="L2743" s="95" t="s">
        <v>359</v>
      </c>
      <c r="R2743" s="97" t="str">
        <f t="shared" si="100"/>
        <v/>
      </c>
      <c r="S2743" s="75" t="str">
        <f t="shared" si="101"/>
        <v/>
      </c>
    </row>
    <row r="2744" spans="1:19" x14ac:dyDescent="0.25">
      <c r="A2744" s="6" t="s">
        <v>25</v>
      </c>
      <c r="B2744" s="94" t="s">
        <v>1639</v>
      </c>
      <c r="C2744" s="6" t="s">
        <v>8233</v>
      </c>
      <c r="D2744" s="140">
        <v>11982397</v>
      </c>
      <c r="E2744" s="6" t="s">
        <v>8234</v>
      </c>
      <c r="F2744" s="10" t="s">
        <v>44</v>
      </c>
      <c r="G2744" s="6" t="s">
        <v>8235</v>
      </c>
      <c r="H2744" s="8">
        <v>45586</v>
      </c>
      <c r="L2744" s="95" t="s">
        <v>359</v>
      </c>
      <c r="R2744" s="97" t="str">
        <f t="shared" si="100"/>
        <v/>
      </c>
      <c r="S2744" s="75" t="str">
        <f t="shared" si="101"/>
        <v/>
      </c>
    </row>
    <row r="2745" spans="1:19" x14ac:dyDescent="0.25">
      <c r="A2745" s="6" t="s">
        <v>25</v>
      </c>
      <c r="B2745" s="94" t="s">
        <v>8236</v>
      </c>
      <c r="C2745" s="6" t="s">
        <v>8237</v>
      </c>
      <c r="D2745" s="140">
        <v>11420044</v>
      </c>
      <c r="E2745" s="6" t="s">
        <v>49</v>
      </c>
      <c r="F2745" s="10" t="s">
        <v>44</v>
      </c>
      <c r="G2745" s="6" t="s">
        <v>8238</v>
      </c>
      <c r="H2745" s="8">
        <v>46040</v>
      </c>
      <c r="L2745" s="95" t="s">
        <v>359</v>
      </c>
      <c r="R2745" s="97" t="str">
        <f t="shared" si="100"/>
        <v/>
      </c>
      <c r="S2745" s="75" t="str">
        <f t="shared" si="101"/>
        <v/>
      </c>
    </row>
    <row r="2746" spans="1:19" x14ac:dyDescent="0.25">
      <c r="A2746" s="6" t="s">
        <v>25</v>
      </c>
      <c r="B2746" s="94" t="s">
        <v>6472</v>
      </c>
      <c r="C2746" s="6" t="s">
        <v>8239</v>
      </c>
      <c r="D2746" s="140">
        <v>11168358</v>
      </c>
      <c r="E2746" s="6" t="s">
        <v>540</v>
      </c>
      <c r="F2746" s="10" t="s">
        <v>44</v>
      </c>
      <c r="G2746" s="6" t="s">
        <v>8240</v>
      </c>
      <c r="H2746" s="8">
        <v>47257</v>
      </c>
      <c r="L2746" s="95" t="s">
        <v>359</v>
      </c>
      <c r="R2746" s="97" t="str">
        <f t="shared" si="100"/>
        <v/>
      </c>
      <c r="S2746" s="75" t="str">
        <f t="shared" si="101"/>
        <v/>
      </c>
    </row>
    <row r="2747" spans="1:19" x14ac:dyDescent="0.25">
      <c r="A2747" s="6" t="s">
        <v>25</v>
      </c>
      <c r="B2747" s="94" t="s">
        <v>323</v>
      </c>
      <c r="C2747" s="6" t="s">
        <v>8241</v>
      </c>
      <c r="D2747" s="140">
        <v>11861246</v>
      </c>
      <c r="E2747" s="6" t="s">
        <v>656</v>
      </c>
      <c r="F2747" s="10" t="s">
        <v>44</v>
      </c>
      <c r="G2747" s="6" t="s">
        <v>8242</v>
      </c>
      <c r="H2747" s="8">
        <v>45825</v>
      </c>
      <c r="L2747" s="95" t="s">
        <v>359</v>
      </c>
      <c r="R2747" s="97" t="str">
        <f t="shared" si="100"/>
        <v/>
      </c>
      <c r="S2747" s="75" t="str">
        <f t="shared" si="101"/>
        <v/>
      </c>
    </row>
    <row r="2748" spans="1:19" x14ac:dyDescent="0.25">
      <c r="A2748" s="6" t="s">
        <v>25</v>
      </c>
      <c r="B2748" s="94" t="s">
        <v>8243</v>
      </c>
      <c r="C2748" s="6" t="s">
        <v>8244</v>
      </c>
      <c r="D2748" s="140">
        <v>11198865</v>
      </c>
      <c r="E2748" s="6" t="s">
        <v>881</v>
      </c>
      <c r="F2748" s="10" t="s">
        <v>57</v>
      </c>
      <c r="G2748" s="6" t="s">
        <v>8245</v>
      </c>
      <c r="H2748" s="8">
        <v>45345</v>
      </c>
      <c r="L2748" s="95" t="s">
        <v>359</v>
      </c>
      <c r="R2748" s="97" t="str">
        <f t="shared" si="100"/>
        <v/>
      </c>
      <c r="S2748" s="75" t="str">
        <f t="shared" si="101"/>
        <v/>
      </c>
    </row>
    <row r="2749" spans="1:19" x14ac:dyDescent="0.25">
      <c r="A2749" s="6" t="s">
        <v>25</v>
      </c>
      <c r="B2749" s="94" t="s">
        <v>512</v>
      </c>
      <c r="C2749" s="6" t="s">
        <v>8246</v>
      </c>
      <c r="D2749" s="140">
        <v>11565066</v>
      </c>
      <c r="E2749" s="6" t="s">
        <v>2086</v>
      </c>
      <c r="F2749" s="10" t="s">
        <v>57</v>
      </c>
      <c r="G2749" s="6" t="s">
        <v>8247</v>
      </c>
      <c r="H2749" s="8">
        <v>45638</v>
      </c>
      <c r="L2749" s="95" t="s">
        <v>359</v>
      </c>
      <c r="R2749" s="97" t="str">
        <f t="shared" si="100"/>
        <v/>
      </c>
      <c r="S2749" s="75" t="str">
        <f t="shared" si="101"/>
        <v/>
      </c>
    </row>
    <row r="2750" spans="1:19" x14ac:dyDescent="0.25">
      <c r="A2750" s="6" t="s">
        <v>25</v>
      </c>
      <c r="B2750" s="94" t="s">
        <v>302</v>
      </c>
      <c r="C2750" s="6" t="s">
        <v>8248</v>
      </c>
      <c r="D2750" s="140">
        <v>11173364</v>
      </c>
      <c r="E2750" s="6" t="s">
        <v>409</v>
      </c>
      <c r="F2750" s="10" t="s">
        <v>205</v>
      </c>
      <c r="G2750" s="6" t="s">
        <v>8249</v>
      </c>
      <c r="H2750" s="8">
        <v>60192</v>
      </c>
      <c r="L2750" s="95" t="s">
        <v>359</v>
      </c>
      <c r="R2750" s="97" t="str">
        <f t="shared" si="100"/>
        <v/>
      </c>
      <c r="S2750" s="75" t="str">
        <f t="shared" si="101"/>
        <v/>
      </c>
    </row>
    <row r="2751" spans="1:19" ht="30" x14ac:dyDescent="0.25">
      <c r="A2751" s="6" t="s">
        <v>25</v>
      </c>
      <c r="B2751" s="94" t="s">
        <v>594</v>
      </c>
      <c r="C2751" s="6" t="s">
        <v>8250</v>
      </c>
      <c r="D2751" s="140">
        <v>11151834</v>
      </c>
      <c r="E2751" s="6" t="s">
        <v>686</v>
      </c>
      <c r="F2751" s="10" t="s">
        <v>134</v>
      </c>
      <c r="G2751" s="6" t="s">
        <v>8251</v>
      </c>
      <c r="H2751" s="8">
        <v>51755</v>
      </c>
      <c r="L2751" s="95" t="s">
        <v>359</v>
      </c>
      <c r="R2751" s="97" t="str">
        <f t="shared" si="100"/>
        <v/>
      </c>
      <c r="S2751" s="75" t="str">
        <f t="shared" si="101"/>
        <v/>
      </c>
    </row>
    <row r="2752" spans="1:19" x14ac:dyDescent="0.25">
      <c r="A2752" s="6" t="s">
        <v>25</v>
      </c>
      <c r="B2752" s="94" t="s">
        <v>723</v>
      </c>
      <c r="C2752" s="6" t="s">
        <v>8252</v>
      </c>
      <c r="D2752" s="140">
        <v>11684963</v>
      </c>
      <c r="E2752" s="6" t="s">
        <v>3468</v>
      </c>
      <c r="F2752" s="10" t="s">
        <v>134</v>
      </c>
      <c r="G2752" s="6" t="s">
        <v>8253</v>
      </c>
      <c r="H2752" s="8">
        <v>48552</v>
      </c>
      <c r="L2752" s="95" t="s">
        <v>359</v>
      </c>
      <c r="R2752" s="97" t="str">
        <f t="shared" si="100"/>
        <v/>
      </c>
      <c r="S2752" s="75" t="str">
        <f t="shared" si="101"/>
        <v/>
      </c>
    </row>
    <row r="2753" spans="1:24" x14ac:dyDescent="0.25">
      <c r="A2753" s="6" t="s">
        <v>25</v>
      </c>
      <c r="B2753" s="94" t="s">
        <v>8254</v>
      </c>
      <c r="C2753" s="6" t="s">
        <v>8255</v>
      </c>
      <c r="D2753" s="140">
        <v>11907222</v>
      </c>
      <c r="E2753" s="6" t="s">
        <v>7220</v>
      </c>
      <c r="F2753" s="10" t="s">
        <v>134</v>
      </c>
      <c r="G2753" s="6" t="s">
        <v>8256</v>
      </c>
      <c r="H2753" s="8">
        <v>46746</v>
      </c>
      <c r="L2753" s="95" t="s">
        <v>359</v>
      </c>
      <c r="R2753" s="97" t="str">
        <f t="shared" si="100"/>
        <v/>
      </c>
      <c r="S2753" s="75" t="str">
        <f t="shared" si="101"/>
        <v/>
      </c>
    </row>
    <row r="2754" spans="1:24" x14ac:dyDescent="0.25">
      <c r="A2754" s="6" t="s">
        <v>25</v>
      </c>
      <c r="B2754" s="94" t="s">
        <v>8257</v>
      </c>
      <c r="C2754" s="6" t="s">
        <v>8258</v>
      </c>
      <c r="D2754" s="140">
        <v>11282031</v>
      </c>
      <c r="E2754" s="6" t="s">
        <v>4829</v>
      </c>
      <c r="F2754" s="10" t="s">
        <v>143</v>
      </c>
      <c r="G2754" s="6" t="s">
        <v>8259</v>
      </c>
      <c r="H2754" s="8">
        <v>49519</v>
      </c>
      <c r="L2754" s="95" t="s">
        <v>359</v>
      </c>
      <c r="R2754" s="97" t="str">
        <f t="shared" si="100"/>
        <v/>
      </c>
      <c r="S2754" s="75" t="str">
        <f t="shared" si="101"/>
        <v/>
      </c>
    </row>
    <row r="2755" spans="1:24" x14ac:dyDescent="0.25">
      <c r="A2755" s="6" t="s">
        <v>25</v>
      </c>
      <c r="B2755" s="94" t="s">
        <v>6946</v>
      </c>
      <c r="C2755" s="6" t="s">
        <v>8260</v>
      </c>
      <c r="D2755" s="140">
        <v>11893879</v>
      </c>
      <c r="E2755" s="6" t="s">
        <v>1018</v>
      </c>
      <c r="F2755" s="10" t="s">
        <v>139</v>
      </c>
      <c r="G2755" s="6" t="s">
        <v>8261</v>
      </c>
      <c r="H2755" s="8">
        <v>50771</v>
      </c>
      <c r="L2755" s="95" t="s">
        <v>359</v>
      </c>
      <c r="R2755" s="97" t="str">
        <f t="shared" si="100"/>
        <v/>
      </c>
      <c r="S2755" s="75" t="str">
        <f t="shared" si="101"/>
        <v/>
      </c>
    </row>
    <row r="2756" spans="1:24" x14ac:dyDescent="0.25">
      <c r="A2756" s="6" t="s">
        <v>25</v>
      </c>
      <c r="B2756" s="94" t="s">
        <v>8262</v>
      </c>
      <c r="C2756" s="6" t="s">
        <v>8263</v>
      </c>
      <c r="D2756" s="140">
        <v>11986319</v>
      </c>
      <c r="E2756" s="6" t="s">
        <v>2160</v>
      </c>
      <c r="F2756" s="10" t="s">
        <v>134</v>
      </c>
      <c r="G2756" s="6" t="s">
        <v>8264</v>
      </c>
      <c r="H2756" s="8">
        <v>60115</v>
      </c>
      <c r="L2756" s="95" t="s">
        <v>359</v>
      </c>
      <c r="R2756" s="97" t="str">
        <f t="shared" si="100"/>
        <v/>
      </c>
      <c r="S2756" s="75" t="str">
        <f t="shared" si="101"/>
        <v/>
      </c>
    </row>
    <row r="2757" spans="1:24" x14ac:dyDescent="0.25">
      <c r="A2757" s="6" t="s">
        <v>25</v>
      </c>
      <c r="B2757" s="94" t="s">
        <v>3139</v>
      </c>
      <c r="C2757" s="6" t="s">
        <v>8265</v>
      </c>
      <c r="D2757" s="140">
        <v>11912317</v>
      </c>
      <c r="E2757" s="6" t="s">
        <v>714</v>
      </c>
      <c r="F2757" s="10" t="s">
        <v>44</v>
      </c>
      <c r="G2757" s="6" t="s">
        <v>8266</v>
      </c>
      <c r="H2757" s="8">
        <v>46102</v>
      </c>
      <c r="L2757" s="95" t="s">
        <v>359</v>
      </c>
      <c r="R2757" s="97" t="str">
        <f t="shared" si="100"/>
        <v/>
      </c>
      <c r="S2757" s="75" t="str">
        <f t="shared" si="101"/>
        <v/>
      </c>
    </row>
    <row r="2758" spans="1:24" x14ac:dyDescent="0.25">
      <c r="A2758" s="6" t="s">
        <v>25</v>
      </c>
      <c r="B2758" s="94" t="s">
        <v>704</v>
      </c>
      <c r="C2758" s="6" t="s">
        <v>8267</v>
      </c>
      <c r="D2758" s="140">
        <v>11061187</v>
      </c>
      <c r="E2758" s="6" t="s">
        <v>318</v>
      </c>
      <c r="F2758" s="10" t="s">
        <v>205</v>
      </c>
      <c r="G2758" s="6" t="s">
        <v>8268</v>
      </c>
      <c r="H2758" s="8">
        <v>60887</v>
      </c>
      <c r="L2758" s="95" t="s">
        <v>359</v>
      </c>
      <c r="R2758" s="97" t="str">
        <f t="shared" si="100"/>
        <v/>
      </c>
      <c r="S2758" s="75" t="str">
        <f t="shared" si="101"/>
        <v/>
      </c>
    </row>
    <row r="2759" spans="1:24" x14ac:dyDescent="0.25">
      <c r="A2759" s="6" t="s">
        <v>25</v>
      </c>
      <c r="B2759" s="94" t="s">
        <v>250</v>
      </c>
      <c r="C2759" s="6" t="s">
        <v>8269</v>
      </c>
      <c r="D2759" s="140">
        <v>11242987</v>
      </c>
      <c r="E2759" s="6" t="s">
        <v>1960</v>
      </c>
      <c r="F2759" s="10" t="s">
        <v>293</v>
      </c>
      <c r="G2759" s="6" t="s">
        <v>8270</v>
      </c>
      <c r="H2759" s="8">
        <v>47093</v>
      </c>
      <c r="L2759" s="95" t="s">
        <v>359</v>
      </c>
      <c r="R2759" s="97" t="str">
        <f t="shared" si="100"/>
        <v/>
      </c>
      <c r="S2759" s="75" t="str">
        <f t="shared" si="101"/>
        <v/>
      </c>
    </row>
    <row r="2760" spans="1:24" x14ac:dyDescent="0.25">
      <c r="A2760" s="6" t="s">
        <v>6057</v>
      </c>
      <c r="B2760" s="94" t="s">
        <v>173</v>
      </c>
      <c r="C2760" s="6" t="s">
        <v>8271</v>
      </c>
      <c r="D2760" s="140">
        <v>12155496</v>
      </c>
      <c r="E2760" s="6" t="s">
        <v>4829</v>
      </c>
      <c r="F2760" s="10" t="s">
        <v>121</v>
      </c>
      <c r="G2760" s="6" t="s">
        <v>8272</v>
      </c>
      <c r="H2760" s="8">
        <v>45424</v>
      </c>
      <c r="L2760" s="95" t="s">
        <v>359</v>
      </c>
      <c r="R2760" s="97" t="str">
        <f t="shared" si="100"/>
        <v/>
      </c>
      <c r="S2760" s="75" t="str">
        <f t="shared" si="101"/>
        <v/>
      </c>
    </row>
    <row r="2761" spans="1:24" x14ac:dyDescent="0.25">
      <c r="A2761" s="6" t="s">
        <v>25</v>
      </c>
      <c r="B2761" s="94" t="s">
        <v>8273</v>
      </c>
      <c r="C2761" s="6" t="s">
        <v>8274</v>
      </c>
      <c r="D2761" s="140">
        <v>11136550</v>
      </c>
      <c r="E2761" s="6" t="s">
        <v>409</v>
      </c>
      <c r="F2761" s="10" t="s">
        <v>50</v>
      </c>
      <c r="G2761" s="6" t="s">
        <v>8275</v>
      </c>
      <c r="H2761" s="8">
        <v>53482</v>
      </c>
      <c r="I2761" s="8">
        <v>44847</v>
      </c>
      <c r="J2761" s="8">
        <v>44847</v>
      </c>
      <c r="L2761" s="95" t="s">
        <v>31</v>
      </c>
      <c r="M2761" s="8">
        <v>44853</v>
      </c>
      <c r="N2761" s="8">
        <v>45035</v>
      </c>
      <c r="O2761" s="8">
        <v>45023</v>
      </c>
      <c r="P2761" s="6" t="s">
        <v>35</v>
      </c>
      <c r="Q2761" s="96">
        <v>13724</v>
      </c>
      <c r="R2761" s="97">
        <f t="shared" si="100"/>
        <v>37.6</v>
      </c>
      <c r="S2761" s="75">
        <f t="shared" si="101"/>
        <v>310538.40000000002</v>
      </c>
      <c r="T2761" s="124" t="s">
        <v>8276</v>
      </c>
      <c r="U2761" s="8">
        <v>45051</v>
      </c>
      <c r="V2761" s="6" t="s">
        <v>36</v>
      </c>
      <c r="W2761" s="6" t="s">
        <v>84</v>
      </c>
      <c r="X2761" s="7">
        <v>48651</v>
      </c>
    </row>
    <row r="2762" spans="1:24" x14ac:dyDescent="0.25">
      <c r="A2762" s="6" t="s">
        <v>25</v>
      </c>
      <c r="B2762" s="94" t="s">
        <v>8277</v>
      </c>
      <c r="C2762" s="6" t="s">
        <v>8278</v>
      </c>
      <c r="D2762" s="140">
        <v>11647780</v>
      </c>
      <c r="E2762" s="6" t="s">
        <v>49</v>
      </c>
      <c r="F2762" s="10" t="s">
        <v>134</v>
      </c>
      <c r="G2762" s="6" t="s">
        <v>8279</v>
      </c>
      <c r="H2762" s="8">
        <v>44947</v>
      </c>
      <c r="I2762" s="8">
        <v>44847</v>
      </c>
      <c r="J2762" s="8">
        <v>44847</v>
      </c>
      <c r="L2762" s="95" t="s">
        <v>31</v>
      </c>
      <c r="M2762" s="8">
        <v>44853</v>
      </c>
      <c r="R2762" s="97" t="str">
        <f t="shared" si="100"/>
        <v/>
      </c>
      <c r="S2762" s="75" t="str">
        <f t="shared" si="101"/>
        <v/>
      </c>
      <c r="W2762" s="6" t="s">
        <v>33</v>
      </c>
      <c r="X2762" s="7">
        <v>44947</v>
      </c>
    </row>
    <row r="2763" spans="1:24" x14ac:dyDescent="0.25">
      <c r="A2763" s="6" t="s">
        <v>25</v>
      </c>
      <c r="B2763" s="94" t="s">
        <v>534</v>
      </c>
      <c r="C2763" s="6" t="s">
        <v>8280</v>
      </c>
      <c r="D2763" s="140">
        <v>11425601</v>
      </c>
      <c r="E2763" s="6" t="s">
        <v>1960</v>
      </c>
      <c r="F2763" s="10" t="s">
        <v>44</v>
      </c>
      <c r="G2763" s="6" t="s">
        <v>8281</v>
      </c>
      <c r="H2763" s="8">
        <v>46593</v>
      </c>
      <c r="I2763" s="8">
        <v>44847</v>
      </c>
      <c r="J2763" s="8">
        <v>44847</v>
      </c>
      <c r="L2763" s="95" t="s">
        <v>31</v>
      </c>
      <c r="M2763" s="8">
        <v>44860</v>
      </c>
      <c r="N2763" s="8">
        <v>45329</v>
      </c>
      <c r="O2763" s="8">
        <v>45324</v>
      </c>
      <c r="P2763" s="6" t="s">
        <v>90</v>
      </c>
      <c r="Q2763" s="96">
        <v>6935</v>
      </c>
      <c r="R2763" s="97">
        <f t="shared" si="100"/>
        <v>19</v>
      </c>
      <c r="S2763" s="75">
        <f t="shared" si="101"/>
        <v>156921</v>
      </c>
      <c r="T2763" s="124" t="s">
        <v>8282</v>
      </c>
      <c r="U2763" s="8">
        <v>45344</v>
      </c>
      <c r="V2763" s="6" t="s">
        <v>36</v>
      </c>
      <c r="W2763" s="6" t="s">
        <v>84</v>
      </c>
      <c r="X2763" s="7">
        <v>46593</v>
      </c>
    </row>
    <row r="2764" spans="1:24" x14ac:dyDescent="0.25">
      <c r="A2764" s="6" t="s">
        <v>25</v>
      </c>
      <c r="B2764" s="94" t="s">
        <v>8283</v>
      </c>
      <c r="C2764" s="6" t="s">
        <v>8284</v>
      </c>
      <c r="D2764" s="140">
        <v>11433397</v>
      </c>
      <c r="E2764" s="6" t="s">
        <v>298</v>
      </c>
      <c r="F2764" s="10" t="s">
        <v>176</v>
      </c>
      <c r="G2764" s="6">
        <v>2002030379</v>
      </c>
      <c r="H2764" s="8">
        <v>49059</v>
      </c>
      <c r="I2764" s="8">
        <v>44854</v>
      </c>
      <c r="J2764" s="8">
        <v>44854</v>
      </c>
      <c r="L2764" s="95" t="s">
        <v>31</v>
      </c>
      <c r="M2764" s="8">
        <v>44860</v>
      </c>
      <c r="N2764" s="8">
        <v>45083</v>
      </c>
      <c r="O2764" s="8">
        <v>45083</v>
      </c>
      <c r="P2764" s="6" t="s">
        <v>35</v>
      </c>
      <c r="Q2764" s="96">
        <v>6935</v>
      </c>
      <c r="R2764" s="97">
        <f t="shared" si="100"/>
        <v>19</v>
      </c>
      <c r="S2764" s="75">
        <f t="shared" si="101"/>
        <v>156921</v>
      </c>
      <c r="T2764" s="124" t="s">
        <v>8285</v>
      </c>
      <c r="U2764" s="8">
        <v>45107</v>
      </c>
      <c r="V2764" s="6" t="s">
        <v>36</v>
      </c>
      <c r="W2764" s="6" t="s">
        <v>84</v>
      </c>
      <c r="X2764" s="7">
        <v>46636</v>
      </c>
    </row>
    <row r="2765" spans="1:24" x14ac:dyDescent="0.25">
      <c r="A2765" s="6" t="s">
        <v>25</v>
      </c>
      <c r="B2765" s="94" t="s">
        <v>291</v>
      </c>
      <c r="C2765" s="6" t="s">
        <v>8286</v>
      </c>
      <c r="D2765" s="140">
        <v>11471030</v>
      </c>
      <c r="E2765" s="6" t="s">
        <v>318</v>
      </c>
      <c r="F2765" s="10" t="s">
        <v>44</v>
      </c>
      <c r="G2765" s="6" t="s">
        <v>8287</v>
      </c>
      <c r="H2765" s="8">
        <v>50344</v>
      </c>
      <c r="I2765" s="8">
        <v>44854</v>
      </c>
      <c r="J2765" s="8">
        <v>44854</v>
      </c>
      <c r="L2765" s="95" t="s">
        <v>31</v>
      </c>
      <c r="M2765" s="8">
        <v>44860</v>
      </c>
      <c r="N2765" s="8">
        <v>45226</v>
      </c>
      <c r="O2765" s="8">
        <v>45225</v>
      </c>
      <c r="P2765" s="6" t="s">
        <v>90</v>
      </c>
      <c r="Q2765" s="96">
        <v>9490</v>
      </c>
      <c r="R2765" s="97">
        <f t="shared" si="100"/>
        <v>26</v>
      </c>
      <c r="S2765" s="75">
        <f t="shared" si="101"/>
        <v>214734</v>
      </c>
      <c r="T2765" s="124" t="s">
        <v>8288</v>
      </c>
      <c r="U2765" s="8">
        <v>45344</v>
      </c>
      <c r="V2765" s="6" t="s">
        <v>36</v>
      </c>
      <c r="W2765" s="6" t="s">
        <v>84</v>
      </c>
      <c r="X2765" s="7">
        <v>48881</v>
      </c>
    </row>
    <row r="2766" spans="1:24" x14ac:dyDescent="0.25">
      <c r="A2766" s="6" t="s">
        <v>25</v>
      </c>
      <c r="B2766" s="94" t="s">
        <v>8289</v>
      </c>
      <c r="C2766" s="6" t="s">
        <v>8290</v>
      </c>
      <c r="D2766" s="140">
        <v>11493036</v>
      </c>
      <c r="E2766" s="6" t="s">
        <v>714</v>
      </c>
      <c r="F2766" s="10" t="s">
        <v>134</v>
      </c>
      <c r="G2766" s="6" t="s">
        <v>8291</v>
      </c>
      <c r="H2766" s="8">
        <v>50149</v>
      </c>
      <c r="I2766" s="8">
        <v>44847</v>
      </c>
      <c r="J2766" s="8">
        <v>44847</v>
      </c>
      <c r="L2766" s="95" t="s">
        <v>31</v>
      </c>
      <c r="M2766" s="8">
        <v>44853</v>
      </c>
      <c r="N2766" s="8">
        <v>44984</v>
      </c>
      <c r="O2766" s="8">
        <v>44960</v>
      </c>
      <c r="P2766" s="6" t="s">
        <v>35</v>
      </c>
      <c r="Q2766" s="96">
        <v>3650</v>
      </c>
      <c r="R2766" s="97">
        <f t="shared" si="100"/>
        <v>10</v>
      </c>
      <c r="S2766" s="75">
        <f t="shared" si="101"/>
        <v>82590</v>
      </c>
      <c r="U2766" s="8">
        <v>45051</v>
      </c>
      <c r="W2766" s="6" t="s">
        <v>84</v>
      </c>
      <c r="X2766" s="7">
        <v>50149</v>
      </c>
    </row>
    <row r="2767" spans="1:24" x14ac:dyDescent="0.25">
      <c r="A2767" s="6" t="s">
        <v>25</v>
      </c>
      <c r="B2767" s="94" t="s">
        <v>873</v>
      </c>
      <c r="C2767" s="6" t="s">
        <v>8292</v>
      </c>
      <c r="D2767" s="140">
        <v>11543642</v>
      </c>
      <c r="E2767" s="6" t="s">
        <v>714</v>
      </c>
      <c r="F2767" s="10" t="s">
        <v>44</v>
      </c>
      <c r="G2767" s="6" t="s">
        <v>8293</v>
      </c>
      <c r="H2767" s="8">
        <v>47994</v>
      </c>
      <c r="I2767" s="8">
        <v>44854</v>
      </c>
      <c r="J2767" s="8">
        <v>44854</v>
      </c>
      <c r="L2767" s="95" t="s">
        <v>31</v>
      </c>
      <c r="M2767" s="8">
        <v>44860</v>
      </c>
      <c r="P2767" s="6" t="s">
        <v>628</v>
      </c>
      <c r="R2767" s="97" t="str">
        <f t="shared" si="100"/>
        <v/>
      </c>
      <c r="S2767" s="75" t="str">
        <f t="shared" si="101"/>
        <v/>
      </c>
      <c r="T2767" s="124" t="s">
        <v>8294</v>
      </c>
      <c r="W2767" s="6" t="s">
        <v>84</v>
      </c>
      <c r="X2767" s="7">
        <v>47436</v>
      </c>
    </row>
    <row r="2768" spans="1:24" x14ac:dyDescent="0.25">
      <c r="A2768" s="6" t="s">
        <v>25</v>
      </c>
      <c r="B2768" s="94" t="s">
        <v>2165</v>
      </c>
      <c r="C2768" s="6" t="s">
        <v>8295</v>
      </c>
      <c r="D2768" s="140">
        <v>11163640</v>
      </c>
      <c r="E2768" s="6" t="s">
        <v>2090</v>
      </c>
      <c r="F2768" s="10" t="s">
        <v>44</v>
      </c>
      <c r="G2768" s="6" t="s">
        <v>8296</v>
      </c>
      <c r="H2768" s="8">
        <v>50024</v>
      </c>
      <c r="I2768" s="8">
        <v>44847</v>
      </c>
      <c r="J2768" s="8">
        <v>44847</v>
      </c>
      <c r="L2768" s="95" t="s">
        <v>31</v>
      </c>
      <c r="M2768" s="8">
        <v>44853</v>
      </c>
      <c r="P2768" s="6" t="s">
        <v>628</v>
      </c>
      <c r="R2768" s="97" t="str">
        <f t="shared" si="100"/>
        <v/>
      </c>
      <c r="S2768" s="75" t="str">
        <f t="shared" si="101"/>
        <v/>
      </c>
      <c r="T2768" s="124" t="s">
        <v>7908</v>
      </c>
      <c r="W2768" s="6" t="s">
        <v>84</v>
      </c>
      <c r="X2768" s="7">
        <v>46228</v>
      </c>
    </row>
    <row r="2769" spans="1:24" x14ac:dyDescent="0.25">
      <c r="A2769" s="6" t="s">
        <v>25</v>
      </c>
      <c r="B2769" s="94" t="s">
        <v>1639</v>
      </c>
      <c r="C2769" s="6" t="s">
        <v>8297</v>
      </c>
      <c r="D2769" s="140">
        <v>11230247</v>
      </c>
      <c r="E2769" s="6" t="s">
        <v>244</v>
      </c>
      <c r="F2769" s="10" t="s">
        <v>44</v>
      </c>
      <c r="G2769" s="6" t="s">
        <v>8298</v>
      </c>
      <c r="H2769" s="8">
        <v>53814</v>
      </c>
      <c r="I2769" s="8">
        <v>44847</v>
      </c>
      <c r="J2769" s="8">
        <v>44847</v>
      </c>
      <c r="L2769" s="95" t="s">
        <v>31</v>
      </c>
      <c r="M2769" s="8">
        <v>44853</v>
      </c>
      <c r="N2769" s="8">
        <v>45166</v>
      </c>
      <c r="O2769" s="8">
        <v>45149</v>
      </c>
      <c r="P2769" s="6" t="s">
        <v>35</v>
      </c>
      <c r="Q2769" s="96">
        <v>14308</v>
      </c>
      <c r="R2769" s="97">
        <f t="shared" si="100"/>
        <v>39.200000000000003</v>
      </c>
      <c r="S2769" s="75">
        <f t="shared" si="101"/>
        <v>323752.8</v>
      </c>
      <c r="T2769" s="124" t="s">
        <v>8299</v>
      </c>
      <c r="U2769" s="8">
        <v>45167</v>
      </c>
      <c r="V2769" s="6" t="s">
        <v>36</v>
      </c>
      <c r="W2769" s="6" t="s">
        <v>84</v>
      </c>
      <c r="X2769" s="7">
        <v>46540</v>
      </c>
    </row>
    <row r="2770" spans="1:24" ht="60" x14ac:dyDescent="0.25">
      <c r="A2770" s="6" t="s">
        <v>25</v>
      </c>
      <c r="B2770" s="94" t="s">
        <v>8300</v>
      </c>
      <c r="C2770" s="6" t="s">
        <v>8301</v>
      </c>
      <c r="D2770" s="140">
        <v>11131432</v>
      </c>
      <c r="E2770" s="6" t="s">
        <v>2160</v>
      </c>
      <c r="F2770" s="10" t="s">
        <v>44</v>
      </c>
      <c r="G2770" s="6" t="s">
        <v>8302</v>
      </c>
      <c r="H2770" s="8">
        <v>53173</v>
      </c>
      <c r="I2770" s="8">
        <v>44847</v>
      </c>
      <c r="J2770" s="8">
        <v>44847</v>
      </c>
      <c r="L2770" s="95" t="s">
        <v>31</v>
      </c>
      <c r="M2770" s="8">
        <v>44853</v>
      </c>
      <c r="P2770" s="6" t="s">
        <v>628</v>
      </c>
      <c r="R2770" s="97" t="str">
        <f t="shared" si="100"/>
        <v/>
      </c>
      <c r="S2770" s="75" t="str">
        <f t="shared" si="101"/>
        <v/>
      </c>
      <c r="T2770" s="157" t="s">
        <v>8303</v>
      </c>
      <c r="W2770" s="6" t="s">
        <v>84</v>
      </c>
      <c r="X2770" s="7">
        <v>47174</v>
      </c>
    </row>
    <row r="2771" spans="1:24" x14ac:dyDescent="0.25">
      <c r="A2771" s="6" t="s">
        <v>25</v>
      </c>
      <c r="B2771" s="94" t="s">
        <v>8304</v>
      </c>
      <c r="C2771" s="6" t="s">
        <v>8305</v>
      </c>
      <c r="D2771" s="140">
        <v>11168725</v>
      </c>
      <c r="E2771" s="6" t="s">
        <v>1156</v>
      </c>
      <c r="F2771" s="10" t="s">
        <v>44</v>
      </c>
      <c r="G2771" s="6" t="s">
        <v>8306</v>
      </c>
      <c r="H2771" s="8">
        <v>48707</v>
      </c>
      <c r="I2771" s="8">
        <v>44847</v>
      </c>
      <c r="J2771" s="8">
        <v>44847</v>
      </c>
      <c r="L2771" s="95" t="s">
        <v>31</v>
      </c>
      <c r="M2771" s="8">
        <v>44853</v>
      </c>
      <c r="P2771" s="6" t="s">
        <v>628</v>
      </c>
      <c r="R2771" s="97" t="str">
        <f t="shared" si="100"/>
        <v/>
      </c>
      <c r="S2771" s="75" t="str">
        <f t="shared" si="101"/>
        <v/>
      </c>
      <c r="T2771" s="124" t="s">
        <v>8307</v>
      </c>
      <c r="W2771" s="6" t="s">
        <v>84</v>
      </c>
      <c r="X2771" s="7">
        <v>47864</v>
      </c>
    </row>
    <row r="2772" spans="1:24" ht="30" x14ac:dyDescent="0.25">
      <c r="A2772" s="6" t="s">
        <v>25</v>
      </c>
      <c r="B2772" s="94" t="s">
        <v>8308</v>
      </c>
      <c r="C2772" s="6" t="s">
        <v>8309</v>
      </c>
      <c r="D2772" s="140">
        <v>11132253</v>
      </c>
      <c r="E2772" s="6" t="s">
        <v>344</v>
      </c>
      <c r="F2772" s="10" t="s">
        <v>57</v>
      </c>
      <c r="G2772" s="6" t="s">
        <v>8310</v>
      </c>
      <c r="H2772" s="8">
        <v>47879</v>
      </c>
      <c r="I2772" s="8">
        <v>44847</v>
      </c>
      <c r="J2772" s="8">
        <v>44847</v>
      </c>
      <c r="L2772" s="95" t="s">
        <v>31</v>
      </c>
      <c r="M2772" s="8">
        <v>44853</v>
      </c>
      <c r="N2772" s="8">
        <v>44908</v>
      </c>
      <c r="O2772" s="8">
        <v>44897</v>
      </c>
      <c r="P2772" s="6" t="s">
        <v>35</v>
      </c>
      <c r="Q2772" s="96">
        <v>7665</v>
      </c>
      <c r="R2772" s="97">
        <f t="shared" si="100"/>
        <v>21</v>
      </c>
      <c r="S2772" s="75">
        <f t="shared" si="101"/>
        <v>173439</v>
      </c>
      <c r="U2772" s="8">
        <v>44965</v>
      </c>
      <c r="V2772" s="6" t="s">
        <v>581</v>
      </c>
      <c r="W2772" s="6" t="s">
        <v>84</v>
      </c>
      <c r="X2772" s="7">
        <v>47104</v>
      </c>
    </row>
    <row r="2773" spans="1:24" x14ac:dyDescent="0.25">
      <c r="A2773" s="6" t="s">
        <v>25</v>
      </c>
      <c r="B2773" s="94" t="s">
        <v>2660</v>
      </c>
      <c r="C2773" s="6" t="s">
        <v>8311</v>
      </c>
      <c r="D2773" s="140">
        <v>11245443</v>
      </c>
      <c r="E2773" s="6" t="s">
        <v>3564</v>
      </c>
      <c r="F2773" s="10" t="s">
        <v>121</v>
      </c>
      <c r="G2773" s="6" t="s">
        <v>8312</v>
      </c>
      <c r="H2773" s="8">
        <v>45923</v>
      </c>
      <c r="I2773" s="8">
        <v>44847</v>
      </c>
      <c r="J2773" s="8">
        <v>44847</v>
      </c>
      <c r="L2773" s="95" t="s">
        <v>31</v>
      </c>
      <c r="M2773" s="8">
        <v>44853</v>
      </c>
      <c r="N2773" s="8">
        <v>45065</v>
      </c>
      <c r="O2773" s="8">
        <v>45058</v>
      </c>
      <c r="P2773" s="6" t="s">
        <v>35</v>
      </c>
      <c r="Q2773" s="96">
        <v>7300</v>
      </c>
      <c r="R2773" s="97">
        <f t="shared" si="100"/>
        <v>20</v>
      </c>
      <c r="S2773" s="75">
        <f t="shared" si="101"/>
        <v>165180</v>
      </c>
      <c r="U2773" s="8">
        <v>45072</v>
      </c>
      <c r="W2773" s="6" t="s">
        <v>84</v>
      </c>
      <c r="X2773" s="7">
        <v>45923</v>
      </c>
    </row>
    <row r="2774" spans="1:24" x14ac:dyDescent="0.25">
      <c r="A2774" s="6" t="s">
        <v>25</v>
      </c>
      <c r="B2774" s="94" t="s">
        <v>8313</v>
      </c>
      <c r="C2774" s="6" t="s">
        <v>8314</v>
      </c>
      <c r="D2774" s="140">
        <v>10982767</v>
      </c>
      <c r="E2774" s="6" t="s">
        <v>386</v>
      </c>
      <c r="F2774" s="10" t="s">
        <v>1588</v>
      </c>
      <c r="G2774" s="6" t="s">
        <v>8315</v>
      </c>
      <c r="H2774" s="8">
        <v>45965</v>
      </c>
      <c r="I2774" s="8">
        <v>44847</v>
      </c>
      <c r="J2774" s="8">
        <v>44847</v>
      </c>
      <c r="L2774" s="95" t="s">
        <v>31</v>
      </c>
      <c r="M2774" s="8">
        <v>44853</v>
      </c>
      <c r="N2774" s="8">
        <v>44917</v>
      </c>
      <c r="O2774" s="8">
        <v>44915</v>
      </c>
      <c r="P2774" s="6" t="s">
        <v>90</v>
      </c>
      <c r="Q2774" s="96">
        <v>1825</v>
      </c>
      <c r="R2774" s="97">
        <f t="shared" si="100"/>
        <v>5</v>
      </c>
      <c r="S2774" s="75">
        <f t="shared" si="101"/>
        <v>41295</v>
      </c>
      <c r="T2774" s="124" t="s">
        <v>8316</v>
      </c>
      <c r="U2774" s="8">
        <v>45051</v>
      </c>
      <c r="V2774" s="6" t="s">
        <v>36</v>
      </c>
      <c r="W2774" s="6" t="s">
        <v>33</v>
      </c>
      <c r="X2774" s="7">
        <v>45965</v>
      </c>
    </row>
    <row r="2775" spans="1:24" x14ac:dyDescent="0.25">
      <c r="A2775" s="6" t="s">
        <v>25</v>
      </c>
      <c r="B2775" s="94" t="s">
        <v>242</v>
      </c>
      <c r="C2775" s="6" t="s">
        <v>8317</v>
      </c>
      <c r="D2775" s="140">
        <v>12121694</v>
      </c>
      <c r="E2775" s="6" t="s">
        <v>1185</v>
      </c>
      <c r="F2775" s="10" t="s">
        <v>148</v>
      </c>
      <c r="G2775" s="6" t="s">
        <v>8318</v>
      </c>
      <c r="H2775" s="8">
        <v>46267</v>
      </c>
      <c r="L2775" s="95" t="s">
        <v>359</v>
      </c>
      <c r="R2775" s="97" t="str">
        <f t="shared" si="100"/>
        <v/>
      </c>
      <c r="S2775" s="75" t="str">
        <f t="shared" si="101"/>
        <v/>
      </c>
      <c r="W2775" s="6" t="s">
        <v>33</v>
      </c>
    </row>
    <row r="2776" spans="1:24" x14ac:dyDescent="0.25">
      <c r="A2776" s="6" t="s">
        <v>25</v>
      </c>
      <c r="B2776" s="94" t="s">
        <v>8319</v>
      </c>
      <c r="C2776" s="6" t="s">
        <v>8320</v>
      </c>
      <c r="D2776" s="140">
        <v>11194583</v>
      </c>
      <c r="E2776" s="6" t="s">
        <v>997</v>
      </c>
      <c r="F2776" s="10" t="s">
        <v>148</v>
      </c>
      <c r="G2776" s="6" t="s">
        <v>8321</v>
      </c>
      <c r="H2776" s="8">
        <v>49058</v>
      </c>
      <c r="L2776" s="95" t="s">
        <v>359</v>
      </c>
      <c r="R2776" s="97" t="str">
        <f t="shared" si="100"/>
        <v/>
      </c>
      <c r="S2776" s="75" t="str">
        <f t="shared" si="101"/>
        <v/>
      </c>
    </row>
    <row r="2777" spans="1:24" x14ac:dyDescent="0.25">
      <c r="A2777" s="6" t="s">
        <v>25</v>
      </c>
      <c r="B2777" s="94" t="s">
        <v>7636</v>
      </c>
      <c r="C2777" s="6" t="s">
        <v>8322</v>
      </c>
      <c r="D2777" s="140">
        <v>11290846</v>
      </c>
      <c r="E2777" s="6" t="s">
        <v>881</v>
      </c>
      <c r="F2777" s="10" t="s">
        <v>62</v>
      </c>
      <c r="G2777" s="6" t="s">
        <v>8323</v>
      </c>
      <c r="H2777" s="8">
        <v>51268</v>
      </c>
      <c r="L2777" s="95" t="s">
        <v>359</v>
      </c>
      <c r="R2777" s="97" t="str">
        <f t="shared" si="100"/>
        <v/>
      </c>
      <c r="S2777" s="75" t="str">
        <f t="shared" si="101"/>
        <v/>
      </c>
    </row>
    <row r="2778" spans="1:24" x14ac:dyDescent="0.25">
      <c r="A2778" s="6" t="s">
        <v>25</v>
      </c>
      <c r="B2778" s="94" t="s">
        <v>8324</v>
      </c>
      <c r="C2778" s="6" t="s">
        <v>8325</v>
      </c>
      <c r="D2778" s="140">
        <v>12118828</v>
      </c>
      <c r="E2778" s="6" t="s">
        <v>651</v>
      </c>
      <c r="F2778" s="10" t="s">
        <v>44</v>
      </c>
      <c r="G2778" s="6" t="s">
        <v>8326</v>
      </c>
      <c r="H2778" s="8">
        <v>50376</v>
      </c>
      <c r="L2778" s="95" t="s">
        <v>359</v>
      </c>
      <c r="R2778" s="97" t="str">
        <f t="shared" si="100"/>
        <v/>
      </c>
      <c r="S2778" s="75" t="str">
        <f t="shared" si="101"/>
        <v/>
      </c>
    </row>
    <row r="2779" spans="1:24" x14ac:dyDescent="0.25">
      <c r="A2779" s="6" t="s">
        <v>25</v>
      </c>
      <c r="B2779" s="94" t="s">
        <v>8327</v>
      </c>
      <c r="C2779" s="6" t="s">
        <v>8328</v>
      </c>
      <c r="D2779" s="140">
        <v>11440360</v>
      </c>
      <c r="E2779" s="6" t="s">
        <v>3468</v>
      </c>
      <c r="F2779" s="10" t="s">
        <v>44</v>
      </c>
      <c r="G2779" s="6" t="s">
        <v>8329</v>
      </c>
      <c r="H2779" s="8">
        <v>51861</v>
      </c>
      <c r="L2779" s="95" t="s">
        <v>359</v>
      </c>
      <c r="R2779" s="97" t="str">
        <f t="shared" si="100"/>
        <v/>
      </c>
      <c r="S2779" s="75" t="str">
        <f t="shared" si="101"/>
        <v/>
      </c>
    </row>
    <row r="2780" spans="1:24" x14ac:dyDescent="0.25">
      <c r="A2780" s="6" t="s">
        <v>25</v>
      </c>
      <c r="B2780" s="94" t="s">
        <v>8330</v>
      </c>
      <c r="C2780" s="6" t="s">
        <v>8331</v>
      </c>
      <c r="D2780" s="140">
        <v>12179073</v>
      </c>
      <c r="E2780" s="6" t="s">
        <v>1459</v>
      </c>
      <c r="F2780" s="10" t="s">
        <v>44</v>
      </c>
      <c r="G2780" s="6" t="s">
        <v>8332</v>
      </c>
      <c r="H2780" s="8">
        <v>46856</v>
      </c>
      <c r="L2780" s="95" t="s">
        <v>359</v>
      </c>
      <c r="R2780" s="97" t="str">
        <f t="shared" si="100"/>
        <v/>
      </c>
      <c r="S2780" s="75" t="str">
        <f t="shared" si="101"/>
        <v/>
      </c>
    </row>
    <row r="2781" spans="1:24" x14ac:dyDescent="0.25">
      <c r="A2781" s="6" t="s">
        <v>25</v>
      </c>
      <c r="B2781" s="94" t="s">
        <v>8333</v>
      </c>
      <c r="C2781" s="6" t="s">
        <v>8334</v>
      </c>
      <c r="D2781" s="140">
        <v>11134331</v>
      </c>
      <c r="E2781" s="6" t="s">
        <v>3468</v>
      </c>
      <c r="F2781" s="10" t="s">
        <v>44</v>
      </c>
      <c r="G2781" s="6" t="s">
        <v>8335</v>
      </c>
      <c r="H2781" s="8">
        <v>46140</v>
      </c>
      <c r="L2781" s="95" t="s">
        <v>359</v>
      </c>
      <c r="R2781" s="97" t="str">
        <f t="shared" si="100"/>
        <v/>
      </c>
      <c r="S2781" s="75" t="str">
        <f t="shared" si="101"/>
        <v/>
      </c>
    </row>
    <row r="2782" spans="1:24" x14ac:dyDescent="0.25">
      <c r="A2782" s="6" t="s">
        <v>25</v>
      </c>
      <c r="B2782" s="94" t="s">
        <v>8336</v>
      </c>
      <c r="C2782" s="6" t="s">
        <v>8337</v>
      </c>
      <c r="D2782" s="140">
        <v>11071639</v>
      </c>
      <c r="E2782" s="6" t="s">
        <v>1200</v>
      </c>
      <c r="F2782" s="10" t="s">
        <v>44</v>
      </c>
      <c r="G2782" s="6" t="s">
        <v>8338</v>
      </c>
      <c r="H2782" s="8">
        <v>46484</v>
      </c>
      <c r="L2782" s="95" t="s">
        <v>359</v>
      </c>
      <c r="R2782" s="97" t="str">
        <f t="shared" si="100"/>
        <v/>
      </c>
      <c r="S2782" s="75" t="str">
        <f t="shared" si="101"/>
        <v/>
      </c>
    </row>
    <row r="2783" spans="1:24" x14ac:dyDescent="0.25">
      <c r="A2783" s="6" t="s">
        <v>25</v>
      </c>
      <c r="B2783" s="94" t="s">
        <v>8339</v>
      </c>
      <c r="C2783" s="6" t="s">
        <v>8340</v>
      </c>
      <c r="D2783" s="140">
        <v>11259891</v>
      </c>
      <c r="E2783" s="6" t="s">
        <v>49</v>
      </c>
      <c r="F2783" s="10" t="s">
        <v>44</v>
      </c>
      <c r="G2783" s="6" t="s">
        <v>8341</v>
      </c>
      <c r="H2783" s="8">
        <v>47314</v>
      </c>
      <c r="L2783" s="95" t="s">
        <v>359</v>
      </c>
      <c r="R2783" s="97" t="str">
        <f t="shared" si="100"/>
        <v/>
      </c>
      <c r="S2783" s="75" t="str">
        <f t="shared" si="101"/>
        <v/>
      </c>
    </row>
    <row r="2784" spans="1:24" x14ac:dyDescent="0.25">
      <c r="A2784" s="6" t="s">
        <v>25</v>
      </c>
      <c r="B2784" s="94" t="s">
        <v>8342</v>
      </c>
      <c r="C2784" s="6" t="s">
        <v>8343</v>
      </c>
      <c r="D2784" s="140">
        <v>11024044</v>
      </c>
      <c r="E2784" s="6" t="s">
        <v>892</v>
      </c>
      <c r="F2784" s="10" t="s">
        <v>4740</v>
      </c>
      <c r="G2784" s="6">
        <v>12187</v>
      </c>
      <c r="H2784" s="8">
        <v>46464</v>
      </c>
      <c r="L2784" s="95" t="s">
        <v>359</v>
      </c>
      <c r="R2784" s="97" t="str">
        <f t="shared" si="100"/>
        <v/>
      </c>
      <c r="S2784" s="75" t="str">
        <f t="shared" si="101"/>
        <v/>
      </c>
    </row>
    <row r="2785" spans="1:24" x14ac:dyDescent="0.25">
      <c r="A2785" s="6" t="s">
        <v>25</v>
      </c>
      <c r="B2785" s="94" t="s">
        <v>1894</v>
      </c>
      <c r="C2785" s="6" t="s">
        <v>8344</v>
      </c>
      <c r="D2785" s="140">
        <v>11502958</v>
      </c>
      <c r="E2785" s="6" t="s">
        <v>216</v>
      </c>
      <c r="F2785" s="10" t="s">
        <v>57</v>
      </c>
      <c r="G2785" s="6" t="s">
        <v>8345</v>
      </c>
      <c r="H2785" s="8">
        <v>75664</v>
      </c>
      <c r="L2785" s="95" t="s">
        <v>359</v>
      </c>
      <c r="R2785" s="97" t="str">
        <f t="shared" si="100"/>
        <v/>
      </c>
      <c r="S2785" s="75" t="str">
        <f t="shared" si="101"/>
        <v/>
      </c>
    </row>
    <row r="2786" spans="1:24" x14ac:dyDescent="0.25">
      <c r="A2786" s="6" t="s">
        <v>25</v>
      </c>
      <c r="B2786" s="94" t="s">
        <v>8346</v>
      </c>
      <c r="C2786" s="6" t="s">
        <v>8347</v>
      </c>
      <c r="D2786" s="140">
        <v>11079733</v>
      </c>
      <c r="E2786" s="6" t="s">
        <v>783</v>
      </c>
      <c r="F2786" s="10" t="s">
        <v>57</v>
      </c>
      <c r="G2786" s="6" t="s">
        <v>8348</v>
      </c>
      <c r="H2786" s="8">
        <v>46121</v>
      </c>
      <c r="L2786" s="95" t="s">
        <v>359</v>
      </c>
      <c r="R2786" s="97" t="str">
        <f t="shared" si="100"/>
        <v/>
      </c>
      <c r="S2786" s="75" t="str">
        <f t="shared" si="101"/>
        <v/>
      </c>
    </row>
    <row r="2787" spans="1:24" x14ac:dyDescent="0.25">
      <c r="A2787" s="6" t="s">
        <v>25</v>
      </c>
      <c r="B2787" s="94" t="s">
        <v>8349</v>
      </c>
      <c r="C2787" s="6" t="s">
        <v>8350</v>
      </c>
      <c r="D2787" s="140">
        <v>12155250</v>
      </c>
      <c r="E2787" s="6" t="s">
        <v>714</v>
      </c>
      <c r="F2787" s="10" t="s">
        <v>2296</v>
      </c>
      <c r="G2787" s="6">
        <v>62140452</v>
      </c>
      <c r="H2787" s="8">
        <v>46349</v>
      </c>
      <c r="L2787" s="95" t="s">
        <v>359</v>
      </c>
      <c r="R2787" s="97" t="str">
        <f t="shared" ref="R2787:R2850" si="102">IF(Q2787&gt;0, Q2787/365, "")</f>
        <v/>
      </c>
      <c r="S2787" s="75" t="str">
        <f t="shared" ref="S2787:S2850" si="103">IF(Q2787&gt;0, SUM(Q2787)*(8259/365), "")</f>
        <v/>
      </c>
    </row>
    <row r="2788" spans="1:24" x14ac:dyDescent="0.25">
      <c r="A2788" s="6" t="s">
        <v>25</v>
      </c>
      <c r="B2788" s="94" t="s">
        <v>8351</v>
      </c>
      <c r="C2788" s="6" t="s">
        <v>8352</v>
      </c>
      <c r="D2788" s="140">
        <v>11984823</v>
      </c>
      <c r="E2788" s="6" t="s">
        <v>1200</v>
      </c>
      <c r="F2788" s="10" t="s">
        <v>29</v>
      </c>
      <c r="G2788" s="6" t="s">
        <v>8353</v>
      </c>
      <c r="H2788" s="8">
        <v>47038</v>
      </c>
      <c r="L2788" s="95" t="s">
        <v>359</v>
      </c>
      <c r="R2788" s="97" t="str">
        <f t="shared" si="102"/>
        <v/>
      </c>
      <c r="S2788" s="75" t="str">
        <f t="shared" si="103"/>
        <v/>
      </c>
    </row>
    <row r="2789" spans="1:24" x14ac:dyDescent="0.25">
      <c r="A2789" s="6" t="s">
        <v>25</v>
      </c>
      <c r="B2789" s="94" t="s">
        <v>723</v>
      </c>
      <c r="C2789" s="6" t="s">
        <v>8354</v>
      </c>
      <c r="D2789" s="140">
        <v>11129841</v>
      </c>
      <c r="E2789" s="6" t="s">
        <v>1996</v>
      </c>
      <c r="F2789" s="10" t="s">
        <v>205</v>
      </c>
      <c r="G2789" s="6" t="s">
        <v>8355</v>
      </c>
      <c r="H2789" s="8">
        <v>53002</v>
      </c>
      <c r="L2789" s="95" t="s">
        <v>359</v>
      </c>
      <c r="R2789" s="97" t="str">
        <f t="shared" si="102"/>
        <v/>
      </c>
      <c r="S2789" s="75" t="str">
        <f t="shared" si="103"/>
        <v/>
      </c>
    </row>
    <row r="2790" spans="1:24" x14ac:dyDescent="0.25">
      <c r="A2790" s="6" t="s">
        <v>25</v>
      </c>
      <c r="B2790" s="94" t="s">
        <v>2294</v>
      </c>
      <c r="C2790" s="6" t="s">
        <v>8356</v>
      </c>
      <c r="D2790" s="140">
        <v>11568063</v>
      </c>
      <c r="E2790" s="6" t="s">
        <v>527</v>
      </c>
      <c r="F2790" s="10" t="s">
        <v>121</v>
      </c>
      <c r="G2790" s="6" t="s">
        <v>8357</v>
      </c>
      <c r="H2790" s="8">
        <v>47160</v>
      </c>
      <c r="L2790" s="95" t="s">
        <v>359</v>
      </c>
      <c r="R2790" s="97" t="str">
        <f t="shared" si="102"/>
        <v/>
      </c>
      <c r="S2790" s="75" t="str">
        <f t="shared" si="103"/>
        <v/>
      </c>
    </row>
    <row r="2791" spans="1:24" x14ac:dyDescent="0.25">
      <c r="A2791" s="6" t="s">
        <v>25</v>
      </c>
      <c r="B2791" s="94" t="s">
        <v>3298</v>
      </c>
      <c r="C2791" s="6" t="s">
        <v>8358</v>
      </c>
      <c r="D2791" s="140">
        <v>11057328</v>
      </c>
      <c r="E2791" s="6" t="s">
        <v>409</v>
      </c>
      <c r="F2791" s="10" t="s">
        <v>134</v>
      </c>
      <c r="G2791" s="6" t="s">
        <v>8359</v>
      </c>
      <c r="H2791" s="8">
        <v>59520</v>
      </c>
      <c r="L2791" s="95" t="s">
        <v>359</v>
      </c>
      <c r="R2791" s="97" t="str">
        <f t="shared" si="102"/>
        <v/>
      </c>
      <c r="S2791" s="75" t="str">
        <f t="shared" si="103"/>
        <v/>
      </c>
    </row>
    <row r="2792" spans="1:24" x14ac:dyDescent="0.25">
      <c r="A2792" s="6" t="s">
        <v>25</v>
      </c>
      <c r="B2792" s="94" t="s">
        <v>8360</v>
      </c>
      <c r="C2792" s="6" t="s">
        <v>8361</v>
      </c>
      <c r="D2792" s="140">
        <v>11591459</v>
      </c>
      <c r="E2792" s="6" t="s">
        <v>49</v>
      </c>
      <c r="F2792" s="10" t="s">
        <v>2600</v>
      </c>
      <c r="G2792" s="6">
        <v>1188681</v>
      </c>
      <c r="H2792" s="8">
        <v>71802</v>
      </c>
      <c r="L2792" s="95" t="s">
        <v>359</v>
      </c>
      <c r="R2792" s="97" t="str">
        <f t="shared" si="102"/>
        <v/>
      </c>
      <c r="S2792" s="75" t="str">
        <f t="shared" si="103"/>
        <v/>
      </c>
    </row>
    <row r="2793" spans="1:24" x14ac:dyDescent="0.25">
      <c r="A2793" s="6" t="s">
        <v>25</v>
      </c>
      <c r="B2793" s="94" t="s">
        <v>8362</v>
      </c>
      <c r="C2793" s="6" t="s">
        <v>8363</v>
      </c>
      <c r="D2793" s="140">
        <v>12177077</v>
      </c>
      <c r="E2793" s="6" t="s">
        <v>120</v>
      </c>
      <c r="F2793" s="10" t="s">
        <v>143</v>
      </c>
      <c r="G2793" s="6" t="s">
        <v>8364</v>
      </c>
      <c r="H2793" s="8">
        <v>46752</v>
      </c>
      <c r="L2793" s="95" t="s">
        <v>359</v>
      </c>
      <c r="R2793" s="97" t="str">
        <f t="shared" si="102"/>
        <v/>
      </c>
      <c r="S2793" s="75" t="str">
        <f t="shared" si="103"/>
        <v/>
      </c>
    </row>
    <row r="2794" spans="1:24" x14ac:dyDescent="0.25">
      <c r="A2794" s="6" t="s">
        <v>25</v>
      </c>
      <c r="B2794" s="94" t="s">
        <v>723</v>
      </c>
      <c r="C2794" s="6" t="s">
        <v>8365</v>
      </c>
      <c r="D2794" s="140">
        <v>11352073</v>
      </c>
      <c r="E2794" s="6" t="s">
        <v>209</v>
      </c>
      <c r="F2794" s="10" t="s">
        <v>139</v>
      </c>
      <c r="G2794" s="6" t="s">
        <v>8366</v>
      </c>
      <c r="H2794" s="8">
        <v>45463</v>
      </c>
      <c r="L2794" s="95" t="s">
        <v>359</v>
      </c>
      <c r="R2794" s="97" t="str">
        <f t="shared" si="102"/>
        <v/>
      </c>
      <c r="S2794" s="75" t="str">
        <f t="shared" si="103"/>
        <v/>
      </c>
    </row>
    <row r="2795" spans="1:24" x14ac:dyDescent="0.25">
      <c r="A2795" s="6" t="s">
        <v>25</v>
      </c>
      <c r="B2795" s="94" t="s">
        <v>2329</v>
      </c>
      <c r="C2795" s="6" t="s">
        <v>8367</v>
      </c>
      <c r="D2795" s="140">
        <v>12104783</v>
      </c>
      <c r="E2795" s="6" t="s">
        <v>514</v>
      </c>
      <c r="F2795" s="10" t="s">
        <v>293</v>
      </c>
      <c r="G2795" s="6" t="s">
        <v>8368</v>
      </c>
      <c r="H2795" s="8">
        <v>45389</v>
      </c>
      <c r="L2795" s="95" t="s">
        <v>359</v>
      </c>
      <c r="R2795" s="97" t="str">
        <f t="shared" si="102"/>
        <v/>
      </c>
      <c r="S2795" s="75" t="str">
        <f t="shared" si="103"/>
        <v/>
      </c>
    </row>
    <row r="2796" spans="1:24" x14ac:dyDescent="0.25">
      <c r="A2796" s="6" t="s">
        <v>25</v>
      </c>
      <c r="B2796" s="94" t="s">
        <v>8369</v>
      </c>
      <c r="C2796" s="6" t="s">
        <v>8370</v>
      </c>
      <c r="D2796" s="140">
        <v>11717478</v>
      </c>
      <c r="E2796" s="6" t="s">
        <v>962</v>
      </c>
      <c r="F2796" s="10" t="s">
        <v>44</v>
      </c>
      <c r="G2796" s="6" t="s">
        <v>8371</v>
      </c>
      <c r="H2796" s="8">
        <v>46617</v>
      </c>
      <c r="L2796" s="95" t="s">
        <v>359</v>
      </c>
      <c r="R2796" s="97" t="str">
        <f t="shared" si="102"/>
        <v/>
      </c>
      <c r="S2796" s="75" t="str">
        <f t="shared" si="103"/>
        <v/>
      </c>
    </row>
    <row r="2797" spans="1:24" x14ac:dyDescent="0.25">
      <c r="A2797" s="6" t="s">
        <v>25</v>
      </c>
      <c r="B2797" s="94" t="s">
        <v>8372</v>
      </c>
      <c r="C2797" s="6" t="s">
        <v>8373</v>
      </c>
      <c r="D2797" s="140">
        <v>11258776</v>
      </c>
      <c r="E2797" s="6" t="s">
        <v>686</v>
      </c>
      <c r="F2797" s="10" t="s">
        <v>62</v>
      </c>
      <c r="G2797" s="6" t="s">
        <v>8374</v>
      </c>
      <c r="H2797" s="8">
        <v>46621</v>
      </c>
      <c r="I2797" s="8">
        <v>44909</v>
      </c>
      <c r="J2797" s="8">
        <v>44909</v>
      </c>
      <c r="L2797" s="95" t="s">
        <v>31</v>
      </c>
      <c r="M2797" s="8">
        <v>44915</v>
      </c>
      <c r="P2797" s="6" t="s">
        <v>628</v>
      </c>
      <c r="R2797" s="97" t="str">
        <f t="shared" si="102"/>
        <v/>
      </c>
      <c r="S2797" s="75" t="str">
        <f t="shared" si="103"/>
        <v/>
      </c>
      <c r="T2797" s="124" t="s">
        <v>8375</v>
      </c>
      <c r="W2797" s="6" t="s">
        <v>84</v>
      </c>
      <c r="X2797" s="7">
        <v>46621</v>
      </c>
    </row>
    <row r="2798" spans="1:24" x14ac:dyDescent="0.25">
      <c r="A2798" s="6" t="s">
        <v>168</v>
      </c>
      <c r="B2798" s="94" t="s">
        <v>6983</v>
      </c>
      <c r="C2798" s="6" t="s">
        <v>8376</v>
      </c>
      <c r="D2798" s="140">
        <v>11016899</v>
      </c>
      <c r="E2798" s="6" t="s">
        <v>386</v>
      </c>
      <c r="F2798" s="10" t="s">
        <v>44</v>
      </c>
      <c r="G2798" s="6" t="s">
        <v>8377</v>
      </c>
      <c r="H2798" s="8">
        <v>53158</v>
      </c>
      <c r="I2798" s="8">
        <v>44909</v>
      </c>
      <c r="J2798" s="8">
        <v>44909</v>
      </c>
      <c r="L2798" s="95" t="s">
        <v>31</v>
      </c>
      <c r="M2798" s="8">
        <v>44915</v>
      </c>
      <c r="N2798" s="8">
        <v>45314</v>
      </c>
      <c r="O2798" s="8">
        <v>45236</v>
      </c>
      <c r="P2798" s="6" t="s">
        <v>35</v>
      </c>
      <c r="Q2798" s="96">
        <v>9490</v>
      </c>
      <c r="R2798" s="97">
        <f t="shared" si="102"/>
        <v>26</v>
      </c>
      <c r="S2798" s="75">
        <f t="shared" si="103"/>
        <v>214734</v>
      </c>
      <c r="W2798" s="6" t="s">
        <v>84</v>
      </c>
      <c r="X2798" s="7">
        <v>47502</v>
      </c>
    </row>
    <row r="2799" spans="1:24" x14ac:dyDescent="0.25">
      <c r="A2799" s="6" t="s">
        <v>25</v>
      </c>
      <c r="B2799" s="94" t="s">
        <v>850</v>
      </c>
      <c r="C2799" s="6" t="s">
        <v>8378</v>
      </c>
      <c r="D2799" s="140">
        <v>11166961</v>
      </c>
      <c r="E2799" s="6" t="s">
        <v>1927</v>
      </c>
      <c r="F2799" s="10" t="s">
        <v>44</v>
      </c>
      <c r="G2799" s="6" t="s">
        <v>8379</v>
      </c>
      <c r="H2799" s="8">
        <v>46411</v>
      </c>
      <c r="I2799" s="8">
        <v>44909</v>
      </c>
      <c r="J2799" s="8">
        <v>44909</v>
      </c>
      <c r="L2799" s="95" t="s">
        <v>31</v>
      </c>
      <c r="M2799" s="8">
        <v>44915</v>
      </c>
      <c r="N2799" s="8">
        <v>45188</v>
      </c>
      <c r="O2799" s="8">
        <v>45175</v>
      </c>
      <c r="P2799" s="6" t="s">
        <v>35</v>
      </c>
      <c r="Q2799" s="96">
        <v>7300</v>
      </c>
      <c r="R2799" s="97">
        <f t="shared" si="102"/>
        <v>20</v>
      </c>
      <c r="S2799" s="75">
        <f t="shared" si="103"/>
        <v>165180</v>
      </c>
      <c r="U2799" s="8">
        <v>45190</v>
      </c>
      <c r="W2799" s="6" t="s">
        <v>84</v>
      </c>
      <c r="X2799" s="7">
        <v>45274</v>
      </c>
    </row>
    <row r="2800" spans="1:24" x14ac:dyDescent="0.25">
      <c r="A2800" s="6" t="s">
        <v>25</v>
      </c>
      <c r="B2800" s="94" t="s">
        <v>8380</v>
      </c>
      <c r="C2800" s="6" t="s">
        <v>8381</v>
      </c>
      <c r="D2800" s="140">
        <v>11519434</v>
      </c>
      <c r="E2800" s="6" t="s">
        <v>318</v>
      </c>
      <c r="F2800" s="10" t="s">
        <v>44</v>
      </c>
      <c r="G2800" s="6" t="s">
        <v>8382</v>
      </c>
      <c r="H2800" s="8">
        <v>117504</v>
      </c>
      <c r="I2800" s="8">
        <v>44909</v>
      </c>
      <c r="J2800" s="8">
        <v>44909</v>
      </c>
      <c r="L2800" s="95" t="s">
        <v>31</v>
      </c>
      <c r="M2800" s="8">
        <v>44915</v>
      </c>
      <c r="P2800" s="6" t="s">
        <v>628</v>
      </c>
      <c r="R2800" s="97" t="str">
        <f t="shared" si="102"/>
        <v/>
      </c>
      <c r="S2800" s="75" t="str">
        <f t="shared" si="103"/>
        <v/>
      </c>
      <c r="T2800" s="124">
        <v>45155</v>
      </c>
      <c r="W2800" s="6" t="s">
        <v>84</v>
      </c>
      <c r="X2800" s="7">
        <v>45799</v>
      </c>
    </row>
    <row r="2801" spans="1:24" x14ac:dyDescent="0.25">
      <c r="A2801" s="6" t="s">
        <v>25</v>
      </c>
      <c r="B2801" s="94" t="s">
        <v>7013</v>
      </c>
      <c r="C2801" s="6" t="s">
        <v>8383</v>
      </c>
      <c r="D2801" s="140">
        <v>11512546</v>
      </c>
      <c r="E2801" s="6" t="s">
        <v>99</v>
      </c>
      <c r="F2801" s="10" t="s">
        <v>44</v>
      </c>
      <c r="G2801" s="6" t="s">
        <v>8384</v>
      </c>
      <c r="H2801" s="8">
        <v>47122</v>
      </c>
      <c r="I2801" s="8">
        <v>44909</v>
      </c>
      <c r="J2801" s="8">
        <v>44909</v>
      </c>
      <c r="L2801" s="95" t="s">
        <v>31</v>
      </c>
      <c r="M2801" s="8">
        <v>44915</v>
      </c>
      <c r="P2801" s="6" t="s">
        <v>628</v>
      </c>
      <c r="R2801" s="97" t="str">
        <f t="shared" si="102"/>
        <v/>
      </c>
      <c r="S2801" s="75" t="str">
        <f t="shared" si="103"/>
        <v/>
      </c>
      <c r="T2801" s="124" t="s">
        <v>8385</v>
      </c>
      <c r="W2801" s="6" t="s">
        <v>84</v>
      </c>
      <c r="X2801" s="7">
        <v>46565</v>
      </c>
    </row>
    <row r="2802" spans="1:24" x14ac:dyDescent="0.25">
      <c r="A2802" s="6" t="s">
        <v>25</v>
      </c>
      <c r="B2802" s="94" t="s">
        <v>6393</v>
      </c>
      <c r="C2802" s="6" t="s">
        <v>8386</v>
      </c>
      <c r="D2802" s="140">
        <v>11137303</v>
      </c>
      <c r="E2802" s="6" t="s">
        <v>49</v>
      </c>
      <c r="F2802" s="10" t="s">
        <v>205</v>
      </c>
      <c r="G2802" s="6" t="s">
        <v>8387</v>
      </c>
      <c r="H2802" s="8">
        <v>80885</v>
      </c>
      <c r="I2802" s="8">
        <v>44908</v>
      </c>
      <c r="J2802" s="8">
        <v>44908</v>
      </c>
      <c r="L2802" s="95" t="s">
        <v>31</v>
      </c>
      <c r="M2802" s="8">
        <v>44915</v>
      </c>
      <c r="P2802" s="6" t="s">
        <v>628</v>
      </c>
      <c r="R2802" s="97" t="str">
        <f t="shared" si="102"/>
        <v/>
      </c>
      <c r="S2802" s="75" t="str">
        <f t="shared" si="103"/>
        <v/>
      </c>
      <c r="T2802" s="124" t="s">
        <v>3234</v>
      </c>
      <c r="W2802" s="6" t="s">
        <v>84</v>
      </c>
      <c r="X2802" s="7">
        <v>46439</v>
      </c>
    </row>
    <row r="2803" spans="1:24" x14ac:dyDescent="0.25">
      <c r="A2803" s="6" t="s">
        <v>168</v>
      </c>
      <c r="B2803" s="94" t="s">
        <v>2660</v>
      </c>
      <c r="C2803" s="6" t="s">
        <v>8311</v>
      </c>
      <c r="D2803" s="140">
        <v>11245443</v>
      </c>
      <c r="E2803" s="6" t="s">
        <v>3564</v>
      </c>
      <c r="F2803" s="10" t="s">
        <v>121</v>
      </c>
      <c r="G2803" s="6" t="s">
        <v>8312</v>
      </c>
      <c r="H2803" s="8">
        <v>45923</v>
      </c>
      <c r="I2803" s="8">
        <v>44854</v>
      </c>
      <c r="J2803" s="8">
        <v>44854</v>
      </c>
      <c r="L2803" s="95" t="s">
        <v>31</v>
      </c>
      <c r="M2803" s="8">
        <v>44862</v>
      </c>
      <c r="R2803" s="97" t="str">
        <f t="shared" si="102"/>
        <v/>
      </c>
      <c r="S2803" s="75" t="str">
        <f t="shared" si="103"/>
        <v/>
      </c>
      <c r="W2803" s="6" t="s">
        <v>84</v>
      </c>
      <c r="X2803" s="7">
        <v>45923</v>
      </c>
    </row>
    <row r="2804" spans="1:24" x14ac:dyDescent="0.25">
      <c r="A2804" s="6" t="s">
        <v>25</v>
      </c>
      <c r="B2804" s="94" t="s">
        <v>1784</v>
      </c>
      <c r="C2804" s="6" t="s">
        <v>8388</v>
      </c>
      <c r="D2804" s="140">
        <v>11861353</v>
      </c>
      <c r="E2804" s="6" t="s">
        <v>2454</v>
      </c>
      <c r="F2804" s="10" t="s">
        <v>100</v>
      </c>
      <c r="G2804" s="6" t="s">
        <v>8389</v>
      </c>
      <c r="H2804" s="8">
        <v>69007</v>
      </c>
      <c r="I2804" s="8">
        <v>44909</v>
      </c>
      <c r="J2804" s="8">
        <v>44909</v>
      </c>
      <c r="L2804" s="95" t="s">
        <v>31</v>
      </c>
      <c r="M2804" s="8">
        <v>44915</v>
      </c>
      <c r="R2804" s="97" t="str">
        <f t="shared" si="102"/>
        <v/>
      </c>
      <c r="S2804" s="75" t="str">
        <f t="shared" si="103"/>
        <v/>
      </c>
      <c r="W2804" s="6" t="s">
        <v>84</v>
      </c>
      <c r="X2804" s="7">
        <v>50973</v>
      </c>
    </row>
    <row r="2805" spans="1:24" x14ac:dyDescent="0.25">
      <c r="A2805" s="6" t="s">
        <v>25</v>
      </c>
      <c r="B2805" s="94" t="s">
        <v>8390</v>
      </c>
      <c r="C2805" s="6" t="s">
        <v>8391</v>
      </c>
      <c r="D2805" s="140">
        <v>11820405</v>
      </c>
      <c r="E2805" s="140" t="s">
        <v>2454</v>
      </c>
      <c r="F2805" s="10" t="s">
        <v>44</v>
      </c>
      <c r="G2805" s="6" t="s">
        <v>8392</v>
      </c>
      <c r="H2805" s="8">
        <v>45519</v>
      </c>
      <c r="L2805" s="95" t="s">
        <v>359</v>
      </c>
      <c r="R2805" s="97" t="str">
        <f t="shared" si="102"/>
        <v/>
      </c>
      <c r="S2805" s="75" t="str">
        <f t="shared" si="103"/>
        <v/>
      </c>
    </row>
    <row r="2806" spans="1:24" x14ac:dyDescent="0.25">
      <c r="A2806" s="6" t="s">
        <v>25</v>
      </c>
      <c r="B2806" s="94" t="s">
        <v>1557</v>
      </c>
      <c r="C2806" s="6" t="s">
        <v>8393</v>
      </c>
      <c r="D2806" s="140">
        <v>12175561</v>
      </c>
      <c r="E2806" s="6" t="s">
        <v>962</v>
      </c>
      <c r="F2806" s="10" t="s">
        <v>44</v>
      </c>
      <c r="G2806" s="6" t="s">
        <v>8394</v>
      </c>
      <c r="H2806" s="8">
        <v>46000</v>
      </c>
      <c r="L2806" s="95" t="s">
        <v>359</v>
      </c>
      <c r="R2806" s="97" t="str">
        <f t="shared" si="102"/>
        <v/>
      </c>
      <c r="S2806" s="75" t="str">
        <f t="shared" si="103"/>
        <v/>
      </c>
    </row>
    <row r="2807" spans="1:24" x14ac:dyDescent="0.25">
      <c r="A2807" s="6" t="s">
        <v>25</v>
      </c>
      <c r="B2807" s="94" t="s">
        <v>5559</v>
      </c>
      <c r="C2807" s="6" t="s">
        <v>8395</v>
      </c>
      <c r="D2807" s="140">
        <v>11856979</v>
      </c>
      <c r="E2807" s="6" t="s">
        <v>8396</v>
      </c>
      <c r="F2807" s="10" t="s">
        <v>62</v>
      </c>
      <c r="G2807" s="6" t="s">
        <v>5561</v>
      </c>
      <c r="H2807" s="8">
        <v>58202</v>
      </c>
      <c r="I2807" s="8">
        <v>44916</v>
      </c>
      <c r="J2807" s="8">
        <v>44916</v>
      </c>
      <c r="L2807" s="95" t="s">
        <v>31</v>
      </c>
      <c r="M2807" s="8">
        <v>44922</v>
      </c>
      <c r="P2807" s="6" t="s">
        <v>628</v>
      </c>
      <c r="R2807" s="97" t="str">
        <f t="shared" si="102"/>
        <v/>
      </c>
      <c r="S2807" s="75" t="str">
        <f t="shared" si="103"/>
        <v/>
      </c>
      <c r="T2807" s="124" t="s">
        <v>8397</v>
      </c>
      <c r="W2807" s="6" t="s">
        <v>84</v>
      </c>
      <c r="X2807" s="7">
        <v>51446</v>
      </c>
    </row>
    <row r="2808" spans="1:24" x14ac:dyDescent="0.25">
      <c r="A2808" s="6" t="s">
        <v>25</v>
      </c>
      <c r="B2808" s="94" t="s">
        <v>8398</v>
      </c>
      <c r="C2808" s="6" t="s">
        <v>8399</v>
      </c>
      <c r="D2808" s="140">
        <v>11431396</v>
      </c>
      <c r="E2808" s="6" t="s">
        <v>318</v>
      </c>
      <c r="F2808" s="10" t="s">
        <v>44</v>
      </c>
      <c r="G2808" s="6" t="s">
        <v>8400</v>
      </c>
      <c r="H2808" s="8">
        <v>130845</v>
      </c>
      <c r="I2808" s="8">
        <v>44922</v>
      </c>
      <c r="J2808" s="8">
        <v>44922</v>
      </c>
      <c r="L2808" s="95" t="s">
        <v>31</v>
      </c>
      <c r="M2808" s="8">
        <v>44931</v>
      </c>
      <c r="P2808" s="6" t="s">
        <v>628</v>
      </c>
      <c r="R2808" s="97" t="str">
        <f t="shared" si="102"/>
        <v/>
      </c>
      <c r="S2808" s="75" t="str">
        <f t="shared" si="103"/>
        <v/>
      </c>
      <c r="T2808" s="124" t="s">
        <v>8401</v>
      </c>
      <c r="W2808" s="6" t="s">
        <v>84</v>
      </c>
      <c r="X2808" s="7">
        <v>49334</v>
      </c>
    </row>
    <row r="2809" spans="1:24" x14ac:dyDescent="0.25">
      <c r="A2809" s="6" t="s">
        <v>25</v>
      </c>
      <c r="B2809" s="94" t="s">
        <v>5458</v>
      </c>
      <c r="C2809" s="6" t="s">
        <v>8402</v>
      </c>
      <c r="D2809" s="140">
        <v>11479753</v>
      </c>
      <c r="E2809" s="6" t="s">
        <v>244</v>
      </c>
      <c r="F2809" s="10" t="s">
        <v>44</v>
      </c>
      <c r="G2809" s="6" t="s">
        <v>8403</v>
      </c>
      <c r="H2809" s="8">
        <v>68753</v>
      </c>
      <c r="I2809" s="8">
        <v>44847</v>
      </c>
      <c r="J2809" s="8">
        <v>44847</v>
      </c>
      <c r="L2809" s="95" t="s">
        <v>31</v>
      </c>
      <c r="M2809" s="8">
        <v>44853</v>
      </c>
      <c r="R2809" s="97" t="str">
        <f t="shared" si="102"/>
        <v/>
      </c>
      <c r="S2809" s="75" t="str">
        <f t="shared" si="103"/>
        <v/>
      </c>
      <c r="W2809" s="6" t="s">
        <v>84</v>
      </c>
      <c r="X2809" s="7">
        <v>48966</v>
      </c>
    </row>
    <row r="2810" spans="1:24" x14ac:dyDescent="0.25">
      <c r="A2810" s="6" t="s">
        <v>25</v>
      </c>
      <c r="B2810" s="94" t="s">
        <v>1187</v>
      </c>
      <c r="C2810" s="6" t="s">
        <v>8404</v>
      </c>
      <c r="D2810" s="140">
        <v>11161808</v>
      </c>
      <c r="E2810" s="6" t="s">
        <v>1156</v>
      </c>
      <c r="F2810" s="10" t="s">
        <v>44</v>
      </c>
      <c r="G2810" s="6" t="s">
        <v>8405</v>
      </c>
      <c r="H2810" s="8">
        <v>47005</v>
      </c>
      <c r="I2810" s="8">
        <v>44922</v>
      </c>
      <c r="J2810" s="8">
        <v>44922</v>
      </c>
      <c r="L2810" s="95" t="s">
        <v>31</v>
      </c>
      <c r="M2810" s="8">
        <v>44931</v>
      </c>
      <c r="P2810" s="6" t="s">
        <v>628</v>
      </c>
      <c r="R2810" s="97" t="str">
        <f t="shared" si="102"/>
        <v/>
      </c>
      <c r="S2810" s="75" t="str">
        <f t="shared" si="103"/>
        <v/>
      </c>
      <c r="T2810" s="124" t="s">
        <v>7523</v>
      </c>
      <c r="W2810" s="6" t="s">
        <v>84</v>
      </c>
      <c r="X2810" s="7">
        <v>47005</v>
      </c>
    </row>
    <row r="2811" spans="1:24" x14ac:dyDescent="0.25">
      <c r="A2811" s="6" t="s">
        <v>25</v>
      </c>
      <c r="B2811" s="94" t="s">
        <v>242</v>
      </c>
      <c r="C2811" s="6" t="s">
        <v>8406</v>
      </c>
      <c r="D2811" s="140">
        <v>11605086</v>
      </c>
      <c r="E2811" s="6" t="s">
        <v>1143</v>
      </c>
      <c r="F2811" s="10" t="s">
        <v>44</v>
      </c>
      <c r="G2811" s="6" t="s">
        <v>8407</v>
      </c>
      <c r="H2811" s="8">
        <v>51091</v>
      </c>
      <c r="I2811" s="8">
        <v>44922</v>
      </c>
      <c r="J2811" s="8">
        <v>44922</v>
      </c>
      <c r="L2811" s="95" t="s">
        <v>31</v>
      </c>
      <c r="M2811" s="8">
        <v>44931</v>
      </c>
      <c r="N2811" s="8">
        <v>45148</v>
      </c>
      <c r="O2811" s="8">
        <v>44987</v>
      </c>
      <c r="P2811" s="6" t="s">
        <v>75</v>
      </c>
      <c r="R2811" s="97" t="str">
        <f t="shared" si="102"/>
        <v/>
      </c>
      <c r="S2811" s="75" t="str">
        <f t="shared" si="103"/>
        <v/>
      </c>
      <c r="T2811" s="124" t="s">
        <v>8408</v>
      </c>
      <c r="U2811" s="8">
        <v>45148</v>
      </c>
      <c r="W2811" s="6" t="s">
        <v>33</v>
      </c>
      <c r="X2811" s="7">
        <v>51091</v>
      </c>
    </row>
    <row r="2812" spans="1:24" x14ac:dyDescent="0.25">
      <c r="A2812" s="6" t="s">
        <v>25</v>
      </c>
      <c r="B2812" s="94" t="s">
        <v>1202</v>
      </c>
      <c r="C2812" s="6" t="s">
        <v>6760</v>
      </c>
      <c r="D2812" s="140">
        <v>11464218</v>
      </c>
      <c r="E2812" s="6" t="s">
        <v>318</v>
      </c>
      <c r="F2812" s="10" t="s">
        <v>44</v>
      </c>
      <c r="G2812" s="6" t="s">
        <v>8409</v>
      </c>
      <c r="H2812" s="8">
        <v>62008</v>
      </c>
      <c r="I2812" s="8">
        <v>44916</v>
      </c>
      <c r="J2812" s="8">
        <v>44916</v>
      </c>
      <c r="L2812" s="95" t="s">
        <v>31</v>
      </c>
      <c r="M2812" s="8">
        <v>44923</v>
      </c>
      <c r="N2812" s="8">
        <v>45232</v>
      </c>
      <c r="O2812" s="8">
        <v>45230</v>
      </c>
      <c r="P2812" s="6" t="s">
        <v>90</v>
      </c>
      <c r="Q2812" s="96">
        <v>31755</v>
      </c>
      <c r="R2812" s="97">
        <f t="shared" si="102"/>
        <v>87</v>
      </c>
      <c r="S2812" s="75">
        <f t="shared" si="103"/>
        <v>718533</v>
      </c>
      <c r="U2812" s="8">
        <v>45337</v>
      </c>
      <c r="V2812" s="6" t="s">
        <v>36</v>
      </c>
      <c r="W2812" s="6" t="s">
        <v>84</v>
      </c>
      <c r="X2812" s="7">
        <v>46097</v>
      </c>
    </row>
    <row r="2813" spans="1:24" x14ac:dyDescent="0.25">
      <c r="A2813" s="6" t="s">
        <v>25</v>
      </c>
      <c r="B2813" s="94" t="s">
        <v>8410</v>
      </c>
      <c r="C2813" s="6" t="s">
        <v>8411</v>
      </c>
      <c r="D2813" s="140">
        <v>11095096</v>
      </c>
      <c r="E2813" s="6" t="s">
        <v>318</v>
      </c>
      <c r="F2813" s="10" t="s">
        <v>44</v>
      </c>
      <c r="G2813" s="6" t="s">
        <v>8412</v>
      </c>
      <c r="H2813" s="8">
        <v>63405</v>
      </c>
      <c r="I2813" s="8">
        <v>44916</v>
      </c>
      <c r="J2813" s="8">
        <v>44916</v>
      </c>
      <c r="L2813" s="95" t="s">
        <v>31</v>
      </c>
      <c r="M2813" s="8">
        <v>44929</v>
      </c>
      <c r="N2813" s="8">
        <v>45225</v>
      </c>
      <c r="O2813" s="8">
        <v>45224</v>
      </c>
      <c r="P2813" s="6" t="s">
        <v>90</v>
      </c>
      <c r="Q2813" s="96">
        <v>29685</v>
      </c>
      <c r="R2813" s="97">
        <f t="shared" si="102"/>
        <v>81.328767123287676</v>
      </c>
      <c r="S2813" s="75">
        <f t="shared" si="103"/>
        <v>671694.28767123295</v>
      </c>
      <c r="U2813" s="8">
        <v>45337</v>
      </c>
      <c r="V2813" s="6" t="s">
        <v>36</v>
      </c>
      <c r="W2813" s="6" t="s">
        <v>84</v>
      </c>
      <c r="X2813" s="7">
        <v>48427</v>
      </c>
    </row>
    <row r="2814" spans="1:24" x14ac:dyDescent="0.25">
      <c r="A2814" s="6" t="s">
        <v>25</v>
      </c>
      <c r="B2814" s="94" t="s">
        <v>8413</v>
      </c>
      <c r="C2814" s="6" t="s">
        <v>8414</v>
      </c>
      <c r="D2814" s="140">
        <v>11477144</v>
      </c>
      <c r="E2814" s="6" t="s">
        <v>409</v>
      </c>
      <c r="F2814" s="10" t="s">
        <v>44</v>
      </c>
      <c r="G2814" s="6" t="s">
        <v>8415</v>
      </c>
      <c r="H2814" s="8">
        <v>65775</v>
      </c>
      <c r="I2814" s="8">
        <v>44916</v>
      </c>
      <c r="J2814" s="8">
        <v>44916</v>
      </c>
      <c r="L2814" s="95" t="s">
        <v>31</v>
      </c>
      <c r="M2814" s="8">
        <v>44922</v>
      </c>
      <c r="N2814" s="8">
        <v>45320</v>
      </c>
      <c r="O2814" s="8">
        <v>45299</v>
      </c>
      <c r="P2814" s="6" t="s">
        <v>35</v>
      </c>
      <c r="Q2814" s="96">
        <v>27740</v>
      </c>
      <c r="R2814" s="97">
        <f t="shared" si="102"/>
        <v>76</v>
      </c>
      <c r="S2814" s="75">
        <f t="shared" si="103"/>
        <v>627684</v>
      </c>
      <c r="U2814" s="8">
        <v>45337</v>
      </c>
      <c r="W2814" s="6" t="s">
        <v>84</v>
      </c>
      <c r="X2814" s="7">
        <v>46167</v>
      </c>
    </row>
    <row r="2815" spans="1:24" x14ac:dyDescent="0.25">
      <c r="A2815" s="6" t="s">
        <v>25</v>
      </c>
      <c r="B2815" s="94" t="s">
        <v>8416</v>
      </c>
      <c r="C2815" s="6" t="s">
        <v>8417</v>
      </c>
      <c r="D2815" s="140">
        <v>11158552</v>
      </c>
      <c r="E2815" s="6" t="s">
        <v>414</v>
      </c>
      <c r="F2815" s="10" t="s">
        <v>44</v>
      </c>
      <c r="G2815" s="6" t="s">
        <v>8418</v>
      </c>
      <c r="H2815" s="8">
        <v>48037</v>
      </c>
      <c r="I2815" s="8">
        <v>44916</v>
      </c>
      <c r="J2815" s="8">
        <v>44916</v>
      </c>
      <c r="L2815" s="95" t="s">
        <v>31</v>
      </c>
      <c r="M2815" s="8">
        <v>44929</v>
      </c>
      <c r="N2815" s="8">
        <v>45034</v>
      </c>
      <c r="O2815" s="8">
        <v>45034</v>
      </c>
      <c r="P2815" s="6" t="s">
        <v>35</v>
      </c>
      <c r="Q2815" s="96">
        <v>365</v>
      </c>
      <c r="R2815" s="97">
        <f t="shared" si="102"/>
        <v>1</v>
      </c>
      <c r="S2815" s="75">
        <f t="shared" si="103"/>
        <v>8259</v>
      </c>
      <c r="U2815" s="8">
        <v>45037</v>
      </c>
      <c r="W2815" s="6" t="s">
        <v>33</v>
      </c>
      <c r="X2815" s="7">
        <v>48037</v>
      </c>
    </row>
    <row r="2816" spans="1:24" x14ac:dyDescent="0.25">
      <c r="A2816" s="6" t="s">
        <v>25</v>
      </c>
      <c r="B2816" s="94" t="s">
        <v>944</v>
      </c>
      <c r="C2816" s="6" t="s">
        <v>8419</v>
      </c>
      <c r="D2816" s="140">
        <v>11202497</v>
      </c>
      <c r="E2816" s="6" t="s">
        <v>49</v>
      </c>
      <c r="F2816" s="10" t="s">
        <v>44</v>
      </c>
      <c r="G2816" s="6" t="s">
        <v>8420</v>
      </c>
      <c r="H2816" s="8">
        <v>47704</v>
      </c>
      <c r="I2816" s="8">
        <v>44916</v>
      </c>
      <c r="J2816" s="8">
        <v>44916</v>
      </c>
      <c r="L2816" s="95" t="s">
        <v>31</v>
      </c>
      <c r="M2816" s="8">
        <v>44929</v>
      </c>
      <c r="R2816" s="97" t="str">
        <f t="shared" si="102"/>
        <v/>
      </c>
      <c r="S2816" s="75" t="str">
        <f t="shared" si="103"/>
        <v/>
      </c>
      <c r="T2816" s="124" t="s">
        <v>1702</v>
      </c>
      <c r="W2816" s="6" t="s">
        <v>84</v>
      </c>
      <c r="X2816" s="7">
        <v>47704</v>
      </c>
    </row>
    <row r="2817" spans="1:24" x14ac:dyDescent="0.25">
      <c r="A2817" s="6" t="s">
        <v>25</v>
      </c>
      <c r="B2817" s="94" t="s">
        <v>4980</v>
      </c>
      <c r="C2817" s="6" t="s">
        <v>8421</v>
      </c>
      <c r="D2817" s="140">
        <v>11925129</v>
      </c>
      <c r="E2817" s="6" t="s">
        <v>88</v>
      </c>
      <c r="F2817" s="10" t="s">
        <v>44</v>
      </c>
      <c r="G2817" s="6" t="s">
        <v>8422</v>
      </c>
      <c r="H2817" s="8">
        <v>47933</v>
      </c>
      <c r="I2817" s="8">
        <v>44922</v>
      </c>
      <c r="J2817" s="8">
        <v>44922</v>
      </c>
      <c r="L2817" s="95" t="s">
        <v>31</v>
      </c>
      <c r="M2817" s="8">
        <v>44931</v>
      </c>
      <c r="N2817" s="8">
        <v>45329</v>
      </c>
      <c r="O2817" s="8">
        <v>45310</v>
      </c>
      <c r="P2817" s="6" t="s">
        <v>35</v>
      </c>
      <c r="Q2817" s="96">
        <v>2920</v>
      </c>
      <c r="R2817" s="97">
        <f t="shared" si="102"/>
        <v>8</v>
      </c>
      <c r="S2817" s="75">
        <f t="shared" si="103"/>
        <v>66072</v>
      </c>
      <c r="U2817" s="8">
        <v>45337</v>
      </c>
      <c r="W2817" s="6" t="s">
        <v>33</v>
      </c>
      <c r="X2817" s="7">
        <v>47933</v>
      </c>
    </row>
    <row r="2818" spans="1:24" x14ac:dyDescent="0.25">
      <c r="A2818" s="6" t="s">
        <v>25</v>
      </c>
      <c r="B2818" s="94" t="s">
        <v>3134</v>
      </c>
      <c r="C2818" s="6" t="s">
        <v>8423</v>
      </c>
      <c r="D2818" s="140">
        <v>11488607</v>
      </c>
      <c r="E2818" s="6" t="s">
        <v>480</v>
      </c>
      <c r="F2818" s="10" t="s">
        <v>44</v>
      </c>
      <c r="G2818" s="6" t="s">
        <v>8424</v>
      </c>
      <c r="H2818" s="8">
        <v>47614</v>
      </c>
      <c r="I2818" s="8">
        <v>44916</v>
      </c>
      <c r="J2818" s="8">
        <v>44916</v>
      </c>
      <c r="L2818" s="95" t="s">
        <v>31</v>
      </c>
      <c r="M2818" s="8">
        <v>44929</v>
      </c>
      <c r="N2818" s="8">
        <v>45163</v>
      </c>
      <c r="O2818" s="8">
        <v>45160</v>
      </c>
      <c r="P2818" s="6" t="s">
        <v>90</v>
      </c>
      <c r="Q2818" s="96">
        <v>7665</v>
      </c>
      <c r="R2818" s="97">
        <f t="shared" si="102"/>
        <v>21</v>
      </c>
      <c r="S2818" s="75">
        <f t="shared" si="103"/>
        <v>173439</v>
      </c>
      <c r="T2818" s="124" t="s">
        <v>8425</v>
      </c>
      <c r="U2818" s="8">
        <v>45181</v>
      </c>
      <c r="V2818" s="6" t="s">
        <v>36</v>
      </c>
      <c r="W2818" s="6" t="s">
        <v>84</v>
      </c>
      <c r="X2818" s="7">
        <v>46697</v>
      </c>
    </row>
    <row r="2819" spans="1:24" x14ac:dyDescent="0.25">
      <c r="A2819" s="6" t="s">
        <v>25</v>
      </c>
      <c r="B2819" s="94" t="s">
        <v>8426</v>
      </c>
      <c r="C2819" s="6" t="s">
        <v>8427</v>
      </c>
      <c r="D2819" s="140">
        <v>11568623</v>
      </c>
      <c r="E2819" s="6" t="s">
        <v>878</v>
      </c>
      <c r="F2819" s="10" t="s">
        <v>57</v>
      </c>
      <c r="G2819" s="6" t="s">
        <v>8428</v>
      </c>
      <c r="H2819" s="8">
        <v>48162</v>
      </c>
      <c r="I2819" s="8">
        <v>44922</v>
      </c>
      <c r="J2819" s="8">
        <v>44922</v>
      </c>
      <c r="L2819" s="95" t="s">
        <v>31</v>
      </c>
      <c r="M2819" s="8">
        <v>44931</v>
      </c>
      <c r="N2819" s="8">
        <v>44998</v>
      </c>
      <c r="O2819" s="8">
        <v>44993</v>
      </c>
      <c r="P2819" s="6" t="s">
        <v>35</v>
      </c>
      <c r="Q2819" s="96">
        <v>3285</v>
      </c>
      <c r="R2819" s="97">
        <f t="shared" si="102"/>
        <v>9</v>
      </c>
      <c r="S2819" s="75">
        <f t="shared" si="103"/>
        <v>74331</v>
      </c>
      <c r="U2819" s="8">
        <v>45005</v>
      </c>
      <c r="W2819" s="6" t="s">
        <v>33</v>
      </c>
      <c r="X2819" s="7">
        <v>48162</v>
      </c>
    </row>
    <row r="2820" spans="1:24" x14ac:dyDescent="0.25">
      <c r="A2820" s="6" t="s">
        <v>25</v>
      </c>
      <c r="B2820" s="94" t="s">
        <v>1234</v>
      </c>
      <c r="C2820" s="6" t="s">
        <v>8429</v>
      </c>
      <c r="D2820" s="140">
        <v>12002942</v>
      </c>
      <c r="E2820" s="6" t="s">
        <v>216</v>
      </c>
      <c r="F2820" s="10" t="s">
        <v>57</v>
      </c>
      <c r="G2820" s="6" t="s">
        <v>8430</v>
      </c>
      <c r="H2820" s="8">
        <v>48896</v>
      </c>
      <c r="I2820" s="8">
        <v>44922</v>
      </c>
      <c r="J2820" s="8">
        <v>44922</v>
      </c>
      <c r="L2820" s="95" t="s">
        <v>31</v>
      </c>
      <c r="M2820" s="8">
        <v>44931</v>
      </c>
      <c r="P2820" s="6" t="s">
        <v>628</v>
      </c>
      <c r="R2820" s="97" t="str">
        <f t="shared" si="102"/>
        <v/>
      </c>
      <c r="S2820" s="75" t="str">
        <f t="shared" si="103"/>
        <v/>
      </c>
      <c r="T2820" s="124" t="s">
        <v>8431</v>
      </c>
      <c r="W2820" s="6" t="s">
        <v>33</v>
      </c>
      <c r="X2820" s="7">
        <v>48896</v>
      </c>
    </row>
    <row r="2821" spans="1:24" x14ac:dyDescent="0.25">
      <c r="A2821" s="6" t="s">
        <v>25</v>
      </c>
      <c r="B2821" s="94" t="s">
        <v>8432</v>
      </c>
      <c r="C2821" s="6" t="s">
        <v>8433</v>
      </c>
      <c r="D2821" s="140">
        <v>11105294</v>
      </c>
      <c r="E2821" s="6" t="s">
        <v>1156</v>
      </c>
      <c r="F2821" s="10" t="s">
        <v>29</v>
      </c>
      <c r="G2821" s="6" t="s">
        <v>8434</v>
      </c>
      <c r="H2821" s="8">
        <v>49080</v>
      </c>
      <c r="I2821" s="8">
        <v>44922</v>
      </c>
      <c r="J2821" s="8">
        <v>44922</v>
      </c>
      <c r="L2821" s="95" t="s">
        <v>31</v>
      </c>
      <c r="M2821" s="8">
        <v>44929</v>
      </c>
      <c r="P2821" s="6" t="s">
        <v>628</v>
      </c>
      <c r="R2821" s="97" t="str">
        <f t="shared" si="102"/>
        <v/>
      </c>
      <c r="S2821" s="75" t="str">
        <f t="shared" si="103"/>
        <v/>
      </c>
      <c r="T2821" s="124" t="s">
        <v>8435</v>
      </c>
      <c r="W2821" s="6" t="s">
        <v>84</v>
      </c>
      <c r="X2821" s="7">
        <v>49080</v>
      </c>
    </row>
    <row r="2822" spans="1:24" x14ac:dyDescent="0.25">
      <c r="A2822" s="6" t="s">
        <v>25</v>
      </c>
      <c r="B2822" s="94" t="s">
        <v>8436</v>
      </c>
      <c r="C2822" s="6" t="s">
        <v>8437</v>
      </c>
      <c r="D2822" s="140">
        <v>11778536</v>
      </c>
      <c r="E2822" s="6" t="s">
        <v>498</v>
      </c>
      <c r="F2822" s="10" t="s">
        <v>29</v>
      </c>
      <c r="G2822" s="6" t="s">
        <v>8438</v>
      </c>
      <c r="H2822" s="8">
        <v>49822</v>
      </c>
      <c r="I2822" s="8">
        <v>44916</v>
      </c>
      <c r="J2822" s="8">
        <v>44916</v>
      </c>
      <c r="L2822" s="95" t="s">
        <v>31</v>
      </c>
      <c r="M2822" s="8">
        <v>44922</v>
      </c>
      <c r="P2822" s="6" t="s">
        <v>628</v>
      </c>
      <c r="R2822" s="97" t="str">
        <f t="shared" si="102"/>
        <v/>
      </c>
      <c r="S2822" s="75" t="str">
        <f t="shared" si="103"/>
        <v/>
      </c>
      <c r="T2822" s="124" t="s">
        <v>8439</v>
      </c>
      <c r="W2822" s="6" t="s">
        <v>84</v>
      </c>
      <c r="X2822" s="7">
        <v>48842</v>
      </c>
    </row>
    <row r="2823" spans="1:24" x14ac:dyDescent="0.25">
      <c r="A2823" s="6" t="s">
        <v>25</v>
      </c>
      <c r="B2823" s="94" t="s">
        <v>8440</v>
      </c>
      <c r="C2823" s="6" t="s">
        <v>8441</v>
      </c>
      <c r="D2823" s="140">
        <v>11146821</v>
      </c>
      <c r="E2823" s="6" t="s">
        <v>527</v>
      </c>
      <c r="F2823" s="10" t="s">
        <v>205</v>
      </c>
      <c r="G2823" s="6" t="s">
        <v>8442</v>
      </c>
      <c r="H2823" s="8">
        <v>60130</v>
      </c>
      <c r="I2823" s="8">
        <v>44916</v>
      </c>
      <c r="J2823" s="8">
        <v>44916</v>
      </c>
      <c r="L2823" s="95" t="s">
        <v>31</v>
      </c>
      <c r="M2823" s="8">
        <v>44925</v>
      </c>
      <c r="N2823" s="8">
        <v>45201</v>
      </c>
      <c r="O2823" s="8">
        <v>45197</v>
      </c>
      <c r="P2823" s="6" t="s">
        <v>35</v>
      </c>
      <c r="Q2823" s="96">
        <v>18834</v>
      </c>
      <c r="R2823" s="97">
        <f t="shared" si="102"/>
        <v>51.6</v>
      </c>
      <c r="S2823" s="75">
        <f t="shared" si="103"/>
        <v>426164.4</v>
      </c>
      <c r="U2823" s="8">
        <v>45204</v>
      </c>
      <c r="W2823" s="6" t="s">
        <v>84</v>
      </c>
      <c r="X2823" s="7">
        <v>47154</v>
      </c>
    </row>
    <row r="2824" spans="1:24" x14ac:dyDescent="0.25">
      <c r="A2824" s="6" t="s">
        <v>168</v>
      </c>
      <c r="B2824" s="94" t="s">
        <v>7242</v>
      </c>
      <c r="C2824" s="6" t="s">
        <v>8443</v>
      </c>
      <c r="D2824" s="140">
        <v>11612524</v>
      </c>
      <c r="E2824" s="6" t="s">
        <v>436</v>
      </c>
      <c r="F2824" s="10" t="s">
        <v>121</v>
      </c>
      <c r="G2824" s="6" t="s">
        <v>8444</v>
      </c>
      <c r="H2824" s="8">
        <v>50106</v>
      </c>
      <c r="I2824" s="8">
        <v>44922</v>
      </c>
      <c r="J2824" s="8">
        <v>44922</v>
      </c>
      <c r="L2824" s="95" t="s">
        <v>31</v>
      </c>
      <c r="M2824" s="8">
        <v>44931</v>
      </c>
      <c r="R2824" s="97" t="str">
        <f t="shared" si="102"/>
        <v/>
      </c>
      <c r="S2824" s="75" t="str">
        <f t="shared" si="103"/>
        <v/>
      </c>
      <c r="W2824" s="6" t="s">
        <v>84</v>
      </c>
      <c r="X2824" s="7">
        <v>46671</v>
      </c>
    </row>
    <row r="2825" spans="1:24" x14ac:dyDescent="0.25">
      <c r="A2825" s="6" t="s">
        <v>25</v>
      </c>
      <c r="B2825" s="94" t="s">
        <v>8445</v>
      </c>
      <c r="C2825" s="6" t="s">
        <v>8446</v>
      </c>
      <c r="D2825" s="140">
        <v>11229542</v>
      </c>
      <c r="E2825" s="6" t="s">
        <v>4266</v>
      </c>
      <c r="F2825" s="10" t="s">
        <v>121</v>
      </c>
      <c r="G2825" s="6" t="s">
        <v>8447</v>
      </c>
      <c r="H2825" s="8">
        <v>47205</v>
      </c>
      <c r="I2825" s="8">
        <v>44922</v>
      </c>
      <c r="J2825" s="8">
        <v>44922</v>
      </c>
      <c r="L2825" s="95" t="s">
        <v>31</v>
      </c>
      <c r="M2825" s="8">
        <v>44931</v>
      </c>
      <c r="N2825" s="8">
        <v>45009</v>
      </c>
      <c r="O2825" s="8">
        <v>45002</v>
      </c>
      <c r="P2825" s="6" t="s">
        <v>35</v>
      </c>
      <c r="Q2825" s="96">
        <v>1825</v>
      </c>
      <c r="R2825" s="97">
        <f t="shared" si="102"/>
        <v>5</v>
      </c>
      <c r="S2825" s="75">
        <f t="shared" si="103"/>
        <v>41295</v>
      </c>
      <c r="U2825" s="8">
        <v>45051</v>
      </c>
      <c r="W2825" s="6" t="s">
        <v>84</v>
      </c>
      <c r="X2825" s="7">
        <v>47205</v>
      </c>
    </row>
    <row r="2826" spans="1:24" x14ac:dyDescent="0.25">
      <c r="A2826" s="6" t="s">
        <v>25</v>
      </c>
      <c r="B2826" s="94" t="s">
        <v>8448</v>
      </c>
      <c r="C2826" s="6" t="s">
        <v>8449</v>
      </c>
      <c r="D2826" s="140">
        <v>11154111</v>
      </c>
      <c r="E2826" s="6" t="s">
        <v>3468</v>
      </c>
      <c r="F2826" s="10" t="s">
        <v>134</v>
      </c>
      <c r="G2826" s="6" t="s">
        <v>8450</v>
      </c>
      <c r="H2826" s="8">
        <v>49955</v>
      </c>
      <c r="I2826" s="8">
        <v>44922</v>
      </c>
      <c r="J2826" s="8">
        <v>44922</v>
      </c>
      <c r="L2826" s="95" t="s">
        <v>31</v>
      </c>
      <c r="M2826" s="8">
        <v>44931</v>
      </c>
      <c r="N2826" s="8">
        <v>45117</v>
      </c>
      <c r="O2826" s="8">
        <v>45112</v>
      </c>
      <c r="P2826" s="6" t="s">
        <v>35</v>
      </c>
      <c r="Q2826" s="96">
        <v>1825</v>
      </c>
      <c r="R2826" s="97">
        <f t="shared" si="102"/>
        <v>5</v>
      </c>
      <c r="S2826" s="75">
        <f t="shared" si="103"/>
        <v>41295</v>
      </c>
      <c r="U2826" s="8">
        <v>45126</v>
      </c>
      <c r="W2826" s="6" t="s">
        <v>84</v>
      </c>
      <c r="X2826" s="7">
        <v>49866</v>
      </c>
    </row>
    <row r="2827" spans="1:24" x14ac:dyDescent="0.25">
      <c r="A2827" s="6" t="s">
        <v>25</v>
      </c>
      <c r="B2827" s="94" t="s">
        <v>1434</v>
      </c>
      <c r="C2827" s="6" t="s">
        <v>8451</v>
      </c>
      <c r="D2827" s="140">
        <v>11235665</v>
      </c>
      <c r="E2827" s="6" t="s">
        <v>2037</v>
      </c>
      <c r="F2827" s="10" t="s">
        <v>134</v>
      </c>
      <c r="G2827" s="6" t="s">
        <v>8452</v>
      </c>
      <c r="H2827" s="8">
        <v>49393</v>
      </c>
      <c r="I2827" s="8">
        <v>44916</v>
      </c>
      <c r="J2827" s="8">
        <v>44916</v>
      </c>
      <c r="L2827" s="95" t="s">
        <v>31</v>
      </c>
      <c r="M2827" s="8">
        <v>44922</v>
      </c>
      <c r="P2827" s="6" t="s">
        <v>628</v>
      </c>
      <c r="R2827" s="97" t="str">
        <f t="shared" si="102"/>
        <v/>
      </c>
      <c r="S2827" s="75" t="str">
        <f t="shared" si="103"/>
        <v/>
      </c>
      <c r="T2827" s="124" t="s">
        <v>8375</v>
      </c>
      <c r="W2827" s="6" t="s">
        <v>84</v>
      </c>
      <c r="X2827" s="7">
        <v>47129</v>
      </c>
    </row>
    <row r="2828" spans="1:24" x14ac:dyDescent="0.25">
      <c r="A2828" s="6" t="s">
        <v>25</v>
      </c>
      <c r="B2828" s="94" t="s">
        <v>7661</v>
      </c>
      <c r="C2828" s="6" t="s">
        <v>8453</v>
      </c>
      <c r="D2828" s="140">
        <v>11160055</v>
      </c>
      <c r="E2828" s="6" t="s">
        <v>1018</v>
      </c>
      <c r="F2828" s="10" t="s">
        <v>134</v>
      </c>
      <c r="G2828" s="6" t="s">
        <v>8454</v>
      </c>
      <c r="H2828" s="8">
        <v>48999</v>
      </c>
      <c r="I2828" s="8">
        <v>44922</v>
      </c>
      <c r="J2828" s="8">
        <v>44922</v>
      </c>
      <c r="L2828" s="95" t="s">
        <v>31</v>
      </c>
      <c r="M2828" s="8">
        <v>44929</v>
      </c>
      <c r="N2828" s="8">
        <v>45099</v>
      </c>
      <c r="O2828" s="8">
        <v>45092</v>
      </c>
      <c r="P2828" s="6" t="s">
        <v>35</v>
      </c>
      <c r="Q2828" s="96">
        <v>3650</v>
      </c>
      <c r="R2828" s="97">
        <f t="shared" si="102"/>
        <v>10</v>
      </c>
      <c r="S2828" s="75">
        <f t="shared" si="103"/>
        <v>82590</v>
      </c>
      <c r="U2828" s="8">
        <v>45100</v>
      </c>
      <c r="W2828" s="6" t="s">
        <v>84</v>
      </c>
      <c r="X2828" s="7">
        <v>47977</v>
      </c>
    </row>
    <row r="2829" spans="1:24" x14ac:dyDescent="0.25">
      <c r="A2829" s="6" t="s">
        <v>25</v>
      </c>
      <c r="B2829" s="94" t="s">
        <v>8455</v>
      </c>
      <c r="C2829" s="6" t="s">
        <v>8456</v>
      </c>
      <c r="D2829" s="140">
        <v>11210512</v>
      </c>
      <c r="E2829" s="6" t="s">
        <v>3163</v>
      </c>
      <c r="F2829" s="10" t="s">
        <v>134</v>
      </c>
      <c r="G2829" s="6" t="s">
        <v>8457</v>
      </c>
      <c r="H2829" s="8">
        <v>44973</v>
      </c>
      <c r="I2829" s="8">
        <v>44916</v>
      </c>
      <c r="J2829" s="8">
        <v>44916</v>
      </c>
      <c r="L2829" s="95" t="s">
        <v>31</v>
      </c>
      <c r="M2829" s="8">
        <v>44916</v>
      </c>
      <c r="N2829" s="8">
        <v>44922</v>
      </c>
      <c r="O2829" s="8">
        <v>44917</v>
      </c>
      <c r="P2829" s="6" t="s">
        <v>35</v>
      </c>
      <c r="Q2829" s="96">
        <v>1876</v>
      </c>
      <c r="R2829" s="97">
        <f t="shared" si="102"/>
        <v>5.13972602739726</v>
      </c>
      <c r="S2829" s="75">
        <f t="shared" si="103"/>
        <v>42448.997260273973</v>
      </c>
      <c r="U2829" s="8">
        <v>44945</v>
      </c>
      <c r="V2829" s="6" t="s">
        <v>36</v>
      </c>
      <c r="W2829" s="6" t="s">
        <v>33</v>
      </c>
      <c r="X2829" s="7">
        <v>44973</v>
      </c>
    </row>
    <row r="2830" spans="1:24" x14ac:dyDescent="0.25">
      <c r="A2830" s="6" t="s">
        <v>25</v>
      </c>
      <c r="B2830" s="94" t="s">
        <v>1123</v>
      </c>
      <c r="C2830" s="6" t="s">
        <v>8458</v>
      </c>
      <c r="D2830" s="140">
        <v>11269063</v>
      </c>
      <c r="E2830" s="6" t="s">
        <v>2160</v>
      </c>
      <c r="F2830" s="10" t="s">
        <v>134</v>
      </c>
      <c r="G2830" s="6" t="s">
        <v>8459</v>
      </c>
      <c r="H2830" s="8">
        <v>48359</v>
      </c>
      <c r="I2830" s="8">
        <v>44916</v>
      </c>
      <c r="J2830" s="8">
        <v>44916</v>
      </c>
      <c r="L2830" s="95" t="s">
        <v>31</v>
      </c>
      <c r="M2830" s="8">
        <v>44925</v>
      </c>
      <c r="R2830" s="97" t="str">
        <f t="shared" si="102"/>
        <v/>
      </c>
      <c r="S2830" s="75" t="str">
        <f t="shared" si="103"/>
        <v/>
      </c>
      <c r="W2830" s="6" t="s">
        <v>33</v>
      </c>
      <c r="X2830" s="7">
        <v>48359</v>
      </c>
    </row>
    <row r="2831" spans="1:24" x14ac:dyDescent="0.25">
      <c r="A2831" s="6" t="s">
        <v>25</v>
      </c>
      <c r="B2831" s="94" t="s">
        <v>762</v>
      </c>
      <c r="C2831" s="6" t="s">
        <v>8460</v>
      </c>
      <c r="D2831" s="140">
        <v>12114562</v>
      </c>
      <c r="E2831" s="6" t="s">
        <v>7419</v>
      </c>
      <c r="F2831" s="10" t="s">
        <v>44</v>
      </c>
      <c r="G2831" s="6" t="s">
        <v>8461</v>
      </c>
      <c r="H2831" s="8">
        <v>45614</v>
      </c>
      <c r="L2831" s="95" t="s">
        <v>359</v>
      </c>
      <c r="R2831" s="97" t="str">
        <f t="shared" si="102"/>
        <v/>
      </c>
      <c r="S2831" s="75" t="str">
        <f t="shared" si="103"/>
        <v/>
      </c>
    </row>
    <row r="2832" spans="1:24" x14ac:dyDescent="0.25">
      <c r="A2832" s="6" t="s">
        <v>25</v>
      </c>
      <c r="B2832" s="94" t="s">
        <v>8462</v>
      </c>
      <c r="C2832" s="6" t="s">
        <v>8463</v>
      </c>
      <c r="D2832" s="140">
        <v>12100350</v>
      </c>
      <c r="E2832" s="6" t="s">
        <v>607</v>
      </c>
      <c r="F2832" s="10" t="s">
        <v>44</v>
      </c>
      <c r="G2832" s="6" t="s">
        <v>8464</v>
      </c>
      <c r="H2832" s="8">
        <v>46075</v>
      </c>
      <c r="L2832" s="95" t="s">
        <v>359</v>
      </c>
      <c r="R2832" s="97" t="str">
        <f t="shared" si="102"/>
        <v/>
      </c>
      <c r="S2832" s="75" t="str">
        <f t="shared" si="103"/>
        <v/>
      </c>
    </row>
    <row r="2833" spans="1:24" x14ac:dyDescent="0.25">
      <c r="A2833" s="6" t="s">
        <v>25</v>
      </c>
      <c r="B2833" s="94" t="s">
        <v>1879</v>
      </c>
      <c r="C2833" s="6" t="s">
        <v>8465</v>
      </c>
      <c r="D2833" s="140">
        <v>11331953</v>
      </c>
      <c r="E2833" s="6" t="s">
        <v>1143</v>
      </c>
      <c r="F2833" s="10" t="s">
        <v>143</v>
      </c>
      <c r="G2833" s="6" t="s">
        <v>8466</v>
      </c>
      <c r="H2833" s="8">
        <v>48934</v>
      </c>
      <c r="L2833" s="95" t="s">
        <v>359</v>
      </c>
      <c r="R2833" s="97" t="str">
        <f t="shared" si="102"/>
        <v/>
      </c>
      <c r="S2833" s="75" t="str">
        <f t="shared" si="103"/>
        <v/>
      </c>
    </row>
    <row r="2834" spans="1:24" x14ac:dyDescent="0.25">
      <c r="A2834" s="6" t="s">
        <v>25</v>
      </c>
      <c r="B2834" s="94" t="s">
        <v>8467</v>
      </c>
      <c r="C2834" s="6" t="s">
        <v>8468</v>
      </c>
      <c r="D2834" s="140">
        <v>11226045</v>
      </c>
      <c r="E2834" s="6" t="s">
        <v>997</v>
      </c>
      <c r="F2834" s="10" t="s">
        <v>44</v>
      </c>
      <c r="G2834" s="6" t="s">
        <v>8469</v>
      </c>
      <c r="H2834" s="8">
        <v>45704</v>
      </c>
      <c r="L2834" s="95" t="s">
        <v>359</v>
      </c>
      <c r="R2834" s="97" t="str">
        <f t="shared" si="102"/>
        <v/>
      </c>
      <c r="S2834" s="75" t="str">
        <f t="shared" si="103"/>
        <v/>
      </c>
    </row>
    <row r="2835" spans="1:24" x14ac:dyDescent="0.25">
      <c r="A2835" s="6" t="s">
        <v>25</v>
      </c>
      <c r="B2835" s="94" t="s">
        <v>890</v>
      </c>
      <c r="C2835" s="6" t="s">
        <v>8470</v>
      </c>
      <c r="D2835" s="140">
        <v>11042475</v>
      </c>
      <c r="E2835" s="6" t="s">
        <v>298</v>
      </c>
      <c r="F2835" s="10" t="s">
        <v>134</v>
      </c>
      <c r="G2835" s="6" t="s">
        <v>8471</v>
      </c>
      <c r="H2835" s="8">
        <v>55413</v>
      </c>
      <c r="L2835" s="95" t="s">
        <v>359</v>
      </c>
      <c r="R2835" s="97" t="str">
        <f t="shared" si="102"/>
        <v/>
      </c>
      <c r="S2835" s="75" t="str">
        <f t="shared" si="103"/>
        <v/>
      </c>
    </row>
    <row r="2836" spans="1:24" x14ac:dyDescent="0.25">
      <c r="A2836" s="6" t="s">
        <v>25</v>
      </c>
      <c r="B2836" s="94" t="s">
        <v>4968</v>
      </c>
      <c r="C2836" s="6" t="s">
        <v>8472</v>
      </c>
      <c r="D2836" s="140">
        <v>11417834</v>
      </c>
      <c r="E2836" s="6" t="s">
        <v>247</v>
      </c>
      <c r="F2836" s="10" t="s">
        <v>62</v>
      </c>
      <c r="G2836" s="6" t="s">
        <v>8473</v>
      </c>
      <c r="H2836" s="8">
        <v>48203</v>
      </c>
      <c r="L2836" s="95" t="s">
        <v>359</v>
      </c>
      <c r="R2836" s="97" t="str">
        <f t="shared" si="102"/>
        <v/>
      </c>
      <c r="S2836" s="75" t="str">
        <f t="shared" si="103"/>
        <v/>
      </c>
    </row>
    <row r="2837" spans="1:24" x14ac:dyDescent="0.25">
      <c r="A2837" s="6" t="s">
        <v>25</v>
      </c>
      <c r="B2837" s="94" t="s">
        <v>8474</v>
      </c>
      <c r="C2837" s="6" t="s">
        <v>8475</v>
      </c>
      <c r="D2837" s="140">
        <v>11645109</v>
      </c>
      <c r="E2837" s="6" t="s">
        <v>928</v>
      </c>
      <c r="F2837" s="10" t="s">
        <v>44</v>
      </c>
      <c r="G2837" s="6" t="s">
        <v>8476</v>
      </c>
      <c r="H2837" s="8">
        <v>48947</v>
      </c>
      <c r="L2837" s="95" t="s">
        <v>359</v>
      </c>
      <c r="R2837" s="97" t="str">
        <f t="shared" si="102"/>
        <v/>
      </c>
      <c r="S2837" s="75" t="str">
        <f t="shared" si="103"/>
        <v/>
      </c>
    </row>
    <row r="2838" spans="1:24" x14ac:dyDescent="0.25">
      <c r="A2838" s="6" t="s">
        <v>168</v>
      </c>
      <c r="B2838" s="94" t="s">
        <v>1761</v>
      </c>
      <c r="C2838" s="6" t="s">
        <v>8477</v>
      </c>
      <c r="D2838" s="140">
        <v>11298745</v>
      </c>
      <c r="E2838" s="6" t="s">
        <v>120</v>
      </c>
      <c r="F2838" s="10" t="s">
        <v>44</v>
      </c>
      <c r="G2838" s="6" t="s">
        <v>8478</v>
      </c>
      <c r="H2838" s="8">
        <v>47644</v>
      </c>
      <c r="L2838" s="95" t="s">
        <v>359</v>
      </c>
      <c r="R2838" s="97" t="str">
        <f t="shared" si="102"/>
        <v/>
      </c>
      <c r="S2838" s="75" t="str">
        <f t="shared" si="103"/>
        <v/>
      </c>
    </row>
    <row r="2839" spans="1:24" x14ac:dyDescent="0.25">
      <c r="A2839" s="6" t="s">
        <v>25</v>
      </c>
      <c r="B2839" s="94" t="s">
        <v>5009</v>
      </c>
      <c r="C2839" s="6" t="s">
        <v>8479</v>
      </c>
      <c r="D2839" s="140">
        <v>11298727</v>
      </c>
      <c r="E2839" s="6" t="s">
        <v>490</v>
      </c>
      <c r="F2839" s="10" t="s">
        <v>44</v>
      </c>
      <c r="G2839" s="6" t="s">
        <v>8480</v>
      </c>
      <c r="H2839" s="8">
        <v>50113</v>
      </c>
      <c r="L2839" s="95" t="s">
        <v>31</v>
      </c>
      <c r="M2839" s="8">
        <v>45006</v>
      </c>
      <c r="P2839" s="6" t="s">
        <v>628</v>
      </c>
      <c r="R2839" s="97" t="str">
        <f t="shared" si="102"/>
        <v/>
      </c>
      <c r="S2839" s="75" t="str">
        <f t="shared" si="103"/>
        <v/>
      </c>
      <c r="T2839" s="124" t="s">
        <v>8481</v>
      </c>
      <c r="W2839" s="6" t="s">
        <v>33</v>
      </c>
      <c r="X2839" s="7">
        <v>50113</v>
      </c>
    </row>
    <row r="2840" spans="1:24" x14ac:dyDescent="0.25">
      <c r="A2840" s="6" t="s">
        <v>25</v>
      </c>
      <c r="B2840" s="94" t="s">
        <v>8482</v>
      </c>
      <c r="C2840" s="6" t="s">
        <v>8483</v>
      </c>
      <c r="D2840" s="140">
        <v>11639339</v>
      </c>
      <c r="E2840" s="6" t="s">
        <v>8484</v>
      </c>
      <c r="F2840" s="10" t="s">
        <v>148</v>
      </c>
      <c r="G2840" s="6" t="s">
        <v>8485</v>
      </c>
      <c r="H2840" s="8">
        <v>45993</v>
      </c>
      <c r="L2840" s="95" t="s">
        <v>359</v>
      </c>
      <c r="R2840" s="97" t="str">
        <f t="shared" si="102"/>
        <v/>
      </c>
      <c r="S2840" s="75" t="str">
        <f t="shared" si="103"/>
        <v/>
      </c>
    </row>
    <row r="2841" spans="1:24" x14ac:dyDescent="0.25">
      <c r="A2841" s="6" t="s">
        <v>25</v>
      </c>
      <c r="B2841" s="94" t="s">
        <v>8486</v>
      </c>
      <c r="C2841" s="6" t="s">
        <v>8487</v>
      </c>
      <c r="D2841" s="140">
        <v>11205864</v>
      </c>
      <c r="E2841" s="6" t="s">
        <v>714</v>
      </c>
      <c r="F2841" s="10" t="s">
        <v>148</v>
      </c>
      <c r="G2841" s="6" t="s">
        <v>8488</v>
      </c>
      <c r="H2841" s="8">
        <v>46665</v>
      </c>
      <c r="L2841" s="95" t="s">
        <v>359</v>
      </c>
      <c r="R2841" s="97" t="str">
        <f t="shared" si="102"/>
        <v/>
      </c>
      <c r="S2841" s="75" t="str">
        <f t="shared" si="103"/>
        <v/>
      </c>
    </row>
    <row r="2842" spans="1:24" x14ac:dyDescent="0.25">
      <c r="A2842" s="6" t="s">
        <v>25</v>
      </c>
      <c r="B2842" s="94" t="s">
        <v>7312</v>
      </c>
      <c r="C2842" s="6" t="s">
        <v>8489</v>
      </c>
      <c r="D2842" s="140">
        <v>11418613</v>
      </c>
      <c r="E2842" s="6" t="s">
        <v>1200</v>
      </c>
      <c r="F2842" s="10" t="s">
        <v>44</v>
      </c>
      <c r="G2842" s="6" t="s">
        <v>8490</v>
      </c>
      <c r="H2842" s="8">
        <v>50345</v>
      </c>
      <c r="L2842" s="95" t="s">
        <v>359</v>
      </c>
      <c r="R2842" s="97" t="str">
        <f t="shared" si="102"/>
        <v/>
      </c>
      <c r="S2842" s="75" t="str">
        <f t="shared" si="103"/>
        <v/>
      </c>
    </row>
    <row r="2843" spans="1:24" x14ac:dyDescent="0.25">
      <c r="A2843" s="6" t="s">
        <v>25</v>
      </c>
      <c r="B2843" s="94" t="s">
        <v>449</v>
      </c>
      <c r="C2843" s="6" t="s">
        <v>8491</v>
      </c>
      <c r="D2843" s="140">
        <v>11190912</v>
      </c>
      <c r="E2843" s="6" t="s">
        <v>8492</v>
      </c>
      <c r="F2843" s="10" t="s">
        <v>3160</v>
      </c>
      <c r="G2843" s="6">
        <v>198701</v>
      </c>
      <c r="H2843" s="8">
        <v>46197</v>
      </c>
      <c r="L2843" s="95" t="s">
        <v>359</v>
      </c>
      <c r="R2843" s="97" t="str">
        <f t="shared" si="102"/>
        <v/>
      </c>
      <c r="S2843" s="75" t="str">
        <f t="shared" si="103"/>
        <v/>
      </c>
    </row>
    <row r="2844" spans="1:24" x14ac:dyDescent="0.25">
      <c r="A2844" s="6" t="s">
        <v>25</v>
      </c>
      <c r="B2844" s="94" t="s">
        <v>8493</v>
      </c>
      <c r="C2844" s="6" t="s">
        <v>8494</v>
      </c>
      <c r="D2844" s="140">
        <v>11543640</v>
      </c>
      <c r="E2844" s="6" t="s">
        <v>204</v>
      </c>
      <c r="F2844" s="10" t="s">
        <v>29</v>
      </c>
      <c r="G2844" s="6" t="s">
        <v>8495</v>
      </c>
      <c r="H2844" s="8">
        <v>46105</v>
      </c>
      <c r="L2844" s="95" t="s">
        <v>359</v>
      </c>
      <c r="R2844" s="97" t="str">
        <f t="shared" si="102"/>
        <v/>
      </c>
      <c r="S2844" s="75" t="str">
        <f t="shared" si="103"/>
        <v/>
      </c>
    </row>
    <row r="2845" spans="1:24" x14ac:dyDescent="0.25">
      <c r="A2845" s="6" t="s">
        <v>25</v>
      </c>
      <c r="B2845" s="94" t="s">
        <v>8496</v>
      </c>
      <c r="C2845" s="6" t="s">
        <v>8497</v>
      </c>
      <c r="D2845" s="140">
        <v>11793862</v>
      </c>
      <c r="E2845" s="6" t="s">
        <v>1018</v>
      </c>
      <c r="F2845" s="10" t="s">
        <v>134</v>
      </c>
      <c r="G2845" s="6" t="s">
        <v>8498</v>
      </c>
      <c r="H2845" s="8">
        <v>45982</v>
      </c>
      <c r="K2845" s="8"/>
      <c r="L2845" s="95" t="s">
        <v>359</v>
      </c>
      <c r="R2845" s="97" t="str">
        <f t="shared" si="102"/>
        <v/>
      </c>
      <c r="S2845" s="75" t="str">
        <f t="shared" si="103"/>
        <v/>
      </c>
    </row>
    <row r="2846" spans="1:24" x14ac:dyDescent="0.25">
      <c r="A2846" s="6" t="s">
        <v>25</v>
      </c>
      <c r="B2846" s="94" t="s">
        <v>8499</v>
      </c>
      <c r="C2846" s="6" t="s">
        <v>8500</v>
      </c>
      <c r="D2846" s="140">
        <v>11183024</v>
      </c>
      <c r="E2846" s="6" t="s">
        <v>409</v>
      </c>
      <c r="F2846" s="10" t="s">
        <v>134</v>
      </c>
      <c r="G2846" s="6" t="s">
        <v>8501</v>
      </c>
      <c r="H2846" s="8">
        <v>46872</v>
      </c>
      <c r="L2846" s="95" t="s">
        <v>359</v>
      </c>
      <c r="R2846" s="97" t="str">
        <f t="shared" si="102"/>
        <v/>
      </c>
      <c r="S2846" s="75" t="str">
        <f t="shared" si="103"/>
        <v/>
      </c>
    </row>
    <row r="2847" spans="1:24" x14ac:dyDescent="0.25">
      <c r="A2847" s="6" t="s">
        <v>25</v>
      </c>
      <c r="B2847" s="94" t="s">
        <v>8502</v>
      </c>
      <c r="C2847" s="6" t="s">
        <v>8503</v>
      </c>
      <c r="D2847" s="140">
        <v>11271049</v>
      </c>
      <c r="E2847" s="6" t="s">
        <v>1525</v>
      </c>
      <c r="F2847" s="10" t="s">
        <v>57</v>
      </c>
      <c r="G2847" s="6" t="s">
        <v>8504</v>
      </c>
      <c r="H2847" s="8">
        <v>45935</v>
      </c>
      <c r="L2847" s="95" t="s">
        <v>359</v>
      </c>
      <c r="R2847" s="97" t="str">
        <f t="shared" si="102"/>
        <v/>
      </c>
      <c r="S2847" s="75" t="str">
        <f t="shared" si="103"/>
        <v/>
      </c>
    </row>
    <row r="2848" spans="1:24" x14ac:dyDescent="0.25">
      <c r="A2848" s="6" t="s">
        <v>25</v>
      </c>
      <c r="B2848" s="94" t="s">
        <v>8505</v>
      </c>
      <c r="C2848" s="6" t="s">
        <v>8506</v>
      </c>
      <c r="D2848" s="140">
        <v>12182825</v>
      </c>
      <c r="E2848" s="6" t="s">
        <v>49</v>
      </c>
      <c r="F2848" s="10" t="s">
        <v>442</v>
      </c>
      <c r="G2848" s="6" t="s">
        <v>8507</v>
      </c>
      <c r="H2848" s="8">
        <v>46841</v>
      </c>
      <c r="I2848" s="8">
        <v>44963</v>
      </c>
      <c r="J2848" s="8">
        <v>44963</v>
      </c>
      <c r="L2848" s="95" t="s">
        <v>31</v>
      </c>
      <c r="M2848" s="8">
        <v>44964</v>
      </c>
      <c r="N2848" s="8">
        <v>45274</v>
      </c>
      <c r="O2848" s="8">
        <v>45268</v>
      </c>
      <c r="P2848" s="6" t="s">
        <v>35</v>
      </c>
      <c r="Q2848" s="96">
        <v>1825</v>
      </c>
      <c r="R2848" s="97">
        <f t="shared" si="102"/>
        <v>5</v>
      </c>
      <c r="S2848" s="75">
        <f t="shared" si="103"/>
        <v>41295</v>
      </c>
      <c r="U2848" s="8">
        <v>45289</v>
      </c>
      <c r="W2848" s="6" t="s">
        <v>33</v>
      </c>
      <c r="X2848" s="7">
        <v>46841</v>
      </c>
    </row>
    <row r="2849" spans="1:24" x14ac:dyDescent="0.25">
      <c r="A2849" s="6" t="s">
        <v>25</v>
      </c>
      <c r="B2849" s="94" t="s">
        <v>8508</v>
      </c>
      <c r="C2849" s="6" t="s">
        <v>8509</v>
      </c>
      <c r="D2849" s="140">
        <v>11571833</v>
      </c>
      <c r="E2849" s="6" t="s">
        <v>928</v>
      </c>
      <c r="F2849" s="10" t="s">
        <v>134</v>
      </c>
      <c r="G2849" s="6" t="s">
        <v>8510</v>
      </c>
      <c r="H2849" s="8">
        <v>46947</v>
      </c>
      <c r="I2849" s="8">
        <v>44963</v>
      </c>
      <c r="J2849" s="8">
        <v>44963</v>
      </c>
      <c r="L2849" s="95" t="s">
        <v>31</v>
      </c>
      <c r="M2849" s="8">
        <v>44964</v>
      </c>
      <c r="N2849" s="8">
        <v>45107</v>
      </c>
      <c r="O2849" s="8">
        <v>45103</v>
      </c>
      <c r="P2849" s="6" t="s">
        <v>35</v>
      </c>
      <c r="Q2849" s="96">
        <v>1825</v>
      </c>
      <c r="R2849" s="97">
        <f t="shared" si="102"/>
        <v>5</v>
      </c>
      <c r="S2849" s="75">
        <f t="shared" si="103"/>
        <v>41295</v>
      </c>
      <c r="U2849" s="8">
        <v>45114</v>
      </c>
      <c r="W2849" s="6" t="s">
        <v>33</v>
      </c>
      <c r="X2849" s="7">
        <v>46947</v>
      </c>
    </row>
    <row r="2850" spans="1:24" x14ac:dyDescent="0.25">
      <c r="A2850" s="6" t="s">
        <v>25</v>
      </c>
      <c r="B2850" s="94" t="s">
        <v>8157</v>
      </c>
      <c r="C2850" s="6" t="s">
        <v>8511</v>
      </c>
      <c r="D2850" s="140">
        <v>11120435</v>
      </c>
      <c r="E2850" s="6" t="s">
        <v>1277</v>
      </c>
      <c r="F2850" s="10" t="s">
        <v>143</v>
      </c>
      <c r="G2850" s="6" t="s">
        <v>8512</v>
      </c>
      <c r="H2850" s="8">
        <v>46684</v>
      </c>
      <c r="I2850" s="8">
        <v>44963</v>
      </c>
      <c r="J2850" s="8">
        <v>44963</v>
      </c>
      <c r="L2850" s="95" t="s">
        <v>31</v>
      </c>
      <c r="M2850" s="8">
        <v>44964</v>
      </c>
      <c r="N2850" s="8">
        <v>45028</v>
      </c>
      <c r="O2850" s="8">
        <v>45028</v>
      </c>
      <c r="P2850" s="6" t="s">
        <v>35</v>
      </c>
      <c r="Q2850" s="96">
        <v>365</v>
      </c>
      <c r="R2850" s="97">
        <f t="shared" si="102"/>
        <v>1</v>
      </c>
      <c r="S2850" s="75">
        <f t="shared" si="103"/>
        <v>8259</v>
      </c>
      <c r="U2850" s="8">
        <v>45030</v>
      </c>
      <c r="W2850" s="6" t="s">
        <v>33</v>
      </c>
      <c r="X2850" s="7">
        <v>46684</v>
      </c>
    </row>
    <row r="2851" spans="1:24" x14ac:dyDescent="0.25">
      <c r="A2851" s="6" t="s">
        <v>25</v>
      </c>
      <c r="B2851" s="94" t="s">
        <v>8513</v>
      </c>
      <c r="C2851" s="6" t="s">
        <v>8514</v>
      </c>
      <c r="D2851" s="140">
        <v>11134480</v>
      </c>
      <c r="E2851" s="6" t="s">
        <v>2160</v>
      </c>
      <c r="F2851" s="10" t="s">
        <v>62</v>
      </c>
      <c r="G2851" s="6" t="s">
        <v>8515</v>
      </c>
      <c r="H2851" s="8">
        <v>76310</v>
      </c>
      <c r="I2851" s="8">
        <v>44973</v>
      </c>
      <c r="J2851" s="8">
        <v>44973</v>
      </c>
      <c r="L2851" s="95" t="s">
        <v>31</v>
      </c>
      <c r="M2851" s="8">
        <v>44978</v>
      </c>
      <c r="R2851" s="97" t="str">
        <f t="shared" ref="R2851:R2914" si="104">IF(Q2851&gt;0, Q2851/365, "")</f>
        <v/>
      </c>
      <c r="S2851" s="75" t="str">
        <f t="shared" ref="S2851:S2914" si="105">IF(Q2851&gt;0, SUM(Q2851)*(8259/365), "")</f>
        <v/>
      </c>
      <c r="W2851" s="6" t="s">
        <v>84</v>
      </c>
      <c r="X2851" s="7">
        <v>46809</v>
      </c>
    </row>
    <row r="2852" spans="1:24" x14ac:dyDescent="0.25">
      <c r="A2852" s="6" t="s">
        <v>25</v>
      </c>
      <c r="B2852" s="94" t="s">
        <v>8516</v>
      </c>
      <c r="C2852" s="6" t="s">
        <v>8517</v>
      </c>
      <c r="D2852" s="140">
        <v>11669852</v>
      </c>
      <c r="E2852" s="6" t="s">
        <v>8518</v>
      </c>
      <c r="F2852" s="10" t="s">
        <v>44</v>
      </c>
      <c r="G2852" s="6" t="s">
        <v>8519</v>
      </c>
      <c r="H2852" s="8">
        <v>45895</v>
      </c>
      <c r="I2852" s="8">
        <v>44973</v>
      </c>
      <c r="J2852" s="8">
        <v>44973</v>
      </c>
      <c r="L2852" s="95" t="s">
        <v>31</v>
      </c>
      <c r="M2852" s="8">
        <v>44978</v>
      </c>
      <c r="R2852" s="97" t="str">
        <f t="shared" si="104"/>
        <v/>
      </c>
      <c r="S2852" s="75" t="str">
        <f t="shared" si="105"/>
        <v/>
      </c>
      <c r="T2852" s="124" t="s">
        <v>8520</v>
      </c>
      <c r="U2852" s="8">
        <v>45076</v>
      </c>
      <c r="W2852" s="6" t="s">
        <v>33</v>
      </c>
      <c r="X2852" s="7">
        <v>44981</v>
      </c>
    </row>
    <row r="2853" spans="1:24" x14ac:dyDescent="0.25">
      <c r="A2853" s="6" t="s">
        <v>25</v>
      </c>
      <c r="B2853" s="94" t="s">
        <v>8521</v>
      </c>
      <c r="C2853" s="6" t="s">
        <v>8522</v>
      </c>
      <c r="D2853" s="140">
        <v>11484996</v>
      </c>
      <c r="E2853" s="6" t="s">
        <v>1064</v>
      </c>
      <c r="F2853" s="10" t="s">
        <v>44</v>
      </c>
      <c r="G2853" s="6" t="s">
        <v>8523</v>
      </c>
      <c r="H2853" s="8">
        <v>46090</v>
      </c>
      <c r="I2853" s="8">
        <v>44973</v>
      </c>
      <c r="J2853" s="8">
        <v>44973</v>
      </c>
      <c r="L2853" s="95" t="s">
        <v>31</v>
      </c>
      <c r="M2853" s="8">
        <v>44978</v>
      </c>
      <c r="N2853" s="8">
        <v>45324</v>
      </c>
      <c r="O2853" s="8">
        <v>45313</v>
      </c>
      <c r="P2853" s="6" t="s">
        <v>90</v>
      </c>
      <c r="Q2853" s="96">
        <v>2190</v>
      </c>
      <c r="R2853" s="97">
        <f t="shared" si="104"/>
        <v>6</v>
      </c>
      <c r="S2853" s="75">
        <f t="shared" si="105"/>
        <v>49554</v>
      </c>
      <c r="U2853" s="8">
        <v>45337</v>
      </c>
      <c r="V2853" s="6" t="s">
        <v>36</v>
      </c>
      <c r="W2853" s="6" t="s">
        <v>33</v>
      </c>
      <c r="X2853" s="7">
        <v>46090</v>
      </c>
    </row>
    <row r="2854" spans="1:24" x14ac:dyDescent="0.25">
      <c r="A2854" s="6" t="s">
        <v>25</v>
      </c>
      <c r="B2854" s="94" t="s">
        <v>8524</v>
      </c>
      <c r="C2854" s="6" t="s">
        <v>8525</v>
      </c>
      <c r="D2854" s="140">
        <v>11200086</v>
      </c>
      <c r="E2854" s="6" t="s">
        <v>8526</v>
      </c>
      <c r="F2854" s="10" t="s">
        <v>57</v>
      </c>
      <c r="G2854" s="6" t="s">
        <v>8527</v>
      </c>
      <c r="H2854" s="8">
        <v>47545</v>
      </c>
      <c r="I2854" s="8">
        <v>44973</v>
      </c>
      <c r="J2854" s="8">
        <v>44973</v>
      </c>
      <c r="L2854" s="95" t="s">
        <v>31</v>
      </c>
      <c r="M2854" s="8">
        <v>44978</v>
      </c>
      <c r="P2854" s="6" t="s">
        <v>628</v>
      </c>
      <c r="R2854" s="97" t="str">
        <f t="shared" si="104"/>
        <v/>
      </c>
      <c r="S2854" s="75" t="str">
        <f t="shared" si="105"/>
        <v/>
      </c>
      <c r="T2854" s="124" t="s">
        <v>8528</v>
      </c>
      <c r="W2854" s="6" t="s">
        <v>33</v>
      </c>
      <c r="X2854" s="7">
        <v>47545</v>
      </c>
    </row>
    <row r="2855" spans="1:24" x14ac:dyDescent="0.25">
      <c r="A2855" s="6" t="s">
        <v>25</v>
      </c>
      <c r="B2855" s="94" t="s">
        <v>8529</v>
      </c>
      <c r="C2855" s="6" t="s">
        <v>6185</v>
      </c>
      <c r="D2855" s="140">
        <v>11121904</v>
      </c>
      <c r="E2855" s="6" t="s">
        <v>783</v>
      </c>
      <c r="F2855" s="10" t="s">
        <v>57</v>
      </c>
      <c r="G2855" s="6" t="s">
        <v>6186</v>
      </c>
      <c r="H2855" s="8">
        <v>45682</v>
      </c>
      <c r="I2855" s="8">
        <v>44973</v>
      </c>
      <c r="J2855" s="8">
        <v>44973</v>
      </c>
      <c r="L2855" s="95" t="s">
        <v>31</v>
      </c>
      <c r="M2855" s="8">
        <v>44978</v>
      </c>
      <c r="N2855" s="8">
        <v>45020</v>
      </c>
      <c r="O2855" s="8">
        <v>45013</v>
      </c>
      <c r="P2855" s="6" t="s">
        <v>35</v>
      </c>
      <c r="Q2855" s="96">
        <v>2190</v>
      </c>
      <c r="R2855" s="97">
        <f t="shared" si="104"/>
        <v>6</v>
      </c>
      <c r="S2855" s="75">
        <f t="shared" si="105"/>
        <v>49554</v>
      </c>
      <c r="U2855" s="8">
        <v>45023</v>
      </c>
      <c r="W2855" s="6" t="s">
        <v>33</v>
      </c>
      <c r="X2855" s="7">
        <v>45682</v>
      </c>
    </row>
    <row r="2856" spans="1:24" x14ac:dyDescent="0.25">
      <c r="A2856" s="6" t="s">
        <v>25</v>
      </c>
      <c r="B2856" s="94" t="s">
        <v>8530</v>
      </c>
      <c r="C2856" s="6" t="s">
        <v>8531</v>
      </c>
      <c r="D2856" s="140">
        <v>11819605</v>
      </c>
      <c r="E2856" s="6" t="s">
        <v>2037</v>
      </c>
      <c r="F2856" s="10" t="s">
        <v>29</v>
      </c>
      <c r="G2856" s="6" t="s">
        <v>8532</v>
      </c>
      <c r="H2856" s="8">
        <v>52719</v>
      </c>
      <c r="I2856" s="8">
        <v>44973</v>
      </c>
      <c r="J2856" s="8">
        <v>44973</v>
      </c>
      <c r="L2856" s="95" t="s">
        <v>31</v>
      </c>
      <c r="M2856" s="8">
        <v>44978</v>
      </c>
      <c r="N2856" s="8">
        <v>45271</v>
      </c>
      <c r="O2856" s="8">
        <v>45261</v>
      </c>
      <c r="P2856" s="6" t="s">
        <v>90</v>
      </c>
      <c r="Q2856" s="96">
        <v>2190</v>
      </c>
      <c r="R2856" s="97">
        <f t="shared" si="104"/>
        <v>6</v>
      </c>
      <c r="S2856" s="75">
        <f t="shared" si="105"/>
        <v>49554</v>
      </c>
      <c r="T2856" s="124" t="s">
        <v>8533</v>
      </c>
      <c r="U2856" s="8">
        <v>45289</v>
      </c>
      <c r="W2856" s="6" t="s">
        <v>84</v>
      </c>
      <c r="X2856" s="7">
        <v>50868</v>
      </c>
    </row>
    <row r="2857" spans="1:24" x14ac:dyDescent="0.25">
      <c r="A2857" s="6" t="s">
        <v>25</v>
      </c>
      <c r="B2857" s="94" t="s">
        <v>8534</v>
      </c>
      <c r="C2857" s="6" t="s">
        <v>8535</v>
      </c>
      <c r="D2857" s="140">
        <v>11124900</v>
      </c>
      <c r="E2857" s="6" t="s">
        <v>2850</v>
      </c>
      <c r="F2857" s="10" t="s">
        <v>121</v>
      </c>
      <c r="G2857" s="6" t="s">
        <v>8536</v>
      </c>
      <c r="H2857" s="8">
        <v>70529</v>
      </c>
      <c r="I2857" s="8">
        <v>44973</v>
      </c>
      <c r="J2857" s="8">
        <v>44973</v>
      </c>
      <c r="L2857" s="95" t="s">
        <v>31</v>
      </c>
      <c r="M2857" s="8">
        <v>44978</v>
      </c>
      <c r="R2857" s="97" t="str">
        <f t="shared" si="104"/>
        <v/>
      </c>
      <c r="S2857" s="75" t="str">
        <f t="shared" si="105"/>
        <v/>
      </c>
      <c r="W2857" s="6" t="s">
        <v>84</v>
      </c>
      <c r="X2857" s="7">
        <v>46411</v>
      </c>
    </row>
    <row r="2858" spans="1:24" x14ac:dyDescent="0.25">
      <c r="A2858" s="6" t="s">
        <v>25</v>
      </c>
      <c r="B2858" s="94" t="s">
        <v>944</v>
      </c>
      <c r="C2858" s="6" t="s">
        <v>8537</v>
      </c>
      <c r="D2858" s="140">
        <v>11260378</v>
      </c>
      <c r="E2858" s="6" t="s">
        <v>8538</v>
      </c>
      <c r="F2858" s="10" t="s">
        <v>134</v>
      </c>
      <c r="G2858" s="6" t="s">
        <v>8539</v>
      </c>
      <c r="H2858" s="8">
        <v>45731</v>
      </c>
      <c r="I2858" s="8">
        <v>44973</v>
      </c>
      <c r="J2858" s="8">
        <v>44973</v>
      </c>
      <c r="L2858" s="95" t="s">
        <v>31</v>
      </c>
      <c r="M2858" s="8">
        <v>44978</v>
      </c>
      <c r="N2858" s="8">
        <v>45112</v>
      </c>
      <c r="O2858" s="8">
        <v>45099</v>
      </c>
      <c r="P2858" s="6" t="s">
        <v>35</v>
      </c>
      <c r="Q2858" s="96">
        <v>511</v>
      </c>
      <c r="R2858" s="97">
        <f t="shared" si="104"/>
        <v>1.4</v>
      </c>
      <c r="S2858" s="75">
        <f t="shared" si="105"/>
        <v>11562.6</v>
      </c>
      <c r="U2858" s="8">
        <v>45114</v>
      </c>
      <c r="W2858" s="6" t="s">
        <v>33</v>
      </c>
      <c r="X2858" s="7">
        <v>45731</v>
      </c>
    </row>
    <row r="2859" spans="1:24" x14ac:dyDescent="0.25">
      <c r="A2859" s="6" t="s">
        <v>25</v>
      </c>
      <c r="B2859" s="94" t="s">
        <v>2913</v>
      </c>
      <c r="C2859" s="6" t="s">
        <v>8540</v>
      </c>
      <c r="D2859" s="140">
        <v>11585695</v>
      </c>
      <c r="E2859" s="6" t="s">
        <v>498</v>
      </c>
      <c r="F2859" s="10" t="s">
        <v>139</v>
      </c>
      <c r="G2859" s="6" t="s">
        <v>8541</v>
      </c>
      <c r="H2859" s="8">
        <v>49684</v>
      </c>
      <c r="I2859" s="8">
        <v>44973</v>
      </c>
      <c r="J2859" s="8">
        <v>44973</v>
      </c>
      <c r="L2859" s="95" t="s">
        <v>31</v>
      </c>
      <c r="M2859" s="8">
        <v>44978</v>
      </c>
      <c r="N2859" s="8">
        <v>45054</v>
      </c>
      <c r="O2859" s="8">
        <v>45044</v>
      </c>
      <c r="P2859" s="6" t="s">
        <v>35</v>
      </c>
      <c r="Q2859" s="96">
        <v>1825</v>
      </c>
      <c r="R2859" s="97">
        <f t="shared" si="104"/>
        <v>5</v>
      </c>
      <c r="S2859" s="75">
        <f t="shared" si="105"/>
        <v>41295</v>
      </c>
      <c r="U2859" s="8">
        <v>45083</v>
      </c>
      <c r="W2859" s="6" t="s">
        <v>84</v>
      </c>
      <c r="X2859" s="7">
        <v>53440</v>
      </c>
    </row>
    <row r="2860" spans="1:24" ht="30" x14ac:dyDescent="0.25">
      <c r="A2860" s="6" t="s">
        <v>25</v>
      </c>
      <c r="B2860" s="94" t="s">
        <v>635</v>
      </c>
      <c r="C2860" s="6" t="s">
        <v>8542</v>
      </c>
      <c r="D2860" s="140">
        <v>11214174</v>
      </c>
      <c r="E2860" s="6" t="s">
        <v>584</v>
      </c>
      <c r="F2860" s="10" t="s">
        <v>134</v>
      </c>
      <c r="G2860" s="6" t="s">
        <v>8543</v>
      </c>
      <c r="H2860" s="8">
        <v>49359</v>
      </c>
      <c r="L2860" s="95" t="s">
        <v>31</v>
      </c>
      <c r="M2860" s="8">
        <v>45027</v>
      </c>
      <c r="N2860" s="8">
        <v>45224</v>
      </c>
      <c r="O2860" s="8">
        <v>45224</v>
      </c>
      <c r="P2860" s="6" t="s">
        <v>52</v>
      </c>
      <c r="R2860" s="97" t="str">
        <f t="shared" si="104"/>
        <v/>
      </c>
      <c r="S2860" s="75" t="str">
        <f t="shared" si="105"/>
        <v/>
      </c>
      <c r="T2860" s="124" t="s">
        <v>8544</v>
      </c>
      <c r="U2860" s="8">
        <v>45288</v>
      </c>
      <c r="W2860" s="6" t="s">
        <v>33</v>
      </c>
      <c r="X2860" s="7">
        <v>49359</v>
      </c>
    </row>
    <row r="2861" spans="1:24" x14ac:dyDescent="0.25">
      <c r="A2861" s="6" t="s">
        <v>25</v>
      </c>
      <c r="B2861" s="94" t="s">
        <v>3521</v>
      </c>
      <c r="C2861" s="6" t="s">
        <v>8545</v>
      </c>
      <c r="D2861" s="140">
        <v>11342799</v>
      </c>
      <c r="E2861" s="6" t="s">
        <v>946</v>
      </c>
      <c r="F2861" s="10" t="s">
        <v>29</v>
      </c>
      <c r="G2861" s="6" t="s">
        <v>8546</v>
      </c>
      <c r="H2861" s="8">
        <v>47699</v>
      </c>
      <c r="L2861" s="95" t="s">
        <v>359</v>
      </c>
      <c r="R2861" s="97" t="str">
        <f t="shared" si="104"/>
        <v/>
      </c>
      <c r="S2861" s="75" t="str">
        <f t="shared" si="105"/>
        <v/>
      </c>
    </row>
    <row r="2862" spans="1:24" x14ac:dyDescent="0.25">
      <c r="A2862" s="6" t="s">
        <v>25</v>
      </c>
      <c r="B2862" s="94" t="s">
        <v>86</v>
      </c>
      <c r="C2862" s="6" t="s">
        <v>8547</v>
      </c>
      <c r="D2862" s="140">
        <v>11927169</v>
      </c>
      <c r="E2862" s="6" t="s">
        <v>2160</v>
      </c>
      <c r="F2862" s="10" t="s">
        <v>143</v>
      </c>
      <c r="G2862" s="6" t="s">
        <v>8548</v>
      </c>
      <c r="H2862" s="8">
        <v>52900</v>
      </c>
      <c r="L2862" s="95" t="s">
        <v>359</v>
      </c>
      <c r="R2862" s="97" t="str">
        <f t="shared" si="104"/>
        <v/>
      </c>
      <c r="S2862" s="75" t="str">
        <f t="shared" si="105"/>
        <v/>
      </c>
    </row>
    <row r="2863" spans="1:24" x14ac:dyDescent="0.25">
      <c r="A2863" s="6" t="s">
        <v>25</v>
      </c>
      <c r="B2863" s="94" t="s">
        <v>2701</v>
      </c>
      <c r="C2863" s="6" t="s">
        <v>8549</v>
      </c>
      <c r="D2863" s="140">
        <v>11153416</v>
      </c>
      <c r="E2863" s="6" t="s">
        <v>8484</v>
      </c>
      <c r="F2863" s="10" t="s">
        <v>143</v>
      </c>
      <c r="G2863" s="6" t="s">
        <v>8550</v>
      </c>
      <c r="H2863" s="8">
        <v>46860</v>
      </c>
      <c r="L2863" s="95" t="s">
        <v>359</v>
      </c>
      <c r="R2863" s="97" t="str">
        <f t="shared" si="104"/>
        <v/>
      </c>
      <c r="S2863" s="75" t="str">
        <f t="shared" si="105"/>
        <v/>
      </c>
    </row>
    <row r="2864" spans="1:24" x14ac:dyDescent="0.25">
      <c r="A2864" s="6" t="s">
        <v>25</v>
      </c>
      <c r="B2864" s="94" t="s">
        <v>8551</v>
      </c>
      <c r="C2864" s="6" t="s">
        <v>8552</v>
      </c>
      <c r="D2864" s="140">
        <v>11257433</v>
      </c>
      <c r="E2864" s="6" t="s">
        <v>2090</v>
      </c>
      <c r="F2864" s="10" t="s">
        <v>143</v>
      </c>
      <c r="G2864" s="6" t="s">
        <v>8553</v>
      </c>
      <c r="H2864" s="8">
        <v>46561</v>
      </c>
      <c r="L2864" s="95" t="s">
        <v>359</v>
      </c>
      <c r="R2864" s="97" t="str">
        <f t="shared" si="104"/>
        <v/>
      </c>
      <c r="S2864" s="75" t="str">
        <f t="shared" si="105"/>
        <v/>
      </c>
    </row>
    <row r="2865" spans="1:19" x14ac:dyDescent="0.25">
      <c r="A2865" s="6" t="s">
        <v>25</v>
      </c>
      <c r="B2865" s="94" t="s">
        <v>3844</v>
      </c>
      <c r="C2865" s="6" t="s">
        <v>8554</v>
      </c>
      <c r="D2865" s="140">
        <v>11333440</v>
      </c>
      <c r="E2865" s="6" t="s">
        <v>878</v>
      </c>
      <c r="F2865" s="10" t="s">
        <v>62</v>
      </c>
      <c r="G2865" s="6" t="s">
        <v>8555</v>
      </c>
      <c r="H2865" s="8">
        <v>46305</v>
      </c>
      <c r="L2865" s="95" t="s">
        <v>359</v>
      </c>
      <c r="R2865" s="97" t="str">
        <f t="shared" si="104"/>
        <v/>
      </c>
      <c r="S2865" s="75" t="str">
        <f t="shared" si="105"/>
        <v/>
      </c>
    </row>
    <row r="2866" spans="1:19" x14ac:dyDescent="0.25">
      <c r="A2866" s="6" t="s">
        <v>168</v>
      </c>
      <c r="B2866" s="94" t="s">
        <v>2113</v>
      </c>
      <c r="C2866" s="6" t="s">
        <v>8556</v>
      </c>
      <c r="D2866" s="140">
        <v>11975726</v>
      </c>
      <c r="E2866" s="6" t="s">
        <v>962</v>
      </c>
      <c r="F2866" s="10" t="s">
        <v>44</v>
      </c>
      <c r="G2866" s="6" t="s">
        <v>8557</v>
      </c>
      <c r="H2866" s="8">
        <v>48448</v>
      </c>
      <c r="L2866" s="95" t="s">
        <v>359</v>
      </c>
      <c r="R2866" s="97" t="str">
        <f t="shared" si="104"/>
        <v/>
      </c>
      <c r="S2866" s="75" t="str">
        <f t="shared" si="105"/>
        <v/>
      </c>
    </row>
    <row r="2867" spans="1:19" x14ac:dyDescent="0.25">
      <c r="A2867" s="6" t="s">
        <v>25</v>
      </c>
      <c r="B2867" s="94" t="s">
        <v>5982</v>
      </c>
      <c r="C2867" s="6" t="s">
        <v>8558</v>
      </c>
      <c r="D2867" s="140">
        <v>12130770</v>
      </c>
      <c r="E2867" s="6" t="s">
        <v>547</v>
      </c>
      <c r="F2867" s="10" t="s">
        <v>62</v>
      </c>
      <c r="G2867" s="6" t="s">
        <v>8559</v>
      </c>
      <c r="H2867" s="8">
        <v>46179</v>
      </c>
      <c r="L2867" s="95" t="s">
        <v>359</v>
      </c>
      <c r="R2867" s="97" t="str">
        <f t="shared" si="104"/>
        <v/>
      </c>
      <c r="S2867" s="75" t="str">
        <f t="shared" si="105"/>
        <v/>
      </c>
    </row>
    <row r="2868" spans="1:19" x14ac:dyDescent="0.25">
      <c r="A2868" s="6" t="s">
        <v>25</v>
      </c>
      <c r="B2868" s="94" t="s">
        <v>7636</v>
      </c>
      <c r="C2868" s="6" t="s">
        <v>8560</v>
      </c>
      <c r="D2868" s="140">
        <v>11057300</v>
      </c>
      <c r="E2868" s="6" t="s">
        <v>8561</v>
      </c>
      <c r="F2868" s="10" t="s">
        <v>121</v>
      </c>
      <c r="G2868" s="6" t="s">
        <v>8562</v>
      </c>
      <c r="H2868" s="8">
        <v>47174</v>
      </c>
      <c r="L2868" s="95" t="s">
        <v>359</v>
      </c>
      <c r="R2868" s="97" t="str">
        <f t="shared" si="104"/>
        <v/>
      </c>
      <c r="S2868" s="75" t="str">
        <f t="shared" si="105"/>
        <v/>
      </c>
    </row>
    <row r="2869" spans="1:19" x14ac:dyDescent="0.25">
      <c r="A2869" s="6" t="s">
        <v>25</v>
      </c>
      <c r="B2869" s="94" t="s">
        <v>8563</v>
      </c>
      <c r="C2869" s="6" t="s">
        <v>8564</v>
      </c>
      <c r="D2869" s="140">
        <v>11939030</v>
      </c>
      <c r="E2869" s="6" t="s">
        <v>247</v>
      </c>
      <c r="F2869" s="10" t="s">
        <v>57</v>
      </c>
      <c r="G2869" s="6" t="s">
        <v>8565</v>
      </c>
      <c r="H2869" s="8">
        <v>47692</v>
      </c>
      <c r="L2869" s="95" t="s">
        <v>359</v>
      </c>
      <c r="R2869" s="97" t="str">
        <f t="shared" si="104"/>
        <v/>
      </c>
      <c r="S2869" s="75" t="str">
        <f t="shared" si="105"/>
        <v/>
      </c>
    </row>
    <row r="2870" spans="1:19" x14ac:dyDescent="0.25">
      <c r="A2870" s="6" t="s">
        <v>25</v>
      </c>
      <c r="B2870" s="94" t="s">
        <v>250</v>
      </c>
      <c r="C2870" s="6" t="s">
        <v>8566</v>
      </c>
      <c r="D2870" s="140">
        <v>11245860</v>
      </c>
      <c r="E2870" s="6" t="s">
        <v>1539</v>
      </c>
      <c r="F2870" s="10" t="s">
        <v>44</v>
      </c>
      <c r="G2870" s="6" t="s">
        <v>8567</v>
      </c>
      <c r="H2870" s="8">
        <v>48121</v>
      </c>
      <c r="L2870" s="95" t="s">
        <v>359</v>
      </c>
      <c r="R2870" s="97" t="str">
        <f t="shared" si="104"/>
        <v/>
      </c>
      <c r="S2870" s="75" t="str">
        <f t="shared" si="105"/>
        <v/>
      </c>
    </row>
    <row r="2871" spans="1:19" x14ac:dyDescent="0.25">
      <c r="A2871" s="6" t="s">
        <v>25</v>
      </c>
      <c r="B2871" s="94" t="s">
        <v>762</v>
      </c>
      <c r="C2871" s="6" t="s">
        <v>8568</v>
      </c>
      <c r="D2871" s="140">
        <v>11314905</v>
      </c>
      <c r="E2871" s="6" t="s">
        <v>464</v>
      </c>
      <c r="F2871" s="10" t="s">
        <v>29</v>
      </c>
      <c r="G2871" s="6" t="s">
        <v>8569</v>
      </c>
      <c r="H2871" s="8">
        <v>48733</v>
      </c>
      <c r="L2871" s="95" t="s">
        <v>359</v>
      </c>
      <c r="R2871" s="97" t="str">
        <f t="shared" si="104"/>
        <v/>
      </c>
      <c r="S2871" s="75" t="str">
        <f t="shared" si="105"/>
        <v/>
      </c>
    </row>
    <row r="2872" spans="1:19" x14ac:dyDescent="0.25">
      <c r="A2872" s="6" t="s">
        <v>25</v>
      </c>
      <c r="B2872" s="94" t="s">
        <v>8570</v>
      </c>
      <c r="C2872" s="6" t="s">
        <v>8571</v>
      </c>
      <c r="D2872" s="140">
        <v>11850843</v>
      </c>
      <c r="E2872" s="6" t="s">
        <v>344</v>
      </c>
      <c r="F2872" s="10" t="s">
        <v>44</v>
      </c>
      <c r="G2872" s="6" t="s">
        <v>8572</v>
      </c>
      <c r="H2872" s="8">
        <v>45704</v>
      </c>
      <c r="L2872" s="95" t="s">
        <v>359</v>
      </c>
      <c r="R2872" s="97" t="str">
        <f t="shared" si="104"/>
        <v/>
      </c>
      <c r="S2872" s="75" t="str">
        <f t="shared" si="105"/>
        <v/>
      </c>
    </row>
    <row r="2873" spans="1:19" x14ac:dyDescent="0.25">
      <c r="A2873" s="6" t="s">
        <v>25</v>
      </c>
      <c r="B2873" s="94" t="s">
        <v>108</v>
      </c>
      <c r="C2873" s="6" t="s">
        <v>8573</v>
      </c>
      <c r="D2873" s="140">
        <v>11195264</v>
      </c>
      <c r="E2873" s="6" t="s">
        <v>382</v>
      </c>
      <c r="F2873" s="10" t="s">
        <v>62</v>
      </c>
      <c r="G2873" s="6" t="s">
        <v>8574</v>
      </c>
      <c r="H2873" s="8">
        <v>47218</v>
      </c>
      <c r="L2873" s="95" t="s">
        <v>359</v>
      </c>
      <c r="R2873" s="97" t="str">
        <f t="shared" si="104"/>
        <v/>
      </c>
      <c r="S2873" s="75" t="str">
        <f t="shared" si="105"/>
        <v/>
      </c>
    </row>
    <row r="2874" spans="1:19" x14ac:dyDescent="0.25">
      <c r="A2874" s="6" t="s">
        <v>168</v>
      </c>
      <c r="B2874" s="94" t="s">
        <v>8575</v>
      </c>
      <c r="C2874" s="6" t="s">
        <v>8576</v>
      </c>
      <c r="D2874" s="140">
        <v>11307010</v>
      </c>
      <c r="E2874" s="6" t="s">
        <v>386</v>
      </c>
      <c r="F2874" s="10" t="s">
        <v>57</v>
      </c>
      <c r="G2874" s="6" t="s">
        <v>8577</v>
      </c>
      <c r="H2874" s="8">
        <v>47143</v>
      </c>
      <c r="L2874" s="95" t="s">
        <v>359</v>
      </c>
      <c r="R2874" s="97" t="str">
        <f t="shared" si="104"/>
        <v/>
      </c>
      <c r="S2874" s="75" t="str">
        <f t="shared" si="105"/>
        <v/>
      </c>
    </row>
    <row r="2875" spans="1:19" x14ac:dyDescent="0.25">
      <c r="A2875" s="6" t="s">
        <v>25</v>
      </c>
      <c r="B2875" s="94" t="s">
        <v>8578</v>
      </c>
      <c r="C2875" s="6" t="s">
        <v>8579</v>
      </c>
      <c r="D2875" s="140">
        <v>12011344</v>
      </c>
      <c r="E2875" s="6" t="s">
        <v>1960</v>
      </c>
      <c r="F2875" s="10" t="s">
        <v>979</v>
      </c>
      <c r="G2875" s="6" t="s">
        <v>8580</v>
      </c>
      <c r="H2875" s="8">
        <v>46150</v>
      </c>
      <c r="L2875" s="95" t="s">
        <v>359</v>
      </c>
      <c r="R2875" s="97" t="str">
        <f t="shared" si="104"/>
        <v/>
      </c>
      <c r="S2875" s="75" t="str">
        <f t="shared" si="105"/>
        <v/>
      </c>
    </row>
    <row r="2876" spans="1:19" x14ac:dyDescent="0.25">
      <c r="A2876" s="6" t="s">
        <v>25</v>
      </c>
      <c r="B2876" s="94" t="s">
        <v>1668</v>
      </c>
      <c r="C2876" s="6" t="s">
        <v>8581</v>
      </c>
      <c r="D2876" s="140">
        <v>11960035</v>
      </c>
      <c r="E2876" s="6" t="s">
        <v>1756</v>
      </c>
      <c r="F2876" s="10" t="s">
        <v>29</v>
      </c>
      <c r="G2876" s="6" t="s">
        <v>8582</v>
      </c>
      <c r="H2876" s="8">
        <v>46328</v>
      </c>
      <c r="L2876" s="95" t="s">
        <v>359</v>
      </c>
      <c r="R2876" s="97" t="str">
        <f t="shared" si="104"/>
        <v/>
      </c>
      <c r="S2876" s="75" t="str">
        <f t="shared" si="105"/>
        <v/>
      </c>
    </row>
    <row r="2877" spans="1:19" x14ac:dyDescent="0.25">
      <c r="A2877" s="6" t="s">
        <v>25</v>
      </c>
      <c r="B2877" s="94" t="s">
        <v>8583</v>
      </c>
      <c r="C2877" s="6" t="s">
        <v>8584</v>
      </c>
      <c r="D2877" s="140">
        <v>11955842</v>
      </c>
      <c r="E2877" s="6" t="s">
        <v>8585</v>
      </c>
      <c r="F2877" s="10" t="s">
        <v>205</v>
      </c>
      <c r="G2877" s="6" t="s">
        <v>8586</v>
      </c>
      <c r="H2877" s="8">
        <v>45581</v>
      </c>
      <c r="L2877" s="95" t="s">
        <v>359</v>
      </c>
      <c r="R2877" s="97" t="str">
        <f t="shared" si="104"/>
        <v/>
      </c>
      <c r="S2877" s="75" t="str">
        <f t="shared" si="105"/>
        <v/>
      </c>
    </row>
    <row r="2878" spans="1:19" x14ac:dyDescent="0.25">
      <c r="A2878" s="6" t="s">
        <v>25</v>
      </c>
      <c r="B2878" s="94" t="s">
        <v>948</v>
      </c>
      <c r="C2878" s="6" t="s">
        <v>8587</v>
      </c>
      <c r="D2878" s="140">
        <v>11826561</v>
      </c>
      <c r="E2878" s="6" t="s">
        <v>409</v>
      </c>
      <c r="F2878" s="10" t="s">
        <v>57</v>
      </c>
      <c r="G2878" s="6" t="s">
        <v>8588</v>
      </c>
      <c r="H2878" s="8">
        <v>44953</v>
      </c>
      <c r="L2878" s="95" t="s">
        <v>359</v>
      </c>
      <c r="R2878" s="97" t="str">
        <f t="shared" si="104"/>
        <v/>
      </c>
      <c r="S2878" s="75" t="str">
        <f t="shared" si="105"/>
        <v/>
      </c>
    </row>
    <row r="2879" spans="1:19" x14ac:dyDescent="0.25">
      <c r="A2879" s="6" t="s">
        <v>25</v>
      </c>
      <c r="B2879" s="94" t="s">
        <v>337</v>
      </c>
      <c r="C2879" s="6" t="s">
        <v>8589</v>
      </c>
      <c r="D2879" s="140">
        <v>11052973</v>
      </c>
      <c r="E2879" s="6" t="s">
        <v>1752</v>
      </c>
      <c r="F2879" s="10" t="s">
        <v>29</v>
      </c>
      <c r="G2879" s="6" t="s">
        <v>8590</v>
      </c>
      <c r="H2879" s="8">
        <v>47370</v>
      </c>
      <c r="L2879" s="95" t="s">
        <v>359</v>
      </c>
      <c r="R2879" s="97" t="str">
        <f t="shared" si="104"/>
        <v/>
      </c>
      <c r="S2879" s="75" t="str">
        <f t="shared" si="105"/>
        <v/>
      </c>
    </row>
    <row r="2880" spans="1:19" x14ac:dyDescent="0.25">
      <c r="A2880" s="6" t="s">
        <v>168</v>
      </c>
      <c r="B2880" s="94" t="s">
        <v>3305</v>
      </c>
      <c r="C2880" s="6" t="s">
        <v>8591</v>
      </c>
      <c r="D2880" s="140">
        <v>11373351</v>
      </c>
      <c r="E2880" s="6" t="s">
        <v>162</v>
      </c>
      <c r="F2880" s="10" t="s">
        <v>134</v>
      </c>
      <c r="G2880" s="6" t="s">
        <v>8592</v>
      </c>
      <c r="H2880" s="8">
        <v>52040</v>
      </c>
      <c r="L2880" s="95" t="s">
        <v>359</v>
      </c>
      <c r="R2880" s="97" t="str">
        <f t="shared" si="104"/>
        <v/>
      </c>
      <c r="S2880" s="75" t="str">
        <f t="shared" si="105"/>
        <v/>
      </c>
    </row>
    <row r="2881" spans="1:19" x14ac:dyDescent="0.25">
      <c r="A2881" s="6" t="s">
        <v>25</v>
      </c>
      <c r="B2881" s="94" t="s">
        <v>496</v>
      </c>
      <c r="C2881" s="6" t="s">
        <v>8593</v>
      </c>
      <c r="D2881" s="140">
        <v>12007735</v>
      </c>
      <c r="E2881" s="6" t="s">
        <v>1156</v>
      </c>
      <c r="F2881" s="10" t="s">
        <v>2296</v>
      </c>
      <c r="G2881" s="6" t="s">
        <v>8594</v>
      </c>
      <c r="H2881" s="8">
        <v>45571</v>
      </c>
      <c r="L2881" s="95" t="s">
        <v>359</v>
      </c>
      <c r="R2881" s="97" t="str">
        <f t="shared" si="104"/>
        <v/>
      </c>
      <c r="S2881" s="75" t="str">
        <f t="shared" si="105"/>
        <v/>
      </c>
    </row>
    <row r="2882" spans="1:19" x14ac:dyDescent="0.25">
      <c r="A2882" s="6" t="s">
        <v>25</v>
      </c>
      <c r="B2882" s="94" t="s">
        <v>8595</v>
      </c>
      <c r="C2882" s="6" t="s">
        <v>8596</v>
      </c>
      <c r="D2882" s="140">
        <v>11015426</v>
      </c>
      <c r="E2882" s="6" t="s">
        <v>120</v>
      </c>
      <c r="F2882" s="10" t="s">
        <v>148</v>
      </c>
      <c r="G2882" s="6" t="s">
        <v>8597</v>
      </c>
      <c r="H2882" s="8">
        <v>46842</v>
      </c>
      <c r="L2882" s="95" t="s">
        <v>359</v>
      </c>
      <c r="R2882" s="97" t="str">
        <f t="shared" si="104"/>
        <v/>
      </c>
      <c r="S2882" s="75" t="str">
        <f t="shared" si="105"/>
        <v/>
      </c>
    </row>
    <row r="2883" spans="1:19" x14ac:dyDescent="0.25">
      <c r="A2883" s="6" t="s">
        <v>25</v>
      </c>
      <c r="B2883" s="94" t="s">
        <v>8598</v>
      </c>
      <c r="C2883" s="6" t="s">
        <v>8599</v>
      </c>
      <c r="D2883" s="140">
        <v>11339488</v>
      </c>
      <c r="E2883" s="6" t="s">
        <v>88</v>
      </c>
      <c r="F2883" s="10" t="s">
        <v>205</v>
      </c>
      <c r="G2883" s="6" t="s">
        <v>8600</v>
      </c>
      <c r="H2883" s="8">
        <v>45741</v>
      </c>
      <c r="L2883" s="95" t="s">
        <v>359</v>
      </c>
      <c r="R2883" s="97" t="str">
        <f t="shared" si="104"/>
        <v/>
      </c>
      <c r="S2883" s="75" t="str">
        <f t="shared" si="105"/>
        <v/>
      </c>
    </row>
    <row r="2884" spans="1:19" x14ac:dyDescent="0.25">
      <c r="A2884" s="6" t="s">
        <v>25</v>
      </c>
      <c r="B2884" s="94" t="s">
        <v>8601</v>
      </c>
      <c r="C2884" s="6" t="s">
        <v>8602</v>
      </c>
      <c r="D2884" s="140">
        <v>11059193</v>
      </c>
      <c r="E2884" s="6" t="s">
        <v>1474</v>
      </c>
      <c r="F2884" s="10" t="s">
        <v>277</v>
      </c>
      <c r="G2884" s="6" t="s">
        <v>8603</v>
      </c>
      <c r="H2884" s="8">
        <v>46296</v>
      </c>
      <c r="L2884" s="95" t="s">
        <v>359</v>
      </c>
      <c r="R2884" s="97" t="str">
        <f t="shared" si="104"/>
        <v/>
      </c>
      <c r="S2884" s="75" t="str">
        <f t="shared" si="105"/>
        <v/>
      </c>
    </row>
    <row r="2885" spans="1:19" x14ac:dyDescent="0.25">
      <c r="A2885" s="6" t="s">
        <v>25</v>
      </c>
      <c r="B2885" s="94" t="s">
        <v>7727</v>
      </c>
      <c r="C2885" s="6" t="s">
        <v>8604</v>
      </c>
      <c r="D2885" s="140">
        <v>11337498</v>
      </c>
      <c r="E2885" s="6" t="s">
        <v>204</v>
      </c>
      <c r="F2885" s="10" t="s">
        <v>363</v>
      </c>
      <c r="G2885" s="6">
        <v>1476757</v>
      </c>
      <c r="H2885" s="8">
        <v>45788</v>
      </c>
      <c r="L2885" s="95" t="s">
        <v>359</v>
      </c>
      <c r="R2885" s="97" t="str">
        <f t="shared" si="104"/>
        <v/>
      </c>
      <c r="S2885" s="75" t="str">
        <f t="shared" si="105"/>
        <v/>
      </c>
    </row>
    <row r="2886" spans="1:19" x14ac:dyDescent="0.25">
      <c r="A2886" s="6" t="s">
        <v>25</v>
      </c>
      <c r="B2886" s="94" t="s">
        <v>8605</v>
      </c>
      <c r="C2886" s="6" t="s">
        <v>8606</v>
      </c>
      <c r="D2886" s="140">
        <v>11945215</v>
      </c>
      <c r="E2886" s="6" t="s">
        <v>1018</v>
      </c>
      <c r="F2886" s="10" t="s">
        <v>1384</v>
      </c>
      <c r="G2886" s="6" t="s">
        <v>8607</v>
      </c>
      <c r="H2886" s="8">
        <v>47259</v>
      </c>
      <c r="L2886" s="95" t="s">
        <v>359</v>
      </c>
      <c r="R2886" s="97" t="str">
        <f t="shared" si="104"/>
        <v/>
      </c>
      <c r="S2886" s="75" t="str">
        <f t="shared" si="105"/>
        <v/>
      </c>
    </row>
    <row r="2887" spans="1:19" x14ac:dyDescent="0.25">
      <c r="A2887" s="6" t="s">
        <v>25</v>
      </c>
      <c r="B2887" s="94" t="s">
        <v>8608</v>
      </c>
      <c r="C2887" s="6" t="s">
        <v>8609</v>
      </c>
      <c r="D2887" s="140">
        <v>12128403</v>
      </c>
      <c r="E2887" s="6" t="s">
        <v>382</v>
      </c>
      <c r="F2887" s="10" t="s">
        <v>139</v>
      </c>
      <c r="G2887" s="6" t="s">
        <v>8610</v>
      </c>
      <c r="H2887" s="8">
        <v>45525</v>
      </c>
      <c r="L2887" s="95" t="s">
        <v>359</v>
      </c>
      <c r="R2887" s="97" t="str">
        <f t="shared" si="104"/>
        <v/>
      </c>
      <c r="S2887" s="75" t="str">
        <f t="shared" si="105"/>
        <v/>
      </c>
    </row>
    <row r="2888" spans="1:19" x14ac:dyDescent="0.25">
      <c r="A2888" s="6" t="s">
        <v>25</v>
      </c>
      <c r="B2888" s="94" t="s">
        <v>4525</v>
      </c>
      <c r="C2888" s="6" t="s">
        <v>8611</v>
      </c>
      <c r="D2888" s="140">
        <v>12132229</v>
      </c>
      <c r="E2888" s="6" t="s">
        <v>1018</v>
      </c>
      <c r="F2888" s="10" t="s">
        <v>44</v>
      </c>
      <c r="G2888" s="6" t="s">
        <v>8612</v>
      </c>
      <c r="H2888" s="8">
        <v>45922</v>
      </c>
      <c r="L2888" s="95" t="s">
        <v>359</v>
      </c>
      <c r="R2888" s="97" t="str">
        <f t="shared" si="104"/>
        <v/>
      </c>
      <c r="S2888" s="75" t="str">
        <f t="shared" si="105"/>
        <v/>
      </c>
    </row>
    <row r="2889" spans="1:19" x14ac:dyDescent="0.25">
      <c r="A2889" s="6" t="s">
        <v>25</v>
      </c>
      <c r="B2889" s="94" t="s">
        <v>178</v>
      </c>
      <c r="C2889" s="6" t="s">
        <v>8613</v>
      </c>
      <c r="D2889" s="140">
        <v>12142878</v>
      </c>
      <c r="E2889" s="6" t="s">
        <v>570</v>
      </c>
      <c r="F2889" s="10" t="s">
        <v>139</v>
      </c>
      <c r="G2889" s="6" t="s">
        <v>8614</v>
      </c>
      <c r="H2889" s="8">
        <v>47921</v>
      </c>
      <c r="L2889" s="95" t="s">
        <v>359</v>
      </c>
      <c r="R2889" s="97" t="str">
        <f t="shared" si="104"/>
        <v/>
      </c>
      <c r="S2889" s="75" t="str">
        <f t="shared" si="105"/>
        <v/>
      </c>
    </row>
    <row r="2890" spans="1:19" x14ac:dyDescent="0.25">
      <c r="A2890" s="6" t="s">
        <v>25</v>
      </c>
      <c r="B2890" s="94" t="s">
        <v>2428</v>
      </c>
      <c r="C2890" s="6" t="s">
        <v>8615</v>
      </c>
      <c r="D2890" s="140">
        <v>11991591</v>
      </c>
      <c r="E2890" s="6" t="s">
        <v>204</v>
      </c>
      <c r="F2890" s="10" t="s">
        <v>293</v>
      </c>
      <c r="G2890" s="6">
        <v>158359</v>
      </c>
      <c r="H2890" s="8">
        <v>46276</v>
      </c>
      <c r="L2890" s="95" t="s">
        <v>359</v>
      </c>
      <c r="R2890" s="97" t="str">
        <f t="shared" si="104"/>
        <v/>
      </c>
      <c r="S2890" s="75" t="str">
        <f t="shared" si="105"/>
        <v/>
      </c>
    </row>
    <row r="2891" spans="1:19" x14ac:dyDescent="0.25">
      <c r="A2891" s="6" t="s">
        <v>25</v>
      </c>
      <c r="B2891" s="94" t="s">
        <v>531</v>
      </c>
      <c r="C2891" s="6" t="s">
        <v>8616</v>
      </c>
      <c r="D2891" s="140">
        <v>11301988</v>
      </c>
      <c r="E2891" s="6" t="s">
        <v>480</v>
      </c>
      <c r="F2891" s="10" t="s">
        <v>134</v>
      </c>
      <c r="G2891" s="6" t="s">
        <v>8617</v>
      </c>
      <c r="H2891" s="8">
        <v>45962</v>
      </c>
      <c r="L2891" s="95" t="s">
        <v>359</v>
      </c>
      <c r="R2891" s="97" t="str">
        <f t="shared" si="104"/>
        <v/>
      </c>
      <c r="S2891" s="75" t="str">
        <f t="shared" si="105"/>
        <v/>
      </c>
    </row>
    <row r="2892" spans="1:19" x14ac:dyDescent="0.25">
      <c r="A2892" s="6" t="s">
        <v>168</v>
      </c>
      <c r="B2892" s="94" t="s">
        <v>8618</v>
      </c>
      <c r="C2892" s="6" t="s">
        <v>8619</v>
      </c>
      <c r="D2892" s="140">
        <v>11564571</v>
      </c>
      <c r="E2892" s="6" t="s">
        <v>527</v>
      </c>
      <c r="F2892" s="10" t="s">
        <v>29</v>
      </c>
      <c r="G2892" s="6" t="s">
        <v>8620</v>
      </c>
      <c r="H2892" s="8">
        <v>51540</v>
      </c>
      <c r="L2892" s="95" t="s">
        <v>359</v>
      </c>
      <c r="R2892" s="97" t="str">
        <f t="shared" si="104"/>
        <v/>
      </c>
      <c r="S2892" s="75" t="str">
        <f t="shared" si="105"/>
        <v/>
      </c>
    </row>
    <row r="2893" spans="1:19" x14ac:dyDescent="0.25">
      <c r="A2893" s="6" t="s">
        <v>25</v>
      </c>
      <c r="B2893" s="94" t="s">
        <v>470</v>
      </c>
      <c r="C2893" s="6" t="s">
        <v>8621</v>
      </c>
      <c r="D2893" s="140">
        <v>11584712</v>
      </c>
      <c r="E2893" s="6" t="s">
        <v>298</v>
      </c>
      <c r="F2893" s="10" t="s">
        <v>205</v>
      </c>
      <c r="G2893" s="6" t="s">
        <v>8622</v>
      </c>
      <c r="H2893" s="8">
        <v>45524</v>
      </c>
      <c r="L2893" s="95" t="s">
        <v>359</v>
      </c>
      <c r="R2893" s="97" t="str">
        <f t="shared" si="104"/>
        <v/>
      </c>
      <c r="S2893" s="75" t="str">
        <f t="shared" si="105"/>
        <v/>
      </c>
    </row>
    <row r="2894" spans="1:19" x14ac:dyDescent="0.25">
      <c r="A2894" s="6" t="s">
        <v>25</v>
      </c>
      <c r="B2894" s="94" t="s">
        <v>8623</v>
      </c>
      <c r="C2894" s="6" t="s">
        <v>8624</v>
      </c>
      <c r="D2894" s="140">
        <v>11243856</v>
      </c>
      <c r="E2894" s="6" t="s">
        <v>962</v>
      </c>
      <c r="F2894" s="10" t="s">
        <v>44</v>
      </c>
      <c r="G2894" s="6" t="s">
        <v>8625</v>
      </c>
      <c r="H2894" s="8">
        <v>75660</v>
      </c>
      <c r="L2894" s="95" t="s">
        <v>359</v>
      </c>
      <c r="R2894" s="97" t="str">
        <f t="shared" si="104"/>
        <v/>
      </c>
      <c r="S2894" s="75" t="str">
        <f t="shared" si="105"/>
        <v/>
      </c>
    </row>
    <row r="2895" spans="1:19" x14ac:dyDescent="0.25">
      <c r="A2895" s="6" t="s">
        <v>25</v>
      </c>
      <c r="B2895" s="94" t="s">
        <v>3629</v>
      </c>
      <c r="C2895" s="6" t="s">
        <v>8626</v>
      </c>
      <c r="D2895" s="140">
        <v>11876048</v>
      </c>
      <c r="E2895" s="6" t="s">
        <v>559</v>
      </c>
      <c r="F2895" s="10" t="s">
        <v>44</v>
      </c>
      <c r="G2895" s="6" t="s">
        <v>8627</v>
      </c>
      <c r="H2895" s="8">
        <v>46894</v>
      </c>
      <c r="L2895" s="95" t="s">
        <v>359</v>
      </c>
      <c r="R2895" s="97" t="str">
        <f t="shared" si="104"/>
        <v/>
      </c>
      <c r="S2895" s="75" t="str">
        <f t="shared" si="105"/>
        <v/>
      </c>
    </row>
    <row r="2896" spans="1:19" x14ac:dyDescent="0.25">
      <c r="A2896" s="6" t="s">
        <v>25</v>
      </c>
      <c r="B2896" s="94" t="s">
        <v>1382</v>
      </c>
      <c r="C2896" s="6" t="s">
        <v>8628</v>
      </c>
      <c r="D2896" s="140">
        <v>11649339</v>
      </c>
      <c r="E2896" s="6" t="s">
        <v>615</v>
      </c>
      <c r="F2896" s="10" t="s">
        <v>176</v>
      </c>
      <c r="G2896" s="6">
        <v>2014038903</v>
      </c>
      <c r="H2896" s="8">
        <v>46695</v>
      </c>
      <c r="L2896" s="95" t="s">
        <v>359</v>
      </c>
      <c r="R2896" s="97" t="str">
        <f t="shared" si="104"/>
        <v/>
      </c>
      <c r="S2896" s="75" t="str">
        <f t="shared" si="105"/>
        <v/>
      </c>
    </row>
    <row r="2897" spans="1:24" x14ac:dyDescent="0.25">
      <c r="A2897" s="6" t="s">
        <v>25</v>
      </c>
      <c r="B2897" s="94" t="s">
        <v>8629</v>
      </c>
      <c r="C2897" s="6" t="s">
        <v>8630</v>
      </c>
      <c r="D2897" s="140">
        <v>11638387</v>
      </c>
      <c r="E2897" s="6" t="s">
        <v>881</v>
      </c>
      <c r="F2897" s="10" t="s">
        <v>143</v>
      </c>
      <c r="G2897" s="6" t="s">
        <v>8631</v>
      </c>
      <c r="H2897" s="8">
        <v>48371</v>
      </c>
      <c r="L2897" s="95" t="s">
        <v>359</v>
      </c>
      <c r="R2897" s="97" t="str">
        <f t="shared" si="104"/>
        <v/>
      </c>
      <c r="S2897" s="75" t="str">
        <f t="shared" si="105"/>
        <v/>
      </c>
    </row>
    <row r="2898" spans="1:24" x14ac:dyDescent="0.25">
      <c r="A2898" s="6" t="s">
        <v>168</v>
      </c>
      <c r="B2898" s="94" t="s">
        <v>282</v>
      </c>
      <c r="C2898" s="6" t="s">
        <v>8632</v>
      </c>
      <c r="D2898" s="140">
        <v>11554064</v>
      </c>
      <c r="E2898" s="6" t="s">
        <v>2850</v>
      </c>
      <c r="F2898" s="10" t="s">
        <v>205</v>
      </c>
      <c r="G2898" s="6" t="s">
        <v>8633</v>
      </c>
      <c r="H2898" s="8">
        <v>57781</v>
      </c>
      <c r="I2898" s="8">
        <v>45055</v>
      </c>
      <c r="J2898" s="8">
        <v>45055</v>
      </c>
      <c r="L2898" s="95" t="s">
        <v>31</v>
      </c>
      <c r="M2898" s="8">
        <v>45091</v>
      </c>
      <c r="P2898" s="6" t="s">
        <v>628</v>
      </c>
      <c r="R2898" s="97" t="str">
        <f t="shared" si="104"/>
        <v/>
      </c>
      <c r="S2898" s="75" t="str">
        <f t="shared" si="105"/>
        <v/>
      </c>
      <c r="T2898" s="124" t="s">
        <v>8634</v>
      </c>
      <c r="W2898" s="6" t="s">
        <v>84</v>
      </c>
      <c r="X2898" s="7">
        <v>46193</v>
      </c>
    </row>
    <row r="2899" spans="1:24" x14ac:dyDescent="0.25">
      <c r="A2899" s="6" t="s">
        <v>168</v>
      </c>
      <c r="B2899" s="94" t="s">
        <v>2179</v>
      </c>
      <c r="C2899" s="6" t="s">
        <v>8635</v>
      </c>
      <c r="D2899" s="140">
        <v>11589564</v>
      </c>
      <c r="E2899" s="6" t="s">
        <v>1927</v>
      </c>
      <c r="F2899" s="10" t="s">
        <v>121</v>
      </c>
      <c r="G2899" s="6" t="s">
        <v>8636</v>
      </c>
      <c r="H2899" s="8">
        <v>49215</v>
      </c>
      <c r="L2899" s="95" t="s">
        <v>31</v>
      </c>
      <c r="M2899" s="8">
        <v>45027</v>
      </c>
      <c r="R2899" s="97" t="str">
        <f t="shared" si="104"/>
        <v/>
      </c>
      <c r="S2899" s="75" t="str">
        <f t="shared" si="105"/>
        <v/>
      </c>
      <c r="W2899" s="6" t="s">
        <v>33</v>
      </c>
      <c r="X2899" s="7">
        <v>46512</v>
      </c>
    </row>
    <row r="2900" spans="1:24" x14ac:dyDescent="0.25">
      <c r="A2900" s="6" t="s">
        <v>168</v>
      </c>
      <c r="B2900" s="94" t="s">
        <v>2226</v>
      </c>
      <c r="C2900" s="6" t="s">
        <v>8637</v>
      </c>
      <c r="D2900" s="140">
        <v>11137491</v>
      </c>
      <c r="E2900" s="6" t="s">
        <v>962</v>
      </c>
      <c r="F2900" s="10" t="s">
        <v>44</v>
      </c>
      <c r="G2900" s="6" t="s">
        <v>8638</v>
      </c>
      <c r="H2900" s="8">
        <v>100646</v>
      </c>
      <c r="L2900" s="95" t="s">
        <v>31</v>
      </c>
      <c r="M2900" s="8">
        <v>45042</v>
      </c>
      <c r="N2900" s="8">
        <v>45124</v>
      </c>
      <c r="O2900" s="8">
        <v>45117</v>
      </c>
      <c r="P2900" s="6" t="s">
        <v>35</v>
      </c>
      <c r="Q2900" s="96">
        <v>22630</v>
      </c>
      <c r="R2900" s="97">
        <f t="shared" si="104"/>
        <v>62</v>
      </c>
      <c r="S2900" s="75">
        <f t="shared" si="105"/>
        <v>512058</v>
      </c>
      <c r="U2900" s="8">
        <v>45126</v>
      </c>
      <c r="W2900" s="6" t="s">
        <v>84</v>
      </c>
      <c r="X2900" s="7">
        <v>45766</v>
      </c>
    </row>
    <row r="2901" spans="1:24" x14ac:dyDescent="0.25">
      <c r="A2901" s="6" t="s">
        <v>25</v>
      </c>
      <c r="B2901" s="94" t="s">
        <v>197</v>
      </c>
      <c r="C2901" s="6" t="s">
        <v>8639</v>
      </c>
      <c r="D2901" s="140">
        <v>11054580</v>
      </c>
      <c r="E2901" s="6" t="s">
        <v>4266</v>
      </c>
      <c r="F2901" s="10" t="s">
        <v>148</v>
      </c>
      <c r="G2901" s="6" t="s">
        <v>8640</v>
      </c>
      <c r="H2901" s="8">
        <v>51413</v>
      </c>
      <c r="L2901" s="95" t="s">
        <v>31</v>
      </c>
      <c r="M2901" s="8">
        <v>45042</v>
      </c>
      <c r="P2901" s="6" t="s">
        <v>628</v>
      </c>
      <c r="R2901" s="97" t="str">
        <f t="shared" si="104"/>
        <v/>
      </c>
      <c r="S2901" s="75" t="str">
        <f t="shared" si="105"/>
        <v/>
      </c>
      <c r="T2901" s="124" t="s">
        <v>8641</v>
      </c>
      <c r="W2901" s="6" t="s">
        <v>84</v>
      </c>
      <c r="X2901" s="7">
        <v>51413</v>
      </c>
    </row>
    <row r="2902" spans="1:24" x14ac:dyDescent="0.25">
      <c r="A2902" s="6" t="s">
        <v>168</v>
      </c>
      <c r="B2902" s="94" t="s">
        <v>7824</v>
      </c>
      <c r="C2902" s="6" t="s">
        <v>7825</v>
      </c>
      <c r="D2902" s="140">
        <v>11149792</v>
      </c>
      <c r="E2902" s="6" t="s">
        <v>2850</v>
      </c>
      <c r="F2902" s="10" t="s">
        <v>44</v>
      </c>
      <c r="G2902" s="6" t="s">
        <v>7826</v>
      </c>
      <c r="H2902" s="8">
        <v>53646</v>
      </c>
      <c r="I2902" s="8">
        <v>45042</v>
      </c>
      <c r="J2902" s="8">
        <v>45042</v>
      </c>
      <c r="L2902" s="95" t="s">
        <v>31</v>
      </c>
      <c r="M2902" s="8">
        <v>45042</v>
      </c>
      <c r="N2902" s="8">
        <v>45149</v>
      </c>
      <c r="O2902" s="8">
        <v>45135</v>
      </c>
      <c r="P2902" s="6" t="s">
        <v>90</v>
      </c>
      <c r="Q2902" s="96">
        <v>17155</v>
      </c>
      <c r="R2902" s="97">
        <f t="shared" si="104"/>
        <v>47</v>
      </c>
      <c r="S2902" s="75">
        <f t="shared" si="105"/>
        <v>388173</v>
      </c>
      <c r="U2902" s="8">
        <v>45337</v>
      </c>
      <c r="V2902" s="6" t="s">
        <v>36</v>
      </c>
      <c r="W2902" s="6" t="s">
        <v>84</v>
      </c>
      <c r="X2902" s="7">
        <v>45400</v>
      </c>
    </row>
    <row r="2903" spans="1:24" x14ac:dyDescent="0.25">
      <c r="A2903" s="6" t="s">
        <v>25</v>
      </c>
      <c r="B2903" s="94" t="s">
        <v>1585</v>
      </c>
      <c r="C2903" s="6" t="s">
        <v>8642</v>
      </c>
      <c r="D2903" s="140">
        <v>11516221</v>
      </c>
      <c r="E2903" s="6" t="s">
        <v>881</v>
      </c>
      <c r="F2903" s="10" t="s">
        <v>134</v>
      </c>
      <c r="G2903" s="6" t="s">
        <v>8643</v>
      </c>
      <c r="H2903" s="8">
        <v>59366</v>
      </c>
      <c r="L2903" s="95" t="s">
        <v>359</v>
      </c>
      <c r="R2903" s="97" t="str">
        <f t="shared" si="104"/>
        <v/>
      </c>
      <c r="S2903" s="75" t="str">
        <f t="shared" si="105"/>
        <v/>
      </c>
    </row>
    <row r="2904" spans="1:24" x14ac:dyDescent="0.25">
      <c r="A2904" s="6" t="s">
        <v>25</v>
      </c>
      <c r="B2904" s="94" t="s">
        <v>2971</v>
      </c>
      <c r="C2904" s="6" t="s">
        <v>8644</v>
      </c>
      <c r="D2904" s="140">
        <v>11432650</v>
      </c>
      <c r="E2904" s="6" t="s">
        <v>826</v>
      </c>
      <c r="F2904" s="10" t="s">
        <v>57</v>
      </c>
      <c r="G2904" s="6" t="s">
        <v>8645</v>
      </c>
      <c r="H2904" s="8">
        <v>67681</v>
      </c>
      <c r="L2904" s="95" t="s">
        <v>359</v>
      </c>
      <c r="R2904" s="97" t="str">
        <f t="shared" si="104"/>
        <v/>
      </c>
      <c r="S2904" s="75" t="str">
        <f t="shared" si="105"/>
        <v/>
      </c>
      <c r="X2904" s="10" t="s">
        <v>8646</v>
      </c>
    </row>
    <row r="2905" spans="1:24" x14ac:dyDescent="0.25">
      <c r="A2905" s="6" t="s">
        <v>25</v>
      </c>
      <c r="B2905" s="94" t="s">
        <v>1552</v>
      </c>
      <c r="C2905" s="6" t="s">
        <v>8647</v>
      </c>
      <c r="D2905" s="140">
        <v>11085033</v>
      </c>
      <c r="E2905" s="6" t="s">
        <v>8648</v>
      </c>
      <c r="F2905" s="10" t="s">
        <v>363</v>
      </c>
      <c r="G2905" s="6">
        <v>1067805</v>
      </c>
      <c r="H2905" s="8">
        <v>49055</v>
      </c>
      <c r="L2905" s="95" t="s">
        <v>359</v>
      </c>
      <c r="R2905" s="97" t="str">
        <f t="shared" si="104"/>
        <v/>
      </c>
      <c r="S2905" s="75" t="str">
        <f t="shared" si="105"/>
        <v/>
      </c>
    </row>
    <row r="2906" spans="1:24" x14ac:dyDescent="0.25">
      <c r="A2906" s="6" t="s">
        <v>25</v>
      </c>
      <c r="B2906" s="94" t="s">
        <v>3352</v>
      </c>
      <c r="C2906" s="6" t="s">
        <v>8649</v>
      </c>
      <c r="D2906" s="140">
        <v>11158090</v>
      </c>
      <c r="E2906" s="6" t="s">
        <v>446</v>
      </c>
      <c r="F2906" s="10" t="s">
        <v>29</v>
      </c>
      <c r="G2906" s="6" t="s">
        <v>8650</v>
      </c>
      <c r="H2906" s="8">
        <v>49850</v>
      </c>
      <c r="L2906" s="95" t="s">
        <v>359</v>
      </c>
      <c r="R2906" s="97" t="str">
        <f t="shared" si="104"/>
        <v/>
      </c>
      <c r="S2906" s="75" t="str">
        <f t="shared" si="105"/>
        <v/>
      </c>
    </row>
    <row r="2907" spans="1:24" x14ac:dyDescent="0.25">
      <c r="A2907" s="6" t="s">
        <v>25</v>
      </c>
      <c r="B2907" s="94" t="s">
        <v>8651</v>
      </c>
      <c r="C2907" s="6" t="s">
        <v>8652</v>
      </c>
      <c r="D2907" s="140">
        <v>11630614</v>
      </c>
      <c r="E2907" s="6" t="s">
        <v>8653</v>
      </c>
      <c r="F2907" s="10" t="s">
        <v>44</v>
      </c>
      <c r="G2907" s="6" t="s">
        <v>8654</v>
      </c>
      <c r="H2907" s="8">
        <v>48708</v>
      </c>
      <c r="L2907" s="95" t="s">
        <v>359</v>
      </c>
      <c r="R2907" s="97" t="str">
        <f t="shared" si="104"/>
        <v/>
      </c>
      <c r="S2907" s="75" t="str">
        <f t="shared" si="105"/>
        <v/>
      </c>
    </row>
    <row r="2908" spans="1:24" x14ac:dyDescent="0.25">
      <c r="A2908" s="6" t="s">
        <v>25</v>
      </c>
      <c r="B2908" s="94" t="s">
        <v>8655</v>
      </c>
      <c r="C2908" s="6" t="s">
        <v>8656</v>
      </c>
      <c r="D2908" s="140">
        <v>11981204</v>
      </c>
      <c r="E2908" s="6" t="s">
        <v>527</v>
      </c>
      <c r="F2908" s="10" t="s">
        <v>44</v>
      </c>
      <c r="G2908" s="6" t="s">
        <v>8657</v>
      </c>
      <c r="H2908" s="8">
        <v>46585</v>
      </c>
      <c r="L2908" s="95" t="s">
        <v>359</v>
      </c>
      <c r="R2908" s="97" t="str">
        <f t="shared" si="104"/>
        <v/>
      </c>
      <c r="S2908" s="75" t="str">
        <f t="shared" si="105"/>
        <v/>
      </c>
    </row>
    <row r="2909" spans="1:24" x14ac:dyDescent="0.25">
      <c r="A2909" s="6" t="s">
        <v>25</v>
      </c>
      <c r="B2909" s="94" t="s">
        <v>8658</v>
      </c>
      <c r="C2909" s="6" t="s">
        <v>8659</v>
      </c>
      <c r="D2909" s="140">
        <v>11752576</v>
      </c>
      <c r="E2909" s="6" t="s">
        <v>446</v>
      </c>
      <c r="F2909" s="10" t="s">
        <v>44</v>
      </c>
      <c r="G2909" s="6" t="s">
        <v>8660</v>
      </c>
      <c r="H2909" s="8">
        <v>47564</v>
      </c>
      <c r="I2909" s="8">
        <v>44922</v>
      </c>
      <c r="J2909" s="8">
        <v>44922</v>
      </c>
      <c r="L2909" s="95" t="s">
        <v>31</v>
      </c>
      <c r="M2909" s="8">
        <v>44929</v>
      </c>
      <c r="P2909" s="6" t="s">
        <v>628</v>
      </c>
      <c r="R2909" s="97" t="str">
        <f t="shared" si="104"/>
        <v/>
      </c>
      <c r="S2909" s="75" t="str">
        <f t="shared" si="105"/>
        <v/>
      </c>
      <c r="T2909" s="124" t="s">
        <v>8661</v>
      </c>
      <c r="W2909" s="6" t="s">
        <v>84</v>
      </c>
      <c r="X2909" s="7">
        <v>47564</v>
      </c>
    </row>
    <row r="2910" spans="1:24" x14ac:dyDescent="0.25">
      <c r="A2910" s="6" t="s">
        <v>25</v>
      </c>
      <c r="B2910" s="94" t="s">
        <v>8662</v>
      </c>
      <c r="C2910" s="6" t="s">
        <v>8663</v>
      </c>
      <c r="D2910" s="140">
        <v>11123043</v>
      </c>
      <c r="E2910" s="6" t="s">
        <v>1200</v>
      </c>
      <c r="F2910" s="10" t="s">
        <v>62</v>
      </c>
      <c r="G2910" s="6" t="s">
        <v>8664</v>
      </c>
      <c r="H2910" s="8">
        <v>50599</v>
      </c>
      <c r="L2910" s="95" t="s">
        <v>359</v>
      </c>
      <c r="R2910" s="97" t="str">
        <f t="shared" si="104"/>
        <v/>
      </c>
      <c r="S2910" s="75" t="str">
        <f t="shared" si="105"/>
        <v/>
      </c>
    </row>
    <row r="2911" spans="1:24" x14ac:dyDescent="0.25">
      <c r="A2911" s="6" t="s">
        <v>25</v>
      </c>
      <c r="B2911" s="94" t="s">
        <v>8665</v>
      </c>
      <c r="C2911" s="6" t="s">
        <v>8666</v>
      </c>
      <c r="D2911" s="140">
        <v>11886946</v>
      </c>
      <c r="E2911" s="6" t="s">
        <v>247</v>
      </c>
      <c r="F2911" s="10" t="s">
        <v>44</v>
      </c>
      <c r="G2911" s="6" t="s">
        <v>8667</v>
      </c>
      <c r="H2911" s="8">
        <v>46258</v>
      </c>
      <c r="L2911" s="95" t="s">
        <v>359</v>
      </c>
      <c r="R2911" s="97" t="str">
        <f t="shared" si="104"/>
        <v/>
      </c>
      <c r="S2911" s="75" t="str">
        <f t="shared" si="105"/>
        <v/>
      </c>
    </row>
    <row r="2912" spans="1:24" x14ac:dyDescent="0.25">
      <c r="A2912" s="6" t="s">
        <v>25</v>
      </c>
      <c r="B2912" s="94" t="s">
        <v>1110</v>
      </c>
      <c r="C2912" s="6" t="s">
        <v>8668</v>
      </c>
      <c r="D2912" s="140">
        <v>11919778</v>
      </c>
      <c r="E2912" s="6" t="s">
        <v>714</v>
      </c>
      <c r="F2912" s="10" t="s">
        <v>44</v>
      </c>
      <c r="G2912" s="6" t="s">
        <v>8669</v>
      </c>
      <c r="H2912" s="8">
        <v>45781</v>
      </c>
      <c r="L2912" s="95" t="s">
        <v>359</v>
      </c>
      <c r="R2912" s="97" t="str">
        <f t="shared" si="104"/>
        <v/>
      </c>
      <c r="S2912" s="75" t="str">
        <f t="shared" si="105"/>
        <v/>
      </c>
    </row>
    <row r="2913" spans="1:24" x14ac:dyDescent="0.25">
      <c r="A2913" s="6" t="s">
        <v>168</v>
      </c>
      <c r="B2913" s="94" t="s">
        <v>1853</v>
      </c>
      <c r="C2913" s="6" t="s">
        <v>3237</v>
      </c>
      <c r="D2913" s="140">
        <v>11011542</v>
      </c>
      <c r="E2913" s="6" t="s">
        <v>386</v>
      </c>
      <c r="F2913" s="10" t="s">
        <v>309</v>
      </c>
      <c r="G2913" s="6" t="s">
        <v>3238</v>
      </c>
      <c r="H2913" s="8">
        <v>49713</v>
      </c>
      <c r="L2913" s="95" t="s">
        <v>359</v>
      </c>
      <c r="R2913" s="97" t="str">
        <f t="shared" si="104"/>
        <v/>
      </c>
      <c r="S2913" s="75" t="str">
        <f t="shared" si="105"/>
        <v/>
      </c>
    </row>
    <row r="2914" spans="1:24" x14ac:dyDescent="0.25">
      <c r="A2914" s="6" t="s">
        <v>25</v>
      </c>
      <c r="B2914" s="94" t="s">
        <v>8670</v>
      </c>
      <c r="C2914" s="6" t="s">
        <v>8671</v>
      </c>
      <c r="D2914" s="140">
        <v>12131477</v>
      </c>
      <c r="E2914" s="6" t="s">
        <v>382</v>
      </c>
      <c r="F2914" s="10" t="s">
        <v>139</v>
      </c>
      <c r="G2914" s="6" t="s">
        <v>8672</v>
      </c>
      <c r="H2914" s="8">
        <v>47162</v>
      </c>
      <c r="L2914" s="95" t="s">
        <v>359</v>
      </c>
      <c r="R2914" s="97" t="str">
        <f t="shared" si="104"/>
        <v/>
      </c>
      <c r="S2914" s="75" t="str">
        <f t="shared" si="105"/>
        <v/>
      </c>
    </row>
    <row r="2915" spans="1:24" x14ac:dyDescent="0.25">
      <c r="A2915" s="6" t="s">
        <v>25</v>
      </c>
      <c r="B2915" s="94" t="s">
        <v>6043</v>
      </c>
      <c r="C2915" s="6" t="s">
        <v>8673</v>
      </c>
      <c r="D2915" s="140">
        <v>12112037</v>
      </c>
      <c r="E2915" s="6" t="s">
        <v>714</v>
      </c>
      <c r="F2915" s="10" t="s">
        <v>29</v>
      </c>
      <c r="G2915" s="6" t="s">
        <v>8674</v>
      </c>
      <c r="H2915" s="8">
        <v>48900</v>
      </c>
      <c r="L2915" s="95" t="s">
        <v>359</v>
      </c>
      <c r="R2915" s="97" t="str">
        <f t="shared" ref="R2915:R2978" si="106">IF(Q2915&gt;0, Q2915/365, "")</f>
        <v/>
      </c>
      <c r="S2915" s="75" t="str">
        <f t="shared" ref="S2915:S2978" si="107">IF(Q2915&gt;0, SUM(Q2915)*(8259/365), "")</f>
        <v/>
      </c>
    </row>
    <row r="2916" spans="1:24" x14ac:dyDescent="0.25">
      <c r="A2916" s="6" t="s">
        <v>25</v>
      </c>
      <c r="B2916" s="94" t="s">
        <v>8675</v>
      </c>
      <c r="C2916" s="6" t="s">
        <v>8676</v>
      </c>
      <c r="D2916" s="140">
        <v>11652804</v>
      </c>
      <c r="E2916" s="6" t="s">
        <v>881</v>
      </c>
      <c r="F2916" s="10" t="s">
        <v>44</v>
      </c>
      <c r="G2916" s="6" t="s">
        <v>8677</v>
      </c>
      <c r="H2916" s="8">
        <v>51712</v>
      </c>
      <c r="L2916" s="95" t="s">
        <v>359</v>
      </c>
      <c r="R2916" s="97" t="str">
        <f t="shared" si="106"/>
        <v/>
      </c>
      <c r="S2916" s="75" t="str">
        <f t="shared" si="107"/>
        <v/>
      </c>
    </row>
    <row r="2917" spans="1:24" x14ac:dyDescent="0.25">
      <c r="A2917" s="6" t="s">
        <v>25</v>
      </c>
      <c r="B2917" s="94" t="s">
        <v>2137</v>
      </c>
      <c r="C2917" s="6" t="s">
        <v>8678</v>
      </c>
      <c r="D2917" s="140">
        <v>11855735</v>
      </c>
      <c r="E2917" s="6" t="s">
        <v>382</v>
      </c>
      <c r="F2917" s="10" t="s">
        <v>528</v>
      </c>
      <c r="G2917" s="6" t="s">
        <v>8679</v>
      </c>
      <c r="H2917" s="8">
        <v>46597</v>
      </c>
      <c r="L2917" s="95" t="s">
        <v>359</v>
      </c>
      <c r="R2917" s="97" t="str">
        <f t="shared" si="106"/>
        <v/>
      </c>
      <c r="S2917" s="75" t="str">
        <f t="shared" si="107"/>
        <v/>
      </c>
    </row>
    <row r="2918" spans="1:24" x14ac:dyDescent="0.25">
      <c r="A2918" s="6" t="s">
        <v>25</v>
      </c>
      <c r="B2918" s="94" t="s">
        <v>2226</v>
      </c>
      <c r="C2918" s="6" t="s">
        <v>8680</v>
      </c>
      <c r="D2918" s="140">
        <v>11360055</v>
      </c>
      <c r="E2918" s="6" t="s">
        <v>8681</v>
      </c>
      <c r="F2918" s="10" t="s">
        <v>57</v>
      </c>
      <c r="G2918" s="6" t="s">
        <v>8682</v>
      </c>
      <c r="H2918" s="8">
        <v>46442</v>
      </c>
      <c r="L2918" s="95" t="s">
        <v>359</v>
      </c>
      <c r="R2918" s="97" t="str">
        <f t="shared" si="106"/>
        <v/>
      </c>
      <c r="S2918" s="75" t="str">
        <f t="shared" si="107"/>
        <v/>
      </c>
    </row>
    <row r="2919" spans="1:24" x14ac:dyDescent="0.25">
      <c r="A2919" s="6" t="s">
        <v>25</v>
      </c>
      <c r="B2919" s="94" t="s">
        <v>8683</v>
      </c>
      <c r="C2919" s="6" t="s">
        <v>8684</v>
      </c>
      <c r="D2919" s="140">
        <v>11062645</v>
      </c>
      <c r="E2919" s="6" t="s">
        <v>588</v>
      </c>
      <c r="F2919" s="10" t="s">
        <v>29</v>
      </c>
      <c r="G2919" s="6" t="s">
        <v>8685</v>
      </c>
      <c r="H2919" s="8">
        <v>46270</v>
      </c>
      <c r="I2919" s="8">
        <v>45085</v>
      </c>
      <c r="J2919" s="8">
        <v>45085</v>
      </c>
      <c r="L2919" s="95" t="s">
        <v>31</v>
      </c>
      <c r="M2919" s="8">
        <v>45091</v>
      </c>
      <c r="R2919" s="97" t="str">
        <f t="shared" si="106"/>
        <v/>
      </c>
      <c r="S2919" s="75" t="str">
        <f t="shared" si="107"/>
        <v/>
      </c>
      <c r="W2919" s="6" t="s">
        <v>33</v>
      </c>
      <c r="X2919" s="7">
        <v>46270</v>
      </c>
    </row>
    <row r="2920" spans="1:24" x14ac:dyDescent="0.25">
      <c r="A2920" s="6" t="s">
        <v>168</v>
      </c>
      <c r="B2920" s="94" t="s">
        <v>2832</v>
      </c>
      <c r="C2920" s="6" t="s">
        <v>8686</v>
      </c>
      <c r="D2920" s="140">
        <v>11301450</v>
      </c>
      <c r="E2920" s="6" t="s">
        <v>232</v>
      </c>
      <c r="F2920" s="10" t="s">
        <v>29</v>
      </c>
      <c r="G2920" s="6" t="s">
        <v>8687</v>
      </c>
      <c r="H2920" s="8">
        <v>48663</v>
      </c>
      <c r="I2920" s="8">
        <v>45085</v>
      </c>
      <c r="J2920" s="8">
        <v>45085</v>
      </c>
      <c r="L2920" s="95" t="s">
        <v>31</v>
      </c>
      <c r="M2920" s="8">
        <v>45091</v>
      </c>
      <c r="R2920" s="97" t="str">
        <f t="shared" si="106"/>
        <v/>
      </c>
      <c r="S2920" s="75" t="str">
        <f t="shared" si="107"/>
        <v/>
      </c>
      <c r="W2920" s="6" t="s">
        <v>84</v>
      </c>
      <c r="X2920" s="7">
        <v>48254</v>
      </c>
    </row>
    <row r="2921" spans="1:24" x14ac:dyDescent="0.25">
      <c r="A2921" s="6" t="s">
        <v>25</v>
      </c>
      <c r="B2921" s="94" t="s">
        <v>3698</v>
      </c>
      <c r="C2921" s="6" t="s">
        <v>8688</v>
      </c>
      <c r="D2921" s="140">
        <v>11111906</v>
      </c>
      <c r="E2921" s="6" t="s">
        <v>1443</v>
      </c>
      <c r="F2921" s="10" t="s">
        <v>205</v>
      </c>
      <c r="G2921" s="6" t="s">
        <v>8689</v>
      </c>
      <c r="H2921" s="8" t="s">
        <v>8690</v>
      </c>
      <c r="I2921" s="8">
        <v>45085</v>
      </c>
      <c r="J2921" s="8">
        <v>45085</v>
      </c>
      <c r="L2921" s="95" t="s">
        <v>31</v>
      </c>
      <c r="M2921" s="8">
        <v>45091</v>
      </c>
      <c r="N2921" s="8">
        <v>45293</v>
      </c>
      <c r="O2921" s="8">
        <v>45282</v>
      </c>
      <c r="P2921" s="6" t="s">
        <v>90</v>
      </c>
      <c r="Q2921" s="96">
        <v>33215</v>
      </c>
      <c r="R2921" s="97">
        <f t="shared" si="106"/>
        <v>91</v>
      </c>
      <c r="S2921" s="75">
        <f t="shared" si="107"/>
        <v>751569</v>
      </c>
      <c r="T2921" s="124" t="s">
        <v>8691</v>
      </c>
      <c r="U2921" s="8">
        <v>45296</v>
      </c>
      <c r="V2921" s="6" t="s">
        <v>36</v>
      </c>
      <c r="W2921" s="6" t="s">
        <v>33</v>
      </c>
      <c r="X2921" s="7">
        <v>45647</v>
      </c>
    </row>
    <row r="2922" spans="1:24" x14ac:dyDescent="0.25">
      <c r="A2922" s="6" t="s">
        <v>25</v>
      </c>
      <c r="B2922" s="94" t="s">
        <v>2391</v>
      </c>
      <c r="C2922" s="6" t="s">
        <v>8692</v>
      </c>
      <c r="D2922" s="140">
        <v>11677463</v>
      </c>
      <c r="E2922" s="6" t="s">
        <v>8693</v>
      </c>
      <c r="F2922" s="10" t="s">
        <v>134</v>
      </c>
      <c r="G2922" s="6" t="s">
        <v>8694</v>
      </c>
      <c r="H2922" s="8">
        <v>45880</v>
      </c>
      <c r="I2922" s="8">
        <v>45085</v>
      </c>
      <c r="J2922" s="8">
        <v>45085</v>
      </c>
      <c r="L2922" s="95" t="s">
        <v>31</v>
      </c>
      <c r="M2922" s="8">
        <v>45091</v>
      </c>
      <c r="N2922" s="8">
        <v>45226</v>
      </c>
      <c r="O2922" s="8">
        <v>45196</v>
      </c>
      <c r="P2922" s="6" t="s">
        <v>35</v>
      </c>
      <c r="Q2922" s="96">
        <v>438</v>
      </c>
      <c r="R2922" s="97">
        <f t="shared" si="106"/>
        <v>1.2</v>
      </c>
      <c r="S2922" s="75">
        <f t="shared" si="107"/>
        <v>9910.8000000000011</v>
      </c>
      <c r="U2922" s="8">
        <v>45289</v>
      </c>
      <c r="W2922" s="6" t="s">
        <v>33</v>
      </c>
      <c r="X2922" s="7">
        <v>45880</v>
      </c>
    </row>
    <row r="2923" spans="1:24" x14ac:dyDescent="0.25">
      <c r="A2923" s="6" t="s">
        <v>25</v>
      </c>
      <c r="B2923" s="94" t="s">
        <v>870</v>
      </c>
      <c r="C2923" s="6" t="s">
        <v>8695</v>
      </c>
      <c r="D2923" s="140">
        <v>11252496</v>
      </c>
      <c r="E2923" s="6" t="s">
        <v>1752</v>
      </c>
      <c r="F2923" s="10" t="s">
        <v>44</v>
      </c>
      <c r="G2923" s="6" t="s">
        <v>8696</v>
      </c>
      <c r="H2923" s="8">
        <v>51102</v>
      </c>
      <c r="I2923" s="8">
        <v>45085</v>
      </c>
      <c r="J2923" s="8">
        <v>45085</v>
      </c>
      <c r="L2923" s="95" t="s">
        <v>31</v>
      </c>
      <c r="M2923" s="8">
        <v>45091</v>
      </c>
      <c r="N2923" s="8">
        <v>45335</v>
      </c>
      <c r="O2923" s="8">
        <v>45315</v>
      </c>
      <c r="P2923" s="6" t="s">
        <v>35</v>
      </c>
      <c r="Q2923" s="96">
        <v>8030</v>
      </c>
      <c r="R2923" s="97">
        <f t="shared" si="106"/>
        <v>22</v>
      </c>
      <c r="S2923" s="75">
        <f t="shared" si="107"/>
        <v>181698</v>
      </c>
      <c r="U2923" s="8">
        <v>45337</v>
      </c>
      <c r="W2923" s="6" t="s">
        <v>84</v>
      </c>
      <c r="X2923" s="7">
        <v>49712</v>
      </c>
    </row>
    <row r="2924" spans="1:24" x14ac:dyDescent="0.25">
      <c r="A2924" s="6" t="s">
        <v>25</v>
      </c>
      <c r="B2924" s="94" t="s">
        <v>8697</v>
      </c>
      <c r="C2924" s="6" t="s">
        <v>8698</v>
      </c>
      <c r="D2924" s="140">
        <v>11221861</v>
      </c>
      <c r="E2924" s="6" t="s">
        <v>3163</v>
      </c>
      <c r="F2924" s="10" t="s">
        <v>134</v>
      </c>
      <c r="G2924" s="6" t="s">
        <v>8699</v>
      </c>
      <c r="H2924" s="8">
        <v>50501</v>
      </c>
      <c r="L2924" s="95" t="s">
        <v>31</v>
      </c>
      <c r="M2924" s="8">
        <v>45085</v>
      </c>
      <c r="R2924" s="97" t="str">
        <f t="shared" si="106"/>
        <v/>
      </c>
      <c r="S2924" s="75" t="str">
        <f t="shared" si="107"/>
        <v/>
      </c>
      <c r="W2924" s="6" t="s">
        <v>84</v>
      </c>
      <c r="X2924" s="7">
        <v>50501</v>
      </c>
    </row>
    <row r="2925" spans="1:24" x14ac:dyDescent="0.25">
      <c r="A2925" s="6" t="s">
        <v>25</v>
      </c>
      <c r="B2925" s="94" t="s">
        <v>594</v>
      </c>
      <c r="C2925" s="6" t="s">
        <v>8700</v>
      </c>
      <c r="D2925" s="140">
        <v>11643962</v>
      </c>
      <c r="E2925" s="6" t="s">
        <v>2086</v>
      </c>
      <c r="F2925" s="10" t="s">
        <v>176</v>
      </c>
      <c r="G2925" s="6">
        <v>2015023889</v>
      </c>
      <c r="H2925" s="8">
        <v>45696</v>
      </c>
      <c r="I2925" s="8">
        <v>45085</v>
      </c>
      <c r="J2925" s="8">
        <v>45085</v>
      </c>
      <c r="L2925" s="95" t="s">
        <v>31</v>
      </c>
      <c r="M2925" s="8">
        <v>45091</v>
      </c>
      <c r="N2925" s="8">
        <v>45174</v>
      </c>
      <c r="O2925" s="8">
        <v>45155</v>
      </c>
      <c r="P2925" s="6" t="s">
        <v>75</v>
      </c>
      <c r="R2925" s="97" t="str">
        <f t="shared" si="106"/>
        <v/>
      </c>
      <c r="S2925" s="75" t="str">
        <f t="shared" si="107"/>
        <v/>
      </c>
      <c r="T2925" s="124" t="s">
        <v>3892</v>
      </c>
      <c r="U2925" s="8">
        <v>45208</v>
      </c>
      <c r="W2925" s="6" t="s">
        <v>33</v>
      </c>
      <c r="X2925" s="7">
        <v>45696</v>
      </c>
    </row>
    <row r="2926" spans="1:24" x14ac:dyDescent="0.25">
      <c r="A2926" s="6" t="s">
        <v>25</v>
      </c>
      <c r="B2926" s="94" t="s">
        <v>8701</v>
      </c>
      <c r="C2926" s="6" t="s">
        <v>8702</v>
      </c>
      <c r="D2926" s="140">
        <v>11492181</v>
      </c>
      <c r="E2926" s="6" t="s">
        <v>946</v>
      </c>
      <c r="F2926" s="10" t="s">
        <v>309</v>
      </c>
      <c r="G2926" s="6" t="s">
        <v>8703</v>
      </c>
      <c r="H2926" s="8">
        <v>46970</v>
      </c>
      <c r="I2926" s="8">
        <v>45085</v>
      </c>
      <c r="J2926" s="8">
        <v>45085</v>
      </c>
      <c r="L2926" s="95" t="s">
        <v>31</v>
      </c>
      <c r="M2926" s="8">
        <v>45091</v>
      </c>
      <c r="R2926" s="97" t="str">
        <f t="shared" si="106"/>
        <v/>
      </c>
      <c r="S2926" s="75" t="str">
        <f t="shared" si="107"/>
        <v/>
      </c>
      <c r="W2926" s="6" t="s">
        <v>84</v>
      </c>
      <c r="X2926" s="7">
        <v>46164</v>
      </c>
    </row>
    <row r="2927" spans="1:24" x14ac:dyDescent="0.25">
      <c r="A2927" s="6" t="s">
        <v>25</v>
      </c>
      <c r="B2927" s="94" t="s">
        <v>635</v>
      </c>
      <c r="C2927" s="6" t="s">
        <v>8704</v>
      </c>
      <c r="D2927" s="140">
        <v>11107611</v>
      </c>
      <c r="E2927" s="6" t="s">
        <v>147</v>
      </c>
      <c r="F2927" s="10" t="s">
        <v>134</v>
      </c>
      <c r="G2927" s="6" t="s">
        <v>8705</v>
      </c>
      <c r="H2927" s="8">
        <v>49831</v>
      </c>
      <c r="I2927" s="8">
        <v>45085</v>
      </c>
      <c r="J2927" s="8">
        <v>45085</v>
      </c>
      <c r="L2927" s="95" t="s">
        <v>31</v>
      </c>
      <c r="M2927" s="8">
        <v>45091</v>
      </c>
      <c r="R2927" s="97" t="str">
        <f t="shared" si="106"/>
        <v/>
      </c>
      <c r="S2927" s="75" t="str">
        <f t="shared" si="107"/>
        <v/>
      </c>
      <c r="W2927" s="6" t="s">
        <v>84</v>
      </c>
      <c r="X2927" s="7">
        <v>48181</v>
      </c>
    </row>
    <row r="2928" spans="1:24" x14ac:dyDescent="0.25">
      <c r="A2928" s="6" t="s">
        <v>168</v>
      </c>
      <c r="B2928" s="94" t="s">
        <v>8706</v>
      </c>
      <c r="C2928" s="6" t="s">
        <v>8707</v>
      </c>
      <c r="D2928" s="140">
        <v>11556447</v>
      </c>
      <c r="E2928" s="6" t="s">
        <v>414</v>
      </c>
      <c r="F2928" s="10" t="s">
        <v>44</v>
      </c>
      <c r="G2928" s="6" t="s">
        <v>8708</v>
      </c>
      <c r="H2928" s="8">
        <v>47314</v>
      </c>
      <c r="I2928" s="8">
        <v>45085</v>
      </c>
      <c r="J2928" s="8">
        <v>45085</v>
      </c>
      <c r="L2928" s="95" t="s">
        <v>31</v>
      </c>
      <c r="M2928" s="8">
        <v>45091</v>
      </c>
      <c r="R2928" s="97" t="str">
        <f t="shared" si="106"/>
        <v/>
      </c>
      <c r="S2928" s="75" t="str">
        <f t="shared" si="107"/>
        <v/>
      </c>
      <c r="W2928" s="6" t="s">
        <v>84</v>
      </c>
      <c r="X2928" s="7">
        <v>47050</v>
      </c>
    </row>
    <row r="2929" spans="1:24" x14ac:dyDescent="0.25">
      <c r="A2929" s="6" t="s">
        <v>25</v>
      </c>
      <c r="B2929" s="94" t="s">
        <v>8709</v>
      </c>
      <c r="C2929" s="6" t="s">
        <v>8710</v>
      </c>
      <c r="D2929" s="140">
        <v>11678944</v>
      </c>
      <c r="E2929" s="6" t="s">
        <v>232</v>
      </c>
      <c r="F2929" s="10" t="s">
        <v>205</v>
      </c>
      <c r="G2929" s="6" t="s">
        <v>8711</v>
      </c>
      <c r="H2929" s="8">
        <v>45796</v>
      </c>
      <c r="I2929" s="8">
        <v>45085</v>
      </c>
      <c r="J2929" s="8">
        <v>45085</v>
      </c>
      <c r="L2929" s="95" t="s">
        <v>31</v>
      </c>
      <c r="M2929" s="8">
        <v>45091</v>
      </c>
      <c r="R2929" s="97" t="str">
        <f t="shared" si="106"/>
        <v/>
      </c>
      <c r="S2929" s="75" t="str">
        <f t="shared" si="107"/>
        <v/>
      </c>
      <c r="W2929" s="6" t="s">
        <v>33</v>
      </c>
      <c r="X2929" s="7">
        <v>45796</v>
      </c>
    </row>
    <row r="2930" spans="1:24" x14ac:dyDescent="0.25">
      <c r="A2930" s="6" t="s">
        <v>168</v>
      </c>
      <c r="B2930" s="94" t="s">
        <v>3835</v>
      </c>
      <c r="C2930" s="6" t="s">
        <v>3836</v>
      </c>
      <c r="D2930" s="140">
        <v>11778005</v>
      </c>
      <c r="E2930" s="6" t="s">
        <v>318</v>
      </c>
      <c r="F2930" s="10" t="s">
        <v>44</v>
      </c>
      <c r="G2930" s="6" t="s">
        <v>3837</v>
      </c>
      <c r="H2930" s="8">
        <v>52960</v>
      </c>
      <c r="I2930" s="8">
        <v>45085</v>
      </c>
      <c r="J2930" s="8">
        <v>45085</v>
      </c>
      <c r="L2930" s="95" t="s">
        <v>31</v>
      </c>
      <c r="M2930" s="8">
        <v>45091</v>
      </c>
      <c r="N2930" s="8">
        <v>45175</v>
      </c>
      <c r="O2930" s="8">
        <v>45155</v>
      </c>
      <c r="P2930" s="6" t="s">
        <v>35</v>
      </c>
      <c r="Q2930" s="96">
        <v>7300</v>
      </c>
      <c r="R2930" s="97">
        <f t="shared" si="106"/>
        <v>20</v>
      </c>
      <c r="S2930" s="75">
        <f t="shared" si="107"/>
        <v>165180</v>
      </c>
      <c r="U2930" s="8">
        <v>45337</v>
      </c>
      <c r="W2930" s="6" t="s">
        <v>84</v>
      </c>
      <c r="X2930" s="7">
        <v>48776</v>
      </c>
    </row>
    <row r="2931" spans="1:24" x14ac:dyDescent="0.25">
      <c r="A2931" s="6" t="s">
        <v>25</v>
      </c>
      <c r="B2931" s="94" t="s">
        <v>8712</v>
      </c>
      <c r="C2931" s="6" t="s">
        <v>8713</v>
      </c>
      <c r="D2931" s="140">
        <v>11887473</v>
      </c>
      <c r="E2931" s="6" t="s">
        <v>1151</v>
      </c>
      <c r="F2931" s="10" t="s">
        <v>44</v>
      </c>
      <c r="G2931" s="6" t="s">
        <v>8714</v>
      </c>
      <c r="H2931" s="8">
        <v>51134</v>
      </c>
      <c r="I2931" s="8">
        <v>45085</v>
      </c>
      <c r="J2931" s="8">
        <v>45085</v>
      </c>
      <c r="L2931" s="95" t="s">
        <v>31</v>
      </c>
      <c r="M2931" s="8">
        <v>45091</v>
      </c>
      <c r="P2931" s="6" t="s">
        <v>628</v>
      </c>
      <c r="R2931" s="97" t="str">
        <f t="shared" si="106"/>
        <v/>
      </c>
      <c r="S2931" s="75" t="str">
        <f t="shared" si="107"/>
        <v/>
      </c>
      <c r="T2931" s="124" t="s">
        <v>8715</v>
      </c>
      <c r="W2931" s="6" t="s">
        <v>84</v>
      </c>
      <c r="X2931" s="7">
        <v>48978</v>
      </c>
    </row>
    <row r="2932" spans="1:24" x14ac:dyDescent="0.25">
      <c r="A2932" s="6" t="s">
        <v>168</v>
      </c>
      <c r="B2932" s="94" t="s">
        <v>4817</v>
      </c>
      <c r="C2932" s="6" t="s">
        <v>8716</v>
      </c>
      <c r="D2932" s="140">
        <v>11974397</v>
      </c>
      <c r="E2932" s="6" t="s">
        <v>147</v>
      </c>
      <c r="F2932" s="10" t="s">
        <v>44</v>
      </c>
      <c r="G2932" s="6" t="s">
        <v>8717</v>
      </c>
      <c r="H2932" s="8">
        <v>46996</v>
      </c>
      <c r="I2932" s="8">
        <v>45085</v>
      </c>
      <c r="J2932" s="8">
        <v>45085</v>
      </c>
      <c r="L2932" s="95" t="s">
        <v>31</v>
      </c>
      <c r="M2932" s="8">
        <v>45091</v>
      </c>
      <c r="N2932" s="8">
        <v>45300</v>
      </c>
      <c r="O2932" s="8">
        <v>45279</v>
      </c>
      <c r="P2932" s="6" t="s">
        <v>35</v>
      </c>
      <c r="Q2932" s="96">
        <v>730</v>
      </c>
      <c r="R2932" s="97">
        <f t="shared" si="106"/>
        <v>2</v>
      </c>
      <c r="S2932" s="75">
        <f t="shared" si="107"/>
        <v>16518</v>
      </c>
      <c r="U2932" s="8">
        <v>45337</v>
      </c>
      <c r="W2932" s="6" t="s">
        <v>84</v>
      </c>
      <c r="X2932" s="7">
        <v>48810</v>
      </c>
    </row>
    <row r="2933" spans="1:24" ht="30" x14ac:dyDescent="0.25">
      <c r="A2933" s="6" t="s">
        <v>25</v>
      </c>
      <c r="B2933" s="94" t="s">
        <v>8718</v>
      </c>
      <c r="C2933" s="6" t="s">
        <v>8719</v>
      </c>
      <c r="D2933" s="140">
        <v>11123261</v>
      </c>
      <c r="E2933" s="6" t="s">
        <v>8484</v>
      </c>
      <c r="F2933" s="10" t="s">
        <v>44</v>
      </c>
      <c r="G2933" s="6" t="s">
        <v>8720</v>
      </c>
      <c r="H2933" s="8">
        <v>109211</v>
      </c>
      <c r="I2933" s="8">
        <v>45085</v>
      </c>
      <c r="J2933" s="8">
        <v>45085</v>
      </c>
      <c r="L2933" s="95" t="s">
        <v>31</v>
      </c>
      <c r="M2933" s="8">
        <v>45091</v>
      </c>
      <c r="P2933" s="6" t="s">
        <v>628</v>
      </c>
      <c r="R2933" s="97" t="str">
        <f t="shared" si="106"/>
        <v/>
      </c>
      <c r="S2933" s="75" t="str">
        <f t="shared" si="107"/>
        <v/>
      </c>
      <c r="T2933" s="124" t="s">
        <v>8721</v>
      </c>
      <c r="W2933" s="6" t="s">
        <v>84</v>
      </c>
      <c r="X2933" s="7">
        <v>46728</v>
      </c>
    </row>
    <row r="2934" spans="1:24" x14ac:dyDescent="0.25">
      <c r="A2934" s="6" t="s">
        <v>25</v>
      </c>
      <c r="B2934" s="94" t="s">
        <v>3831</v>
      </c>
      <c r="C2934" s="6" t="s">
        <v>8722</v>
      </c>
      <c r="D2934" s="140">
        <v>11203781</v>
      </c>
      <c r="E2934" s="6" t="s">
        <v>382</v>
      </c>
      <c r="F2934" s="10" t="s">
        <v>44</v>
      </c>
      <c r="G2934" s="6" t="s">
        <v>8723</v>
      </c>
      <c r="H2934" s="8">
        <v>46343</v>
      </c>
      <c r="L2934" s="95" t="s">
        <v>359</v>
      </c>
      <c r="R2934" s="97" t="str">
        <f t="shared" si="106"/>
        <v/>
      </c>
      <c r="S2934" s="75" t="str">
        <f t="shared" si="107"/>
        <v/>
      </c>
    </row>
    <row r="2935" spans="1:24" x14ac:dyDescent="0.25">
      <c r="A2935" s="6" t="s">
        <v>25</v>
      </c>
      <c r="B2935" s="94" t="s">
        <v>8724</v>
      </c>
      <c r="C2935" s="6" t="s">
        <v>8725</v>
      </c>
      <c r="D2935" s="140">
        <v>11335036</v>
      </c>
      <c r="E2935" s="6" t="s">
        <v>1539</v>
      </c>
      <c r="F2935" s="10" t="s">
        <v>44</v>
      </c>
      <c r="G2935" s="6" t="s">
        <v>8726</v>
      </c>
      <c r="H2935" s="8">
        <v>46159</v>
      </c>
      <c r="L2935" s="95" t="s">
        <v>359</v>
      </c>
      <c r="R2935" s="97" t="str">
        <f t="shared" si="106"/>
        <v/>
      </c>
      <c r="S2935" s="75" t="str">
        <f t="shared" si="107"/>
        <v/>
      </c>
    </row>
    <row r="2936" spans="1:24" x14ac:dyDescent="0.25">
      <c r="A2936" s="6" t="s">
        <v>25</v>
      </c>
      <c r="B2936" s="94" t="s">
        <v>207</v>
      </c>
      <c r="C2936" s="6" t="s">
        <v>8727</v>
      </c>
      <c r="D2936" s="140">
        <v>11053602</v>
      </c>
      <c r="E2936" s="6" t="s">
        <v>2708</v>
      </c>
      <c r="F2936" s="10" t="s">
        <v>44</v>
      </c>
      <c r="G2936" s="6" t="s">
        <v>8728</v>
      </c>
      <c r="H2936" s="8">
        <v>45845</v>
      </c>
      <c r="L2936" s="95" t="s">
        <v>359</v>
      </c>
      <c r="R2936" s="97" t="str">
        <f t="shared" si="106"/>
        <v/>
      </c>
      <c r="S2936" s="75" t="str">
        <f t="shared" si="107"/>
        <v/>
      </c>
    </row>
    <row r="2937" spans="1:24" x14ac:dyDescent="0.25">
      <c r="A2937" s="6" t="s">
        <v>25</v>
      </c>
      <c r="B2937" s="94" t="s">
        <v>1045</v>
      </c>
      <c r="C2937" s="6" t="s">
        <v>8729</v>
      </c>
      <c r="D2937" s="140">
        <v>12151985</v>
      </c>
      <c r="E2937" s="6" t="s">
        <v>185</v>
      </c>
      <c r="F2937" s="10" t="s">
        <v>148</v>
      </c>
      <c r="G2937" s="6" t="s">
        <v>8730</v>
      </c>
      <c r="H2937" s="8">
        <v>46096</v>
      </c>
      <c r="L2937" s="95" t="s">
        <v>359</v>
      </c>
      <c r="R2937" s="97" t="str">
        <f t="shared" si="106"/>
        <v/>
      </c>
      <c r="S2937" s="75" t="str">
        <f t="shared" si="107"/>
        <v/>
      </c>
    </row>
    <row r="2938" spans="1:24" x14ac:dyDescent="0.25">
      <c r="A2938" s="6" t="s">
        <v>37</v>
      </c>
      <c r="B2938" s="94" t="s">
        <v>2192</v>
      </c>
      <c r="C2938" s="6" t="s">
        <v>8731</v>
      </c>
      <c r="D2938" s="140">
        <v>11558616</v>
      </c>
      <c r="E2938" s="6" t="s">
        <v>318</v>
      </c>
      <c r="F2938" s="10" t="s">
        <v>143</v>
      </c>
      <c r="G2938" s="6" t="s">
        <v>8732</v>
      </c>
      <c r="H2938" s="8">
        <v>45885</v>
      </c>
      <c r="L2938" s="95" t="s">
        <v>359</v>
      </c>
      <c r="R2938" s="97" t="str">
        <f t="shared" si="106"/>
        <v/>
      </c>
      <c r="S2938" s="75" t="str">
        <f t="shared" si="107"/>
        <v/>
      </c>
    </row>
    <row r="2939" spans="1:24" x14ac:dyDescent="0.25">
      <c r="A2939" s="6" t="s">
        <v>25</v>
      </c>
      <c r="B2939" s="94" t="s">
        <v>2245</v>
      </c>
      <c r="C2939" s="6" t="s">
        <v>8733</v>
      </c>
      <c r="D2939" s="140">
        <v>11561936</v>
      </c>
      <c r="E2939" s="6" t="s">
        <v>1662</v>
      </c>
      <c r="F2939" s="10" t="s">
        <v>44</v>
      </c>
      <c r="G2939" s="6" t="s">
        <v>8734</v>
      </c>
      <c r="H2939" s="8">
        <v>46108</v>
      </c>
      <c r="L2939" s="95" t="s">
        <v>359</v>
      </c>
      <c r="R2939" s="97" t="str">
        <f t="shared" si="106"/>
        <v/>
      </c>
      <c r="S2939" s="75" t="str">
        <f t="shared" si="107"/>
        <v/>
      </c>
    </row>
    <row r="2940" spans="1:24" x14ac:dyDescent="0.25">
      <c r="A2940" s="6" t="s">
        <v>25</v>
      </c>
      <c r="B2940" s="94" t="s">
        <v>8735</v>
      </c>
      <c r="C2940" s="6" t="s">
        <v>8736</v>
      </c>
      <c r="D2940" s="140">
        <v>11048974</v>
      </c>
      <c r="E2940" s="6" t="s">
        <v>247</v>
      </c>
      <c r="F2940" s="10" t="s">
        <v>44</v>
      </c>
      <c r="G2940" s="6" t="s">
        <v>8737</v>
      </c>
      <c r="H2940" s="8">
        <v>48638</v>
      </c>
      <c r="L2940" s="95" t="s">
        <v>359</v>
      </c>
      <c r="R2940" s="97" t="str">
        <f t="shared" si="106"/>
        <v/>
      </c>
      <c r="S2940" s="75" t="str">
        <f t="shared" si="107"/>
        <v/>
      </c>
    </row>
    <row r="2941" spans="1:24" x14ac:dyDescent="0.25">
      <c r="A2941" s="6" t="s">
        <v>25</v>
      </c>
      <c r="B2941" s="94" t="s">
        <v>8738</v>
      </c>
      <c r="C2941" s="6" t="s">
        <v>8739</v>
      </c>
      <c r="D2941" s="140">
        <v>12187452</v>
      </c>
      <c r="E2941" s="6" t="s">
        <v>8740</v>
      </c>
      <c r="F2941" s="10" t="s">
        <v>44</v>
      </c>
      <c r="G2941" s="6" t="s">
        <v>8741</v>
      </c>
      <c r="H2941" s="8">
        <v>46798</v>
      </c>
      <c r="L2941" s="95" t="s">
        <v>359</v>
      </c>
      <c r="R2941" s="97" t="str">
        <f t="shared" si="106"/>
        <v/>
      </c>
      <c r="S2941" s="75" t="str">
        <f t="shared" si="107"/>
        <v/>
      </c>
    </row>
    <row r="2942" spans="1:24" x14ac:dyDescent="0.25">
      <c r="A2942" s="6" t="s">
        <v>25</v>
      </c>
      <c r="B2942" s="94" t="s">
        <v>8742</v>
      </c>
      <c r="C2942" s="6" t="s">
        <v>8743</v>
      </c>
      <c r="D2942" s="140">
        <v>11302106</v>
      </c>
      <c r="E2942" s="6" t="s">
        <v>1756</v>
      </c>
      <c r="F2942" s="10" t="s">
        <v>134</v>
      </c>
      <c r="G2942" s="6" t="s">
        <v>8744</v>
      </c>
      <c r="H2942" s="8">
        <v>45914</v>
      </c>
      <c r="L2942" s="95" t="s">
        <v>359</v>
      </c>
      <c r="R2942" s="97" t="str">
        <f t="shared" si="106"/>
        <v/>
      </c>
      <c r="S2942" s="75" t="str">
        <f t="shared" si="107"/>
        <v/>
      </c>
    </row>
    <row r="2943" spans="1:24" x14ac:dyDescent="0.25">
      <c r="A2943" s="6" t="s">
        <v>25</v>
      </c>
      <c r="B2943" s="94" t="s">
        <v>2253</v>
      </c>
      <c r="C2943" s="6" t="s">
        <v>8745</v>
      </c>
      <c r="D2943" s="140">
        <v>11354779</v>
      </c>
      <c r="E2943" s="6" t="s">
        <v>209</v>
      </c>
      <c r="F2943" s="10" t="s">
        <v>148</v>
      </c>
      <c r="G2943" s="6" t="s">
        <v>8746</v>
      </c>
      <c r="H2943" s="8">
        <v>47196</v>
      </c>
      <c r="L2943" s="95" t="s">
        <v>359</v>
      </c>
      <c r="R2943" s="97" t="str">
        <f t="shared" si="106"/>
        <v/>
      </c>
      <c r="S2943" s="75" t="str">
        <f t="shared" si="107"/>
        <v/>
      </c>
    </row>
    <row r="2944" spans="1:24" x14ac:dyDescent="0.25">
      <c r="A2944" s="6" t="s">
        <v>25</v>
      </c>
      <c r="B2944" s="94" t="s">
        <v>1900</v>
      </c>
      <c r="C2944" s="6" t="s">
        <v>8747</v>
      </c>
      <c r="D2944" s="140">
        <v>11625579</v>
      </c>
      <c r="E2944" s="6" t="s">
        <v>1566</v>
      </c>
      <c r="F2944" s="10" t="s">
        <v>44</v>
      </c>
      <c r="G2944" s="6" t="s">
        <v>8748</v>
      </c>
      <c r="H2944" s="8">
        <v>47389</v>
      </c>
      <c r="L2944" s="95" t="s">
        <v>359</v>
      </c>
      <c r="R2944" s="97" t="str">
        <f t="shared" si="106"/>
        <v/>
      </c>
      <c r="S2944" s="75" t="str">
        <f t="shared" si="107"/>
        <v/>
      </c>
    </row>
    <row r="2945" spans="1:24" x14ac:dyDescent="0.25">
      <c r="A2945" s="6" t="s">
        <v>25</v>
      </c>
      <c r="B2945" s="94" t="s">
        <v>2789</v>
      </c>
      <c r="C2945" s="6" t="s">
        <v>8749</v>
      </c>
      <c r="D2945" s="140">
        <v>11594369</v>
      </c>
      <c r="E2945" s="6" t="s">
        <v>1018</v>
      </c>
      <c r="F2945" s="10" t="s">
        <v>148</v>
      </c>
      <c r="G2945" s="6" t="s">
        <v>8750</v>
      </c>
      <c r="H2945" s="8">
        <v>48012</v>
      </c>
      <c r="L2945" s="95" t="s">
        <v>359</v>
      </c>
      <c r="R2945" s="97" t="str">
        <f t="shared" si="106"/>
        <v/>
      </c>
      <c r="S2945" s="75" t="str">
        <f t="shared" si="107"/>
        <v/>
      </c>
    </row>
    <row r="2946" spans="1:24" x14ac:dyDescent="0.25">
      <c r="A2946" s="6" t="s">
        <v>25</v>
      </c>
      <c r="B2946" s="94" t="s">
        <v>932</v>
      </c>
      <c r="C2946" s="6" t="s">
        <v>8751</v>
      </c>
      <c r="D2946" s="140">
        <v>10256560</v>
      </c>
      <c r="E2946" s="6" t="s">
        <v>8752</v>
      </c>
      <c r="F2946" s="10" t="s">
        <v>134</v>
      </c>
      <c r="G2946" s="6" t="s">
        <v>8753</v>
      </c>
      <c r="H2946" s="8">
        <v>47146</v>
      </c>
      <c r="L2946" s="95" t="s">
        <v>359</v>
      </c>
      <c r="R2946" s="97" t="str">
        <f t="shared" si="106"/>
        <v/>
      </c>
      <c r="S2946" s="75" t="str">
        <f t="shared" si="107"/>
        <v/>
      </c>
    </row>
    <row r="2947" spans="1:24" x14ac:dyDescent="0.25">
      <c r="A2947" s="6" t="s">
        <v>25</v>
      </c>
      <c r="B2947" s="94" t="s">
        <v>8735</v>
      </c>
      <c r="C2947" s="6" t="s">
        <v>8754</v>
      </c>
      <c r="D2947" s="140">
        <v>11942763</v>
      </c>
      <c r="E2947" s="6" t="s">
        <v>527</v>
      </c>
      <c r="F2947" s="10" t="s">
        <v>44</v>
      </c>
      <c r="G2947" s="6" t="s">
        <v>8755</v>
      </c>
      <c r="H2947" s="8">
        <v>52713</v>
      </c>
      <c r="L2947" s="95" t="s">
        <v>359</v>
      </c>
      <c r="R2947" s="97" t="str">
        <f t="shared" si="106"/>
        <v/>
      </c>
      <c r="S2947" s="75" t="str">
        <f t="shared" si="107"/>
        <v/>
      </c>
    </row>
    <row r="2948" spans="1:24" x14ac:dyDescent="0.25">
      <c r="A2948" s="6" t="s">
        <v>25</v>
      </c>
      <c r="B2948" s="94" t="s">
        <v>202</v>
      </c>
      <c r="C2948" s="6" t="s">
        <v>8756</v>
      </c>
      <c r="D2948" s="140">
        <v>11986525</v>
      </c>
      <c r="E2948" s="6" t="s">
        <v>209</v>
      </c>
      <c r="F2948" s="10" t="s">
        <v>44</v>
      </c>
      <c r="G2948" s="6" t="s">
        <v>8757</v>
      </c>
      <c r="H2948" s="8">
        <v>46455</v>
      </c>
      <c r="L2948" s="95" t="s">
        <v>359</v>
      </c>
      <c r="R2948" s="97" t="str">
        <f t="shared" si="106"/>
        <v/>
      </c>
      <c r="S2948" s="75" t="str">
        <f t="shared" si="107"/>
        <v/>
      </c>
    </row>
    <row r="2949" spans="1:24" x14ac:dyDescent="0.25">
      <c r="A2949" s="6" t="s">
        <v>25</v>
      </c>
      <c r="B2949" s="94" t="s">
        <v>3966</v>
      </c>
      <c r="C2949" s="6" t="s">
        <v>8758</v>
      </c>
      <c r="D2949" s="140">
        <v>11121308</v>
      </c>
      <c r="E2949" s="6" t="s">
        <v>1277</v>
      </c>
      <c r="F2949" s="10" t="s">
        <v>134</v>
      </c>
      <c r="G2949" s="6" t="s">
        <v>8759</v>
      </c>
      <c r="H2949" s="8">
        <v>49369</v>
      </c>
      <c r="L2949" s="95" t="s">
        <v>359</v>
      </c>
      <c r="R2949" s="97" t="str">
        <f t="shared" si="106"/>
        <v/>
      </c>
      <c r="S2949" s="75" t="str">
        <f t="shared" si="107"/>
        <v/>
      </c>
    </row>
    <row r="2950" spans="1:24" x14ac:dyDescent="0.25">
      <c r="A2950" s="6" t="s">
        <v>25</v>
      </c>
      <c r="B2950" s="94" t="s">
        <v>8760</v>
      </c>
      <c r="C2950" s="6" t="s">
        <v>8761</v>
      </c>
      <c r="D2950" s="140">
        <v>11990279</v>
      </c>
      <c r="E2950" s="6" t="s">
        <v>1659</v>
      </c>
      <c r="F2950" s="10" t="s">
        <v>2600</v>
      </c>
      <c r="G2950" s="6">
        <v>1503497</v>
      </c>
      <c r="H2950" s="8">
        <v>46100</v>
      </c>
      <c r="L2950" s="95" t="s">
        <v>359</v>
      </c>
      <c r="R2950" s="97" t="str">
        <f t="shared" si="106"/>
        <v/>
      </c>
      <c r="S2950" s="75" t="str">
        <f t="shared" si="107"/>
        <v/>
      </c>
    </row>
    <row r="2951" spans="1:24" x14ac:dyDescent="0.25">
      <c r="A2951" s="6" t="s">
        <v>25</v>
      </c>
      <c r="B2951" s="94" t="s">
        <v>8762</v>
      </c>
      <c r="C2951" s="6" t="s">
        <v>8763</v>
      </c>
      <c r="D2951" s="140">
        <v>11950477</v>
      </c>
      <c r="E2951" s="6" t="s">
        <v>962</v>
      </c>
      <c r="F2951" s="10" t="s">
        <v>44</v>
      </c>
      <c r="G2951" s="6" t="s">
        <v>8764</v>
      </c>
      <c r="H2951" s="8">
        <v>46149</v>
      </c>
      <c r="L2951" s="95" t="s">
        <v>359</v>
      </c>
      <c r="R2951" s="97" t="str">
        <f t="shared" si="106"/>
        <v/>
      </c>
      <c r="S2951" s="75" t="str">
        <f t="shared" si="107"/>
        <v/>
      </c>
    </row>
    <row r="2952" spans="1:24" x14ac:dyDescent="0.25">
      <c r="A2952" s="6" t="s">
        <v>168</v>
      </c>
      <c r="B2952" s="94" t="s">
        <v>8765</v>
      </c>
      <c r="C2952" s="6" t="s">
        <v>8766</v>
      </c>
      <c r="D2952" s="140">
        <v>11716928</v>
      </c>
      <c r="E2952" s="6" t="s">
        <v>386</v>
      </c>
      <c r="F2952" s="10" t="s">
        <v>57</v>
      </c>
      <c r="G2952" s="6">
        <v>11716928</v>
      </c>
      <c r="H2952" s="8">
        <v>50890</v>
      </c>
      <c r="L2952" s="95" t="s">
        <v>359</v>
      </c>
      <c r="R2952" s="97" t="str">
        <f t="shared" si="106"/>
        <v/>
      </c>
      <c r="S2952" s="75" t="str">
        <f t="shared" si="107"/>
        <v/>
      </c>
    </row>
    <row r="2953" spans="1:24" x14ac:dyDescent="0.25">
      <c r="A2953" s="6" t="s">
        <v>25</v>
      </c>
      <c r="B2953" s="94" t="s">
        <v>8767</v>
      </c>
      <c r="C2953" s="6" t="s">
        <v>8768</v>
      </c>
      <c r="D2953" s="140">
        <v>11309272</v>
      </c>
      <c r="E2953" s="6" t="s">
        <v>8484</v>
      </c>
      <c r="F2953" s="10" t="s">
        <v>44</v>
      </c>
      <c r="G2953" s="6" t="s">
        <v>8769</v>
      </c>
      <c r="H2953" s="8">
        <v>46606</v>
      </c>
      <c r="L2953" s="95" t="s">
        <v>359</v>
      </c>
      <c r="R2953" s="97" t="str">
        <f t="shared" si="106"/>
        <v/>
      </c>
      <c r="S2953" s="75" t="str">
        <f t="shared" si="107"/>
        <v/>
      </c>
    </row>
    <row r="2954" spans="1:24" x14ac:dyDescent="0.25">
      <c r="A2954" s="6" t="s">
        <v>168</v>
      </c>
      <c r="B2954" s="94" t="s">
        <v>8770</v>
      </c>
      <c r="C2954" s="6" t="s">
        <v>8771</v>
      </c>
      <c r="D2954" s="140">
        <v>11361492</v>
      </c>
      <c r="E2954" s="6" t="s">
        <v>714</v>
      </c>
      <c r="F2954" s="10" t="s">
        <v>176</v>
      </c>
      <c r="G2954" s="6">
        <v>2008048465</v>
      </c>
      <c r="H2954" s="8">
        <v>45046</v>
      </c>
      <c r="L2954" s="95" t="s">
        <v>359</v>
      </c>
      <c r="R2954" s="97" t="str">
        <f t="shared" si="106"/>
        <v/>
      </c>
      <c r="S2954" s="75" t="str">
        <f t="shared" si="107"/>
        <v/>
      </c>
    </row>
    <row r="2955" spans="1:24" x14ac:dyDescent="0.25">
      <c r="A2955" s="6" t="s">
        <v>25</v>
      </c>
      <c r="B2955" s="94" t="s">
        <v>1110</v>
      </c>
      <c r="C2955" s="6" t="s">
        <v>8772</v>
      </c>
      <c r="D2955" s="140">
        <v>11964927</v>
      </c>
      <c r="E2955" s="6" t="s">
        <v>409</v>
      </c>
      <c r="F2955" s="10" t="s">
        <v>134</v>
      </c>
      <c r="G2955" s="6" t="s">
        <v>8773</v>
      </c>
      <c r="H2955" s="8">
        <v>47261</v>
      </c>
      <c r="L2955" s="95" t="s">
        <v>359</v>
      </c>
      <c r="R2955" s="97" t="str">
        <f t="shared" si="106"/>
        <v/>
      </c>
      <c r="S2955" s="75" t="str">
        <f t="shared" si="107"/>
        <v/>
      </c>
    </row>
    <row r="2956" spans="1:24" x14ac:dyDescent="0.25">
      <c r="A2956" s="6" t="s">
        <v>25</v>
      </c>
      <c r="B2956" s="94" t="s">
        <v>8774</v>
      </c>
      <c r="C2956" s="6" t="s">
        <v>8775</v>
      </c>
      <c r="D2956" s="140">
        <v>11048668</v>
      </c>
      <c r="E2956" s="6" t="s">
        <v>43</v>
      </c>
      <c r="F2956" s="10" t="s">
        <v>363</v>
      </c>
      <c r="G2956" s="6">
        <v>1209890</v>
      </c>
      <c r="H2956" s="8">
        <v>56201</v>
      </c>
      <c r="L2956" s="95" t="s">
        <v>31</v>
      </c>
      <c r="M2956" s="8">
        <v>45162</v>
      </c>
      <c r="R2956" s="97" t="str">
        <f t="shared" si="106"/>
        <v/>
      </c>
      <c r="S2956" s="75" t="str">
        <f t="shared" si="107"/>
        <v/>
      </c>
      <c r="W2956" s="6" t="s">
        <v>84</v>
      </c>
      <c r="X2956" s="7">
        <v>48131</v>
      </c>
    </row>
    <row r="2957" spans="1:24" x14ac:dyDescent="0.25">
      <c r="A2957" s="6" t="s">
        <v>37</v>
      </c>
      <c r="B2957" s="94" t="s">
        <v>810</v>
      </c>
      <c r="C2957" s="6" t="s">
        <v>8776</v>
      </c>
      <c r="D2957" s="140">
        <v>11917978</v>
      </c>
      <c r="E2957" s="6" t="s">
        <v>4266</v>
      </c>
      <c r="F2957" s="10" t="s">
        <v>121</v>
      </c>
      <c r="G2957" s="6" t="s">
        <v>8777</v>
      </c>
      <c r="H2957" s="8">
        <v>48327</v>
      </c>
      <c r="L2957" s="95" t="s">
        <v>31</v>
      </c>
      <c r="M2957" s="8">
        <v>45162</v>
      </c>
      <c r="R2957" s="97" t="str">
        <f t="shared" si="106"/>
        <v/>
      </c>
      <c r="S2957" s="75" t="str">
        <f t="shared" si="107"/>
        <v/>
      </c>
      <c r="W2957" s="6" t="s">
        <v>84</v>
      </c>
      <c r="X2957" s="7">
        <v>45382</v>
      </c>
    </row>
    <row r="2958" spans="1:24" x14ac:dyDescent="0.25">
      <c r="A2958" s="6" t="s">
        <v>25</v>
      </c>
      <c r="B2958" s="94" t="s">
        <v>8778</v>
      </c>
      <c r="C2958" s="6" t="s">
        <v>8779</v>
      </c>
      <c r="D2958" s="140">
        <v>11376520</v>
      </c>
      <c r="E2958" s="6" t="s">
        <v>147</v>
      </c>
      <c r="F2958" s="10" t="s">
        <v>44</v>
      </c>
      <c r="G2958" s="6" t="s">
        <v>8780</v>
      </c>
      <c r="H2958" s="8">
        <v>49945</v>
      </c>
      <c r="L2958" s="95" t="s">
        <v>31</v>
      </c>
      <c r="M2958" s="8">
        <v>45162</v>
      </c>
      <c r="R2958" s="97" t="str">
        <f t="shared" si="106"/>
        <v/>
      </c>
      <c r="S2958" s="75" t="str">
        <f t="shared" si="107"/>
        <v/>
      </c>
      <c r="W2958" s="6" t="s">
        <v>33</v>
      </c>
      <c r="X2958" s="7">
        <v>49326</v>
      </c>
    </row>
    <row r="2959" spans="1:24" x14ac:dyDescent="0.25">
      <c r="A2959" s="6" t="s">
        <v>25</v>
      </c>
      <c r="B2959" s="94" t="s">
        <v>242</v>
      </c>
      <c r="C2959" s="6" t="s">
        <v>8781</v>
      </c>
      <c r="D2959" s="140">
        <v>12187710</v>
      </c>
      <c r="E2959" s="6" t="s">
        <v>588</v>
      </c>
      <c r="F2959" s="10" t="s">
        <v>139</v>
      </c>
      <c r="G2959" s="6" t="s">
        <v>8782</v>
      </c>
      <c r="H2959" s="8">
        <v>46381</v>
      </c>
      <c r="L2959" s="95" t="s">
        <v>31</v>
      </c>
      <c r="M2959" s="8">
        <v>45162</v>
      </c>
      <c r="R2959" s="97" t="str">
        <f t="shared" si="106"/>
        <v/>
      </c>
      <c r="S2959" s="75" t="str">
        <f t="shared" si="107"/>
        <v/>
      </c>
      <c r="W2959" s="6" t="s">
        <v>33</v>
      </c>
      <c r="X2959" s="7">
        <v>46381</v>
      </c>
    </row>
    <row r="2960" spans="1:24" x14ac:dyDescent="0.25">
      <c r="A2960" s="6" t="s">
        <v>168</v>
      </c>
      <c r="B2960" s="94" t="s">
        <v>5599</v>
      </c>
      <c r="C2960" s="6" t="s">
        <v>5600</v>
      </c>
      <c r="D2960" s="140">
        <v>11322195</v>
      </c>
      <c r="E2960" s="6" t="s">
        <v>409</v>
      </c>
      <c r="F2960" s="10" t="s">
        <v>44</v>
      </c>
      <c r="G2960" s="6" t="s">
        <v>5601</v>
      </c>
      <c r="H2960" s="8">
        <v>60387</v>
      </c>
      <c r="L2960" s="95" t="s">
        <v>31</v>
      </c>
      <c r="M2960" s="8">
        <v>45162</v>
      </c>
      <c r="P2960" s="6" t="s">
        <v>628</v>
      </c>
      <c r="R2960" s="97" t="str">
        <f t="shared" si="106"/>
        <v/>
      </c>
      <c r="S2960" s="75" t="str">
        <f t="shared" si="107"/>
        <v/>
      </c>
      <c r="T2960" s="124" t="s">
        <v>7445</v>
      </c>
      <c r="W2960" s="6" t="s">
        <v>84</v>
      </c>
      <c r="X2960" s="7">
        <v>48007</v>
      </c>
    </row>
    <row r="2961" spans="1:24" x14ac:dyDescent="0.25">
      <c r="A2961" s="6" t="s">
        <v>25</v>
      </c>
      <c r="B2961" s="94" t="s">
        <v>8783</v>
      </c>
      <c r="C2961" s="6" t="s">
        <v>8784</v>
      </c>
      <c r="D2961" s="140">
        <v>11939162</v>
      </c>
      <c r="E2961" s="6" t="s">
        <v>8785</v>
      </c>
      <c r="F2961" s="10" t="s">
        <v>44</v>
      </c>
      <c r="G2961" s="6" t="s">
        <v>8786</v>
      </c>
      <c r="H2961" s="8">
        <v>45702</v>
      </c>
      <c r="L2961" s="95" t="s">
        <v>31</v>
      </c>
      <c r="M2961" s="8">
        <v>45162</v>
      </c>
      <c r="R2961" s="97" t="str">
        <f t="shared" si="106"/>
        <v/>
      </c>
      <c r="S2961" s="75" t="str">
        <f t="shared" si="107"/>
        <v/>
      </c>
      <c r="W2961" s="6" t="s">
        <v>33</v>
      </c>
      <c r="X2961" s="7">
        <v>45702</v>
      </c>
    </row>
    <row r="2962" spans="1:24" x14ac:dyDescent="0.25">
      <c r="A2962" s="6" t="s">
        <v>25</v>
      </c>
      <c r="B2962" s="94" t="s">
        <v>512</v>
      </c>
      <c r="C2962" s="6" t="s">
        <v>8787</v>
      </c>
      <c r="D2962" s="140">
        <v>11279472</v>
      </c>
      <c r="E2962" s="6" t="s">
        <v>1082</v>
      </c>
      <c r="F2962" s="10" t="s">
        <v>57</v>
      </c>
      <c r="G2962" s="6" t="s">
        <v>8788</v>
      </c>
      <c r="H2962" s="8">
        <v>46027</v>
      </c>
      <c r="L2962" s="95" t="s">
        <v>31</v>
      </c>
      <c r="M2962" s="8">
        <v>45162</v>
      </c>
      <c r="R2962" s="97" t="str">
        <f t="shared" si="106"/>
        <v/>
      </c>
      <c r="S2962" s="75" t="str">
        <f t="shared" si="107"/>
        <v/>
      </c>
      <c r="W2962" s="6" t="s">
        <v>33</v>
      </c>
      <c r="X2962" s="7">
        <v>46027</v>
      </c>
    </row>
    <row r="2963" spans="1:24" x14ac:dyDescent="0.25">
      <c r="A2963" s="6" t="s">
        <v>25</v>
      </c>
      <c r="B2963" s="94" t="s">
        <v>704</v>
      </c>
      <c r="C2963" s="6" t="s">
        <v>8789</v>
      </c>
      <c r="D2963" s="140">
        <v>11139712</v>
      </c>
      <c r="E2963" s="6" t="s">
        <v>414</v>
      </c>
      <c r="F2963" s="10" t="s">
        <v>134</v>
      </c>
      <c r="G2963" s="6" t="s">
        <v>8790</v>
      </c>
      <c r="H2963" s="8">
        <v>47878</v>
      </c>
      <c r="L2963" s="95" t="s">
        <v>31</v>
      </c>
      <c r="M2963" s="8">
        <v>45162</v>
      </c>
      <c r="R2963" s="97" t="str">
        <f t="shared" si="106"/>
        <v/>
      </c>
      <c r="S2963" s="75" t="str">
        <f t="shared" si="107"/>
        <v/>
      </c>
      <c r="W2963" s="6" t="s">
        <v>33</v>
      </c>
      <c r="X2963" s="7">
        <v>47878</v>
      </c>
    </row>
    <row r="2964" spans="1:24" x14ac:dyDescent="0.25">
      <c r="A2964" s="6" t="s">
        <v>25</v>
      </c>
      <c r="B2964" s="94" t="s">
        <v>323</v>
      </c>
      <c r="C2964" s="6" t="s">
        <v>8791</v>
      </c>
      <c r="D2964" s="140">
        <v>11191838</v>
      </c>
      <c r="E2964" s="6" t="s">
        <v>3484</v>
      </c>
      <c r="F2964" s="10" t="s">
        <v>44</v>
      </c>
      <c r="G2964" s="6" t="s">
        <v>8792</v>
      </c>
      <c r="H2964" s="8">
        <v>47520</v>
      </c>
      <c r="L2964" s="95" t="s">
        <v>31</v>
      </c>
      <c r="M2964" s="8">
        <v>45162</v>
      </c>
      <c r="R2964" s="97" t="str">
        <f t="shared" si="106"/>
        <v/>
      </c>
      <c r="S2964" s="75" t="str">
        <f t="shared" si="107"/>
        <v/>
      </c>
      <c r="W2964" s="6" t="s">
        <v>33</v>
      </c>
      <c r="X2964" s="7">
        <v>47520</v>
      </c>
    </row>
    <row r="2965" spans="1:24" x14ac:dyDescent="0.25">
      <c r="A2965" s="6" t="s">
        <v>168</v>
      </c>
      <c r="B2965" s="94" t="s">
        <v>202</v>
      </c>
      <c r="C2965" s="6" t="s">
        <v>6638</v>
      </c>
      <c r="D2965" s="140">
        <v>11028914</v>
      </c>
      <c r="E2965" s="6" t="s">
        <v>386</v>
      </c>
      <c r="F2965" s="10" t="s">
        <v>148</v>
      </c>
      <c r="G2965" s="6" t="s">
        <v>6639</v>
      </c>
      <c r="H2965" s="8">
        <v>48703</v>
      </c>
      <c r="L2965" s="95" t="s">
        <v>31</v>
      </c>
      <c r="M2965" s="8">
        <v>45162</v>
      </c>
      <c r="R2965" s="97" t="str">
        <f t="shared" si="106"/>
        <v/>
      </c>
      <c r="S2965" s="75" t="str">
        <f t="shared" si="107"/>
        <v/>
      </c>
      <c r="W2965" s="6" t="s">
        <v>84</v>
      </c>
      <c r="X2965" s="7">
        <v>48703</v>
      </c>
    </row>
    <row r="2966" spans="1:24" x14ac:dyDescent="0.25">
      <c r="A2966" s="6" t="s">
        <v>25</v>
      </c>
      <c r="B2966" s="94" t="s">
        <v>2635</v>
      </c>
      <c r="C2966" s="6" t="s">
        <v>8793</v>
      </c>
      <c r="D2966" s="140">
        <v>11473967</v>
      </c>
      <c r="E2966" s="6" t="s">
        <v>204</v>
      </c>
      <c r="F2966" s="10" t="s">
        <v>44</v>
      </c>
      <c r="G2966" s="6" t="s">
        <v>8794</v>
      </c>
      <c r="H2966" s="8">
        <v>69711</v>
      </c>
      <c r="L2966" s="95" t="s">
        <v>359</v>
      </c>
      <c r="R2966" s="97" t="str">
        <f t="shared" si="106"/>
        <v/>
      </c>
      <c r="S2966" s="75" t="str">
        <f t="shared" si="107"/>
        <v/>
      </c>
    </row>
    <row r="2967" spans="1:24" x14ac:dyDescent="0.25">
      <c r="A2967" s="6" t="s">
        <v>168</v>
      </c>
      <c r="B2967" s="94" t="s">
        <v>8795</v>
      </c>
      <c r="C2967" s="6" t="s">
        <v>8796</v>
      </c>
      <c r="D2967" s="140">
        <v>11989205</v>
      </c>
      <c r="E2967" s="6" t="s">
        <v>318</v>
      </c>
      <c r="F2967" s="10" t="s">
        <v>143</v>
      </c>
      <c r="G2967" s="6" t="s">
        <v>8797</v>
      </c>
      <c r="H2967" s="8">
        <v>48092</v>
      </c>
      <c r="L2967" s="95" t="s">
        <v>359</v>
      </c>
      <c r="R2967" s="97" t="str">
        <f t="shared" si="106"/>
        <v/>
      </c>
      <c r="S2967" s="75" t="str">
        <f t="shared" si="107"/>
        <v/>
      </c>
    </row>
    <row r="2968" spans="1:24" x14ac:dyDescent="0.25">
      <c r="A2968" s="6" t="s">
        <v>168</v>
      </c>
      <c r="B2968" s="94" t="s">
        <v>8798</v>
      </c>
      <c r="C2968" s="6" t="s">
        <v>8799</v>
      </c>
      <c r="D2968" s="140">
        <v>11010870</v>
      </c>
      <c r="E2968" s="6" t="s">
        <v>386</v>
      </c>
      <c r="F2968" s="10" t="s">
        <v>44</v>
      </c>
      <c r="G2968" s="6" t="s">
        <v>8800</v>
      </c>
      <c r="H2968" s="8">
        <v>52949</v>
      </c>
      <c r="L2968" s="95" t="s">
        <v>359</v>
      </c>
      <c r="R2968" s="97" t="str">
        <f t="shared" si="106"/>
        <v/>
      </c>
      <c r="S2968" s="75" t="str">
        <f t="shared" si="107"/>
        <v/>
      </c>
    </row>
    <row r="2969" spans="1:24" x14ac:dyDescent="0.25">
      <c r="A2969" s="6" t="s">
        <v>168</v>
      </c>
      <c r="B2969" s="94" t="s">
        <v>8801</v>
      </c>
      <c r="C2969" s="6" t="s">
        <v>8802</v>
      </c>
      <c r="D2969" s="140">
        <v>11702447</v>
      </c>
      <c r="E2969" s="6" t="s">
        <v>428</v>
      </c>
      <c r="F2969" s="10" t="s">
        <v>44</v>
      </c>
      <c r="G2969" s="6" t="s">
        <v>8803</v>
      </c>
      <c r="H2969" s="8">
        <v>47202</v>
      </c>
      <c r="L2969" s="95" t="s">
        <v>359</v>
      </c>
      <c r="R2969" s="97" t="str">
        <f t="shared" si="106"/>
        <v/>
      </c>
      <c r="S2969" s="75" t="str">
        <f t="shared" si="107"/>
        <v/>
      </c>
    </row>
    <row r="2970" spans="1:24" x14ac:dyDescent="0.25">
      <c r="A2970" s="6" t="s">
        <v>25</v>
      </c>
      <c r="B2970" s="94" t="s">
        <v>8804</v>
      </c>
      <c r="C2970" s="6" t="s">
        <v>8805</v>
      </c>
      <c r="D2970" s="140">
        <v>11879538</v>
      </c>
      <c r="E2970" s="6" t="s">
        <v>318</v>
      </c>
      <c r="F2970" s="10" t="s">
        <v>134</v>
      </c>
      <c r="G2970" s="6" t="s">
        <v>8806</v>
      </c>
      <c r="H2970" s="8">
        <v>46651</v>
      </c>
      <c r="L2970" s="95" t="s">
        <v>359</v>
      </c>
      <c r="R2970" s="97" t="str">
        <f t="shared" si="106"/>
        <v/>
      </c>
      <c r="S2970" s="75" t="str">
        <f t="shared" si="107"/>
        <v/>
      </c>
    </row>
    <row r="2971" spans="1:24" x14ac:dyDescent="0.25">
      <c r="A2971" s="6" t="s">
        <v>25</v>
      </c>
      <c r="B2971" s="94" t="s">
        <v>8807</v>
      </c>
      <c r="C2971" s="6" t="s">
        <v>8808</v>
      </c>
      <c r="D2971" s="140">
        <v>11243925</v>
      </c>
      <c r="E2971" s="6" t="s">
        <v>8484</v>
      </c>
      <c r="F2971" s="10" t="s">
        <v>44</v>
      </c>
      <c r="G2971" s="6" t="s">
        <v>8809</v>
      </c>
      <c r="H2971" s="8">
        <v>59164</v>
      </c>
      <c r="L2971" s="95" t="s">
        <v>359</v>
      </c>
      <c r="R2971" s="97" t="str">
        <f t="shared" si="106"/>
        <v/>
      </c>
      <c r="S2971" s="75" t="str">
        <f t="shared" si="107"/>
        <v/>
      </c>
    </row>
    <row r="2972" spans="1:24" x14ac:dyDescent="0.25">
      <c r="A2972" s="6" t="s">
        <v>25</v>
      </c>
      <c r="B2972" s="94" t="s">
        <v>8810</v>
      </c>
      <c r="C2972" s="6" t="s">
        <v>8811</v>
      </c>
      <c r="D2972" s="140">
        <v>11211406</v>
      </c>
      <c r="E2972" s="6" t="s">
        <v>2086</v>
      </c>
      <c r="F2972" s="10" t="s">
        <v>44</v>
      </c>
      <c r="G2972" s="6" t="s">
        <v>8812</v>
      </c>
      <c r="H2972" s="8">
        <v>46113</v>
      </c>
      <c r="L2972" s="95" t="s">
        <v>359</v>
      </c>
      <c r="R2972" s="97" t="str">
        <f t="shared" si="106"/>
        <v/>
      </c>
      <c r="S2972" s="75" t="str">
        <f t="shared" si="107"/>
        <v/>
      </c>
    </row>
    <row r="2973" spans="1:24" x14ac:dyDescent="0.25">
      <c r="A2973" s="6" t="s">
        <v>168</v>
      </c>
      <c r="B2973" s="94" t="s">
        <v>890</v>
      </c>
      <c r="C2973" s="6" t="s">
        <v>8813</v>
      </c>
      <c r="D2973" s="140">
        <v>11987289</v>
      </c>
      <c r="E2973" s="6" t="s">
        <v>318</v>
      </c>
      <c r="F2973" s="10" t="s">
        <v>205</v>
      </c>
      <c r="G2973" s="6" t="s">
        <v>8814</v>
      </c>
      <c r="H2973" s="8">
        <v>48641</v>
      </c>
      <c r="I2973" s="8">
        <v>45205</v>
      </c>
      <c r="J2973" s="8">
        <v>45205</v>
      </c>
      <c r="K2973" s="95">
        <v>45209</v>
      </c>
      <c r="L2973" s="95" t="s">
        <v>31</v>
      </c>
      <c r="R2973" s="97" t="str">
        <f t="shared" si="106"/>
        <v/>
      </c>
      <c r="S2973" s="75" t="str">
        <f t="shared" si="107"/>
        <v/>
      </c>
      <c r="W2973" s="6" t="s">
        <v>84</v>
      </c>
      <c r="X2973" s="7">
        <v>45687</v>
      </c>
    </row>
    <row r="2974" spans="1:24" x14ac:dyDescent="0.25">
      <c r="A2974" s="6" t="s">
        <v>25</v>
      </c>
      <c r="B2974" s="94" t="s">
        <v>8815</v>
      </c>
      <c r="C2974" s="6" t="s">
        <v>8816</v>
      </c>
      <c r="D2974" s="140">
        <v>11640396</v>
      </c>
      <c r="E2974" s="6" t="s">
        <v>49</v>
      </c>
      <c r="F2974" s="10" t="s">
        <v>29</v>
      </c>
      <c r="G2974" s="6" t="s">
        <v>8817</v>
      </c>
      <c r="H2974" s="8">
        <v>48342</v>
      </c>
      <c r="I2974" s="8">
        <v>45205</v>
      </c>
      <c r="J2974" s="8">
        <v>45205</v>
      </c>
      <c r="K2974" s="95">
        <v>45209</v>
      </c>
      <c r="L2974" s="95" t="s">
        <v>31</v>
      </c>
      <c r="R2974" s="97" t="str">
        <f t="shared" si="106"/>
        <v/>
      </c>
      <c r="S2974" s="75" t="str">
        <f t="shared" si="107"/>
        <v/>
      </c>
      <c r="W2974" s="6" t="s">
        <v>33</v>
      </c>
      <c r="X2974" s="7">
        <v>48342</v>
      </c>
    </row>
    <row r="2975" spans="1:24" x14ac:dyDescent="0.25">
      <c r="A2975" s="6" t="s">
        <v>25</v>
      </c>
      <c r="B2975" s="94" t="s">
        <v>449</v>
      </c>
      <c r="C2975" s="6" t="s">
        <v>8818</v>
      </c>
      <c r="D2975" s="140">
        <v>11189485</v>
      </c>
      <c r="E2975" s="6" t="s">
        <v>147</v>
      </c>
      <c r="F2975" s="10" t="s">
        <v>44</v>
      </c>
      <c r="G2975" s="6" t="s">
        <v>8819</v>
      </c>
      <c r="H2975" s="8">
        <v>48259</v>
      </c>
      <c r="I2975" s="8">
        <v>45205</v>
      </c>
      <c r="J2975" s="8">
        <v>45205</v>
      </c>
      <c r="K2975" s="95">
        <v>45209</v>
      </c>
      <c r="L2975" s="95" t="s">
        <v>31</v>
      </c>
      <c r="R2975" s="97" t="str">
        <f t="shared" si="106"/>
        <v/>
      </c>
      <c r="S2975" s="75" t="str">
        <f t="shared" si="107"/>
        <v/>
      </c>
      <c r="W2975" s="6" t="s">
        <v>84</v>
      </c>
      <c r="X2975" s="7">
        <v>45687</v>
      </c>
    </row>
    <row r="2976" spans="1:24" x14ac:dyDescent="0.25">
      <c r="A2976" s="6" t="s">
        <v>25</v>
      </c>
      <c r="B2976" s="94" t="s">
        <v>7195</v>
      </c>
      <c r="C2976" s="6" t="s">
        <v>8820</v>
      </c>
      <c r="D2976" s="140">
        <v>11202106</v>
      </c>
      <c r="E2976" s="6" t="s">
        <v>1064</v>
      </c>
      <c r="F2976" s="10" t="s">
        <v>44</v>
      </c>
      <c r="G2976" s="6" t="s">
        <v>8821</v>
      </c>
      <c r="H2976" s="8">
        <v>48642</v>
      </c>
      <c r="I2976" s="8">
        <v>45219</v>
      </c>
      <c r="J2976" s="8">
        <v>45219</v>
      </c>
      <c r="L2976" s="95" t="s">
        <v>31</v>
      </c>
      <c r="R2976" s="97" t="str">
        <f t="shared" si="106"/>
        <v/>
      </c>
      <c r="S2976" s="75" t="str">
        <f t="shared" si="107"/>
        <v/>
      </c>
      <c r="W2976" s="6" t="s">
        <v>33</v>
      </c>
      <c r="X2976" s="7">
        <v>48642</v>
      </c>
    </row>
    <row r="2977" spans="1:24" x14ac:dyDescent="0.25">
      <c r="A2977" s="6" t="s">
        <v>25</v>
      </c>
      <c r="B2977" s="94" t="s">
        <v>54</v>
      </c>
      <c r="C2977" s="6" t="s">
        <v>55</v>
      </c>
      <c r="D2977" s="140">
        <v>11944098</v>
      </c>
      <c r="E2977" s="6" t="s">
        <v>1082</v>
      </c>
      <c r="F2977" s="10" t="s">
        <v>57</v>
      </c>
      <c r="G2977" s="6" t="s">
        <v>58</v>
      </c>
      <c r="H2977" s="8">
        <v>46637</v>
      </c>
      <c r="I2977" s="8">
        <v>45219</v>
      </c>
      <c r="J2977" s="8">
        <v>45219</v>
      </c>
      <c r="L2977" s="95" t="s">
        <v>31</v>
      </c>
      <c r="P2977" s="6" t="s">
        <v>628</v>
      </c>
      <c r="R2977" s="97" t="str">
        <f t="shared" si="106"/>
        <v/>
      </c>
      <c r="S2977" s="75" t="str">
        <f t="shared" si="107"/>
        <v/>
      </c>
      <c r="T2977" s="124" t="s">
        <v>8822</v>
      </c>
      <c r="W2977" s="6" t="s">
        <v>33</v>
      </c>
      <c r="X2977" s="7">
        <v>46637</v>
      </c>
    </row>
    <row r="2978" spans="1:24" x14ac:dyDescent="0.25">
      <c r="A2978" s="6" t="s">
        <v>37</v>
      </c>
      <c r="B2978" s="94" t="s">
        <v>1639</v>
      </c>
      <c r="C2978" s="6" t="s">
        <v>8823</v>
      </c>
      <c r="D2978" s="140">
        <v>11371583</v>
      </c>
      <c r="E2978" s="6" t="s">
        <v>2759</v>
      </c>
      <c r="F2978" s="10" t="s">
        <v>44</v>
      </c>
      <c r="G2978" s="6" t="s">
        <v>8824</v>
      </c>
      <c r="H2978" s="8">
        <v>45826</v>
      </c>
      <c r="I2978" s="8">
        <v>45219</v>
      </c>
      <c r="J2978" s="8">
        <v>45219</v>
      </c>
      <c r="L2978" s="95" t="s">
        <v>31</v>
      </c>
      <c r="M2978" s="8">
        <v>45219</v>
      </c>
      <c r="N2978" s="8">
        <v>45310</v>
      </c>
      <c r="O2978" s="8">
        <v>45310</v>
      </c>
      <c r="P2978" s="6" t="s">
        <v>90</v>
      </c>
      <c r="Q2978" s="96">
        <v>4380</v>
      </c>
      <c r="R2978" s="97">
        <f t="shared" si="106"/>
        <v>12</v>
      </c>
      <c r="S2978" s="75">
        <f t="shared" si="107"/>
        <v>99108</v>
      </c>
      <c r="T2978" s="124" t="s">
        <v>8825</v>
      </c>
      <c r="U2978" s="8">
        <v>45314</v>
      </c>
      <c r="W2978" s="6" t="s">
        <v>33</v>
      </c>
      <c r="X2978" s="7">
        <v>45826</v>
      </c>
    </row>
    <row r="2979" spans="1:24" x14ac:dyDescent="0.25">
      <c r="A2979" s="6" t="s">
        <v>25</v>
      </c>
      <c r="B2979" s="94" t="s">
        <v>2192</v>
      </c>
      <c r="C2979" s="6" t="s">
        <v>8826</v>
      </c>
      <c r="D2979" s="140">
        <v>11466766</v>
      </c>
      <c r="E2979" s="6" t="s">
        <v>56</v>
      </c>
      <c r="F2979" s="10" t="s">
        <v>57</v>
      </c>
      <c r="G2979" s="6" t="s">
        <v>8827</v>
      </c>
      <c r="H2979" s="8">
        <v>49781</v>
      </c>
      <c r="I2979" s="8">
        <v>45219</v>
      </c>
      <c r="J2979" s="8">
        <v>45219</v>
      </c>
      <c r="L2979" s="95" t="s">
        <v>31</v>
      </c>
      <c r="R2979" s="97" t="str">
        <f t="shared" ref="R2979:R3015" si="108">IF(Q2979&gt;0, Q2979/365, "")</f>
        <v/>
      </c>
      <c r="S2979" s="75" t="str">
        <f t="shared" ref="S2979:S3015" si="109">IF(Q2979&gt;0, SUM(Q2979)*(8259/365), "")</f>
        <v/>
      </c>
      <c r="W2979" s="6" t="s">
        <v>33</v>
      </c>
      <c r="X2979" s="7">
        <v>49781</v>
      </c>
    </row>
    <row r="2980" spans="1:24" x14ac:dyDescent="0.25">
      <c r="A2980" s="6" t="s">
        <v>25</v>
      </c>
      <c r="B2980" s="94" t="s">
        <v>8828</v>
      </c>
      <c r="C2980" s="6" t="s">
        <v>8829</v>
      </c>
      <c r="D2980" s="140">
        <v>11804024</v>
      </c>
      <c r="E2980" s="6" t="s">
        <v>714</v>
      </c>
      <c r="F2980" s="10" t="s">
        <v>44</v>
      </c>
      <c r="G2980" s="6" t="s">
        <v>8830</v>
      </c>
      <c r="H2980" s="8">
        <v>46984</v>
      </c>
      <c r="I2980" s="8">
        <v>45219</v>
      </c>
      <c r="J2980" s="8">
        <v>45219</v>
      </c>
      <c r="L2980" s="95" t="s">
        <v>31</v>
      </c>
      <c r="R2980" s="97" t="str">
        <f t="shared" si="108"/>
        <v/>
      </c>
      <c r="S2980" s="75" t="str">
        <f t="shared" si="109"/>
        <v/>
      </c>
      <c r="W2980" s="6" t="s">
        <v>33</v>
      </c>
      <c r="X2980" s="7">
        <v>46984</v>
      </c>
    </row>
    <row r="2981" spans="1:24" x14ac:dyDescent="0.25">
      <c r="A2981" s="6" t="s">
        <v>25</v>
      </c>
      <c r="B2981" s="94" t="s">
        <v>3128</v>
      </c>
      <c r="C2981" s="6" t="s">
        <v>8831</v>
      </c>
      <c r="D2981" s="140">
        <v>11104148</v>
      </c>
      <c r="E2981" s="6" t="s">
        <v>318</v>
      </c>
      <c r="F2981" s="10" t="s">
        <v>252</v>
      </c>
      <c r="G2981" s="6">
        <v>51713403</v>
      </c>
      <c r="H2981" s="8">
        <v>46777</v>
      </c>
      <c r="I2981" s="8">
        <v>45219</v>
      </c>
      <c r="J2981" s="8">
        <v>45219</v>
      </c>
      <c r="L2981" s="95" t="s">
        <v>31</v>
      </c>
      <c r="R2981" s="97" t="str">
        <f t="shared" si="108"/>
        <v/>
      </c>
      <c r="S2981" s="75" t="str">
        <f t="shared" si="109"/>
        <v/>
      </c>
      <c r="W2981" s="6" t="s">
        <v>33</v>
      </c>
      <c r="X2981" s="7">
        <v>46777</v>
      </c>
    </row>
    <row r="2982" spans="1:24" x14ac:dyDescent="0.25">
      <c r="A2982" s="6" t="s">
        <v>25</v>
      </c>
      <c r="B2982" s="94" t="s">
        <v>8832</v>
      </c>
      <c r="C2982" s="6" t="s">
        <v>8833</v>
      </c>
      <c r="D2982" s="140">
        <v>11167324</v>
      </c>
      <c r="E2982" s="6" t="s">
        <v>409</v>
      </c>
      <c r="F2982" s="10" t="s">
        <v>44</v>
      </c>
      <c r="G2982" s="6" t="s">
        <v>8834</v>
      </c>
      <c r="H2982" s="8">
        <v>46484</v>
      </c>
      <c r="I2982" s="8">
        <v>45219</v>
      </c>
      <c r="J2982" s="8">
        <v>45219</v>
      </c>
      <c r="L2982" s="95" t="s">
        <v>31</v>
      </c>
      <c r="R2982" s="97" t="str">
        <f t="shared" si="108"/>
        <v/>
      </c>
      <c r="S2982" s="75" t="str">
        <f t="shared" si="109"/>
        <v/>
      </c>
      <c r="W2982" s="6" t="s">
        <v>33</v>
      </c>
      <c r="X2982" s="7">
        <v>46484</v>
      </c>
    </row>
    <row r="2983" spans="1:24" x14ac:dyDescent="0.25">
      <c r="A2983" s="6" t="s">
        <v>37</v>
      </c>
      <c r="B2983" s="94" t="s">
        <v>242</v>
      </c>
      <c r="C2983" s="6" t="s">
        <v>8835</v>
      </c>
      <c r="D2983" s="140">
        <v>11599504</v>
      </c>
      <c r="E2983" s="6" t="s">
        <v>498</v>
      </c>
      <c r="F2983" s="10" t="s">
        <v>44</v>
      </c>
      <c r="G2983" s="6" t="s">
        <v>8836</v>
      </c>
      <c r="H2983" s="8">
        <v>52523</v>
      </c>
      <c r="I2983" s="8">
        <v>45219</v>
      </c>
      <c r="J2983" s="8">
        <v>45219</v>
      </c>
      <c r="L2983" s="95" t="s">
        <v>31</v>
      </c>
      <c r="R2983" s="97" t="str">
        <f t="shared" si="108"/>
        <v/>
      </c>
      <c r="S2983" s="75" t="str">
        <f t="shared" si="109"/>
        <v/>
      </c>
      <c r="W2983" s="6" t="s">
        <v>33</v>
      </c>
      <c r="X2983" s="7">
        <v>52523</v>
      </c>
    </row>
    <row r="2984" spans="1:24" x14ac:dyDescent="0.25">
      <c r="A2984" s="6" t="s">
        <v>25</v>
      </c>
      <c r="B2984" s="94" t="s">
        <v>8837</v>
      </c>
      <c r="C2984" s="6" t="s">
        <v>8838</v>
      </c>
      <c r="D2984" s="140">
        <v>11864149</v>
      </c>
      <c r="E2984" s="6" t="s">
        <v>878</v>
      </c>
      <c r="F2984" s="10" t="s">
        <v>134</v>
      </c>
      <c r="G2984" s="6" t="s">
        <v>8839</v>
      </c>
      <c r="H2984" s="8">
        <v>47764</v>
      </c>
      <c r="I2984" s="8">
        <v>45219</v>
      </c>
      <c r="J2984" s="8">
        <v>45219</v>
      </c>
      <c r="L2984" s="95" t="s">
        <v>31</v>
      </c>
      <c r="R2984" s="97" t="str">
        <f t="shared" si="108"/>
        <v/>
      </c>
      <c r="S2984" s="75" t="str">
        <f t="shared" si="109"/>
        <v/>
      </c>
      <c r="W2984" s="6" t="s">
        <v>33</v>
      </c>
      <c r="X2984" s="7">
        <v>47764</v>
      </c>
    </row>
    <row r="2985" spans="1:24" x14ac:dyDescent="0.25">
      <c r="A2985" s="6" t="s">
        <v>25</v>
      </c>
      <c r="B2985" s="94" t="s">
        <v>8840</v>
      </c>
      <c r="C2985" s="6" t="s">
        <v>8841</v>
      </c>
      <c r="D2985" s="140">
        <v>11262566</v>
      </c>
      <c r="E2985" s="6" t="s">
        <v>588</v>
      </c>
      <c r="F2985" s="10" t="s">
        <v>29</v>
      </c>
      <c r="G2985" s="6" t="s">
        <v>8842</v>
      </c>
      <c r="H2985" s="8">
        <v>46038</v>
      </c>
      <c r="I2985" s="8">
        <v>45219</v>
      </c>
      <c r="J2985" s="8">
        <v>45219</v>
      </c>
      <c r="L2985" s="95" t="s">
        <v>31</v>
      </c>
      <c r="R2985" s="97" t="str">
        <f t="shared" si="108"/>
        <v/>
      </c>
      <c r="S2985" s="75" t="str">
        <f t="shared" si="109"/>
        <v/>
      </c>
      <c r="W2985" s="6" t="s">
        <v>33</v>
      </c>
      <c r="X2985" s="7">
        <v>46038</v>
      </c>
    </row>
    <row r="2986" spans="1:24" x14ac:dyDescent="0.25">
      <c r="A2986" s="6" t="s">
        <v>37</v>
      </c>
      <c r="B2986" s="94" t="s">
        <v>8843</v>
      </c>
      <c r="C2986" s="6" t="s">
        <v>8844</v>
      </c>
      <c r="D2986" s="140">
        <v>11519428</v>
      </c>
      <c r="E2986" s="6" t="s">
        <v>4310</v>
      </c>
      <c r="F2986" s="10" t="s">
        <v>134</v>
      </c>
      <c r="G2986" s="6" t="s">
        <v>8845</v>
      </c>
      <c r="H2986" s="8">
        <v>47865</v>
      </c>
      <c r="L2986" s="95" t="s">
        <v>31</v>
      </c>
      <c r="R2986" s="97" t="str">
        <f t="shared" si="108"/>
        <v/>
      </c>
      <c r="S2986" s="75" t="str">
        <f t="shared" si="109"/>
        <v/>
      </c>
      <c r="W2986" s="6" t="s">
        <v>33</v>
      </c>
      <c r="X2986" s="7">
        <v>47865</v>
      </c>
    </row>
    <row r="2987" spans="1:24" x14ac:dyDescent="0.25">
      <c r="A2987" s="6" t="s">
        <v>37</v>
      </c>
      <c r="B2987" s="94" t="s">
        <v>1613</v>
      </c>
      <c r="C2987" s="6" t="s">
        <v>8846</v>
      </c>
      <c r="D2987" s="140">
        <v>11695284</v>
      </c>
      <c r="E2987" s="6" t="s">
        <v>547</v>
      </c>
      <c r="F2987" s="10" t="s">
        <v>143</v>
      </c>
      <c r="G2987" s="6" t="s">
        <v>8847</v>
      </c>
      <c r="H2987" s="8">
        <v>104003</v>
      </c>
      <c r="L2987" s="95" t="s">
        <v>31</v>
      </c>
      <c r="R2987" s="97" t="str">
        <f t="shared" si="108"/>
        <v/>
      </c>
      <c r="S2987" s="75" t="str">
        <f t="shared" si="109"/>
        <v/>
      </c>
      <c r="W2987" s="6" t="s">
        <v>84</v>
      </c>
      <c r="X2987" s="7">
        <v>104003</v>
      </c>
    </row>
    <row r="2988" spans="1:24" x14ac:dyDescent="0.25">
      <c r="A2988" s="6" t="s">
        <v>168</v>
      </c>
      <c r="B2988" s="94" t="s">
        <v>1613</v>
      </c>
      <c r="C2988" s="6" t="s">
        <v>8848</v>
      </c>
      <c r="D2988" s="140">
        <v>11336201</v>
      </c>
      <c r="E2988" s="6" t="s">
        <v>1400</v>
      </c>
      <c r="F2988" s="10" t="s">
        <v>29</v>
      </c>
      <c r="G2988" s="6" t="s">
        <v>8849</v>
      </c>
      <c r="H2988" s="8">
        <v>47628</v>
      </c>
      <c r="I2988" s="8">
        <v>45219</v>
      </c>
      <c r="J2988" s="8">
        <v>45219</v>
      </c>
      <c r="L2988" s="95" t="s">
        <v>31</v>
      </c>
      <c r="R2988" s="97" t="str">
        <f t="shared" si="108"/>
        <v/>
      </c>
      <c r="S2988" s="75" t="str">
        <f t="shared" si="109"/>
        <v/>
      </c>
      <c r="W2988" s="6" t="s">
        <v>84</v>
      </c>
      <c r="X2988" s="7">
        <v>47628</v>
      </c>
    </row>
    <row r="2989" spans="1:24" x14ac:dyDescent="0.25">
      <c r="A2989" s="6" t="s">
        <v>168</v>
      </c>
      <c r="B2989" s="94" t="s">
        <v>1265</v>
      </c>
      <c r="C2989" s="6" t="s">
        <v>8850</v>
      </c>
      <c r="D2989" s="140">
        <v>11046655</v>
      </c>
      <c r="E2989" s="6" t="s">
        <v>409</v>
      </c>
      <c r="F2989" s="10" t="s">
        <v>44</v>
      </c>
      <c r="G2989" s="6" t="s">
        <v>8851</v>
      </c>
      <c r="H2989" s="8">
        <v>59004</v>
      </c>
      <c r="I2989" s="8">
        <v>45219</v>
      </c>
      <c r="J2989" s="8">
        <v>45219</v>
      </c>
      <c r="L2989" s="95" t="s">
        <v>31</v>
      </c>
      <c r="P2989" s="6" t="s">
        <v>628</v>
      </c>
      <c r="R2989" s="97" t="str">
        <f t="shared" si="108"/>
        <v/>
      </c>
      <c r="S2989" s="75" t="str">
        <f t="shared" si="109"/>
        <v/>
      </c>
      <c r="T2989" s="124" t="s">
        <v>8852</v>
      </c>
      <c r="W2989" s="6" t="s">
        <v>33</v>
      </c>
      <c r="X2989" s="7">
        <v>59004</v>
      </c>
    </row>
    <row r="2990" spans="1:24" x14ac:dyDescent="0.25">
      <c r="A2990" s="6" t="s">
        <v>25</v>
      </c>
      <c r="B2990" s="94" t="s">
        <v>8853</v>
      </c>
      <c r="C2990" s="6" t="s">
        <v>8854</v>
      </c>
      <c r="D2990" s="140">
        <v>11121022</v>
      </c>
      <c r="E2990" s="6" t="s">
        <v>318</v>
      </c>
      <c r="F2990" s="10" t="s">
        <v>134</v>
      </c>
      <c r="G2990" s="6" t="s">
        <v>8855</v>
      </c>
      <c r="H2990" s="8">
        <v>76640</v>
      </c>
      <c r="I2990" s="8">
        <v>45219</v>
      </c>
      <c r="J2990" s="8">
        <v>45219</v>
      </c>
      <c r="L2990" s="95" t="s">
        <v>31</v>
      </c>
      <c r="P2990" s="6" t="s">
        <v>628</v>
      </c>
      <c r="R2990" s="97" t="str">
        <f t="shared" si="108"/>
        <v/>
      </c>
      <c r="S2990" s="75" t="str">
        <f t="shared" si="109"/>
        <v/>
      </c>
      <c r="T2990" s="124" t="s">
        <v>8856</v>
      </c>
      <c r="W2990" s="6" t="s">
        <v>84</v>
      </c>
      <c r="X2990" s="7">
        <v>43768</v>
      </c>
    </row>
    <row r="2991" spans="1:24" x14ac:dyDescent="0.25">
      <c r="A2991" s="6" t="s">
        <v>168</v>
      </c>
      <c r="B2991" s="94" t="s">
        <v>86</v>
      </c>
      <c r="C2991" s="6" t="s">
        <v>8857</v>
      </c>
      <c r="D2991" s="140">
        <v>11977473</v>
      </c>
      <c r="E2991" s="6" t="s">
        <v>8484</v>
      </c>
      <c r="F2991" s="10" t="s">
        <v>134</v>
      </c>
      <c r="G2991" s="6" t="s">
        <v>8858</v>
      </c>
      <c r="H2991" s="8">
        <v>55388</v>
      </c>
      <c r="I2991" s="95">
        <v>45237</v>
      </c>
      <c r="J2991" s="95">
        <v>45237</v>
      </c>
      <c r="L2991" s="95" t="s">
        <v>31</v>
      </c>
      <c r="R2991" s="97" t="str">
        <f t="shared" si="108"/>
        <v/>
      </c>
      <c r="S2991" s="75" t="str">
        <f t="shared" si="109"/>
        <v/>
      </c>
      <c r="W2991" s="6" t="s">
        <v>84</v>
      </c>
      <c r="X2991" s="7">
        <v>49989</v>
      </c>
    </row>
    <row r="2992" spans="1:24" x14ac:dyDescent="0.25">
      <c r="A2992" s="6" t="s">
        <v>25</v>
      </c>
      <c r="B2992" s="94" t="s">
        <v>890</v>
      </c>
      <c r="C2992" s="6" t="s">
        <v>8859</v>
      </c>
      <c r="D2992" s="140">
        <v>11043710</v>
      </c>
      <c r="E2992" s="6" t="s">
        <v>409</v>
      </c>
      <c r="F2992" s="10" t="s">
        <v>134</v>
      </c>
      <c r="G2992" s="6" t="s">
        <v>8860</v>
      </c>
      <c r="H2992" s="8">
        <v>46194</v>
      </c>
      <c r="I2992" s="95">
        <v>45237</v>
      </c>
      <c r="J2992" s="95">
        <v>45237</v>
      </c>
      <c r="L2992" s="95" t="s">
        <v>31</v>
      </c>
      <c r="R2992" s="97" t="str">
        <f t="shared" si="108"/>
        <v/>
      </c>
      <c r="S2992" s="75" t="str">
        <f t="shared" si="109"/>
        <v/>
      </c>
      <c r="W2992" s="6" t="s">
        <v>33</v>
      </c>
      <c r="X2992" s="7">
        <v>46194</v>
      </c>
    </row>
    <row r="2993" spans="1:24" x14ac:dyDescent="0.25">
      <c r="A2993" s="6" t="s">
        <v>37</v>
      </c>
      <c r="B2993" s="94" t="s">
        <v>8861</v>
      </c>
      <c r="C2993" s="6" t="s">
        <v>8862</v>
      </c>
      <c r="D2993" s="140">
        <v>11785540</v>
      </c>
      <c r="E2993" s="6" t="s">
        <v>714</v>
      </c>
      <c r="F2993" s="10" t="s">
        <v>134</v>
      </c>
      <c r="G2993" s="6" t="s">
        <v>8863</v>
      </c>
      <c r="H2993" s="8">
        <v>72836</v>
      </c>
      <c r="I2993" s="95">
        <v>45237</v>
      </c>
      <c r="J2993" s="95">
        <v>45237</v>
      </c>
      <c r="L2993" s="95" t="s">
        <v>31</v>
      </c>
      <c r="R2993" s="97" t="str">
        <f t="shared" si="108"/>
        <v/>
      </c>
      <c r="S2993" s="75" t="str">
        <f t="shared" si="109"/>
        <v/>
      </c>
      <c r="W2993" s="6" t="s">
        <v>84</v>
      </c>
      <c r="X2993" s="7">
        <v>49666</v>
      </c>
    </row>
    <row r="2994" spans="1:24" x14ac:dyDescent="0.25">
      <c r="A2994" s="6" t="s">
        <v>25</v>
      </c>
      <c r="B2994" s="94" t="s">
        <v>7092</v>
      </c>
      <c r="C2994" s="6" t="s">
        <v>8864</v>
      </c>
      <c r="D2994" s="140">
        <v>11623229</v>
      </c>
      <c r="E2994" s="6" t="s">
        <v>104</v>
      </c>
      <c r="F2994" s="10" t="s">
        <v>134</v>
      </c>
      <c r="G2994" s="6" t="s">
        <v>8865</v>
      </c>
      <c r="H2994" s="8">
        <v>51785</v>
      </c>
      <c r="L2994" s="95" t="s">
        <v>359</v>
      </c>
      <c r="R2994" s="97" t="str">
        <f t="shared" si="108"/>
        <v/>
      </c>
      <c r="S2994" s="75" t="str">
        <f t="shared" si="109"/>
        <v/>
      </c>
    </row>
    <row r="2995" spans="1:24" x14ac:dyDescent="0.25">
      <c r="A2995" s="6" t="s">
        <v>25</v>
      </c>
      <c r="B2995" s="94" t="s">
        <v>242</v>
      </c>
      <c r="C2995" s="6" t="s">
        <v>8866</v>
      </c>
      <c r="D2995" s="140">
        <v>11997207</v>
      </c>
      <c r="E2995" s="6" t="s">
        <v>8867</v>
      </c>
      <c r="F2995" s="10" t="s">
        <v>44</v>
      </c>
      <c r="G2995" s="6" t="s">
        <v>8868</v>
      </c>
      <c r="H2995" s="8">
        <v>46989</v>
      </c>
      <c r="L2995" s="95" t="s">
        <v>359</v>
      </c>
      <c r="R2995" s="97" t="str">
        <f t="shared" si="108"/>
        <v/>
      </c>
      <c r="S2995" s="75" t="str">
        <f t="shared" si="109"/>
        <v/>
      </c>
    </row>
    <row r="2996" spans="1:24" x14ac:dyDescent="0.25">
      <c r="A2996" s="6" t="s">
        <v>168</v>
      </c>
      <c r="B2996" s="94" t="s">
        <v>97</v>
      </c>
      <c r="C2996" s="6" t="s">
        <v>8869</v>
      </c>
      <c r="D2996" s="140">
        <v>11803122</v>
      </c>
      <c r="E2996" s="6" t="s">
        <v>428</v>
      </c>
      <c r="F2996" s="10" t="s">
        <v>176</v>
      </c>
      <c r="G2996" s="6" t="s">
        <v>8870</v>
      </c>
      <c r="H2996" s="8">
        <v>49091</v>
      </c>
      <c r="I2996" s="95">
        <v>45271</v>
      </c>
      <c r="J2996" s="95">
        <v>45271</v>
      </c>
      <c r="L2996" s="95" t="s">
        <v>31</v>
      </c>
      <c r="R2996" s="97" t="str">
        <f t="shared" si="108"/>
        <v/>
      </c>
      <c r="S2996" s="75" t="str">
        <f t="shared" si="109"/>
        <v/>
      </c>
      <c r="W2996" s="6" t="s">
        <v>84</v>
      </c>
      <c r="X2996" s="7">
        <v>49091</v>
      </c>
    </row>
    <row r="2997" spans="1:24" x14ac:dyDescent="0.25">
      <c r="A2997" s="6" t="s">
        <v>168</v>
      </c>
      <c r="B2997" s="94" t="s">
        <v>1177</v>
      </c>
      <c r="C2997" s="6" t="s">
        <v>8871</v>
      </c>
      <c r="D2997" s="140">
        <v>11978126</v>
      </c>
      <c r="E2997" s="6" t="s">
        <v>3564</v>
      </c>
      <c r="F2997" s="10" t="s">
        <v>205</v>
      </c>
      <c r="G2997" s="6" t="s">
        <v>8872</v>
      </c>
      <c r="H2997" s="8">
        <v>51691</v>
      </c>
      <c r="I2997" s="95">
        <v>45271</v>
      </c>
      <c r="J2997" s="95">
        <v>45271</v>
      </c>
      <c r="L2997" s="95" t="s">
        <v>31</v>
      </c>
      <c r="R2997" s="97" t="str">
        <f t="shared" si="108"/>
        <v/>
      </c>
      <c r="S2997" s="75" t="str">
        <f t="shared" si="109"/>
        <v/>
      </c>
      <c r="W2997" s="6" t="s">
        <v>84</v>
      </c>
      <c r="X2997" s="7">
        <v>46438</v>
      </c>
    </row>
    <row r="2998" spans="1:24" x14ac:dyDescent="0.25">
      <c r="A2998" s="6" t="s">
        <v>25</v>
      </c>
      <c r="B2998" s="94" t="s">
        <v>86</v>
      </c>
      <c r="C2998" s="6" t="s">
        <v>8873</v>
      </c>
      <c r="D2998" s="140">
        <v>11176318</v>
      </c>
      <c r="E2998" s="6" t="s">
        <v>1443</v>
      </c>
      <c r="F2998" s="10" t="s">
        <v>4532</v>
      </c>
      <c r="G2998" s="6" t="s">
        <v>8874</v>
      </c>
      <c r="H2998" s="8">
        <v>48478</v>
      </c>
      <c r="I2998" s="95">
        <v>45271</v>
      </c>
      <c r="J2998" s="95">
        <v>45271</v>
      </c>
      <c r="L2998" s="95" t="s">
        <v>31</v>
      </c>
      <c r="R2998" s="97" t="str">
        <f t="shared" si="108"/>
        <v/>
      </c>
      <c r="S2998" s="75" t="str">
        <f t="shared" si="109"/>
        <v/>
      </c>
      <c r="W2998" s="6" t="s">
        <v>33</v>
      </c>
      <c r="X2998" s="7">
        <v>48478</v>
      </c>
    </row>
    <row r="2999" spans="1:24" x14ac:dyDescent="0.25">
      <c r="A2999" s="6" t="s">
        <v>25</v>
      </c>
      <c r="B2999" s="94" t="s">
        <v>8875</v>
      </c>
      <c r="C2999" s="6" t="s">
        <v>8876</v>
      </c>
      <c r="D2999" s="140">
        <v>11771912</v>
      </c>
      <c r="E2999" s="6" t="s">
        <v>514</v>
      </c>
      <c r="F2999" s="10" t="s">
        <v>44</v>
      </c>
      <c r="G2999" s="6" t="s">
        <v>8877</v>
      </c>
      <c r="H2999" s="8">
        <v>46215</v>
      </c>
      <c r="I2999" s="95">
        <v>45271</v>
      </c>
      <c r="J2999" s="95">
        <v>45271</v>
      </c>
      <c r="L2999" s="95" t="s">
        <v>31</v>
      </c>
      <c r="R2999" s="97" t="str">
        <f t="shared" si="108"/>
        <v/>
      </c>
      <c r="S2999" s="75" t="str">
        <f t="shared" si="109"/>
        <v/>
      </c>
      <c r="W2999" s="6" t="s">
        <v>33</v>
      </c>
      <c r="X2999" s="7">
        <v>46215</v>
      </c>
    </row>
    <row r="3000" spans="1:24" x14ac:dyDescent="0.25">
      <c r="A3000" s="6" t="s">
        <v>168</v>
      </c>
      <c r="B3000" s="94" t="s">
        <v>8878</v>
      </c>
      <c r="C3000" s="6" t="s">
        <v>8879</v>
      </c>
      <c r="D3000" s="140">
        <v>11367034</v>
      </c>
      <c r="E3000" s="6" t="s">
        <v>1773</v>
      </c>
      <c r="F3000" s="10" t="s">
        <v>44</v>
      </c>
      <c r="G3000" s="6" t="s">
        <v>8880</v>
      </c>
      <c r="H3000" s="8">
        <v>51881</v>
      </c>
      <c r="I3000" s="95">
        <v>45271</v>
      </c>
      <c r="J3000" s="95">
        <v>45271</v>
      </c>
      <c r="L3000" s="95" t="s">
        <v>31</v>
      </c>
      <c r="R3000" s="97" t="str">
        <f t="shared" si="108"/>
        <v/>
      </c>
      <c r="S3000" s="75" t="str">
        <f t="shared" si="109"/>
        <v/>
      </c>
      <c r="W3000" s="6" t="s">
        <v>33</v>
      </c>
      <c r="X3000" s="7">
        <v>48700</v>
      </c>
    </row>
    <row r="3001" spans="1:24" x14ac:dyDescent="0.25">
      <c r="A3001" s="6" t="s">
        <v>25</v>
      </c>
      <c r="B3001" s="94" t="s">
        <v>145</v>
      </c>
      <c r="C3001" s="6" t="s">
        <v>8881</v>
      </c>
      <c r="D3001" s="140">
        <v>12125433</v>
      </c>
      <c r="E3001" s="6" t="s">
        <v>866</v>
      </c>
      <c r="F3001" s="10" t="s">
        <v>143</v>
      </c>
      <c r="G3001" s="6" t="s">
        <v>8882</v>
      </c>
      <c r="H3001" s="8">
        <v>49762</v>
      </c>
      <c r="L3001" s="95" t="s">
        <v>359</v>
      </c>
      <c r="R3001" s="97" t="str">
        <f t="shared" si="108"/>
        <v/>
      </c>
      <c r="S3001" s="75" t="str">
        <f t="shared" si="109"/>
        <v/>
      </c>
    </row>
    <row r="3002" spans="1:24" x14ac:dyDescent="0.25">
      <c r="A3002" s="6" t="s">
        <v>25</v>
      </c>
      <c r="B3002" s="94" t="s">
        <v>8883</v>
      </c>
      <c r="C3002" s="6" t="s">
        <v>8884</v>
      </c>
      <c r="D3002" s="140">
        <v>11202510</v>
      </c>
      <c r="E3002" s="6" t="s">
        <v>2827</v>
      </c>
      <c r="F3002" s="10" t="s">
        <v>62</v>
      </c>
      <c r="G3002" s="6" t="s">
        <v>8885</v>
      </c>
      <c r="H3002" s="8">
        <v>48022</v>
      </c>
      <c r="L3002" s="95" t="s">
        <v>359</v>
      </c>
      <c r="R3002" s="97" t="str">
        <f t="shared" si="108"/>
        <v/>
      </c>
      <c r="S3002" s="75" t="str">
        <f t="shared" si="109"/>
        <v/>
      </c>
    </row>
    <row r="3003" spans="1:24" x14ac:dyDescent="0.25">
      <c r="A3003" s="6" t="s">
        <v>25</v>
      </c>
      <c r="B3003" s="94" t="s">
        <v>3301</v>
      </c>
      <c r="C3003" s="6" t="s">
        <v>8886</v>
      </c>
      <c r="D3003" s="140">
        <v>11163475</v>
      </c>
      <c r="E3003" s="6" t="s">
        <v>1659</v>
      </c>
      <c r="F3003" s="10" t="s">
        <v>62</v>
      </c>
      <c r="G3003" s="6" t="s">
        <v>8887</v>
      </c>
      <c r="H3003" s="8">
        <v>46867</v>
      </c>
      <c r="L3003" s="95" t="s">
        <v>359</v>
      </c>
      <c r="R3003" s="97" t="str">
        <f t="shared" si="108"/>
        <v/>
      </c>
      <c r="S3003" s="75" t="str">
        <f t="shared" si="109"/>
        <v/>
      </c>
    </row>
    <row r="3004" spans="1:24" x14ac:dyDescent="0.25">
      <c r="A3004" s="6" t="s">
        <v>25</v>
      </c>
      <c r="B3004" s="94" t="s">
        <v>8496</v>
      </c>
      <c r="C3004" s="6" t="s">
        <v>8888</v>
      </c>
      <c r="D3004" s="140">
        <v>12186877</v>
      </c>
      <c r="E3004" s="6" t="s">
        <v>216</v>
      </c>
      <c r="F3004" s="10" t="s">
        <v>29</v>
      </c>
      <c r="G3004" s="6" t="s">
        <v>8889</v>
      </c>
      <c r="H3004" s="8">
        <v>46341</v>
      </c>
      <c r="L3004" s="95" t="s">
        <v>359</v>
      </c>
      <c r="R3004" s="97" t="str">
        <f t="shared" si="108"/>
        <v/>
      </c>
      <c r="S3004" s="75" t="str">
        <f t="shared" si="109"/>
        <v/>
      </c>
    </row>
    <row r="3005" spans="1:24" x14ac:dyDescent="0.25">
      <c r="A3005" s="6" t="s">
        <v>25</v>
      </c>
      <c r="B3005" s="94" t="s">
        <v>8890</v>
      </c>
      <c r="C3005" s="6" t="s">
        <v>8891</v>
      </c>
      <c r="D3005" s="140">
        <v>11585561</v>
      </c>
      <c r="E3005" s="6" t="s">
        <v>8892</v>
      </c>
      <c r="F3005" s="10" t="s">
        <v>44</v>
      </c>
      <c r="G3005" s="6" t="s">
        <v>8893</v>
      </c>
      <c r="H3005" s="8">
        <v>48330</v>
      </c>
      <c r="L3005" s="95" t="s">
        <v>359</v>
      </c>
      <c r="R3005" s="97" t="str">
        <f t="shared" si="108"/>
        <v/>
      </c>
      <c r="S3005" s="75" t="str">
        <f t="shared" si="109"/>
        <v/>
      </c>
    </row>
    <row r="3006" spans="1:24" x14ac:dyDescent="0.25">
      <c r="A3006" s="6" t="s">
        <v>37</v>
      </c>
      <c r="B3006" s="94" t="s">
        <v>4328</v>
      </c>
      <c r="C3006" s="6" t="s">
        <v>8894</v>
      </c>
      <c r="D3006" s="140">
        <v>11735470</v>
      </c>
      <c r="E3006" s="6" t="s">
        <v>8484</v>
      </c>
      <c r="F3006" s="10" t="s">
        <v>205</v>
      </c>
      <c r="G3006" s="6" t="s">
        <v>8895</v>
      </c>
      <c r="H3006" s="8">
        <v>70256</v>
      </c>
      <c r="L3006" s="95" t="s">
        <v>359</v>
      </c>
      <c r="R3006" s="97" t="str">
        <f t="shared" si="108"/>
        <v/>
      </c>
      <c r="S3006" s="75" t="str">
        <f t="shared" si="109"/>
        <v/>
      </c>
    </row>
    <row r="3007" spans="1:24" x14ac:dyDescent="0.25">
      <c r="A3007" s="6" t="s">
        <v>25</v>
      </c>
      <c r="B3007" s="94" t="s">
        <v>8896</v>
      </c>
      <c r="C3007" s="6" t="s">
        <v>8897</v>
      </c>
      <c r="D3007" s="140">
        <v>11352615</v>
      </c>
      <c r="E3007" s="6" t="s">
        <v>1200</v>
      </c>
      <c r="F3007" s="10" t="s">
        <v>44</v>
      </c>
      <c r="G3007" s="6" t="s">
        <v>8898</v>
      </c>
      <c r="H3007" s="8">
        <v>49318</v>
      </c>
      <c r="L3007" s="95" t="s">
        <v>359</v>
      </c>
      <c r="R3007" s="97" t="str">
        <f t="shared" si="108"/>
        <v/>
      </c>
      <c r="S3007" s="75" t="str">
        <f t="shared" si="109"/>
        <v/>
      </c>
    </row>
    <row r="3008" spans="1:24" x14ac:dyDescent="0.25">
      <c r="A3008" s="6" t="s">
        <v>25</v>
      </c>
      <c r="B3008" s="94" t="s">
        <v>8496</v>
      </c>
      <c r="C3008" s="6" t="s">
        <v>8899</v>
      </c>
      <c r="D3008" s="140">
        <v>11738605</v>
      </c>
      <c r="E3008" s="6" t="s">
        <v>928</v>
      </c>
      <c r="F3008" s="10" t="s">
        <v>139</v>
      </c>
      <c r="G3008" s="6" t="s">
        <v>8900</v>
      </c>
      <c r="H3008" s="8">
        <v>47599</v>
      </c>
      <c r="L3008" s="95" t="s">
        <v>359</v>
      </c>
      <c r="R3008" s="97" t="str">
        <f t="shared" si="108"/>
        <v/>
      </c>
      <c r="S3008" s="75" t="str">
        <f t="shared" si="109"/>
        <v/>
      </c>
    </row>
    <row r="3009" spans="1:24" x14ac:dyDescent="0.25">
      <c r="A3009" s="6" t="s">
        <v>25</v>
      </c>
      <c r="B3009" s="94" t="s">
        <v>4017</v>
      </c>
      <c r="C3009" s="6" t="s">
        <v>8901</v>
      </c>
      <c r="D3009" s="140">
        <v>11690180</v>
      </c>
      <c r="E3009" s="6" t="s">
        <v>460</v>
      </c>
      <c r="F3009" s="10" t="s">
        <v>8902</v>
      </c>
      <c r="G3009" s="6" t="s">
        <v>8903</v>
      </c>
      <c r="H3009" s="8">
        <v>47050</v>
      </c>
      <c r="L3009" s="95" t="s">
        <v>359</v>
      </c>
      <c r="R3009" s="97" t="str">
        <f t="shared" si="108"/>
        <v/>
      </c>
      <c r="S3009" s="75" t="str">
        <f t="shared" si="109"/>
        <v/>
      </c>
    </row>
    <row r="3010" spans="1:24" x14ac:dyDescent="0.25">
      <c r="A3010" s="6" t="s">
        <v>25</v>
      </c>
      <c r="B3010" s="94" t="s">
        <v>8904</v>
      </c>
      <c r="C3010" s="6" t="s">
        <v>8905</v>
      </c>
      <c r="D3010" s="140">
        <v>11687458</v>
      </c>
      <c r="E3010" s="6" t="s">
        <v>4266</v>
      </c>
      <c r="F3010" s="10" t="s">
        <v>44</v>
      </c>
      <c r="G3010" s="6" t="s">
        <v>8906</v>
      </c>
      <c r="H3010" s="8">
        <v>90149</v>
      </c>
      <c r="L3010" s="95" t="s">
        <v>359</v>
      </c>
      <c r="R3010" s="97" t="str">
        <f t="shared" si="108"/>
        <v/>
      </c>
      <c r="S3010" s="75" t="str">
        <f t="shared" si="109"/>
        <v/>
      </c>
    </row>
    <row r="3011" spans="1:24" x14ac:dyDescent="0.25">
      <c r="A3011" s="6" t="s">
        <v>25</v>
      </c>
      <c r="B3011" s="94" t="s">
        <v>1441</v>
      </c>
      <c r="C3011" s="6" t="s">
        <v>8907</v>
      </c>
      <c r="D3011" s="140">
        <v>11336997</v>
      </c>
      <c r="E3011" s="6" t="s">
        <v>714</v>
      </c>
      <c r="F3011" s="10" t="s">
        <v>44</v>
      </c>
      <c r="G3011" s="6" t="s">
        <v>8908</v>
      </c>
      <c r="H3011" s="8">
        <v>46986</v>
      </c>
      <c r="L3011" s="95" t="s">
        <v>359</v>
      </c>
      <c r="R3011" s="97" t="str">
        <f t="shared" si="108"/>
        <v/>
      </c>
      <c r="S3011" s="75" t="str">
        <f t="shared" si="109"/>
        <v/>
      </c>
    </row>
    <row r="3012" spans="1:24" x14ac:dyDescent="0.25">
      <c r="A3012" s="6" t="s">
        <v>25</v>
      </c>
      <c r="B3012" s="94" t="s">
        <v>8909</v>
      </c>
      <c r="C3012" s="6" t="s">
        <v>8910</v>
      </c>
      <c r="D3012" s="140">
        <v>11803702</v>
      </c>
      <c r="E3012" s="6" t="s">
        <v>8484</v>
      </c>
      <c r="F3012" s="10" t="s">
        <v>44</v>
      </c>
      <c r="G3012" s="6" t="s">
        <v>8911</v>
      </c>
      <c r="H3012" s="8">
        <v>46172</v>
      </c>
      <c r="L3012" s="95" t="s">
        <v>359</v>
      </c>
      <c r="R3012" s="97" t="str">
        <f t="shared" si="108"/>
        <v/>
      </c>
      <c r="S3012" s="75" t="str">
        <f t="shared" si="109"/>
        <v/>
      </c>
    </row>
    <row r="3013" spans="1:24" x14ac:dyDescent="0.25">
      <c r="A3013" s="6" t="s">
        <v>25</v>
      </c>
      <c r="B3013" s="94" t="s">
        <v>8912</v>
      </c>
      <c r="C3013" s="6" t="s">
        <v>8913</v>
      </c>
      <c r="D3013" s="140">
        <v>11738008</v>
      </c>
      <c r="E3013" s="6" t="s">
        <v>244</v>
      </c>
      <c r="F3013" s="10" t="s">
        <v>62</v>
      </c>
      <c r="G3013" s="6" t="s">
        <v>8914</v>
      </c>
      <c r="H3013" s="8">
        <v>54872</v>
      </c>
      <c r="L3013" s="95" t="s">
        <v>359</v>
      </c>
      <c r="R3013" s="97" t="str">
        <f t="shared" si="108"/>
        <v/>
      </c>
      <c r="S3013" s="75" t="str">
        <f t="shared" si="109"/>
        <v/>
      </c>
    </row>
    <row r="3014" spans="1:24" x14ac:dyDescent="0.25">
      <c r="A3014" s="6" t="s">
        <v>25</v>
      </c>
      <c r="B3014" s="94" t="s">
        <v>873</v>
      </c>
      <c r="C3014" s="6" t="s">
        <v>8915</v>
      </c>
      <c r="D3014" s="140">
        <v>11119444</v>
      </c>
      <c r="E3014" s="6" t="s">
        <v>49</v>
      </c>
      <c r="F3014" s="10" t="s">
        <v>143</v>
      </c>
      <c r="G3014" s="6" t="s">
        <v>8916</v>
      </c>
      <c r="H3014" s="8">
        <v>47408</v>
      </c>
      <c r="L3014" s="95" t="s">
        <v>359</v>
      </c>
      <c r="R3014" s="97" t="str">
        <f t="shared" si="108"/>
        <v/>
      </c>
      <c r="S3014" s="75" t="str">
        <f t="shared" si="109"/>
        <v/>
      </c>
    </row>
    <row r="3015" spans="1:24" x14ac:dyDescent="0.25">
      <c r="A3015" s="6" t="s">
        <v>25</v>
      </c>
      <c r="B3015" s="94" t="s">
        <v>26</v>
      </c>
      <c r="C3015" s="6" t="s">
        <v>8917</v>
      </c>
      <c r="D3015" s="140">
        <v>12150434</v>
      </c>
      <c r="E3015" s="6" t="s">
        <v>49</v>
      </c>
      <c r="F3015" s="10" t="s">
        <v>81</v>
      </c>
      <c r="G3015" s="6" t="s">
        <v>8918</v>
      </c>
      <c r="H3015" s="8">
        <v>46474</v>
      </c>
      <c r="L3015" s="95" t="s">
        <v>359</v>
      </c>
      <c r="R3015" s="97" t="str">
        <f t="shared" si="108"/>
        <v/>
      </c>
      <c r="S3015" s="75" t="str">
        <f t="shared" si="109"/>
        <v/>
      </c>
    </row>
    <row r="3016" spans="1:24" x14ac:dyDescent="0.25">
      <c r="A3016" s="6" t="s">
        <v>25</v>
      </c>
      <c r="B3016" s="94" t="s">
        <v>8919</v>
      </c>
      <c r="C3016" s="6" t="s">
        <v>8920</v>
      </c>
      <c r="D3016" s="140">
        <v>11268344</v>
      </c>
      <c r="E3016" s="6" t="s">
        <v>298</v>
      </c>
      <c r="F3016" s="10" t="s">
        <v>8921</v>
      </c>
      <c r="G3016" s="6" t="s">
        <v>8922</v>
      </c>
      <c r="H3016" s="8">
        <v>45969</v>
      </c>
      <c r="L3016" s="95" t="s">
        <v>359</v>
      </c>
    </row>
    <row r="3017" spans="1:24" x14ac:dyDescent="0.25">
      <c r="A3017" s="6" t="s">
        <v>25</v>
      </c>
      <c r="B3017" s="94" t="s">
        <v>3298</v>
      </c>
      <c r="C3017" s="6" t="s">
        <v>8923</v>
      </c>
      <c r="D3017" s="140">
        <v>11905055</v>
      </c>
      <c r="E3017" s="6" t="s">
        <v>607</v>
      </c>
      <c r="F3017" s="10" t="s">
        <v>44</v>
      </c>
      <c r="G3017" s="6" t="s">
        <v>8924</v>
      </c>
      <c r="H3017" s="8">
        <v>102126</v>
      </c>
      <c r="L3017" s="95" t="s">
        <v>359</v>
      </c>
    </row>
    <row r="3018" spans="1:24" x14ac:dyDescent="0.25">
      <c r="A3018" s="6" t="s">
        <v>25</v>
      </c>
      <c r="B3018" s="94" t="s">
        <v>8925</v>
      </c>
      <c r="C3018" s="6" t="s">
        <v>8926</v>
      </c>
      <c r="D3018" s="140">
        <v>11971600</v>
      </c>
      <c r="E3018" s="6" t="s">
        <v>714</v>
      </c>
      <c r="F3018" s="10" t="s">
        <v>57</v>
      </c>
      <c r="G3018" s="6" t="s">
        <v>8927</v>
      </c>
      <c r="H3018" s="8">
        <v>47370</v>
      </c>
      <c r="L3018" s="95" t="s">
        <v>359</v>
      </c>
    </row>
    <row r="3019" spans="1:24" x14ac:dyDescent="0.25">
      <c r="A3019" s="6" t="s">
        <v>25</v>
      </c>
      <c r="B3019" s="94" t="s">
        <v>8928</v>
      </c>
      <c r="C3019" s="6" t="s">
        <v>8929</v>
      </c>
      <c r="D3019" s="140">
        <v>11450366</v>
      </c>
      <c r="E3019" s="6" t="s">
        <v>460</v>
      </c>
      <c r="F3019" s="10" t="s">
        <v>44</v>
      </c>
      <c r="G3019" s="6" t="s">
        <v>8930</v>
      </c>
      <c r="H3019" s="8">
        <v>48276</v>
      </c>
      <c r="L3019" s="95" t="s">
        <v>359</v>
      </c>
    </row>
    <row r="3020" spans="1:24" x14ac:dyDescent="0.25">
      <c r="A3020" s="6" t="s">
        <v>168</v>
      </c>
      <c r="B3020" s="94" t="s">
        <v>202</v>
      </c>
      <c r="C3020" s="6" t="s">
        <v>8931</v>
      </c>
      <c r="D3020" s="140">
        <v>11034203</v>
      </c>
      <c r="E3020" s="6" t="s">
        <v>386</v>
      </c>
      <c r="F3020" s="10" t="s">
        <v>29</v>
      </c>
      <c r="G3020" s="6" t="s">
        <v>8932</v>
      </c>
      <c r="H3020" s="8">
        <v>51910</v>
      </c>
      <c r="L3020" s="95" t="s">
        <v>359</v>
      </c>
    </row>
    <row r="3021" spans="1:24" x14ac:dyDescent="0.25">
      <c r="A3021" s="6" t="s">
        <v>25</v>
      </c>
      <c r="B3021" s="94" t="s">
        <v>1598</v>
      </c>
      <c r="C3021" s="6" t="s">
        <v>8933</v>
      </c>
      <c r="D3021" s="140">
        <v>12111650</v>
      </c>
      <c r="E3021" s="6" t="s">
        <v>584</v>
      </c>
      <c r="F3021" s="10" t="s">
        <v>29</v>
      </c>
      <c r="G3021" s="6" t="s">
        <v>8934</v>
      </c>
      <c r="H3021" s="8">
        <v>46571</v>
      </c>
      <c r="L3021" s="95" t="s">
        <v>359</v>
      </c>
    </row>
    <row r="3022" spans="1:24" x14ac:dyDescent="0.25">
      <c r="A3022" s="6" t="s">
        <v>25</v>
      </c>
      <c r="B3022" s="94" t="s">
        <v>1265</v>
      </c>
      <c r="C3022" s="6" t="s">
        <v>8935</v>
      </c>
      <c r="D3022" s="140">
        <v>11346605</v>
      </c>
      <c r="E3022" s="6" t="s">
        <v>3163</v>
      </c>
      <c r="F3022" s="10" t="s">
        <v>44</v>
      </c>
      <c r="G3022" s="6" t="s">
        <v>8936</v>
      </c>
      <c r="H3022" s="8">
        <v>48929</v>
      </c>
      <c r="I3022" s="8">
        <v>45288</v>
      </c>
      <c r="J3022" s="8">
        <v>45288</v>
      </c>
      <c r="L3022" s="95" t="s">
        <v>31</v>
      </c>
      <c r="R3022" s="97" t="str">
        <f t="shared" ref="R3022:R3085" si="110">IF(Q3022&gt;0, Q3022/365, "")</f>
        <v/>
      </c>
      <c r="S3022" s="75" t="str">
        <f t="shared" ref="S3022:S3085" si="111">IF(Q3022&gt;0, SUM(Q3022)*(8259/365), "")</f>
        <v/>
      </c>
      <c r="W3022" s="6" t="s">
        <v>33</v>
      </c>
      <c r="X3022" s="7">
        <v>48929</v>
      </c>
    </row>
    <row r="3023" spans="1:24" x14ac:dyDescent="0.25">
      <c r="A3023" s="6" t="s">
        <v>168</v>
      </c>
      <c r="B3023" s="94" t="s">
        <v>554</v>
      </c>
      <c r="C3023" s="6" t="s">
        <v>8937</v>
      </c>
      <c r="D3023" s="140">
        <v>11926365</v>
      </c>
      <c r="E3023" s="6" t="s">
        <v>1443</v>
      </c>
      <c r="F3023" s="10" t="s">
        <v>44</v>
      </c>
      <c r="G3023" s="6" t="s">
        <v>8938</v>
      </c>
      <c r="H3023" s="8" t="s">
        <v>8939</v>
      </c>
      <c r="R3023" s="97" t="str">
        <f t="shared" si="110"/>
        <v/>
      </c>
      <c r="S3023" s="75" t="str">
        <f t="shared" si="111"/>
        <v/>
      </c>
    </row>
    <row r="3024" spans="1:24" x14ac:dyDescent="0.25">
      <c r="A3024" s="6" t="s">
        <v>168</v>
      </c>
      <c r="B3024" s="94" t="s">
        <v>554</v>
      </c>
      <c r="C3024" s="6" t="s">
        <v>8937</v>
      </c>
      <c r="D3024" s="140">
        <v>11926365</v>
      </c>
      <c r="E3024" s="6" t="s">
        <v>1443</v>
      </c>
      <c r="F3024" s="10" t="s">
        <v>44</v>
      </c>
      <c r="G3024" s="6" t="s">
        <v>8938</v>
      </c>
      <c r="H3024" s="8">
        <v>54810</v>
      </c>
      <c r="I3024" s="8">
        <v>45324</v>
      </c>
      <c r="J3024" s="8">
        <v>45324</v>
      </c>
      <c r="K3024" s="95">
        <v>45335</v>
      </c>
      <c r="L3024" s="95" t="s">
        <v>31</v>
      </c>
      <c r="R3024" s="97" t="str">
        <f t="shared" si="110"/>
        <v/>
      </c>
      <c r="S3024" s="75" t="str">
        <f t="shared" si="111"/>
        <v/>
      </c>
      <c r="W3024" s="6" t="s">
        <v>84</v>
      </c>
      <c r="X3024" s="7">
        <v>45847</v>
      </c>
    </row>
    <row r="3025" spans="1:24" x14ac:dyDescent="0.25">
      <c r="A3025" s="6" t="s">
        <v>25</v>
      </c>
      <c r="B3025" s="94" t="s">
        <v>554</v>
      </c>
      <c r="C3025" s="6" t="s">
        <v>8940</v>
      </c>
      <c r="D3025" s="140">
        <v>10973769</v>
      </c>
      <c r="E3025" s="6" t="s">
        <v>386</v>
      </c>
      <c r="F3025" s="10" t="s">
        <v>44</v>
      </c>
      <c r="G3025" s="6" t="s">
        <v>8941</v>
      </c>
      <c r="H3025" s="8">
        <v>47115</v>
      </c>
      <c r="I3025" s="8">
        <v>45324</v>
      </c>
      <c r="J3025" s="8">
        <v>45324</v>
      </c>
      <c r="K3025" s="95">
        <v>45335</v>
      </c>
      <c r="L3025" s="95" t="s">
        <v>31</v>
      </c>
      <c r="R3025" s="97" t="str">
        <f t="shared" si="110"/>
        <v/>
      </c>
      <c r="S3025" s="75" t="str">
        <f t="shared" si="111"/>
        <v/>
      </c>
      <c r="W3025" s="6" t="s">
        <v>33</v>
      </c>
      <c r="X3025" s="7">
        <v>47115</v>
      </c>
    </row>
    <row r="3026" spans="1:24" x14ac:dyDescent="0.25">
      <c r="A3026" s="6" t="s">
        <v>37</v>
      </c>
      <c r="B3026" s="94" t="s">
        <v>8942</v>
      </c>
      <c r="C3026" s="6" t="s">
        <v>8943</v>
      </c>
      <c r="D3026" s="140">
        <v>11337907</v>
      </c>
      <c r="E3026" s="6" t="s">
        <v>8693</v>
      </c>
      <c r="F3026" s="10" t="s">
        <v>44</v>
      </c>
      <c r="G3026" s="6" t="s">
        <v>8944</v>
      </c>
      <c r="H3026" s="8">
        <v>45976</v>
      </c>
      <c r="I3026" s="8">
        <v>45324</v>
      </c>
      <c r="J3026" s="8">
        <v>45324</v>
      </c>
      <c r="K3026" s="95">
        <v>45335</v>
      </c>
      <c r="L3026" s="95" t="s">
        <v>31</v>
      </c>
      <c r="R3026" s="97" t="str">
        <f t="shared" si="110"/>
        <v/>
      </c>
      <c r="S3026" s="75" t="str">
        <f t="shared" si="111"/>
        <v/>
      </c>
      <c r="W3026" s="6" t="s">
        <v>33</v>
      </c>
      <c r="X3026" s="7">
        <v>45547</v>
      </c>
    </row>
    <row r="3027" spans="1:24" x14ac:dyDescent="0.25">
      <c r="A3027" s="6" t="s">
        <v>25</v>
      </c>
      <c r="B3027" s="94" t="s">
        <v>8448</v>
      </c>
      <c r="C3027" s="6" t="s">
        <v>8945</v>
      </c>
      <c r="D3027" s="140">
        <v>11612046</v>
      </c>
      <c r="E3027" s="6" t="s">
        <v>1082</v>
      </c>
      <c r="F3027" s="10" t="s">
        <v>134</v>
      </c>
      <c r="G3027" s="6" t="s">
        <v>8946</v>
      </c>
      <c r="H3027" s="8">
        <v>47731</v>
      </c>
      <c r="I3027" s="8">
        <v>45324</v>
      </c>
      <c r="J3027" s="8">
        <v>45324</v>
      </c>
      <c r="K3027" s="95">
        <v>45335</v>
      </c>
      <c r="L3027" s="95" t="s">
        <v>31</v>
      </c>
      <c r="R3027" s="97" t="str">
        <f t="shared" si="110"/>
        <v/>
      </c>
      <c r="S3027" s="75" t="str">
        <f t="shared" si="111"/>
        <v/>
      </c>
      <c r="W3027" s="6" t="s">
        <v>33</v>
      </c>
      <c r="X3027" s="7">
        <v>47731</v>
      </c>
    </row>
    <row r="3028" spans="1:24" x14ac:dyDescent="0.25">
      <c r="A3028" s="6" t="s">
        <v>37</v>
      </c>
      <c r="B3028" s="94" t="s">
        <v>8947</v>
      </c>
      <c r="C3028" s="6" t="s">
        <v>8948</v>
      </c>
      <c r="D3028" s="140">
        <v>11282209</v>
      </c>
      <c r="E3028" s="6" t="s">
        <v>1156</v>
      </c>
      <c r="F3028" s="10" t="s">
        <v>205</v>
      </c>
      <c r="G3028" s="6" t="s">
        <v>8949</v>
      </c>
      <c r="H3028" s="8">
        <v>47162</v>
      </c>
      <c r="I3028" s="8">
        <v>45327</v>
      </c>
      <c r="J3028" s="8">
        <v>45327</v>
      </c>
      <c r="K3028" s="95">
        <v>45335</v>
      </c>
      <c r="L3028" s="95" t="s">
        <v>31</v>
      </c>
      <c r="R3028" s="97" t="str">
        <f t="shared" si="110"/>
        <v/>
      </c>
      <c r="S3028" s="75" t="str">
        <f t="shared" si="111"/>
        <v/>
      </c>
      <c r="W3028" s="6" t="s">
        <v>33</v>
      </c>
      <c r="X3028" s="7">
        <v>45508</v>
      </c>
    </row>
    <row r="3029" spans="1:24" x14ac:dyDescent="0.25">
      <c r="A3029" s="6" t="s">
        <v>25</v>
      </c>
      <c r="B3029" s="94" t="s">
        <v>8950</v>
      </c>
      <c r="C3029" s="6" t="s">
        <v>8951</v>
      </c>
      <c r="D3029" s="140">
        <v>11226307</v>
      </c>
      <c r="E3029" s="6" t="s">
        <v>8952</v>
      </c>
      <c r="F3029" s="10" t="s">
        <v>44</v>
      </c>
      <c r="G3029" s="6" t="s">
        <v>8953</v>
      </c>
      <c r="H3029" s="8">
        <v>48665</v>
      </c>
      <c r="I3029" s="8">
        <v>45324</v>
      </c>
      <c r="J3029" s="8">
        <v>45324</v>
      </c>
      <c r="K3029" s="95">
        <v>45335</v>
      </c>
      <c r="L3029" s="95" t="s">
        <v>31</v>
      </c>
      <c r="R3029" s="97" t="str">
        <f t="shared" si="110"/>
        <v/>
      </c>
      <c r="S3029" s="75" t="str">
        <f t="shared" si="111"/>
        <v/>
      </c>
      <c r="W3029" s="6" t="s">
        <v>33</v>
      </c>
      <c r="X3029" s="7">
        <v>46924</v>
      </c>
    </row>
    <row r="3030" spans="1:24" x14ac:dyDescent="0.25">
      <c r="A3030" s="6" t="s">
        <v>168</v>
      </c>
      <c r="B3030" s="94" t="s">
        <v>1958</v>
      </c>
      <c r="C3030" s="6" t="s">
        <v>8954</v>
      </c>
      <c r="D3030" s="140">
        <v>10993536</v>
      </c>
      <c r="E3030" s="6" t="s">
        <v>304</v>
      </c>
      <c r="F3030" s="10" t="s">
        <v>44</v>
      </c>
      <c r="G3030" s="6" t="s">
        <v>8955</v>
      </c>
      <c r="H3030" s="8">
        <v>51364</v>
      </c>
      <c r="I3030" s="8">
        <v>45324</v>
      </c>
      <c r="J3030" s="8">
        <v>45324</v>
      </c>
      <c r="K3030" s="95">
        <v>45335</v>
      </c>
      <c r="L3030" s="95" t="s">
        <v>31</v>
      </c>
      <c r="R3030" s="97" t="str">
        <f t="shared" si="110"/>
        <v/>
      </c>
      <c r="S3030" s="75" t="str">
        <f t="shared" si="111"/>
        <v/>
      </c>
      <c r="W3030" s="6" t="s">
        <v>84</v>
      </c>
      <c r="X3030" s="7">
        <v>47398</v>
      </c>
    </row>
    <row r="3031" spans="1:24" x14ac:dyDescent="0.25">
      <c r="A3031" s="6" t="s">
        <v>168</v>
      </c>
      <c r="B3031" s="94" t="s">
        <v>1479</v>
      </c>
      <c r="C3031" s="6" t="s">
        <v>8956</v>
      </c>
      <c r="D3031" s="140">
        <v>11614116</v>
      </c>
      <c r="E3031" s="6" t="s">
        <v>318</v>
      </c>
      <c r="F3031" s="10" t="s">
        <v>44</v>
      </c>
      <c r="G3031" s="6" t="s">
        <v>8957</v>
      </c>
      <c r="H3031" s="8">
        <v>51425</v>
      </c>
      <c r="I3031" s="8">
        <v>45324</v>
      </c>
      <c r="J3031" s="8">
        <v>45324</v>
      </c>
      <c r="K3031" s="95">
        <v>45335</v>
      </c>
      <c r="L3031" s="95" t="s">
        <v>31</v>
      </c>
      <c r="R3031" s="97" t="str">
        <f t="shared" si="110"/>
        <v/>
      </c>
      <c r="S3031" s="75" t="str">
        <f t="shared" si="111"/>
        <v/>
      </c>
      <c r="W3031" s="6" t="s">
        <v>84</v>
      </c>
      <c r="X3031" s="7">
        <v>45511</v>
      </c>
    </row>
    <row r="3032" spans="1:24" x14ac:dyDescent="0.25">
      <c r="A3032" s="6" t="s">
        <v>168</v>
      </c>
      <c r="B3032" s="94" t="s">
        <v>2428</v>
      </c>
      <c r="C3032" s="6" t="s">
        <v>8958</v>
      </c>
      <c r="D3032" s="140">
        <v>11345321</v>
      </c>
      <c r="E3032" s="6" t="s">
        <v>8959</v>
      </c>
      <c r="F3032" s="10" t="s">
        <v>44</v>
      </c>
      <c r="G3032" s="6" t="s">
        <v>8960</v>
      </c>
      <c r="H3032" s="8">
        <v>49324</v>
      </c>
      <c r="I3032" s="8">
        <v>45324</v>
      </c>
      <c r="J3032" s="8">
        <v>45324</v>
      </c>
      <c r="K3032" s="95">
        <v>45335</v>
      </c>
      <c r="L3032" s="95" t="s">
        <v>31</v>
      </c>
      <c r="R3032" s="97" t="str">
        <f t="shared" si="110"/>
        <v/>
      </c>
      <c r="S3032" s="75" t="str">
        <f t="shared" si="111"/>
        <v/>
      </c>
      <c r="W3032" s="6" t="s">
        <v>33</v>
      </c>
      <c r="X3032" s="7">
        <v>47783</v>
      </c>
    </row>
    <row r="3033" spans="1:24" x14ac:dyDescent="0.25">
      <c r="A3033" s="6" t="s">
        <v>25</v>
      </c>
      <c r="B3033" s="94" t="s">
        <v>890</v>
      </c>
      <c r="C3033" s="6" t="s">
        <v>8961</v>
      </c>
      <c r="D3033" s="140">
        <v>11985599</v>
      </c>
      <c r="E3033" s="6" t="s">
        <v>409</v>
      </c>
      <c r="F3033" s="10" t="s">
        <v>44</v>
      </c>
      <c r="G3033" s="6">
        <v>2013013322</v>
      </c>
      <c r="H3033" s="8">
        <v>47016</v>
      </c>
      <c r="I3033" s="8">
        <v>45324</v>
      </c>
      <c r="J3033" s="8">
        <v>45324</v>
      </c>
      <c r="K3033" s="95">
        <v>45639</v>
      </c>
      <c r="L3033" s="95" t="s">
        <v>31</v>
      </c>
      <c r="R3033" s="97" t="str">
        <f t="shared" si="110"/>
        <v/>
      </c>
      <c r="S3033" s="75" t="str">
        <f t="shared" si="111"/>
        <v/>
      </c>
      <c r="W3033" s="6" t="s">
        <v>33</v>
      </c>
      <c r="X3033" s="7">
        <v>47016</v>
      </c>
    </row>
    <row r="3034" spans="1:24" x14ac:dyDescent="0.25">
      <c r="A3034" s="6" t="s">
        <v>168</v>
      </c>
      <c r="B3034" s="94" t="s">
        <v>2903</v>
      </c>
      <c r="C3034" s="6" t="s">
        <v>8962</v>
      </c>
      <c r="D3034" s="140">
        <v>11339604</v>
      </c>
      <c r="E3034" s="6" t="s">
        <v>318</v>
      </c>
      <c r="F3034" s="10" t="s">
        <v>1334</v>
      </c>
      <c r="G3034" s="6" t="s">
        <v>8963</v>
      </c>
      <c r="H3034" s="8">
        <v>46797</v>
      </c>
      <c r="I3034" s="8">
        <v>45324</v>
      </c>
      <c r="J3034" s="8">
        <v>45324</v>
      </c>
      <c r="K3034" s="95">
        <v>45335</v>
      </c>
      <c r="L3034" s="95" t="s">
        <v>31</v>
      </c>
      <c r="R3034" s="97" t="str">
        <f t="shared" si="110"/>
        <v/>
      </c>
      <c r="S3034" s="75" t="str">
        <f t="shared" si="111"/>
        <v/>
      </c>
      <c r="W3034" s="6" t="s">
        <v>84</v>
      </c>
      <c r="X3034" s="7">
        <v>46797</v>
      </c>
    </row>
    <row r="3035" spans="1:24" x14ac:dyDescent="0.25">
      <c r="A3035" s="6" t="s">
        <v>168</v>
      </c>
      <c r="B3035" s="94" t="s">
        <v>6393</v>
      </c>
      <c r="C3035" s="6" t="s">
        <v>6825</v>
      </c>
      <c r="D3035" s="140">
        <v>11055038</v>
      </c>
      <c r="E3035" s="6" t="s">
        <v>1927</v>
      </c>
      <c r="F3035" s="10" t="s">
        <v>1225</v>
      </c>
      <c r="G3035" s="6" t="s">
        <v>6826</v>
      </c>
      <c r="H3035" s="8">
        <v>47565</v>
      </c>
      <c r="I3035" s="8">
        <v>45324</v>
      </c>
      <c r="J3035" s="8">
        <v>45324</v>
      </c>
      <c r="K3035" s="95">
        <v>45335</v>
      </c>
      <c r="L3035" s="95" t="s">
        <v>31</v>
      </c>
      <c r="R3035" s="97" t="str">
        <f t="shared" si="110"/>
        <v/>
      </c>
      <c r="S3035" s="75" t="str">
        <f t="shared" si="111"/>
        <v/>
      </c>
      <c r="W3035" s="6" t="s">
        <v>33</v>
      </c>
      <c r="X3035" s="7">
        <v>47565</v>
      </c>
    </row>
    <row r="3036" spans="1:24" x14ac:dyDescent="0.25">
      <c r="A3036" s="6" t="s">
        <v>168</v>
      </c>
      <c r="B3036" s="94" t="s">
        <v>8964</v>
      </c>
      <c r="C3036" s="6" t="s">
        <v>8965</v>
      </c>
      <c r="D3036" s="140">
        <v>11232247</v>
      </c>
      <c r="E3036" s="6" t="s">
        <v>382</v>
      </c>
      <c r="F3036" s="10" t="s">
        <v>44</v>
      </c>
      <c r="G3036" s="6" t="s">
        <v>8966</v>
      </c>
      <c r="H3036" s="8">
        <v>46294</v>
      </c>
      <c r="L3036" s="95" t="s">
        <v>359</v>
      </c>
      <c r="R3036" s="97" t="str">
        <f t="shared" si="110"/>
        <v/>
      </c>
      <c r="S3036" s="75" t="str">
        <f t="shared" si="111"/>
        <v/>
      </c>
    </row>
    <row r="3037" spans="1:24" x14ac:dyDescent="0.25">
      <c r="A3037" s="6" t="s">
        <v>25</v>
      </c>
      <c r="B3037" s="94" t="s">
        <v>8521</v>
      </c>
      <c r="C3037" s="6" t="s">
        <v>8522</v>
      </c>
      <c r="D3037" s="140">
        <v>11484996</v>
      </c>
      <c r="E3037" s="6" t="s">
        <v>1064</v>
      </c>
      <c r="F3037" s="10" t="s">
        <v>44</v>
      </c>
      <c r="G3037" s="6" t="s">
        <v>8523</v>
      </c>
      <c r="H3037" s="8">
        <v>46013</v>
      </c>
      <c r="I3037" s="8">
        <v>44973</v>
      </c>
      <c r="J3037" s="8">
        <v>44973</v>
      </c>
      <c r="K3037" s="95">
        <v>44978</v>
      </c>
      <c r="L3037" s="95" t="s">
        <v>31</v>
      </c>
      <c r="M3037" s="8">
        <v>44978</v>
      </c>
      <c r="N3037" s="8">
        <v>45324</v>
      </c>
      <c r="O3037" s="8">
        <v>45313</v>
      </c>
      <c r="P3037" s="6" t="s">
        <v>90</v>
      </c>
      <c r="Q3037" s="96">
        <v>2190</v>
      </c>
      <c r="R3037" s="97">
        <f t="shared" si="110"/>
        <v>6</v>
      </c>
      <c r="S3037" s="75">
        <f t="shared" si="111"/>
        <v>49554</v>
      </c>
      <c r="T3037" s="124" t="s">
        <v>8967</v>
      </c>
      <c r="U3037" s="8">
        <v>45348</v>
      </c>
      <c r="V3037" s="6" t="s">
        <v>36</v>
      </c>
      <c r="W3037" s="6" t="s">
        <v>33</v>
      </c>
      <c r="X3037" s="7">
        <v>46090</v>
      </c>
    </row>
    <row r="3038" spans="1:24" x14ac:dyDescent="0.25">
      <c r="A3038" s="6" t="s">
        <v>25</v>
      </c>
      <c r="B3038" s="94" t="s">
        <v>870</v>
      </c>
      <c r="C3038" s="6" t="s">
        <v>8695</v>
      </c>
      <c r="D3038" s="140">
        <v>11484996</v>
      </c>
      <c r="E3038" s="6" t="s">
        <v>2454</v>
      </c>
      <c r="F3038" s="10" t="s">
        <v>44</v>
      </c>
      <c r="G3038" s="6" t="s">
        <v>8696</v>
      </c>
      <c r="H3038" s="8">
        <v>45744</v>
      </c>
      <c r="I3038" s="8">
        <v>45085</v>
      </c>
      <c r="J3038" s="8">
        <v>45085</v>
      </c>
      <c r="K3038" s="95">
        <v>45091</v>
      </c>
      <c r="L3038" s="95" t="s">
        <v>31</v>
      </c>
      <c r="N3038" s="8">
        <v>45335</v>
      </c>
      <c r="O3038" s="8">
        <v>45315</v>
      </c>
      <c r="P3038" s="6" t="s">
        <v>35</v>
      </c>
      <c r="Q3038" s="96">
        <v>8030</v>
      </c>
      <c r="R3038" s="97">
        <f t="shared" si="110"/>
        <v>22</v>
      </c>
      <c r="S3038" s="75">
        <f t="shared" si="111"/>
        <v>181698</v>
      </c>
      <c r="U3038" s="8">
        <v>45348</v>
      </c>
      <c r="W3038" s="6" t="s">
        <v>33</v>
      </c>
      <c r="X3038" s="7">
        <v>45744</v>
      </c>
    </row>
    <row r="3039" spans="1:24" x14ac:dyDescent="0.25">
      <c r="A3039" s="6" t="s">
        <v>25</v>
      </c>
      <c r="B3039" s="94" t="s">
        <v>8968</v>
      </c>
      <c r="C3039" s="6" t="s">
        <v>8969</v>
      </c>
      <c r="D3039" s="140">
        <v>11704184</v>
      </c>
      <c r="E3039" s="6" t="s">
        <v>1236</v>
      </c>
      <c r="F3039" s="10" t="s">
        <v>57</v>
      </c>
      <c r="G3039" s="6" t="s">
        <v>8970</v>
      </c>
      <c r="H3039" s="8">
        <v>45057</v>
      </c>
      <c r="I3039" s="8">
        <v>45271</v>
      </c>
      <c r="J3039" s="8">
        <v>45271</v>
      </c>
      <c r="K3039" s="95">
        <v>45274</v>
      </c>
      <c r="L3039" s="95" t="s">
        <v>31</v>
      </c>
      <c r="N3039" s="8">
        <v>45327</v>
      </c>
      <c r="O3039" s="8">
        <v>45310</v>
      </c>
      <c r="P3039" s="6" t="s">
        <v>90</v>
      </c>
      <c r="Q3039" s="96">
        <v>1825</v>
      </c>
      <c r="R3039" s="97">
        <f t="shared" si="110"/>
        <v>5</v>
      </c>
      <c r="S3039" s="75">
        <f t="shared" si="111"/>
        <v>41295</v>
      </c>
      <c r="T3039" s="124" t="s">
        <v>8971</v>
      </c>
      <c r="U3039" s="8">
        <v>45348</v>
      </c>
      <c r="V3039" s="6" t="s">
        <v>36</v>
      </c>
      <c r="W3039" s="6" t="s">
        <v>33</v>
      </c>
      <c r="X3039" s="7">
        <v>45057</v>
      </c>
    </row>
    <row r="3040" spans="1:24" x14ac:dyDescent="0.25">
      <c r="R3040" s="97" t="str">
        <f t="shared" si="110"/>
        <v/>
      </c>
      <c r="S3040" s="75" t="str">
        <f t="shared" si="111"/>
        <v/>
      </c>
    </row>
    <row r="3041" spans="18:19" x14ac:dyDescent="0.25">
      <c r="R3041" s="97" t="str">
        <f t="shared" si="110"/>
        <v/>
      </c>
      <c r="S3041" s="75" t="str">
        <f t="shared" si="111"/>
        <v/>
      </c>
    </row>
    <row r="3042" spans="18:19" x14ac:dyDescent="0.25">
      <c r="R3042" s="97" t="str">
        <f t="shared" si="110"/>
        <v/>
      </c>
      <c r="S3042" s="75" t="str">
        <f t="shared" si="111"/>
        <v/>
      </c>
    </row>
    <row r="3043" spans="18:19" x14ac:dyDescent="0.25">
      <c r="R3043" s="97" t="str">
        <f t="shared" si="110"/>
        <v/>
      </c>
      <c r="S3043" s="75" t="str">
        <f t="shared" si="111"/>
        <v/>
      </c>
    </row>
    <row r="3044" spans="18:19" x14ac:dyDescent="0.25">
      <c r="R3044" s="97" t="str">
        <f t="shared" si="110"/>
        <v/>
      </c>
      <c r="S3044" s="75" t="str">
        <f t="shared" si="111"/>
        <v/>
      </c>
    </row>
    <row r="3045" spans="18:19" x14ac:dyDescent="0.25">
      <c r="R3045" s="97" t="str">
        <f t="shared" si="110"/>
        <v/>
      </c>
      <c r="S3045" s="75" t="str">
        <f t="shared" si="111"/>
        <v/>
      </c>
    </row>
    <row r="3046" spans="18:19" x14ac:dyDescent="0.25">
      <c r="R3046" s="97" t="str">
        <f t="shared" si="110"/>
        <v/>
      </c>
      <c r="S3046" s="75" t="str">
        <f t="shared" si="111"/>
        <v/>
      </c>
    </row>
    <row r="3047" spans="18:19" x14ac:dyDescent="0.25">
      <c r="R3047" s="97" t="str">
        <f t="shared" si="110"/>
        <v/>
      </c>
      <c r="S3047" s="75" t="str">
        <f t="shared" si="111"/>
        <v/>
      </c>
    </row>
    <row r="3048" spans="18:19" x14ac:dyDescent="0.25">
      <c r="R3048" s="97" t="str">
        <f t="shared" si="110"/>
        <v/>
      </c>
      <c r="S3048" s="75" t="str">
        <f t="shared" si="111"/>
        <v/>
      </c>
    </row>
    <row r="3049" spans="18:19" x14ac:dyDescent="0.25">
      <c r="R3049" s="97" t="str">
        <f t="shared" si="110"/>
        <v/>
      </c>
      <c r="S3049" s="75" t="str">
        <f t="shared" si="111"/>
        <v/>
      </c>
    </row>
    <row r="3050" spans="18:19" x14ac:dyDescent="0.25">
      <c r="R3050" s="97" t="str">
        <f t="shared" si="110"/>
        <v/>
      </c>
      <c r="S3050" s="75" t="str">
        <f t="shared" si="111"/>
        <v/>
      </c>
    </row>
    <row r="3051" spans="18:19" x14ac:dyDescent="0.25">
      <c r="R3051" s="97" t="str">
        <f t="shared" si="110"/>
        <v/>
      </c>
      <c r="S3051" s="75" t="str">
        <f t="shared" si="111"/>
        <v/>
      </c>
    </row>
    <row r="3052" spans="18:19" x14ac:dyDescent="0.25">
      <c r="R3052" s="97" t="str">
        <f t="shared" si="110"/>
        <v/>
      </c>
      <c r="S3052" s="75" t="str">
        <f t="shared" si="111"/>
        <v/>
      </c>
    </row>
    <row r="3053" spans="18:19" x14ac:dyDescent="0.25">
      <c r="R3053" s="97" t="str">
        <f t="shared" si="110"/>
        <v/>
      </c>
      <c r="S3053" s="75" t="str">
        <f t="shared" si="111"/>
        <v/>
      </c>
    </row>
    <row r="3054" spans="18:19" x14ac:dyDescent="0.25">
      <c r="R3054" s="97" t="str">
        <f t="shared" si="110"/>
        <v/>
      </c>
      <c r="S3054" s="75" t="str">
        <f t="shared" si="111"/>
        <v/>
      </c>
    </row>
    <row r="3055" spans="18:19" x14ac:dyDescent="0.25">
      <c r="R3055" s="97" t="str">
        <f t="shared" si="110"/>
        <v/>
      </c>
      <c r="S3055" s="75" t="str">
        <f t="shared" si="111"/>
        <v/>
      </c>
    </row>
    <row r="3056" spans="18:19" x14ac:dyDescent="0.25">
      <c r="R3056" s="97" t="str">
        <f t="shared" si="110"/>
        <v/>
      </c>
      <c r="S3056" s="75" t="str">
        <f t="shared" si="111"/>
        <v/>
      </c>
    </row>
    <row r="3057" spans="18:19" x14ac:dyDescent="0.25">
      <c r="R3057" s="97" t="str">
        <f t="shared" si="110"/>
        <v/>
      </c>
      <c r="S3057" s="75" t="str">
        <f t="shared" si="111"/>
        <v/>
      </c>
    </row>
    <row r="3058" spans="18:19" x14ac:dyDescent="0.25">
      <c r="R3058" s="97" t="str">
        <f t="shared" si="110"/>
        <v/>
      </c>
      <c r="S3058" s="75" t="str">
        <f t="shared" si="111"/>
        <v/>
      </c>
    </row>
    <row r="3059" spans="18:19" x14ac:dyDescent="0.25">
      <c r="R3059" s="97" t="str">
        <f t="shared" si="110"/>
        <v/>
      </c>
      <c r="S3059" s="75" t="str">
        <f t="shared" si="111"/>
        <v/>
      </c>
    </row>
    <row r="3060" spans="18:19" x14ac:dyDescent="0.25">
      <c r="R3060" s="97" t="str">
        <f t="shared" si="110"/>
        <v/>
      </c>
      <c r="S3060" s="75" t="str">
        <f t="shared" si="111"/>
        <v/>
      </c>
    </row>
    <row r="3061" spans="18:19" x14ac:dyDescent="0.25">
      <c r="R3061" s="97" t="str">
        <f t="shared" si="110"/>
        <v/>
      </c>
      <c r="S3061" s="75" t="str">
        <f t="shared" si="111"/>
        <v/>
      </c>
    </row>
    <row r="3062" spans="18:19" x14ac:dyDescent="0.25">
      <c r="R3062" s="97" t="str">
        <f t="shared" si="110"/>
        <v/>
      </c>
      <c r="S3062" s="75" t="str">
        <f t="shared" si="111"/>
        <v/>
      </c>
    </row>
    <row r="3063" spans="18:19" x14ac:dyDescent="0.25">
      <c r="R3063" s="97" t="str">
        <f t="shared" si="110"/>
        <v/>
      </c>
      <c r="S3063" s="75" t="str">
        <f t="shared" si="111"/>
        <v/>
      </c>
    </row>
    <row r="3064" spans="18:19" x14ac:dyDescent="0.25">
      <c r="R3064" s="97" t="str">
        <f t="shared" si="110"/>
        <v/>
      </c>
      <c r="S3064" s="75" t="str">
        <f t="shared" si="111"/>
        <v/>
      </c>
    </row>
    <row r="3065" spans="18:19" x14ac:dyDescent="0.25">
      <c r="R3065" s="97" t="str">
        <f t="shared" si="110"/>
        <v/>
      </c>
      <c r="S3065" s="75" t="str">
        <f t="shared" si="111"/>
        <v/>
      </c>
    </row>
    <row r="3066" spans="18:19" x14ac:dyDescent="0.25">
      <c r="R3066" s="97" t="str">
        <f t="shared" si="110"/>
        <v/>
      </c>
      <c r="S3066" s="75" t="str">
        <f t="shared" si="111"/>
        <v/>
      </c>
    </row>
    <row r="3067" spans="18:19" x14ac:dyDescent="0.25">
      <c r="R3067" s="97" t="str">
        <f t="shared" si="110"/>
        <v/>
      </c>
      <c r="S3067" s="75" t="str">
        <f t="shared" si="111"/>
        <v/>
      </c>
    </row>
    <row r="3068" spans="18:19" x14ac:dyDescent="0.25">
      <c r="R3068" s="97" t="str">
        <f t="shared" si="110"/>
        <v/>
      </c>
      <c r="S3068" s="75" t="str">
        <f t="shared" si="111"/>
        <v/>
      </c>
    </row>
    <row r="3069" spans="18:19" x14ac:dyDescent="0.25">
      <c r="R3069" s="97" t="str">
        <f t="shared" si="110"/>
        <v/>
      </c>
      <c r="S3069" s="75" t="str">
        <f t="shared" si="111"/>
        <v/>
      </c>
    </row>
    <row r="3070" spans="18:19" x14ac:dyDescent="0.25">
      <c r="R3070" s="97" t="str">
        <f t="shared" si="110"/>
        <v/>
      </c>
      <c r="S3070" s="75" t="str">
        <f t="shared" si="111"/>
        <v/>
      </c>
    </row>
    <row r="3071" spans="18:19" x14ac:dyDescent="0.25">
      <c r="R3071" s="97" t="str">
        <f t="shared" si="110"/>
        <v/>
      </c>
      <c r="S3071" s="75" t="str">
        <f t="shared" si="111"/>
        <v/>
      </c>
    </row>
    <row r="3072" spans="18:19" x14ac:dyDescent="0.25">
      <c r="R3072" s="97" t="str">
        <f t="shared" si="110"/>
        <v/>
      </c>
      <c r="S3072" s="75" t="str">
        <f t="shared" si="111"/>
        <v/>
      </c>
    </row>
    <row r="3073" spans="18:19" x14ac:dyDescent="0.25">
      <c r="R3073" s="97" t="str">
        <f t="shared" si="110"/>
        <v/>
      </c>
      <c r="S3073" s="75" t="str">
        <f t="shared" si="111"/>
        <v/>
      </c>
    </row>
    <row r="3074" spans="18:19" x14ac:dyDescent="0.25">
      <c r="R3074" s="97" t="str">
        <f t="shared" si="110"/>
        <v/>
      </c>
      <c r="S3074" s="75" t="str">
        <f t="shared" si="111"/>
        <v/>
      </c>
    </row>
    <row r="3075" spans="18:19" x14ac:dyDescent="0.25">
      <c r="R3075" s="97" t="str">
        <f t="shared" si="110"/>
        <v/>
      </c>
      <c r="S3075" s="75" t="str">
        <f t="shared" si="111"/>
        <v/>
      </c>
    </row>
    <row r="3076" spans="18:19" x14ac:dyDescent="0.25">
      <c r="R3076" s="97" t="str">
        <f t="shared" si="110"/>
        <v/>
      </c>
      <c r="S3076" s="75" t="str">
        <f t="shared" si="111"/>
        <v/>
      </c>
    </row>
    <row r="3077" spans="18:19" x14ac:dyDescent="0.25">
      <c r="R3077" s="97" t="str">
        <f t="shared" si="110"/>
        <v/>
      </c>
      <c r="S3077" s="75" t="str">
        <f t="shared" si="111"/>
        <v/>
      </c>
    </row>
    <row r="3078" spans="18:19" x14ac:dyDescent="0.25">
      <c r="R3078" s="97" t="str">
        <f t="shared" si="110"/>
        <v/>
      </c>
      <c r="S3078" s="75" t="str">
        <f t="shared" si="111"/>
        <v/>
      </c>
    </row>
    <row r="3079" spans="18:19" x14ac:dyDescent="0.25">
      <c r="R3079" s="97" t="str">
        <f t="shared" si="110"/>
        <v/>
      </c>
      <c r="S3079" s="75" t="str">
        <f t="shared" si="111"/>
        <v/>
      </c>
    </row>
    <row r="3080" spans="18:19" x14ac:dyDescent="0.25">
      <c r="R3080" s="97" t="str">
        <f t="shared" si="110"/>
        <v/>
      </c>
      <c r="S3080" s="75" t="str">
        <f t="shared" si="111"/>
        <v/>
      </c>
    </row>
    <row r="3081" spans="18:19" x14ac:dyDescent="0.25">
      <c r="R3081" s="97" t="str">
        <f t="shared" si="110"/>
        <v/>
      </c>
      <c r="S3081" s="75" t="str">
        <f t="shared" si="111"/>
        <v/>
      </c>
    </row>
    <row r="3082" spans="18:19" x14ac:dyDescent="0.25">
      <c r="R3082" s="97" t="str">
        <f t="shared" si="110"/>
        <v/>
      </c>
      <c r="S3082" s="75" t="str">
        <f t="shared" si="111"/>
        <v/>
      </c>
    </row>
    <row r="3083" spans="18:19" x14ac:dyDescent="0.25">
      <c r="R3083" s="97" t="str">
        <f t="shared" si="110"/>
        <v/>
      </c>
      <c r="S3083" s="75" t="str">
        <f t="shared" si="111"/>
        <v/>
      </c>
    </row>
    <row r="3084" spans="18:19" x14ac:dyDescent="0.25">
      <c r="R3084" s="97" t="str">
        <f t="shared" si="110"/>
        <v/>
      </c>
      <c r="S3084" s="75" t="str">
        <f t="shared" si="111"/>
        <v/>
      </c>
    </row>
    <row r="3085" spans="18:19" x14ac:dyDescent="0.25">
      <c r="R3085" s="97" t="str">
        <f t="shared" si="110"/>
        <v/>
      </c>
      <c r="S3085" s="75" t="str">
        <f t="shared" si="111"/>
        <v/>
      </c>
    </row>
    <row r="3086" spans="18:19" x14ac:dyDescent="0.25">
      <c r="R3086" s="97" t="str">
        <f t="shared" ref="R3086" si="112">IF(Q3086&gt;0, Q3086/365, "")</f>
        <v/>
      </c>
      <c r="S3086" s="75" t="str">
        <f t="shared" ref="S3086" si="113">IF(Q3086&gt;0, SUM(Q3086)*(8259/365), "")</f>
        <v/>
      </c>
    </row>
    <row r="1048362" spans="11:11" x14ac:dyDescent="0.25">
      <c r="K1048362" s="95">
        <v>44557</v>
      </c>
    </row>
  </sheetData>
  <autoFilter ref="A1:X3086" xr:uid="{00000000-0001-0000-0000-000000000000}"/>
  <sortState xmlns:xlrd2="http://schemas.microsoft.com/office/spreadsheetml/2017/richdata2" ref="A2:V2000">
    <sortCondition ref="I2"/>
  </sortState>
  <conditionalFormatting sqref="C1294">
    <cfRule type="duplicateValues" dxfId="27" priority="32"/>
  </conditionalFormatting>
  <conditionalFormatting sqref="C1430">
    <cfRule type="duplicateValues" dxfId="26" priority="30"/>
  </conditionalFormatting>
  <conditionalFormatting sqref="C1437">
    <cfRule type="duplicateValues" dxfId="25" priority="28"/>
  </conditionalFormatting>
  <conditionalFormatting sqref="C2007">
    <cfRule type="duplicateValues" dxfId="24" priority="21"/>
  </conditionalFormatting>
  <conditionalFormatting sqref="C2126">
    <cfRule type="duplicateValues" dxfId="23" priority="16"/>
  </conditionalFormatting>
  <conditionalFormatting sqref="C2212">
    <cfRule type="duplicateValues" dxfId="22" priority="15"/>
  </conditionalFormatting>
  <conditionalFormatting sqref="C2213">
    <cfRule type="duplicateValues" dxfId="21" priority="14"/>
  </conditionalFormatting>
  <conditionalFormatting sqref="C2214:C2215">
    <cfRule type="duplicateValues" dxfId="20" priority="13"/>
  </conditionalFormatting>
  <conditionalFormatting sqref="C2216">
    <cfRule type="duplicateValues" dxfId="19" priority="12"/>
  </conditionalFormatting>
  <conditionalFormatting sqref="C2217:C2218">
    <cfRule type="duplicateValues" dxfId="18" priority="11"/>
  </conditionalFormatting>
  <conditionalFormatting sqref="C2219">
    <cfRule type="duplicateValues" dxfId="17" priority="10"/>
  </conditionalFormatting>
  <conditionalFormatting sqref="C2221">
    <cfRule type="duplicateValues" dxfId="16" priority="9"/>
  </conditionalFormatting>
  <conditionalFormatting sqref="C2527">
    <cfRule type="duplicateValues" dxfId="15" priority="7"/>
  </conditionalFormatting>
  <conditionalFormatting sqref="C2528:C1048576 C2127:C2211 C2008:C2110 C2:C1293 C1295:C1429 C1431:C1436 C1438:C1733 C2112:C2125 C2220 C2222:C2526 C1742:C2006">
    <cfRule type="duplicateValues" dxfId="14" priority="55"/>
  </conditionalFormatting>
  <conditionalFormatting sqref="D1294">
    <cfRule type="duplicateValues" dxfId="13" priority="33"/>
  </conditionalFormatting>
  <conditionalFormatting sqref="D1430">
    <cfRule type="duplicateValues" dxfId="12" priority="31"/>
  </conditionalFormatting>
  <conditionalFormatting sqref="D1437">
    <cfRule type="duplicateValues" dxfId="11" priority="29"/>
  </conditionalFormatting>
  <conditionalFormatting sqref="D2007">
    <cfRule type="duplicateValues" dxfId="10" priority="22"/>
  </conditionalFormatting>
  <conditionalFormatting sqref="D2124">
    <cfRule type="duplicateValues" dxfId="9" priority="18"/>
  </conditionalFormatting>
  <conditionalFormatting sqref="D2126">
    <cfRule type="duplicateValues" dxfId="8" priority="17"/>
  </conditionalFormatting>
  <conditionalFormatting sqref="D2527">
    <cfRule type="duplicateValues" dxfId="7" priority="8"/>
  </conditionalFormatting>
  <conditionalFormatting sqref="D2528:D2804 D2806:D1048576 E2805 D2127:D2227 D2008:D2123 D1742:D1835 D2:D984 G985 D986:D1293 D1295:D1429 D1431:D1436 D1438:D1733 D1837:D1838 D1840:D2006 D2125 D2229:D2526">
    <cfRule type="duplicateValues" dxfId="6" priority="60"/>
  </conditionalFormatting>
  <conditionalFormatting sqref="G977">
    <cfRule type="duplicateValues" dxfId="5" priority="34"/>
  </conditionalFormatting>
  <conditionalFormatting sqref="G2723">
    <cfRule type="duplicateValues" dxfId="4" priority="4"/>
  </conditionalFormatting>
  <conditionalFormatting sqref="R2:R982153">
    <cfRule type="expression" dxfId="3" priority="1">
      <formula>_xlfn.ISFORMULA($R2:$R2)</formula>
    </cfRule>
  </conditionalFormatting>
  <conditionalFormatting sqref="R982154:R1048576">
    <cfRule type="expression" dxfId="2" priority="51">
      <formula>_xlfn.ISFORMULA($R982154:$R982155)</formula>
    </cfRule>
  </conditionalFormatting>
  <conditionalFormatting sqref="S2:S982153">
    <cfRule type="expression" dxfId="1" priority="5">
      <formula>_xlfn.ISFORMULA(S2:S2)</formula>
    </cfRule>
  </conditionalFormatting>
  <conditionalFormatting sqref="S982154:S1048576">
    <cfRule type="expression" dxfId="0" priority="54">
      <formula>_xlfn.ISFORMULA(S982154:S982155)</formula>
    </cfRule>
  </conditionalFormatting>
  <printOptions horizontalCentered="1"/>
  <pageMargins left="0" right="0" top="0.5" bottom="0.5" header="0.25" footer="0.25"/>
  <pageSetup paperSize="5" scale="47" fitToHeight="0" orientation="landscape" r:id="rId1"/>
  <headerFooter>
    <oddHeader>&amp;L&amp;D&amp;C&amp;"-,Bold"&amp;12 &amp;14Recall and Resentence Recommendation Program</oddHeader>
    <oddFooter>&amp;CPage &amp;P of &amp;N</oddFooter>
  </headerFooter>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000-000000000000}">
          <x14:formula1>
            <xm:f>'Drop-downs'!$D$2:$D$4</xm:f>
          </x14:formula1>
          <xm:sqref>L1:L907 M908 L909:L1048576</xm:sqref>
        </x14:dataValidation>
        <x14:dataValidation type="list" allowBlank="1" showInputMessage="1" showErrorMessage="1" xr:uid="{00000000-0002-0000-0000-000001000000}">
          <x14:formula1>
            <xm:f>'Drop-downs'!$C$2:$C$59</xm:f>
          </x14:formula1>
          <xm:sqref>F1:F1733 F1742:F3008 F3010:F3015 F3017:F1048576</xm:sqref>
        </x14:dataValidation>
        <x14:dataValidation type="list" allowBlank="1" showInputMessage="1" showErrorMessage="1" xr:uid="{00000000-0002-0000-0000-000002000000}">
          <x14:formula1>
            <xm:f>'Drop-downs'!$B$2:$B$17</xm:f>
          </x14:formula1>
          <xm:sqref>A1:A1733 A1740:A1048576</xm:sqref>
        </x14:dataValidation>
        <x14:dataValidation type="list" allowBlank="1" showInputMessage="1" showErrorMessage="1" xr:uid="{00000000-0002-0000-0000-000003000000}">
          <x14:formula1>
            <xm:f>'Drop-downs'!$E$2:$E$14</xm:f>
          </x14:formula1>
          <xm:sqref>P1:P107 P109:P129 P211:P222 P224:P262 P131:P209 P264:P287 P289:P322 P385:P387 P324:P331 P333 P335 P415:P416 P382:P383 P389:P412 P337:P379 P418 P424:P446 P448:P468 P420:P422 P471:P524 P526:P585 P587:P616 P1911:P1922 P657:P663 P665:P666 P726:P730 P668:P671 P738:P739 P732:P736 P1376:P1394 P741:P745 P748:P765 P767:P771 P773:P778 P780:P784 P786:P831 P833:P834 P837:P838 P840:P849 P851:P862 P1854:P1857 P919:P940 P1653:P1655 P2025:P2026 P1196:P1209 P1211:P1240 P975:P1035 P1242:P1284 P1289:P1295 P1297:P1300 P1286:P1287 P1302:P1330 P1475:P1538 P1332:P1335 P1337:P1342 P1344:P1350 P1396:P1406 P2081:P2093 P1408:P1411 P1414:P1436 P1942:P1961 P1438:P1449 P1451:P1460 P2451 P1657:P1660 P1940 P1730:P1788 P1586:P1591 P883:P917 P1593:P1603 P1605 P1607:P1626 P1540:P1545 P1670:P1728 P1547:P1567 P1628:P1637 P1662:P1666 P1582:P1584 P1104:P1194 P1645:P1651 P1352:P1373 P673:P722 P1462:P1473 P1569:P1580 P1640:P1643 P2008 P1080:P1102 P1967:P1968 P866:P881 P646:P655 P1924:P1927 P864 P2010:P2018 P1936:P1937 P1933:P1934 P1847:P1849 P1832:P1845 P1971:P1972 P1071:P1078 P2066 P2039:P2041 P2043:P2046 P2048:P2049 P2051:P2053 P1929:P1931 P1974:P1984 P2031:P2035 P2028:P2029 P1986:P1988 P1990 P1992 P1994:P1995 P2079 P1859:P1862 P1998:P2001 P2003:P2005 P2020:P2023 P2055:P2062 P2064 P2068:P2077 P2095:P2120 P1037:P1069 P2122:P2151 P1864:P1909 P618:P644 P942:P972 P1851:P1852 P2154:P2215 P1790:P1830 P1963:P1965 P2217:P2232 P2235:P2237 P2239:P2253 P2255:P2266 P2268:P2274 P2277:P2285 P2292:P2293 P2287:P2290 P2295:P2298 P2300:P2317 P2319:P2329 P2331 P2334:P2353 P2357:P2364 P2355 P2366:P2381 P2384:P2395 P2397:P2414 P2416:P2435 P2437:P2449 P2453:P2456 P2458:P2540 P2542:P1048576</xm:sqref>
        </x14:dataValidation>
        <x14:dataValidation type="list" allowBlank="1" showInputMessage="1" showErrorMessage="1" xr:uid="{00000000-0002-0000-0000-000004000000}">
          <x14:formula1>
            <xm:f>'C:\Users\irene.mcclain\Desktop\[asldkfjSLDKJ.xlsx]Drop-downs'!#REF!</xm:f>
          </x14:formula1>
          <xm:sqref>P108</xm:sqref>
        </x14:dataValidation>
        <x14:dataValidation type="list" allowBlank="1" showInputMessage="1" showErrorMessage="1" xr:uid="{00000000-0002-0000-0000-000007000000}">
          <x14:formula1>
            <xm:f>'C:\Users\crystal.tellez\Desktop\[Copy of 1170 (d) Main Tracking Log (003) RESPONSE.xlsx]Drop-downs'!#REF!</xm:f>
          </x14:formula1>
          <xm:sqref>P130</xm:sqref>
        </x14:dataValidation>
        <x14:dataValidation type="list" allowBlank="1" showInputMessage="1" showErrorMessage="1" xr:uid="{00000000-0002-0000-0000-000008000000}">
          <x14:formula1>
            <xm:f>'https://cdcr.sharepoint.com/sites/cdcr_ao_dai_crs/Shared Documents/[1170 (d) Main Tracking Log Reconcile Crystal''s (Autosaved).xlsx]Drop-downs'!#REF!</xm:f>
          </x14:formula1>
          <xm:sqref>P223 P263 P210 P288 P323 P388 P332 P334 P336 P380:P381 P384 P413:P414 P417 P419</xm:sqref>
        </x14:dataValidation>
        <x14:dataValidation type="list" allowBlank="1" showInputMessage="1" showErrorMessage="1" xr:uid="{00000000-0002-0000-0000-000009000000}">
          <x14:formula1>
            <xm:f>'C:\Users\crystal.tellez\AppData\Roaming\Microsoft\Excel\[1170 (d) Main Tracking Log Reconcile Crystal''s (Autosaved) (version 1).xlsb]Drop-downs'!#REF!</xm:f>
          </x14:formula1>
          <xm:sqref>P447 P469:P470 P423 P525 P586 P617 P656 P664 P667 P740 P672 P731 P737 P725 P746:P747 P766 P772 P779 P785 P832 P835:P836 P839 P850 P863 P882 P941 P1079 P2121 P1195 P1210 P1241 P1789 P1639 P1450 P1461 P1395 P1661 P1941 P1585 P1592 P1285 P1296 P1301 P1288 P1331 P1962 P1336 P1343 P1351 P1539 P1407 P1412:P1413 P1437</xm:sqref>
        </x14:dataValidation>
        <x14:dataValidation type="list" allowBlank="1" showInputMessage="1" showErrorMessage="1" xr:uid="{00000000-0002-0000-0000-00000C000000}">
          <x14:formula1>
            <xm:f>'C:\Users\crystal.tellez\Desktop\[1170 (d) Main Tracking Log Reconcile Crystal''s (Autosaved) (Repaired).xlsx]Drop-downs'!#REF!</xm:f>
          </x14:formula1>
          <xm:sqref>P918 P1604 P1606 P1627 P1546 P1656 P1568 P1729 P1638 P1667:P1669 P1652 P1036 P2452 P1374:P1375 P723 P1474 P1581 P1644 P2024 P1103 P974 P2036 P1850 P1858 P2019 P2030 P1993 P2383</xm:sqref>
        </x14:dataValidation>
        <x14:dataValidation type="list" allowBlank="1" showInputMessage="1" showErrorMessage="1" xr:uid="{00000000-0002-0000-0000-00000D000000}">
          <x14:formula1>
            <xm:f>'C:\Users\crystal.tellez\Desktop\[Copy of 1170 (d) Main Tracking Log (003) Selena''s.xlsx]Drop-downs'!#REF!</xm:f>
          </x14:formula1>
          <xm:sqref>P2153 P865 P2027 P1932 P1935 P1969:P1970 P1973 P1939 P2038 P2042 P2047 P2050 P2054 P1070</xm:sqref>
        </x14:dataValidation>
        <x14:dataValidation type="list" allowBlank="1" showInputMessage="1" showErrorMessage="1" xr:uid="{00000000-0002-0000-0000-00000E000000}">
          <x14:formula1>
            <xm:f>'C:\Users\crystal.tellez\Desktop\[Copy of 1170 (d) Main Tracking Log (003).xlsx]Drop-downs'!#REF!</xm:f>
          </x14:formula1>
          <xm:sqref>P1938 P1985 P1989 P1991 P1996:P1997 P2009 P1863 P2002 P2006:P2007 P2063 P2065 P2067 P2450 P2457 P2541 P2037 P2078 P2094 P2080 P724 P1928 P2415 P1923 P2152 P1910 P645 P1846 P1853 P2216 P973 P1831 P1966 P2233:P2234 P2238 P2254 P2267 P2275:P2276 P2286 P2436 P2294 P2291 P2299 P2318 P2330 P2332:P2333 P2354 P2365 P2356 P2382 P2396</xm:sqref>
        </x14:dataValidation>
        <x14:dataValidation type="list" allowBlank="1" showInputMessage="1" showErrorMessage="1" xr:uid="{00000000-0002-0000-0000-000005000000}">
          <x14:formula1>
            <xm:f>'Drop-downs'!$F$2:$F$4</xm:f>
          </x14:formula1>
          <xm:sqref>V1:V1048576</xm:sqref>
        </x14:dataValidation>
        <x14:dataValidation type="list" allowBlank="1" showInputMessage="1" showErrorMessage="1" xr:uid="{00000000-0002-0000-0000-000006000000}">
          <x14:formula1>
            <xm:f>'Drop-downs'!$G$2:$G$3</xm:f>
          </x14:formula1>
          <xm:sqref>W2:W1048576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6" tint="0.39997558519241921"/>
    <pageSetUpPr fitToPage="1"/>
  </sheetPr>
  <dimension ref="A1:M62"/>
  <sheetViews>
    <sheetView zoomScaleNormal="100" workbookViewId="0">
      <selection activeCell="AS6" sqref="AS6"/>
    </sheetView>
  </sheetViews>
  <sheetFormatPr defaultColWidth="13.7109375" defaultRowHeight="15" x14ac:dyDescent="0.25"/>
  <cols>
    <col min="1" max="1" width="34.28515625" customWidth="1"/>
    <col min="2" max="2" width="19.28515625" style="4" customWidth="1"/>
    <col min="3" max="3" width="23.5703125" style="4" customWidth="1"/>
    <col min="4" max="4" width="18.42578125" style="4" customWidth="1"/>
    <col min="5" max="5" width="12" style="4" customWidth="1"/>
    <col min="6" max="6" width="5.85546875" customWidth="1"/>
    <col min="7" max="7" width="9" customWidth="1"/>
    <col min="8" max="8" width="10.140625" customWidth="1"/>
    <col min="9" max="9" width="12.7109375" customWidth="1"/>
    <col min="10" max="10" width="8.28515625" customWidth="1"/>
    <col min="11" max="11" width="12.140625" customWidth="1"/>
    <col min="12" max="12" width="17.42578125" customWidth="1"/>
    <col min="13" max="13" width="11.28515625" customWidth="1"/>
  </cols>
  <sheetData>
    <row r="1" spans="1:13" ht="31.5" x14ac:dyDescent="0.25">
      <c r="A1" s="64"/>
      <c r="B1" s="60"/>
      <c r="C1" s="65"/>
      <c r="D1" s="73" t="s">
        <v>8972</v>
      </c>
      <c r="E1" s="160" t="s">
        <v>8973</v>
      </c>
      <c r="F1" s="161"/>
      <c r="G1" s="161"/>
      <c r="H1" s="161"/>
      <c r="I1" s="161"/>
      <c r="J1" s="161"/>
      <c r="K1" s="161"/>
      <c r="L1" s="162"/>
    </row>
    <row r="2" spans="1:13" ht="15" customHeight="1" x14ac:dyDescent="0.25">
      <c r="A2" s="70" t="s">
        <v>8974</v>
      </c>
      <c r="B2" s="69" t="s">
        <v>8975</v>
      </c>
      <c r="C2" s="61"/>
      <c r="D2" s="62"/>
      <c r="E2" s="61"/>
      <c r="F2" s="61"/>
      <c r="G2" s="62"/>
      <c r="H2" s="62"/>
      <c r="I2" s="63"/>
      <c r="J2" s="63"/>
      <c r="K2" s="63"/>
      <c r="L2" s="62"/>
      <c r="M2" s="62"/>
    </row>
    <row r="3" spans="1:13" s="2" customFormat="1" x14ac:dyDescent="0.25">
      <c r="A3" s="71" t="s">
        <v>8976</v>
      </c>
      <c r="B3" s="66" t="s">
        <v>168</v>
      </c>
      <c r="C3" s="66" t="s">
        <v>669</v>
      </c>
      <c r="D3" s="66" t="s">
        <v>37</v>
      </c>
      <c r="E3" s="72" t="s">
        <v>65</v>
      </c>
      <c r="F3" s="67" t="s">
        <v>85</v>
      </c>
      <c r="G3" s="67" t="s">
        <v>77</v>
      </c>
      <c r="H3" s="67" t="s">
        <v>117</v>
      </c>
      <c r="I3" s="67" t="s">
        <v>70</v>
      </c>
      <c r="J3" s="67" t="s">
        <v>369</v>
      </c>
      <c r="K3" s="72" t="s">
        <v>211</v>
      </c>
      <c r="L3" s="146" t="s">
        <v>25</v>
      </c>
      <c r="M3" s="68" t="s">
        <v>8977</v>
      </c>
    </row>
    <row r="4" spans="1:13" x14ac:dyDescent="0.25">
      <c r="A4" s="1" t="s">
        <v>293</v>
      </c>
      <c r="B4" s="3">
        <v>5</v>
      </c>
      <c r="C4" s="3">
        <v>1</v>
      </c>
      <c r="D4" s="3">
        <v>9</v>
      </c>
      <c r="E4" s="3">
        <v>1</v>
      </c>
      <c r="F4" s="3"/>
      <c r="G4" s="3">
        <v>1</v>
      </c>
      <c r="H4" s="3"/>
      <c r="I4" s="3">
        <v>2</v>
      </c>
      <c r="J4" s="3"/>
      <c r="K4" s="3"/>
      <c r="L4" s="3">
        <v>12</v>
      </c>
      <c r="M4" s="5">
        <v>31</v>
      </c>
    </row>
    <row r="5" spans="1:13" x14ac:dyDescent="0.25">
      <c r="A5" s="1" t="s">
        <v>442</v>
      </c>
      <c r="B5" s="3">
        <v>1</v>
      </c>
      <c r="C5" s="3"/>
      <c r="D5" s="3"/>
      <c r="E5" s="3"/>
      <c r="F5" s="3"/>
      <c r="G5" s="3"/>
      <c r="H5" s="3">
        <v>7</v>
      </c>
      <c r="I5" s="3"/>
      <c r="J5" s="3"/>
      <c r="K5" s="3"/>
      <c r="L5" s="3"/>
      <c r="M5" s="5">
        <v>8</v>
      </c>
    </row>
    <row r="6" spans="1:13" x14ac:dyDescent="0.25">
      <c r="A6" s="1" t="s">
        <v>105</v>
      </c>
      <c r="B6" s="3">
        <v>1</v>
      </c>
      <c r="C6" s="3"/>
      <c r="D6" s="3">
        <v>1</v>
      </c>
      <c r="E6" s="3"/>
      <c r="F6" s="3">
        <v>2</v>
      </c>
      <c r="G6" s="3"/>
      <c r="H6" s="3"/>
      <c r="I6" s="3"/>
      <c r="J6" s="3"/>
      <c r="K6" s="3">
        <v>1</v>
      </c>
      <c r="L6" s="3">
        <v>1</v>
      </c>
      <c r="M6" s="5">
        <v>6</v>
      </c>
    </row>
    <row r="7" spans="1:13" x14ac:dyDescent="0.25">
      <c r="A7" s="1" t="s">
        <v>6126</v>
      </c>
      <c r="B7" s="3"/>
      <c r="C7" s="3"/>
      <c r="D7" s="3">
        <v>1</v>
      </c>
      <c r="E7" s="3"/>
      <c r="F7" s="3"/>
      <c r="G7" s="3"/>
      <c r="H7" s="3"/>
      <c r="I7" s="3"/>
      <c r="J7" s="3">
        <v>1</v>
      </c>
      <c r="K7" s="3"/>
      <c r="L7" s="3"/>
      <c r="M7" s="5">
        <v>2</v>
      </c>
    </row>
    <row r="8" spans="1:13" x14ac:dyDescent="0.25">
      <c r="A8" s="1" t="s">
        <v>252</v>
      </c>
      <c r="B8" s="3">
        <v>2</v>
      </c>
      <c r="C8" s="3"/>
      <c r="D8" s="3">
        <v>1</v>
      </c>
      <c r="E8" s="3">
        <v>1</v>
      </c>
      <c r="F8" s="3">
        <v>3</v>
      </c>
      <c r="G8" s="3"/>
      <c r="H8" s="3"/>
      <c r="I8" s="3">
        <v>2</v>
      </c>
      <c r="J8" s="3"/>
      <c r="K8" s="3"/>
      <c r="L8" s="3">
        <v>8</v>
      </c>
      <c r="M8" s="5">
        <v>17</v>
      </c>
    </row>
    <row r="9" spans="1:13" x14ac:dyDescent="0.25">
      <c r="A9" s="1" t="s">
        <v>693</v>
      </c>
      <c r="B9" s="3"/>
      <c r="C9" s="3"/>
      <c r="D9" s="3">
        <v>1</v>
      </c>
      <c r="E9" s="3"/>
      <c r="F9" s="3"/>
      <c r="G9" s="3"/>
      <c r="H9" s="3">
        <v>2</v>
      </c>
      <c r="I9" s="3"/>
      <c r="J9" s="3"/>
      <c r="K9" s="3"/>
      <c r="L9" s="3"/>
      <c r="M9" s="5">
        <v>3</v>
      </c>
    </row>
    <row r="10" spans="1:13" x14ac:dyDescent="0.25">
      <c r="A10" s="1" t="s">
        <v>2009</v>
      </c>
      <c r="B10" s="3"/>
      <c r="C10" s="3"/>
      <c r="D10" s="3"/>
      <c r="E10" s="3"/>
      <c r="F10" s="3"/>
      <c r="G10" s="3"/>
      <c r="H10" s="3"/>
      <c r="I10" s="3"/>
      <c r="J10" s="3"/>
      <c r="K10" s="3">
        <v>1</v>
      </c>
      <c r="L10" s="3">
        <v>1</v>
      </c>
      <c r="M10" s="5">
        <v>2</v>
      </c>
    </row>
    <row r="11" spans="1:13" x14ac:dyDescent="0.25">
      <c r="A11" s="1" t="s">
        <v>62</v>
      </c>
      <c r="B11" s="3">
        <v>5</v>
      </c>
      <c r="C11" s="3"/>
      <c r="D11" s="3">
        <v>11</v>
      </c>
      <c r="E11" s="3">
        <v>7</v>
      </c>
      <c r="F11" s="3">
        <v>2</v>
      </c>
      <c r="G11" s="3"/>
      <c r="H11" s="3">
        <v>4</v>
      </c>
      <c r="I11" s="3">
        <v>6</v>
      </c>
      <c r="J11" s="3"/>
      <c r="K11" s="3">
        <v>2</v>
      </c>
      <c r="L11" s="3">
        <v>6</v>
      </c>
      <c r="M11" s="5">
        <v>43</v>
      </c>
    </row>
    <row r="12" spans="1:13" x14ac:dyDescent="0.25">
      <c r="A12" s="1" t="s">
        <v>3942</v>
      </c>
      <c r="B12" s="3"/>
      <c r="C12" s="3"/>
      <c r="D12" s="3"/>
      <c r="E12" s="3"/>
      <c r="F12" s="3"/>
      <c r="G12" s="3"/>
      <c r="H12" s="3"/>
      <c r="I12" s="3"/>
      <c r="J12" s="3"/>
      <c r="K12" s="3"/>
      <c r="L12" s="3">
        <v>1</v>
      </c>
      <c r="M12" s="5">
        <v>1</v>
      </c>
    </row>
    <row r="13" spans="1:13" x14ac:dyDescent="0.25">
      <c r="A13" s="1" t="s">
        <v>309</v>
      </c>
      <c r="B13" s="3"/>
      <c r="C13" s="3"/>
      <c r="D13" s="3"/>
      <c r="E13" s="3"/>
      <c r="F13" s="3"/>
      <c r="G13" s="3"/>
      <c r="H13" s="3">
        <v>34</v>
      </c>
      <c r="I13" s="3"/>
      <c r="J13" s="3"/>
      <c r="K13" s="3"/>
      <c r="L13" s="3">
        <v>1</v>
      </c>
      <c r="M13" s="5">
        <v>35</v>
      </c>
    </row>
    <row r="14" spans="1:13" x14ac:dyDescent="0.25">
      <c r="A14" s="1" t="s">
        <v>148</v>
      </c>
      <c r="B14" s="3">
        <v>4</v>
      </c>
      <c r="C14" s="3"/>
      <c r="D14" s="3">
        <v>2</v>
      </c>
      <c r="E14" s="3">
        <v>6</v>
      </c>
      <c r="F14" s="3">
        <v>7</v>
      </c>
      <c r="G14" s="3"/>
      <c r="H14" s="3">
        <v>14</v>
      </c>
      <c r="I14" s="3">
        <v>4</v>
      </c>
      <c r="J14" s="3">
        <v>2</v>
      </c>
      <c r="K14" s="3"/>
      <c r="L14" s="3">
        <v>9</v>
      </c>
      <c r="M14" s="5">
        <v>48</v>
      </c>
    </row>
    <row r="15" spans="1:13" x14ac:dyDescent="0.25">
      <c r="A15" s="1" t="s">
        <v>277</v>
      </c>
      <c r="B15" s="3"/>
      <c r="C15" s="3"/>
      <c r="D15" s="3">
        <v>1</v>
      </c>
      <c r="E15" s="3">
        <v>9</v>
      </c>
      <c r="F15" s="3"/>
      <c r="G15" s="3">
        <v>1</v>
      </c>
      <c r="H15" s="3">
        <v>10</v>
      </c>
      <c r="I15" s="3"/>
      <c r="J15" s="3"/>
      <c r="K15" s="3"/>
      <c r="L15" s="3"/>
      <c r="M15" s="5">
        <v>21</v>
      </c>
    </row>
    <row r="16" spans="1:13" x14ac:dyDescent="0.25">
      <c r="A16" s="1" t="s">
        <v>3874</v>
      </c>
      <c r="B16" s="3">
        <v>2</v>
      </c>
      <c r="C16" s="3"/>
      <c r="D16" s="3"/>
      <c r="E16" s="3"/>
      <c r="F16" s="3"/>
      <c r="G16" s="3"/>
      <c r="H16" s="3"/>
      <c r="I16" s="3"/>
      <c r="J16" s="3"/>
      <c r="K16" s="3"/>
      <c r="L16" s="3"/>
      <c r="M16" s="5">
        <v>2</v>
      </c>
    </row>
    <row r="17" spans="1:13" x14ac:dyDescent="0.25">
      <c r="A17" s="1" t="s">
        <v>455</v>
      </c>
      <c r="B17" s="3"/>
      <c r="C17" s="3"/>
      <c r="D17" s="3"/>
      <c r="E17" s="3"/>
      <c r="F17" s="3"/>
      <c r="G17" s="3"/>
      <c r="H17" s="3">
        <v>12</v>
      </c>
      <c r="I17" s="3"/>
      <c r="J17" s="3"/>
      <c r="K17" s="3"/>
      <c r="L17" s="3"/>
      <c r="M17" s="5">
        <v>12</v>
      </c>
    </row>
    <row r="18" spans="1:13" x14ac:dyDescent="0.25">
      <c r="A18" s="1" t="s">
        <v>44</v>
      </c>
      <c r="B18" s="3">
        <v>77</v>
      </c>
      <c r="C18" s="3"/>
      <c r="D18" s="3">
        <v>125</v>
      </c>
      <c r="E18" s="3">
        <v>103</v>
      </c>
      <c r="F18" s="3">
        <v>55</v>
      </c>
      <c r="G18" s="3">
        <v>2</v>
      </c>
      <c r="H18" s="3">
        <v>9</v>
      </c>
      <c r="I18" s="3">
        <v>53</v>
      </c>
      <c r="J18" s="3"/>
      <c r="K18" s="3">
        <v>4</v>
      </c>
      <c r="L18" s="3">
        <v>169</v>
      </c>
      <c r="M18" s="5">
        <v>597</v>
      </c>
    </row>
    <row r="19" spans="1:13" x14ac:dyDescent="0.25">
      <c r="A19" s="1" t="s">
        <v>1466</v>
      </c>
      <c r="B19" s="3">
        <v>1</v>
      </c>
      <c r="C19" s="3"/>
      <c r="D19" s="3"/>
      <c r="E19" s="3">
        <v>1</v>
      </c>
      <c r="F19" s="3"/>
      <c r="G19" s="3"/>
      <c r="H19" s="3">
        <v>1</v>
      </c>
      <c r="I19" s="3"/>
      <c r="J19" s="3"/>
      <c r="K19" s="3"/>
      <c r="L19" s="3"/>
      <c r="M19" s="5">
        <v>3</v>
      </c>
    </row>
    <row r="20" spans="1:13" x14ac:dyDescent="0.25">
      <c r="A20" s="1" t="s">
        <v>4532</v>
      </c>
      <c r="B20" s="3">
        <v>1</v>
      </c>
      <c r="C20" s="3"/>
      <c r="D20" s="3"/>
      <c r="E20" s="3"/>
      <c r="F20" s="3"/>
      <c r="G20" s="3"/>
      <c r="H20" s="3"/>
      <c r="I20" s="3"/>
      <c r="J20" s="3"/>
      <c r="K20" s="3"/>
      <c r="L20" s="3">
        <v>1</v>
      </c>
      <c r="M20" s="5">
        <v>2</v>
      </c>
    </row>
    <row r="21" spans="1:13" x14ac:dyDescent="0.25">
      <c r="A21" s="1" t="s">
        <v>4740</v>
      </c>
      <c r="B21" s="3"/>
      <c r="C21" s="3"/>
      <c r="D21" s="3"/>
      <c r="E21" s="3"/>
      <c r="F21" s="3"/>
      <c r="G21" s="3"/>
      <c r="H21" s="3"/>
      <c r="I21" s="3"/>
      <c r="J21" s="3"/>
      <c r="K21" s="3"/>
      <c r="L21" s="3">
        <v>1</v>
      </c>
      <c r="M21" s="5">
        <v>1</v>
      </c>
    </row>
    <row r="22" spans="1:13" x14ac:dyDescent="0.25">
      <c r="A22" s="1" t="s">
        <v>1334</v>
      </c>
      <c r="B22" s="3"/>
      <c r="C22" s="3"/>
      <c r="D22" s="3"/>
      <c r="E22" s="3">
        <v>2</v>
      </c>
      <c r="F22" s="3"/>
      <c r="G22" s="3"/>
      <c r="H22" s="3"/>
      <c r="I22" s="3"/>
      <c r="J22" s="3"/>
      <c r="K22" s="3">
        <v>1</v>
      </c>
      <c r="L22" s="3">
        <v>1</v>
      </c>
      <c r="M22" s="5">
        <v>4</v>
      </c>
    </row>
    <row r="23" spans="1:13" x14ac:dyDescent="0.25">
      <c r="A23" s="1" t="s">
        <v>81</v>
      </c>
      <c r="B23" s="3"/>
      <c r="C23" s="3"/>
      <c r="D23" s="3">
        <v>2</v>
      </c>
      <c r="E23" s="3">
        <v>14</v>
      </c>
      <c r="F23" s="3">
        <v>2</v>
      </c>
      <c r="G23" s="3">
        <v>1</v>
      </c>
      <c r="H23" s="3"/>
      <c r="I23" s="3">
        <v>5</v>
      </c>
      <c r="J23" s="3"/>
      <c r="K23" s="3"/>
      <c r="L23" s="3">
        <v>1</v>
      </c>
      <c r="M23" s="5">
        <v>25</v>
      </c>
    </row>
    <row r="24" spans="1:13" x14ac:dyDescent="0.25">
      <c r="A24" s="1" t="s">
        <v>528</v>
      </c>
      <c r="B24" s="3">
        <v>4</v>
      </c>
      <c r="C24" s="3">
        <v>1</v>
      </c>
      <c r="D24" s="3">
        <v>1</v>
      </c>
      <c r="E24" s="3">
        <v>11</v>
      </c>
      <c r="F24" s="3">
        <v>1</v>
      </c>
      <c r="G24" s="3"/>
      <c r="H24" s="3">
        <v>12</v>
      </c>
      <c r="I24" s="3">
        <v>9</v>
      </c>
      <c r="J24" s="3"/>
      <c r="K24" s="3">
        <v>1</v>
      </c>
      <c r="L24" s="3">
        <v>3</v>
      </c>
      <c r="M24" s="5">
        <v>43</v>
      </c>
    </row>
    <row r="25" spans="1:13" x14ac:dyDescent="0.25">
      <c r="A25" s="1" t="s">
        <v>934</v>
      </c>
      <c r="B25" s="3"/>
      <c r="C25" s="3"/>
      <c r="D25" s="3"/>
      <c r="E25" s="3">
        <v>6</v>
      </c>
      <c r="F25" s="3">
        <v>1</v>
      </c>
      <c r="G25" s="3"/>
      <c r="H25" s="3"/>
      <c r="I25" s="3"/>
      <c r="J25" s="3"/>
      <c r="K25" s="3"/>
      <c r="L25" s="3">
        <v>3</v>
      </c>
      <c r="M25" s="5">
        <v>10</v>
      </c>
    </row>
    <row r="26" spans="1:13" x14ac:dyDescent="0.25">
      <c r="A26" s="1" t="s">
        <v>57</v>
      </c>
      <c r="B26" s="3">
        <v>8</v>
      </c>
      <c r="C26" s="3"/>
      <c r="D26" s="3">
        <v>21</v>
      </c>
      <c r="E26" s="3">
        <v>16</v>
      </c>
      <c r="F26" s="3">
        <v>7</v>
      </c>
      <c r="G26" s="3">
        <v>1</v>
      </c>
      <c r="H26" s="3"/>
      <c r="I26" s="3">
        <v>2</v>
      </c>
      <c r="J26" s="3"/>
      <c r="K26" s="3"/>
      <c r="L26" s="3">
        <v>30</v>
      </c>
      <c r="M26" s="5">
        <v>85</v>
      </c>
    </row>
    <row r="27" spans="1:13" x14ac:dyDescent="0.25">
      <c r="A27" s="1" t="s">
        <v>2296</v>
      </c>
      <c r="B27" s="3">
        <v>3</v>
      </c>
      <c r="C27" s="3"/>
      <c r="D27" s="3">
        <v>3</v>
      </c>
      <c r="E27" s="3"/>
      <c r="F27" s="3"/>
      <c r="G27" s="3"/>
      <c r="H27" s="3"/>
      <c r="I27" s="3"/>
      <c r="J27" s="3"/>
      <c r="K27" s="3"/>
      <c r="L27" s="3"/>
      <c r="M27" s="5">
        <v>6</v>
      </c>
    </row>
    <row r="28" spans="1:13" x14ac:dyDescent="0.25">
      <c r="A28" s="1" t="s">
        <v>29</v>
      </c>
      <c r="B28" s="3">
        <v>8</v>
      </c>
      <c r="C28" s="3"/>
      <c r="D28" s="3">
        <v>21</v>
      </c>
      <c r="E28" s="3">
        <v>38</v>
      </c>
      <c r="F28" s="3">
        <v>5</v>
      </c>
      <c r="G28" s="3">
        <v>2</v>
      </c>
      <c r="H28" s="3">
        <v>3</v>
      </c>
      <c r="I28" s="3">
        <v>13</v>
      </c>
      <c r="J28" s="3"/>
      <c r="K28" s="3">
        <v>3</v>
      </c>
      <c r="L28" s="3">
        <v>18</v>
      </c>
      <c r="M28" s="5">
        <v>111</v>
      </c>
    </row>
    <row r="29" spans="1:13" x14ac:dyDescent="0.25">
      <c r="A29" s="1" t="s">
        <v>205</v>
      </c>
      <c r="B29" s="3">
        <v>19</v>
      </c>
      <c r="C29" s="3"/>
      <c r="D29" s="3">
        <v>25</v>
      </c>
      <c r="E29" s="3">
        <v>16</v>
      </c>
      <c r="F29" s="3">
        <v>10</v>
      </c>
      <c r="G29" s="3"/>
      <c r="H29" s="3">
        <v>9</v>
      </c>
      <c r="I29" s="3">
        <v>7</v>
      </c>
      <c r="J29" s="3"/>
      <c r="K29" s="3">
        <v>2</v>
      </c>
      <c r="L29" s="3">
        <v>13</v>
      </c>
      <c r="M29" s="5">
        <v>101</v>
      </c>
    </row>
    <row r="30" spans="1:13" x14ac:dyDescent="0.25">
      <c r="A30" s="1" t="s">
        <v>190</v>
      </c>
      <c r="B30" s="3">
        <v>1</v>
      </c>
      <c r="C30" s="3"/>
      <c r="D30" s="3"/>
      <c r="E30" s="3">
        <v>5</v>
      </c>
      <c r="F30" s="3"/>
      <c r="G30" s="3"/>
      <c r="H30" s="3"/>
      <c r="I30" s="3">
        <v>1</v>
      </c>
      <c r="J30" s="3"/>
      <c r="K30" s="3"/>
      <c r="L30" s="3"/>
      <c r="M30" s="5">
        <v>7</v>
      </c>
    </row>
    <row r="31" spans="1:13" x14ac:dyDescent="0.25">
      <c r="A31" s="1" t="s">
        <v>121</v>
      </c>
      <c r="B31" s="3">
        <v>6</v>
      </c>
      <c r="C31" s="3"/>
      <c r="D31" s="3">
        <v>11</v>
      </c>
      <c r="E31" s="3">
        <v>5</v>
      </c>
      <c r="F31" s="3">
        <v>4</v>
      </c>
      <c r="G31" s="3">
        <v>1</v>
      </c>
      <c r="H31" s="3">
        <v>21</v>
      </c>
      <c r="I31" s="3">
        <v>1</v>
      </c>
      <c r="J31" s="3"/>
      <c r="K31" s="3"/>
      <c r="L31" s="3">
        <v>23</v>
      </c>
      <c r="M31" s="5">
        <v>72</v>
      </c>
    </row>
    <row r="32" spans="1:13" x14ac:dyDescent="0.25">
      <c r="A32" s="1" t="s">
        <v>134</v>
      </c>
      <c r="B32" s="3">
        <v>19</v>
      </c>
      <c r="C32" s="3"/>
      <c r="D32" s="3">
        <v>14</v>
      </c>
      <c r="E32" s="3">
        <v>12</v>
      </c>
      <c r="F32" s="3">
        <v>7</v>
      </c>
      <c r="G32" s="3"/>
      <c r="H32" s="3">
        <v>5</v>
      </c>
      <c r="I32" s="3">
        <v>8</v>
      </c>
      <c r="J32" s="3">
        <v>3</v>
      </c>
      <c r="K32" s="3">
        <v>3</v>
      </c>
      <c r="L32" s="3">
        <v>47</v>
      </c>
      <c r="M32" s="5">
        <v>118</v>
      </c>
    </row>
    <row r="33" spans="1:13" x14ac:dyDescent="0.25">
      <c r="A33" s="1" t="s">
        <v>3160</v>
      </c>
      <c r="B33" s="3">
        <v>1</v>
      </c>
      <c r="C33" s="3"/>
      <c r="D33" s="3">
        <v>1</v>
      </c>
      <c r="E33" s="3"/>
      <c r="F33" s="3"/>
      <c r="G33" s="3"/>
      <c r="H33" s="3"/>
      <c r="I33" s="3"/>
      <c r="J33" s="3"/>
      <c r="K33" s="3"/>
      <c r="L33" s="3">
        <v>12</v>
      </c>
      <c r="M33" s="5">
        <v>14</v>
      </c>
    </row>
    <row r="34" spans="1:13" x14ac:dyDescent="0.25">
      <c r="A34" s="1" t="s">
        <v>299</v>
      </c>
      <c r="B34" s="3">
        <v>4</v>
      </c>
      <c r="C34" s="3"/>
      <c r="D34" s="3">
        <v>20</v>
      </c>
      <c r="E34" s="3">
        <v>4</v>
      </c>
      <c r="F34" s="3">
        <v>1</v>
      </c>
      <c r="G34" s="3"/>
      <c r="H34" s="3">
        <v>3</v>
      </c>
      <c r="I34" s="3">
        <v>4</v>
      </c>
      <c r="J34" s="3"/>
      <c r="K34" s="3">
        <v>2</v>
      </c>
      <c r="L34" s="3">
        <v>3</v>
      </c>
      <c r="M34" s="5">
        <v>41</v>
      </c>
    </row>
    <row r="35" spans="1:13" x14ac:dyDescent="0.25">
      <c r="A35" s="1" t="s">
        <v>437</v>
      </c>
      <c r="B35" s="3">
        <v>1</v>
      </c>
      <c r="C35" s="3"/>
      <c r="D35" s="3"/>
      <c r="E35" s="3">
        <v>1</v>
      </c>
      <c r="F35" s="3">
        <v>1</v>
      </c>
      <c r="G35" s="3"/>
      <c r="H35" s="3">
        <v>16</v>
      </c>
      <c r="I35" s="3"/>
      <c r="J35" s="3"/>
      <c r="K35" s="3">
        <v>1</v>
      </c>
      <c r="L35" s="3"/>
      <c r="M35" s="5">
        <v>20</v>
      </c>
    </row>
    <row r="36" spans="1:13" x14ac:dyDescent="0.25">
      <c r="A36" s="1" t="s">
        <v>1588</v>
      </c>
      <c r="B36" s="3">
        <v>1</v>
      </c>
      <c r="C36" s="3"/>
      <c r="D36" s="3">
        <v>1</v>
      </c>
      <c r="E36" s="3">
        <v>2</v>
      </c>
      <c r="F36" s="3"/>
      <c r="G36" s="3"/>
      <c r="H36" s="3"/>
      <c r="I36" s="3">
        <v>1</v>
      </c>
      <c r="J36" s="3"/>
      <c r="K36" s="3"/>
      <c r="L36" s="3">
        <v>3</v>
      </c>
      <c r="M36" s="5">
        <v>8</v>
      </c>
    </row>
    <row r="37" spans="1:13" x14ac:dyDescent="0.25">
      <c r="A37" s="1" t="s">
        <v>2600</v>
      </c>
      <c r="B37" s="3">
        <v>2</v>
      </c>
      <c r="C37" s="3"/>
      <c r="D37" s="3">
        <v>1</v>
      </c>
      <c r="E37" s="3">
        <v>1</v>
      </c>
      <c r="F37" s="3"/>
      <c r="G37" s="3"/>
      <c r="H37" s="3"/>
      <c r="I37" s="3"/>
      <c r="J37" s="3"/>
      <c r="K37" s="3"/>
      <c r="L37" s="3">
        <v>8</v>
      </c>
      <c r="M37" s="5">
        <v>12</v>
      </c>
    </row>
    <row r="38" spans="1:13" x14ac:dyDescent="0.25">
      <c r="A38" s="1" t="s">
        <v>143</v>
      </c>
      <c r="B38" s="3">
        <v>4</v>
      </c>
      <c r="C38" s="3"/>
      <c r="D38" s="3">
        <v>33</v>
      </c>
      <c r="E38" s="3">
        <v>15</v>
      </c>
      <c r="F38" s="3">
        <v>3</v>
      </c>
      <c r="G38" s="3">
        <v>1</v>
      </c>
      <c r="H38" s="3"/>
      <c r="I38" s="3">
        <v>10</v>
      </c>
      <c r="J38" s="3"/>
      <c r="K38" s="3">
        <v>1</v>
      </c>
      <c r="L38" s="3">
        <v>19</v>
      </c>
      <c r="M38" s="5">
        <v>86</v>
      </c>
    </row>
    <row r="39" spans="1:13" x14ac:dyDescent="0.25">
      <c r="A39" s="1" t="s">
        <v>1384</v>
      </c>
      <c r="B39" s="3"/>
      <c r="C39" s="3"/>
      <c r="D39" s="3">
        <v>3</v>
      </c>
      <c r="E39" s="3">
        <v>2</v>
      </c>
      <c r="F39" s="3"/>
      <c r="G39" s="3"/>
      <c r="H39" s="3"/>
      <c r="I39" s="3"/>
      <c r="J39" s="3"/>
      <c r="K39" s="3"/>
      <c r="L39" s="3">
        <v>1</v>
      </c>
      <c r="M39" s="5">
        <v>6</v>
      </c>
    </row>
    <row r="40" spans="1:13" x14ac:dyDescent="0.25">
      <c r="A40" s="1" t="s">
        <v>1225</v>
      </c>
      <c r="B40" s="3">
        <v>3</v>
      </c>
      <c r="C40" s="3"/>
      <c r="D40" s="3">
        <v>1</v>
      </c>
      <c r="E40" s="3"/>
      <c r="F40" s="3"/>
      <c r="G40" s="3"/>
      <c r="H40" s="3"/>
      <c r="I40" s="3"/>
      <c r="J40" s="3"/>
      <c r="K40" s="3">
        <v>1</v>
      </c>
      <c r="L40" s="3">
        <v>1</v>
      </c>
      <c r="M40" s="5">
        <v>6</v>
      </c>
    </row>
    <row r="41" spans="1:13" x14ac:dyDescent="0.25">
      <c r="A41" s="1" t="s">
        <v>2662</v>
      </c>
      <c r="B41" s="3"/>
      <c r="C41" s="3"/>
      <c r="D41" s="3">
        <v>1</v>
      </c>
      <c r="E41" s="3">
        <v>1</v>
      </c>
      <c r="F41" s="3"/>
      <c r="G41" s="3"/>
      <c r="H41" s="3"/>
      <c r="I41" s="3"/>
      <c r="J41" s="3"/>
      <c r="K41" s="3"/>
      <c r="L41" s="3"/>
      <c r="M41" s="5">
        <v>2</v>
      </c>
    </row>
    <row r="42" spans="1:13" x14ac:dyDescent="0.25">
      <c r="A42" s="1" t="s">
        <v>50</v>
      </c>
      <c r="B42" s="3"/>
      <c r="C42" s="3">
        <v>1</v>
      </c>
      <c r="D42" s="3">
        <v>6</v>
      </c>
      <c r="E42" s="3">
        <v>3</v>
      </c>
      <c r="F42" s="3"/>
      <c r="G42" s="3"/>
      <c r="H42" s="3">
        <v>5</v>
      </c>
      <c r="I42" s="3">
        <v>2</v>
      </c>
      <c r="J42" s="3">
        <v>1</v>
      </c>
      <c r="K42" s="3"/>
      <c r="L42" s="3">
        <v>2</v>
      </c>
      <c r="M42" s="5">
        <v>20</v>
      </c>
    </row>
    <row r="43" spans="1:13" x14ac:dyDescent="0.25">
      <c r="A43" s="1" t="s">
        <v>95</v>
      </c>
      <c r="B43" s="3">
        <v>1</v>
      </c>
      <c r="C43" s="3"/>
      <c r="D43" s="3">
        <v>2</v>
      </c>
      <c r="E43" s="3">
        <v>6</v>
      </c>
      <c r="F43" s="3">
        <v>1</v>
      </c>
      <c r="G43" s="3"/>
      <c r="H43" s="3"/>
      <c r="I43" s="3">
        <v>5</v>
      </c>
      <c r="J43" s="3"/>
      <c r="K43" s="3"/>
      <c r="L43" s="3">
        <v>2</v>
      </c>
      <c r="M43" s="5">
        <v>17</v>
      </c>
    </row>
    <row r="44" spans="1:13" x14ac:dyDescent="0.25">
      <c r="A44" s="1" t="s">
        <v>363</v>
      </c>
      <c r="B44" s="3">
        <v>2</v>
      </c>
      <c r="C44" s="3"/>
      <c r="D44" s="3">
        <v>1</v>
      </c>
      <c r="E44" s="3">
        <v>7</v>
      </c>
      <c r="F44" s="3">
        <v>1</v>
      </c>
      <c r="G44" s="3"/>
      <c r="H44" s="3"/>
      <c r="I44" s="3">
        <v>2</v>
      </c>
      <c r="J44" s="3"/>
      <c r="K44" s="3"/>
      <c r="L44" s="3">
        <v>2</v>
      </c>
      <c r="M44" s="5">
        <v>15</v>
      </c>
    </row>
    <row r="45" spans="1:13" x14ac:dyDescent="0.25">
      <c r="A45" s="1" t="s">
        <v>1352</v>
      </c>
      <c r="B45" s="3"/>
      <c r="C45" s="3"/>
      <c r="D45" s="3"/>
      <c r="E45" s="3">
        <v>1</v>
      </c>
      <c r="F45" s="3">
        <v>1</v>
      </c>
      <c r="G45" s="3"/>
      <c r="H45" s="3"/>
      <c r="I45" s="3"/>
      <c r="J45" s="3"/>
      <c r="K45" s="3"/>
      <c r="L45" s="3"/>
      <c r="M45" s="5">
        <v>2</v>
      </c>
    </row>
    <row r="46" spans="1:13" x14ac:dyDescent="0.25">
      <c r="A46" s="1" t="s">
        <v>4370</v>
      </c>
      <c r="B46" s="3"/>
      <c r="C46" s="3"/>
      <c r="D46" s="3">
        <v>2</v>
      </c>
      <c r="E46" s="3"/>
      <c r="F46" s="3"/>
      <c r="G46" s="3"/>
      <c r="H46" s="3"/>
      <c r="I46" s="3"/>
      <c r="J46" s="3"/>
      <c r="K46" s="3"/>
      <c r="L46" s="3"/>
      <c r="M46" s="5">
        <v>2</v>
      </c>
    </row>
    <row r="47" spans="1:13" x14ac:dyDescent="0.25">
      <c r="A47" s="1" t="s">
        <v>139</v>
      </c>
      <c r="B47" s="3">
        <v>2</v>
      </c>
      <c r="C47" s="3"/>
      <c r="D47" s="3">
        <v>7</v>
      </c>
      <c r="E47" s="3">
        <v>19</v>
      </c>
      <c r="F47" s="3">
        <v>4</v>
      </c>
      <c r="G47" s="3"/>
      <c r="H47" s="3"/>
      <c r="I47" s="3">
        <v>8</v>
      </c>
      <c r="J47" s="3"/>
      <c r="K47" s="3"/>
      <c r="L47" s="3">
        <v>11</v>
      </c>
      <c r="M47" s="5">
        <v>51</v>
      </c>
    </row>
    <row r="48" spans="1:13" x14ac:dyDescent="0.25">
      <c r="A48" s="1" t="s">
        <v>979</v>
      </c>
      <c r="B48" s="3">
        <v>2</v>
      </c>
      <c r="C48" s="3"/>
      <c r="D48" s="3"/>
      <c r="E48" s="3"/>
      <c r="F48" s="3"/>
      <c r="G48" s="3"/>
      <c r="H48" s="3">
        <v>4</v>
      </c>
      <c r="I48" s="3"/>
      <c r="J48" s="3">
        <v>1</v>
      </c>
      <c r="K48" s="3"/>
      <c r="L48" s="3"/>
      <c r="M48" s="5">
        <v>7</v>
      </c>
    </row>
    <row r="49" spans="1:13" x14ac:dyDescent="0.25">
      <c r="A49" s="1" t="s">
        <v>176</v>
      </c>
      <c r="B49" s="3">
        <v>1</v>
      </c>
      <c r="C49" s="3"/>
      <c r="D49" s="3"/>
      <c r="E49" s="3">
        <v>3</v>
      </c>
      <c r="F49" s="3"/>
      <c r="G49" s="3"/>
      <c r="H49" s="3"/>
      <c r="I49" s="3">
        <v>3</v>
      </c>
      <c r="J49" s="3">
        <v>1</v>
      </c>
      <c r="K49" s="3">
        <v>1</v>
      </c>
      <c r="L49" s="3">
        <v>6</v>
      </c>
      <c r="M49" s="5">
        <v>15</v>
      </c>
    </row>
    <row r="50" spans="1:13" x14ac:dyDescent="0.25">
      <c r="A50" s="1" t="s">
        <v>100</v>
      </c>
      <c r="B50" s="3">
        <v>1</v>
      </c>
      <c r="C50" s="3"/>
      <c r="D50" s="3">
        <v>2</v>
      </c>
      <c r="E50" s="3">
        <v>6</v>
      </c>
      <c r="F50" s="3">
        <v>1</v>
      </c>
      <c r="G50" s="3"/>
      <c r="H50" s="3"/>
      <c r="I50" s="3">
        <v>1</v>
      </c>
      <c r="J50" s="3"/>
      <c r="K50" s="3"/>
      <c r="L50" s="3">
        <v>5</v>
      </c>
      <c r="M50" s="5">
        <v>16</v>
      </c>
    </row>
    <row r="51" spans="1:13" x14ac:dyDescent="0.25">
      <c r="A51" s="1" t="s">
        <v>2100</v>
      </c>
      <c r="B51" s="3"/>
      <c r="C51" s="3"/>
      <c r="D51" s="3"/>
      <c r="E51" s="3">
        <v>2</v>
      </c>
      <c r="F51" s="3"/>
      <c r="G51" s="3"/>
      <c r="H51" s="3"/>
      <c r="I51" s="3"/>
      <c r="J51" s="3"/>
      <c r="K51" s="3"/>
      <c r="L51" s="3"/>
      <c r="M51" s="5">
        <v>2</v>
      </c>
    </row>
    <row r="52" spans="1:13" x14ac:dyDescent="0.25">
      <c r="A52" s="1" t="s">
        <v>8977</v>
      </c>
      <c r="B52" s="3">
        <v>192</v>
      </c>
      <c r="C52" s="3">
        <v>3</v>
      </c>
      <c r="D52" s="3">
        <v>331</v>
      </c>
      <c r="E52" s="3">
        <v>326</v>
      </c>
      <c r="F52" s="3">
        <v>119</v>
      </c>
      <c r="G52" s="3">
        <v>10</v>
      </c>
      <c r="H52" s="3">
        <v>171</v>
      </c>
      <c r="I52" s="3">
        <v>149</v>
      </c>
      <c r="J52" s="3">
        <v>9</v>
      </c>
      <c r="K52" s="3">
        <v>24</v>
      </c>
      <c r="L52" s="3">
        <v>424</v>
      </c>
      <c r="M52" s="3">
        <v>1758</v>
      </c>
    </row>
    <row r="53" spans="1:13" x14ac:dyDescent="0.25">
      <c r="B53"/>
      <c r="D53"/>
      <c r="E53"/>
    </row>
    <row r="54" spans="1:13" x14ac:dyDescent="0.25">
      <c r="B54"/>
      <c r="D54"/>
      <c r="E54"/>
    </row>
    <row r="55" spans="1:13" x14ac:dyDescent="0.25">
      <c r="B55"/>
      <c r="D55"/>
      <c r="E55"/>
    </row>
    <row r="56" spans="1:13" x14ac:dyDescent="0.25">
      <c r="B56"/>
      <c r="D56"/>
      <c r="E56"/>
    </row>
    <row r="57" spans="1:13" x14ac:dyDescent="0.25">
      <c r="B57"/>
      <c r="D57"/>
      <c r="E57"/>
    </row>
    <row r="58" spans="1:13" x14ac:dyDescent="0.25">
      <c r="B58"/>
      <c r="D58"/>
      <c r="E58"/>
    </row>
    <row r="59" spans="1:13" x14ac:dyDescent="0.25">
      <c r="B59"/>
      <c r="D59"/>
      <c r="E59"/>
    </row>
    <row r="60" spans="1:13" x14ac:dyDescent="0.25">
      <c r="B60"/>
      <c r="D60"/>
      <c r="E60"/>
    </row>
    <row r="61" spans="1:13" x14ac:dyDescent="0.25">
      <c r="B61"/>
      <c r="D61"/>
      <c r="E61"/>
    </row>
    <row r="62" spans="1:13" x14ac:dyDescent="0.25">
      <c r="B62"/>
      <c r="D62"/>
      <c r="E62"/>
    </row>
  </sheetData>
  <mergeCells count="1">
    <mergeCell ref="E1:L1"/>
  </mergeCells>
  <printOptions horizontalCentered="1"/>
  <pageMargins left="0.7" right="0.7" top="1.25" bottom="0.75" header="0.3" footer="0.3"/>
  <pageSetup scale="66" orientation="landscape" r:id="rId2"/>
  <headerFooter>
    <oddHeader>&amp;C&amp;"-,Bold"&amp;14 Recall and Resentence Recommendation Program
Number of Letters Mailed to Court
by Category and County</oddHeader>
    <oddFooter>&amp;LData as of &amp;D&amp;C*Prison Counties</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6" tint="0.39997558519241921"/>
  </sheetPr>
  <dimension ref="A143:CJ157"/>
  <sheetViews>
    <sheetView topLeftCell="AS13" workbookViewId="0">
      <selection activeCell="AS13" sqref="AS13"/>
    </sheetView>
  </sheetViews>
  <sheetFormatPr defaultColWidth="3.7109375" defaultRowHeight="15" x14ac:dyDescent="0.25"/>
  <cols>
    <col min="1" max="1" width="17.85546875" customWidth="1"/>
    <col min="2" max="2" width="14.5703125" customWidth="1"/>
    <col min="3" max="37" width="3.28515625" customWidth="1"/>
    <col min="38" max="38" width="4" customWidth="1"/>
    <col min="39" max="44" width="3.28515625" customWidth="1"/>
    <col min="45" max="45" width="17.85546875" customWidth="1"/>
    <col min="46" max="46" width="14.5703125" customWidth="1"/>
    <col min="47" max="81" width="3.28515625" customWidth="1"/>
    <col min="82" max="82" width="4" customWidth="1"/>
    <col min="83" max="88" width="3.28515625" customWidth="1"/>
  </cols>
  <sheetData>
    <row r="143" s="24" customFormat="1" x14ac:dyDescent="0.25"/>
    <row r="144" s="21" customFormat="1" ht="12.75" x14ac:dyDescent="0.2"/>
    <row r="145" spans="1:88" s="21" customFormat="1" ht="12.75" x14ac:dyDescent="0.2"/>
    <row r="146" spans="1:88" s="21" customFormat="1" ht="12.75" x14ac:dyDescent="0.2"/>
    <row r="147" spans="1:88" s="21" customFormat="1" ht="12.75" x14ac:dyDescent="0.2"/>
    <row r="148" spans="1:88" s="21" customFormat="1" ht="12.75" x14ac:dyDescent="0.2"/>
    <row r="149" spans="1:88" s="21" customFormat="1" ht="12.75" x14ac:dyDescent="0.2"/>
    <row r="155" spans="1:88" ht="18.75" x14ac:dyDescent="0.25">
      <c r="AS155" s="28"/>
      <c r="AT155" s="28"/>
      <c r="AU155" s="28"/>
      <c r="AV155" s="28"/>
      <c r="AW155" s="28"/>
      <c r="AX155" s="28"/>
      <c r="AY155" s="28"/>
      <c r="AZ155" s="28"/>
      <c r="BA155" s="28"/>
      <c r="BB155" s="28"/>
      <c r="BC155" s="28"/>
      <c r="BD155" s="28"/>
      <c r="BE155" s="28"/>
      <c r="BF155" s="28"/>
      <c r="BG155" s="28"/>
      <c r="BH155" s="28"/>
      <c r="BI155" s="28"/>
      <c r="BJ155" s="28"/>
      <c r="BK155" s="28"/>
      <c r="BL155" s="28"/>
      <c r="BM155" s="28"/>
      <c r="BN155" s="28"/>
      <c r="BO155" s="28"/>
      <c r="BP155" s="28"/>
      <c r="BQ155" s="28"/>
      <c r="BR155" s="28"/>
      <c r="BS155" s="28"/>
      <c r="BT155" s="28"/>
      <c r="BU155" s="28"/>
      <c r="BV155" s="28"/>
      <c r="BW155" s="28"/>
      <c r="BX155" s="28"/>
      <c r="BY155" s="28"/>
      <c r="BZ155" s="28"/>
      <c r="CA155" s="28"/>
      <c r="CB155" s="28"/>
      <c r="CC155" s="28"/>
      <c r="CD155" s="28"/>
      <c r="CE155" s="28"/>
      <c r="CF155" s="28"/>
      <c r="CG155" s="28"/>
    </row>
    <row r="156" spans="1:88" s="21" customFormat="1" x14ac:dyDescent="0.25">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row>
    <row r="157" spans="1:88" s="21" customFormat="1" x14ac:dyDescent="0.25">
      <c r="A157"/>
      <c r="B157"/>
      <c r="C157"/>
      <c r="D157"/>
      <c r="E157"/>
      <c r="F157"/>
      <c r="G157"/>
      <c r="H157"/>
      <c r="I157"/>
      <c r="J157"/>
      <c r="K157"/>
      <c r="L157"/>
      <c r="M157"/>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row>
  </sheetData>
  <printOptions horizontalCentered="1"/>
  <pageMargins left="0.25" right="0.25" top="0.5" bottom="0.25" header="0.25" footer="0.25"/>
  <pageSetup paperSize="5" orientation="landscape" r:id="rId1"/>
  <headerFooter>
    <oddHeader>&amp;L&amp;10California Department of Corrections and Rehabilitation</oddHeader>
    <oddFooter>&amp;L&amp;9Data as of &amp;D&amp;R&amp;9Page &amp;P of &amp;N</oddFoot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FF0000"/>
  </sheetPr>
  <dimension ref="A1:BY49"/>
  <sheetViews>
    <sheetView workbookViewId="0">
      <selection activeCell="O17" sqref="O17"/>
    </sheetView>
  </sheetViews>
  <sheetFormatPr defaultColWidth="9.140625" defaultRowHeight="15" x14ac:dyDescent="0.25"/>
  <cols>
    <col min="1" max="1" width="26.5703125" customWidth="1"/>
    <col min="2" max="2" width="22.140625" customWidth="1"/>
    <col min="3" max="4" width="27.42578125" customWidth="1"/>
    <col min="5" max="5" width="3.5703125" customWidth="1"/>
    <col min="6" max="6" width="23.5703125" customWidth="1"/>
    <col min="7" max="7" width="14.140625" customWidth="1"/>
    <col min="8" max="8" width="3.5703125" customWidth="1"/>
    <col min="9" max="9" width="23.5703125" customWidth="1"/>
    <col min="10" max="10" width="22.140625" customWidth="1"/>
    <col min="11" max="12" width="27.42578125" customWidth="1"/>
    <col min="13" max="13" width="3.5703125" customWidth="1"/>
    <col min="14" max="14" width="25.85546875" bestFit="1" customWidth="1"/>
    <col min="15" max="15" width="22.140625" customWidth="1"/>
    <col min="16" max="17" width="27.42578125" customWidth="1"/>
    <col min="18" max="18" width="3.5703125" customWidth="1"/>
    <col min="19" max="19" width="20.28515625" customWidth="1"/>
    <col min="20" max="20" width="14.5703125" bestFit="1" customWidth="1"/>
    <col min="21" max="29" width="3.28515625" customWidth="1"/>
    <col min="30" max="30" width="4" customWidth="1"/>
    <col min="31" max="35" width="3.28515625" customWidth="1"/>
    <col min="36" max="38" width="4" customWidth="1"/>
    <col min="39" max="40" width="3.28515625" customWidth="1"/>
    <col min="41" max="41" width="4" customWidth="1"/>
    <col min="42" max="44" width="3.28515625" customWidth="1"/>
    <col min="45" max="45" width="4" customWidth="1"/>
    <col min="46" max="61" width="3.28515625" customWidth="1"/>
    <col min="62" max="64" width="3.28515625" bestFit="1" customWidth="1"/>
    <col min="65" max="68" width="3.28515625" customWidth="1"/>
    <col min="69" max="69" width="5" bestFit="1" customWidth="1"/>
    <col min="70" max="77" width="3.28515625" bestFit="1" customWidth="1"/>
    <col min="78" max="85" width="7.42578125" customWidth="1"/>
    <col min="86" max="94" width="7.28515625" customWidth="1"/>
    <col min="95" max="99" width="7.7109375" customWidth="1"/>
    <col min="100" max="104" width="7.5703125" customWidth="1"/>
    <col min="105" max="113" width="8.28515625" customWidth="1"/>
    <col min="114" max="118" width="7.42578125" customWidth="1"/>
    <col min="119" max="124" width="7.28515625" customWidth="1"/>
    <col min="125" max="126" width="7.140625" customWidth="1"/>
    <col min="127" max="130" width="7.42578125" customWidth="1"/>
    <col min="131" max="139" width="7.28515625" customWidth="1"/>
    <col min="140" max="147" width="7.42578125" customWidth="1"/>
    <col min="148" max="155" width="7.140625" customWidth="1"/>
    <col min="156" max="163" width="7.28515625" customWidth="1"/>
    <col min="164" max="197" width="7" customWidth="1"/>
    <col min="198" max="226" width="7.42578125" customWidth="1"/>
    <col min="227" max="240" width="7.28515625" customWidth="1"/>
    <col min="241" max="254" width="6.7109375" customWidth="1"/>
    <col min="255" max="288" width="7.140625" customWidth="1"/>
    <col min="289" max="307" width="7" customWidth="1"/>
    <col min="308" max="338" width="7.28515625" customWidth="1"/>
    <col min="339" max="341" width="8" customWidth="1"/>
    <col min="342" max="344" width="8.28515625" customWidth="1"/>
    <col min="345" max="351" width="8" customWidth="1"/>
    <col min="352" max="360" width="7.140625" customWidth="1"/>
    <col min="361" max="361" width="7.28515625" customWidth="1"/>
    <col min="362" max="362" width="11.28515625" bestFit="1" customWidth="1"/>
  </cols>
  <sheetData>
    <row r="1" spans="1:77" x14ac:dyDescent="0.25">
      <c r="A1" s="29" t="s">
        <v>13</v>
      </c>
      <c r="B1" t="s">
        <v>8978</v>
      </c>
      <c r="C1" s="15"/>
      <c r="D1" s="15"/>
      <c r="F1" s="14" t="s">
        <v>8979</v>
      </c>
      <c r="G1" s="59" t="s">
        <v>8980</v>
      </c>
      <c r="I1" s="14" t="s">
        <v>8981</v>
      </c>
      <c r="J1" s="15"/>
      <c r="K1" s="15"/>
      <c r="L1" s="15"/>
      <c r="N1" s="29" t="s">
        <v>13</v>
      </c>
      <c r="O1" t="s">
        <v>8978</v>
      </c>
      <c r="P1" s="15"/>
      <c r="Q1" s="15"/>
      <c r="S1" s="14" t="s">
        <v>8982</v>
      </c>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5"/>
      <c r="BG1" s="15"/>
      <c r="BH1" s="15"/>
      <c r="BI1" s="15"/>
      <c r="BJ1" s="15"/>
      <c r="BK1" s="15"/>
      <c r="BL1" s="15"/>
      <c r="BM1" s="15"/>
      <c r="BN1" s="15"/>
      <c r="BO1" s="15"/>
      <c r="BP1" s="15"/>
      <c r="BQ1" s="15"/>
      <c r="BR1" s="15"/>
      <c r="BS1" s="15"/>
      <c r="BT1" s="15"/>
      <c r="BU1" s="15"/>
      <c r="BV1" s="15"/>
      <c r="BW1" s="15"/>
      <c r="BX1" s="15"/>
      <c r="BY1" s="15"/>
    </row>
    <row r="2" spans="1:77" x14ac:dyDescent="0.25">
      <c r="A2" s="16"/>
      <c r="B2" s="16"/>
      <c r="C2" s="16"/>
      <c r="D2" s="17" t="s">
        <v>8983</v>
      </c>
      <c r="F2" s="16"/>
      <c r="G2" s="16"/>
      <c r="I2" s="16"/>
      <c r="J2" s="16"/>
      <c r="K2" s="16"/>
      <c r="L2" s="17" t="s">
        <v>8983</v>
      </c>
      <c r="N2" s="16"/>
      <c r="O2" s="16"/>
      <c r="P2" s="16"/>
      <c r="Q2" s="17" t="s">
        <v>8983</v>
      </c>
      <c r="S2" s="18" t="s">
        <v>8984</v>
      </c>
      <c r="T2" s="16"/>
      <c r="U2" s="16"/>
      <c r="V2" s="16"/>
      <c r="W2" s="16"/>
      <c r="X2" s="16"/>
      <c r="Y2" s="17"/>
      <c r="Z2" s="16"/>
      <c r="AA2" s="16"/>
      <c r="AB2" s="16"/>
      <c r="AC2" s="16"/>
      <c r="AD2" s="16"/>
      <c r="AE2" s="16"/>
      <c r="AF2" s="16"/>
      <c r="AG2" s="16"/>
      <c r="AH2" s="16"/>
      <c r="AI2" s="16"/>
      <c r="AJ2" s="16"/>
      <c r="AK2" s="16"/>
      <c r="AL2" s="16"/>
      <c r="AM2" s="16"/>
      <c r="AN2" s="16"/>
      <c r="AO2" s="16"/>
      <c r="AP2" s="16"/>
      <c r="AQ2" s="16"/>
      <c r="AR2" s="16"/>
      <c r="AS2" s="16"/>
      <c r="AT2" s="16"/>
      <c r="AU2" s="16"/>
      <c r="AV2" s="16"/>
      <c r="AW2" s="16"/>
      <c r="AX2" s="16"/>
      <c r="AY2" s="16"/>
      <c r="AZ2" s="16"/>
      <c r="BA2" s="16"/>
      <c r="BB2" s="16"/>
      <c r="BC2" s="16"/>
      <c r="BD2" s="16"/>
      <c r="BE2" s="19" t="s">
        <v>8985</v>
      </c>
      <c r="BF2" s="16"/>
      <c r="BG2" s="16"/>
      <c r="BH2" s="16"/>
      <c r="BI2" s="16"/>
      <c r="BJ2" s="16"/>
      <c r="BK2" s="16"/>
      <c r="BL2" s="16"/>
      <c r="BM2" s="16"/>
      <c r="BN2" s="16"/>
      <c r="BO2" s="16"/>
      <c r="BP2" s="16"/>
      <c r="BQ2" s="16"/>
      <c r="BR2" s="16"/>
      <c r="BS2" s="16"/>
      <c r="BT2" s="16"/>
      <c r="BU2" s="16"/>
      <c r="BV2" s="16"/>
      <c r="BW2" s="16"/>
      <c r="BX2" s="16"/>
      <c r="BY2" s="20"/>
    </row>
    <row r="3" spans="1:77" x14ac:dyDescent="0.25">
      <c r="A3" t="s">
        <v>8986</v>
      </c>
      <c r="B3" t="s">
        <v>8987</v>
      </c>
      <c r="C3" t="s">
        <v>8988</v>
      </c>
      <c r="F3" s="29" t="s">
        <v>1</v>
      </c>
      <c r="G3" t="s">
        <v>8989</v>
      </c>
      <c r="I3" s="29" t="s">
        <v>8976</v>
      </c>
      <c r="J3" t="s">
        <v>8987</v>
      </c>
      <c r="K3" t="s">
        <v>8988</v>
      </c>
      <c r="N3" s="29" t="s">
        <v>8976</v>
      </c>
      <c r="O3" t="s">
        <v>8987</v>
      </c>
      <c r="P3" t="s">
        <v>8988</v>
      </c>
      <c r="S3" s="30" t="s">
        <v>8989</v>
      </c>
      <c r="T3" s="30" t="s">
        <v>8975</v>
      </c>
      <c r="U3" s="21"/>
      <c r="V3" s="21"/>
      <c r="W3" s="21"/>
      <c r="X3" s="21"/>
      <c r="Y3" s="21"/>
      <c r="Z3" s="21"/>
      <c r="AA3" s="21"/>
      <c r="AB3" s="21"/>
      <c r="AC3" s="21"/>
      <c r="AD3" s="21"/>
      <c r="AE3" s="21"/>
      <c r="AF3" s="21"/>
      <c r="AG3" s="21"/>
      <c r="AH3" s="21"/>
      <c r="AI3" s="21"/>
      <c r="AJ3" s="21"/>
      <c r="AK3" s="21"/>
      <c r="AL3" s="21"/>
      <c r="AM3" s="21"/>
      <c r="AN3" s="21"/>
      <c r="AO3" s="21"/>
      <c r="AP3" s="21"/>
      <c r="AQ3" s="21"/>
      <c r="AR3" s="21"/>
      <c r="AS3" s="21"/>
      <c r="AT3" s="21"/>
      <c r="AU3" s="21"/>
      <c r="AV3" s="21"/>
      <c r="AW3" s="21"/>
      <c r="AX3" s="21"/>
      <c r="AY3" s="21"/>
      <c r="AZ3" s="21"/>
      <c r="BA3" s="21"/>
      <c r="BB3" s="21"/>
      <c r="BC3" s="21"/>
      <c r="BD3" s="21"/>
      <c r="BE3" s="21"/>
      <c r="BF3" s="21"/>
      <c r="BG3" s="21"/>
      <c r="BH3" s="21"/>
      <c r="BI3" s="21"/>
      <c r="BJ3" s="21"/>
      <c r="BK3" s="21"/>
      <c r="BL3" s="21"/>
      <c r="BM3" s="21"/>
      <c r="BN3" s="21"/>
      <c r="BO3" s="21"/>
      <c r="BP3" s="21"/>
      <c r="BQ3" s="21"/>
      <c r="BR3" s="21"/>
      <c r="BS3" s="21"/>
      <c r="BT3" s="21"/>
      <c r="BU3" s="21"/>
      <c r="BV3" s="21"/>
      <c r="BW3" s="21"/>
      <c r="BX3" s="21"/>
      <c r="BY3" s="21"/>
    </row>
    <row r="4" spans="1:77" ht="76.5" x14ac:dyDescent="0.25">
      <c r="A4">
        <v>1343</v>
      </c>
      <c r="B4">
        <v>926</v>
      </c>
      <c r="C4">
        <v>748</v>
      </c>
      <c r="F4" s="22" t="s">
        <v>25</v>
      </c>
      <c r="G4">
        <v>621</v>
      </c>
      <c r="I4" s="22" t="s">
        <v>168</v>
      </c>
      <c r="J4">
        <v>192</v>
      </c>
      <c r="K4">
        <v>127</v>
      </c>
      <c r="N4" s="22" t="s">
        <v>293</v>
      </c>
      <c r="O4">
        <v>8</v>
      </c>
      <c r="P4">
        <v>5</v>
      </c>
      <c r="S4" s="30" t="s">
        <v>1</v>
      </c>
      <c r="T4" s="23" t="s">
        <v>293</v>
      </c>
      <c r="U4" s="23" t="s">
        <v>442</v>
      </c>
      <c r="V4" s="23" t="s">
        <v>105</v>
      </c>
      <c r="W4" s="23" t="s">
        <v>252</v>
      </c>
      <c r="X4" s="23" t="s">
        <v>693</v>
      </c>
      <c r="Y4" s="23" t="s">
        <v>62</v>
      </c>
      <c r="Z4" s="23" t="s">
        <v>309</v>
      </c>
      <c r="AA4" s="23" t="s">
        <v>148</v>
      </c>
      <c r="AB4" s="23" t="s">
        <v>277</v>
      </c>
      <c r="AC4" s="23" t="s">
        <v>455</v>
      </c>
      <c r="AD4" s="23" t="s">
        <v>44</v>
      </c>
      <c r="AE4" s="23" t="s">
        <v>1466</v>
      </c>
      <c r="AF4" s="23" t="s">
        <v>4532</v>
      </c>
      <c r="AG4" s="23" t="s">
        <v>81</v>
      </c>
      <c r="AH4" s="23" t="s">
        <v>528</v>
      </c>
      <c r="AI4" s="23" t="s">
        <v>934</v>
      </c>
      <c r="AJ4" s="23" t="s">
        <v>57</v>
      </c>
      <c r="AK4" s="23" t="s">
        <v>29</v>
      </c>
      <c r="AL4" s="23" t="s">
        <v>205</v>
      </c>
      <c r="AM4" s="23" t="s">
        <v>190</v>
      </c>
      <c r="AN4" s="23" t="s">
        <v>121</v>
      </c>
      <c r="AO4" s="23" t="s">
        <v>134</v>
      </c>
      <c r="AP4" s="23" t="s">
        <v>299</v>
      </c>
      <c r="AQ4" s="23" t="s">
        <v>437</v>
      </c>
      <c r="AR4" s="23" t="s">
        <v>1588</v>
      </c>
      <c r="AS4" s="23" t="s">
        <v>143</v>
      </c>
      <c r="AT4" s="23" t="s">
        <v>50</v>
      </c>
      <c r="AU4" s="23" t="s">
        <v>95</v>
      </c>
      <c r="AV4" s="23" t="s">
        <v>363</v>
      </c>
      <c r="AW4" s="23" t="s">
        <v>139</v>
      </c>
      <c r="AX4" s="23" t="s">
        <v>176</v>
      </c>
      <c r="AY4" s="23" t="s">
        <v>100</v>
      </c>
      <c r="AZ4" s="23" t="s">
        <v>8990</v>
      </c>
      <c r="BA4" s="23" t="s">
        <v>1384</v>
      </c>
      <c r="BB4" s="23" t="s">
        <v>2600</v>
      </c>
      <c r="BC4" s="23" t="s">
        <v>1352</v>
      </c>
      <c r="BD4" s="23" t="s">
        <v>2296</v>
      </c>
      <c r="BE4" s="23" t="s">
        <v>2009</v>
      </c>
      <c r="BF4" s="23" t="s">
        <v>1225</v>
      </c>
      <c r="BG4" s="23" t="s">
        <v>1334</v>
      </c>
      <c r="BH4" s="23" t="s">
        <v>2100</v>
      </c>
      <c r="BI4" s="23" t="s">
        <v>2662</v>
      </c>
      <c r="BJ4" s="23" t="s">
        <v>979</v>
      </c>
      <c r="BK4" s="23" t="s">
        <v>4370</v>
      </c>
      <c r="BL4" s="23" t="s">
        <v>3160</v>
      </c>
      <c r="BM4" s="23" t="s">
        <v>3942</v>
      </c>
      <c r="BN4" s="23" t="s">
        <v>4740</v>
      </c>
      <c r="BO4" s="23" t="s">
        <v>3874</v>
      </c>
      <c r="BP4" s="23" t="s">
        <v>6126</v>
      </c>
      <c r="BQ4" s="23" t="s">
        <v>8977</v>
      </c>
      <c r="BR4" s="24"/>
      <c r="BS4" s="24"/>
      <c r="BT4" s="24"/>
      <c r="BU4" s="24"/>
      <c r="BV4" s="24"/>
      <c r="BW4" s="24"/>
      <c r="BX4" s="24"/>
      <c r="BY4" s="24"/>
    </row>
    <row r="5" spans="1:77" x14ac:dyDescent="0.25">
      <c r="F5" s="22" t="s">
        <v>37</v>
      </c>
      <c r="G5">
        <v>384</v>
      </c>
      <c r="I5" s="22" t="s">
        <v>669</v>
      </c>
      <c r="J5">
        <v>3</v>
      </c>
      <c r="K5">
        <v>3</v>
      </c>
      <c r="N5" s="22" t="s">
        <v>442</v>
      </c>
      <c r="O5">
        <v>7</v>
      </c>
      <c r="P5">
        <v>5</v>
      </c>
      <c r="S5" s="57" t="s">
        <v>168</v>
      </c>
      <c r="T5" s="25">
        <v>7</v>
      </c>
      <c r="U5" s="25">
        <v>1</v>
      </c>
      <c r="V5" s="25">
        <v>2</v>
      </c>
      <c r="W5" s="25">
        <v>3</v>
      </c>
      <c r="X5" s="25">
        <v>0</v>
      </c>
      <c r="Y5" s="25">
        <v>8</v>
      </c>
      <c r="Z5" s="25">
        <v>1</v>
      </c>
      <c r="AA5" s="25">
        <v>5</v>
      </c>
      <c r="AB5" s="25">
        <v>0</v>
      </c>
      <c r="AC5" s="25">
        <v>0</v>
      </c>
      <c r="AD5" s="25">
        <v>109</v>
      </c>
      <c r="AE5" s="25">
        <v>2</v>
      </c>
      <c r="AF5" s="25">
        <v>1</v>
      </c>
      <c r="AG5" s="25">
        <v>0</v>
      </c>
      <c r="AH5" s="25">
        <v>6</v>
      </c>
      <c r="AI5" s="25">
        <v>0</v>
      </c>
      <c r="AJ5" s="25">
        <v>14</v>
      </c>
      <c r="AK5" s="25">
        <v>17</v>
      </c>
      <c r="AL5" s="25">
        <v>23</v>
      </c>
      <c r="AM5" s="25">
        <v>1</v>
      </c>
      <c r="AN5" s="25">
        <v>16</v>
      </c>
      <c r="AO5" s="25">
        <v>24</v>
      </c>
      <c r="AP5" s="25">
        <v>8</v>
      </c>
      <c r="AQ5" s="25">
        <v>2</v>
      </c>
      <c r="AR5" s="25">
        <v>3</v>
      </c>
      <c r="AS5" s="25">
        <v>4</v>
      </c>
      <c r="AT5" s="25">
        <v>1</v>
      </c>
      <c r="AU5" s="25">
        <v>1</v>
      </c>
      <c r="AV5" s="25">
        <v>5</v>
      </c>
      <c r="AW5" s="25">
        <v>3</v>
      </c>
      <c r="AX5" s="25">
        <v>2</v>
      </c>
      <c r="AY5" s="25">
        <v>2</v>
      </c>
      <c r="AZ5" s="25">
        <v>0</v>
      </c>
      <c r="BA5" s="25">
        <v>1</v>
      </c>
      <c r="BB5" s="25">
        <v>2</v>
      </c>
      <c r="BC5" s="25">
        <v>0</v>
      </c>
      <c r="BD5" s="25">
        <v>3</v>
      </c>
      <c r="BE5" s="25">
        <v>1</v>
      </c>
      <c r="BF5" s="25">
        <v>6</v>
      </c>
      <c r="BG5" s="25">
        <v>1</v>
      </c>
      <c r="BH5" s="25">
        <v>0</v>
      </c>
      <c r="BI5" s="25">
        <v>0</v>
      </c>
      <c r="BJ5" s="25">
        <v>3</v>
      </c>
      <c r="BK5" s="25">
        <v>0</v>
      </c>
      <c r="BL5" s="25">
        <v>1</v>
      </c>
      <c r="BM5" s="25">
        <v>0</v>
      </c>
      <c r="BN5" s="25">
        <v>0</v>
      </c>
      <c r="BO5" s="25">
        <v>2</v>
      </c>
      <c r="BP5" s="25">
        <v>0</v>
      </c>
      <c r="BQ5" s="25">
        <v>291</v>
      </c>
      <c r="BR5" s="21"/>
      <c r="BS5" s="21"/>
      <c r="BT5" s="21"/>
      <c r="BU5" s="21"/>
      <c r="BV5" s="21"/>
      <c r="BW5" s="21"/>
      <c r="BX5" s="21"/>
      <c r="BY5" s="21"/>
    </row>
    <row r="6" spans="1:77" x14ac:dyDescent="0.25">
      <c r="F6" s="22" t="s">
        <v>65</v>
      </c>
      <c r="G6">
        <v>330</v>
      </c>
      <c r="I6" s="22" t="s">
        <v>65</v>
      </c>
      <c r="J6">
        <v>326</v>
      </c>
      <c r="K6">
        <v>253</v>
      </c>
      <c r="N6" s="22" t="s">
        <v>105</v>
      </c>
      <c r="O6">
        <v>3</v>
      </c>
      <c r="P6">
        <v>3</v>
      </c>
      <c r="S6" s="57" t="s">
        <v>669</v>
      </c>
      <c r="T6" s="25">
        <v>1</v>
      </c>
      <c r="U6" s="25">
        <v>0</v>
      </c>
      <c r="V6" s="25">
        <v>0</v>
      </c>
      <c r="W6" s="25">
        <v>0</v>
      </c>
      <c r="X6" s="25">
        <v>0</v>
      </c>
      <c r="Y6" s="25">
        <v>0</v>
      </c>
      <c r="Z6" s="25">
        <v>0</v>
      </c>
      <c r="AA6" s="25">
        <v>0</v>
      </c>
      <c r="AB6" s="25">
        <v>0</v>
      </c>
      <c r="AC6" s="25">
        <v>0</v>
      </c>
      <c r="AD6" s="25">
        <v>0</v>
      </c>
      <c r="AE6" s="25">
        <v>0</v>
      </c>
      <c r="AF6" s="25">
        <v>0</v>
      </c>
      <c r="AG6" s="25">
        <v>0</v>
      </c>
      <c r="AH6" s="25">
        <v>1</v>
      </c>
      <c r="AI6" s="25">
        <v>0</v>
      </c>
      <c r="AJ6" s="25">
        <v>0</v>
      </c>
      <c r="AK6" s="25">
        <v>0</v>
      </c>
      <c r="AL6" s="25">
        <v>0</v>
      </c>
      <c r="AM6" s="25">
        <v>0</v>
      </c>
      <c r="AN6" s="25">
        <v>0</v>
      </c>
      <c r="AO6" s="25">
        <v>0</v>
      </c>
      <c r="AP6" s="25">
        <v>0</v>
      </c>
      <c r="AQ6" s="25">
        <v>0</v>
      </c>
      <c r="AR6" s="25">
        <v>0</v>
      </c>
      <c r="AS6" s="25">
        <v>0</v>
      </c>
      <c r="AT6" s="25">
        <v>1</v>
      </c>
      <c r="AU6" s="25">
        <v>0</v>
      </c>
      <c r="AV6" s="25">
        <v>0</v>
      </c>
      <c r="AW6" s="25">
        <v>0</v>
      </c>
      <c r="AX6" s="25">
        <v>0</v>
      </c>
      <c r="AY6" s="25">
        <v>0</v>
      </c>
      <c r="AZ6" s="25">
        <v>0</v>
      </c>
      <c r="BA6" s="25">
        <v>0</v>
      </c>
      <c r="BB6" s="25">
        <v>0</v>
      </c>
      <c r="BC6" s="25">
        <v>0</v>
      </c>
      <c r="BD6" s="25">
        <v>0</v>
      </c>
      <c r="BE6" s="25">
        <v>0</v>
      </c>
      <c r="BF6" s="25">
        <v>0</v>
      </c>
      <c r="BG6" s="25">
        <v>0</v>
      </c>
      <c r="BH6" s="25">
        <v>0</v>
      </c>
      <c r="BI6" s="25">
        <v>0</v>
      </c>
      <c r="BJ6" s="25">
        <v>0</v>
      </c>
      <c r="BK6" s="25">
        <v>0</v>
      </c>
      <c r="BL6" s="25">
        <v>0</v>
      </c>
      <c r="BM6" s="25">
        <v>0</v>
      </c>
      <c r="BN6" s="25">
        <v>0</v>
      </c>
      <c r="BO6" s="25">
        <v>0</v>
      </c>
      <c r="BP6" s="25">
        <v>0</v>
      </c>
      <c r="BQ6" s="25">
        <v>3</v>
      </c>
      <c r="BR6" s="21"/>
      <c r="BS6" s="21"/>
      <c r="BT6" s="21"/>
      <c r="BU6" s="21"/>
      <c r="BV6" s="21"/>
      <c r="BW6" s="21"/>
      <c r="BX6" s="21"/>
      <c r="BY6" s="21"/>
    </row>
    <row r="7" spans="1:77" x14ac:dyDescent="0.25">
      <c r="F7" s="22" t="s">
        <v>168</v>
      </c>
      <c r="G7">
        <v>291</v>
      </c>
      <c r="I7" s="22" t="s">
        <v>85</v>
      </c>
      <c r="J7">
        <v>119</v>
      </c>
      <c r="K7">
        <v>101</v>
      </c>
      <c r="N7" s="22" t="s">
        <v>252</v>
      </c>
      <c r="O7">
        <v>6</v>
      </c>
      <c r="P7">
        <v>3</v>
      </c>
      <c r="S7" s="57" t="s">
        <v>65</v>
      </c>
      <c r="T7" s="25">
        <v>1</v>
      </c>
      <c r="U7" s="25">
        <v>0</v>
      </c>
      <c r="V7" s="25">
        <v>0</v>
      </c>
      <c r="W7" s="25">
        <v>1</v>
      </c>
      <c r="X7" s="25">
        <v>0</v>
      </c>
      <c r="Y7" s="25">
        <v>7</v>
      </c>
      <c r="Z7" s="25">
        <v>0</v>
      </c>
      <c r="AA7" s="25">
        <v>7</v>
      </c>
      <c r="AB7" s="25">
        <v>10</v>
      </c>
      <c r="AC7" s="25">
        <v>0</v>
      </c>
      <c r="AD7" s="25">
        <v>103</v>
      </c>
      <c r="AE7" s="25">
        <v>1</v>
      </c>
      <c r="AF7" s="25">
        <v>0</v>
      </c>
      <c r="AG7" s="25">
        <v>14</v>
      </c>
      <c r="AH7" s="25">
        <v>11</v>
      </c>
      <c r="AI7" s="25">
        <v>6</v>
      </c>
      <c r="AJ7" s="25">
        <v>17</v>
      </c>
      <c r="AK7" s="25">
        <v>38</v>
      </c>
      <c r="AL7" s="25">
        <v>16</v>
      </c>
      <c r="AM7" s="25">
        <v>5</v>
      </c>
      <c r="AN7" s="25">
        <v>5</v>
      </c>
      <c r="AO7" s="25">
        <v>12</v>
      </c>
      <c r="AP7" s="25">
        <v>4</v>
      </c>
      <c r="AQ7" s="25">
        <v>1</v>
      </c>
      <c r="AR7" s="25">
        <v>2</v>
      </c>
      <c r="AS7" s="25">
        <v>15</v>
      </c>
      <c r="AT7" s="25">
        <v>3</v>
      </c>
      <c r="AU7" s="25">
        <v>6</v>
      </c>
      <c r="AV7" s="25">
        <v>8</v>
      </c>
      <c r="AW7" s="25">
        <v>19</v>
      </c>
      <c r="AX7" s="25">
        <v>3</v>
      </c>
      <c r="AY7" s="25">
        <v>6</v>
      </c>
      <c r="AZ7" s="25">
        <v>0</v>
      </c>
      <c r="BA7" s="25">
        <v>2</v>
      </c>
      <c r="BB7" s="25">
        <v>1</v>
      </c>
      <c r="BC7" s="25">
        <v>1</v>
      </c>
      <c r="BD7" s="25">
        <v>0</v>
      </c>
      <c r="BE7" s="25">
        <v>0</v>
      </c>
      <c r="BF7" s="25">
        <v>0</v>
      </c>
      <c r="BG7" s="25">
        <v>2</v>
      </c>
      <c r="BH7" s="25">
        <v>2</v>
      </c>
      <c r="BI7" s="25">
        <v>1</v>
      </c>
      <c r="BJ7" s="25">
        <v>0</v>
      </c>
      <c r="BK7" s="25">
        <v>0</v>
      </c>
      <c r="BL7" s="25">
        <v>0</v>
      </c>
      <c r="BM7" s="25">
        <v>0</v>
      </c>
      <c r="BN7" s="25">
        <v>0</v>
      </c>
      <c r="BO7" s="25">
        <v>0</v>
      </c>
      <c r="BP7" s="25">
        <v>0</v>
      </c>
      <c r="BQ7" s="25">
        <v>330</v>
      </c>
      <c r="BR7" s="21"/>
      <c r="BS7" s="21"/>
      <c r="BT7" s="21"/>
      <c r="BU7" s="21"/>
      <c r="BV7" s="21"/>
      <c r="BW7" s="21"/>
      <c r="BX7" s="21"/>
      <c r="BY7" s="21"/>
    </row>
    <row r="8" spans="1:77" x14ac:dyDescent="0.25">
      <c r="F8" s="22" t="s">
        <v>117</v>
      </c>
      <c r="G8">
        <v>180</v>
      </c>
      <c r="I8" s="22" t="s">
        <v>77</v>
      </c>
      <c r="J8">
        <v>10</v>
      </c>
      <c r="K8">
        <v>7</v>
      </c>
      <c r="N8" s="22" t="s">
        <v>693</v>
      </c>
      <c r="O8">
        <v>2</v>
      </c>
      <c r="S8" s="57" t="s">
        <v>85</v>
      </c>
      <c r="T8" s="25">
        <v>0</v>
      </c>
      <c r="U8" s="25">
        <v>0</v>
      </c>
      <c r="V8" s="25">
        <v>2</v>
      </c>
      <c r="W8" s="25">
        <v>3</v>
      </c>
      <c r="X8" s="25">
        <v>0</v>
      </c>
      <c r="Y8" s="25">
        <v>2</v>
      </c>
      <c r="Z8" s="25">
        <v>0</v>
      </c>
      <c r="AA8" s="25">
        <v>7</v>
      </c>
      <c r="AB8" s="25">
        <v>0</v>
      </c>
      <c r="AC8" s="25">
        <v>0</v>
      </c>
      <c r="AD8" s="25">
        <v>57</v>
      </c>
      <c r="AE8" s="25">
        <v>0</v>
      </c>
      <c r="AF8" s="25">
        <v>0</v>
      </c>
      <c r="AG8" s="25">
        <v>2</v>
      </c>
      <c r="AH8" s="25">
        <v>1</v>
      </c>
      <c r="AI8" s="25">
        <v>1</v>
      </c>
      <c r="AJ8" s="25">
        <v>7</v>
      </c>
      <c r="AK8" s="25">
        <v>5</v>
      </c>
      <c r="AL8" s="25">
        <v>11</v>
      </c>
      <c r="AM8" s="25">
        <v>0</v>
      </c>
      <c r="AN8" s="25">
        <v>4</v>
      </c>
      <c r="AO8" s="25">
        <v>7</v>
      </c>
      <c r="AP8" s="25">
        <v>1</v>
      </c>
      <c r="AQ8" s="25">
        <v>1</v>
      </c>
      <c r="AR8" s="25">
        <v>0</v>
      </c>
      <c r="AS8" s="25">
        <v>3</v>
      </c>
      <c r="AT8" s="25">
        <v>0</v>
      </c>
      <c r="AU8" s="25">
        <v>1</v>
      </c>
      <c r="AV8" s="25">
        <v>1</v>
      </c>
      <c r="AW8" s="25">
        <v>4</v>
      </c>
      <c r="AX8" s="25">
        <v>0</v>
      </c>
      <c r="AY8" s="25">
        <v>1</v>
      </c>
      <c r="AZ8" s="25">
        <v>0</v>
      </c>
      <c r="BA8" s="25">
        <v>0</v>
      </c>
      <c r="BB8" s="25">
        <v>0</v>
      </c>
      <c r="BC8" s="25">
        <v>1</v>
      </c>
      <c r="BD8" s="25">
        <v>0</v>
      </c>
      <c r="BE8" s="25">
        <v>0</v>
      </c>
      <c r="BF8" s="25">
        <v>0</v>
      </c>
      <c r="BG8" s="25">
        <v>0</v>
      </c>
      <c r="BH8" s="25">
        <v>0</v>
      </c>
      <c r="BI8" s="25">
        <v>0</v>
      </c>
      <c r="BJ8" s="25">
        <v>0</v>
      </c>
      <c r="BK8" s="25">
        <v>0</v>
      </c>
      <c r="BL8" s="25">
        <v>0</v>
      </c>
      <c r="BM8" s="25">
        <v>0</v>
      </c>
      <c r="BN8" s="25">
        <v>0</v>
      </c>
      <c r="BO8" s="25">
        <v>0</v>
      </c>
      <c r="BP8" s="25">
        <v>0</v>
      </c>
      <c r="BQ8" s="25">
        <v>122</v>
      </c>
      <c r="BR8" s="21"/>
      <c r="BS8" s="21"/>
      <c r="BT8" s="21"/>
      <c r="BU8" s="21"/>
      <c r="BV8" s="21"/>
      <c r="BW8" s="21"/>
      <c r="BX8" s="21"/>
      <c r="BY8" s="21"/>
    </row>
    <row r="9" spans="1:77" x14ac:dyDescent="0.25">
      <c r="F9" s="22" t="s">
        <v>70</v>
      </c>
      <c r="G9">
        <v>149</v>
      </c>
      <c r="I9" s="22" t="s">
        <v>117</v>
      </c>
      <c r="J9">
        <v>171</v>
      </c>
      <c r="K9">
        <v>132</v>
      </c>
      <c r="N9" s="22" t="s">
        <v>62</v>
      </c>
      <c r="O9">
        <v>23</v>
      </c>
      <c r="P9">
        <v>20</v>
      </c>
      <c r="S9" s="57" t="s">
        <v>77</v>
      </c>
      <c r="T9" s="25">
        <v>1</v>
      </c>
      <c r="U9" s="25">
        <v>0</v>
      </c>
      <c r="V9" s="25">
        <v>0</v>
      </c>
      <c r="W9" s="25">
        <v>0</v>
      </c>
      <c r="X9" s="25">
        <v>0</v>
      </c>
      <c r="Y9" s="25">
        <v>0</v>
      </c>
      <c r="Z9" s="25">
        <v>0</v>
      </c>
      <c r="AA9" s="25">
        <v>0</v>
      </c>
      <c r="AB9" s="25">
        <v>1</v>
      </c>
      <c r="AC9" s="25">
        <v>0</v>
      </c>
      <c r="AD9" s="25">
        <v>2</v>
      </c>
      <c r="AE9" s="25">
        <v>0</v>
      </c>
      <c r="AF9" s="25">
        <v>0</v>
      </c>
      <c r="AG9" s="25">
        <v>1</v>
      </c>
      <c r="AH9" s="25">
        <v>0</v>
      </c>
      <c r="AI9" s="25">
        <v>0</v>
      </c>
      <c r="AJ9" s="25">
        <v>1</v>
      </c>
      <c r="AK9" s="25">
        <v>2</v>
      </c>
      <c r="AL9" s="25">
        <v>0</v>
      </c>
      <c r="AM9" s="25">
        <v>0</v>
      </c>
      <c r="AN9" s="25">
        <v>1</v>
      </c>
      <c r="AO9" s="25">
        <v>0</v>
      </c>
      <c r="AP9" s="25">
        <v>0</v>
      </c>
      <c r="AQ9" s="25">
        <v>0</v>
      </c>
      <c r="AR9" s="25">
        <v>0</v>
      </c>
      <c r="AS9" s="25">
        <v>1</v>
      </c>
      <c r="AT9" s="25">
        <v>0</v>
      </c>
      <c r="AU9" s="25">
        <v>0</v>
      </c>
      <c r="AV9" s="25">
        <v>0</v>
      </c>
      <c r="AW9" s="25">
        <v>0</v>
      </c>
      <c r="AX9" s="25">
        <v>0</v>
      </c>
      <c r="AY9" s="25">
        <v>0</v>
      </c>
      <c r="AZ9" s="25">
        <v>0</v>
      </c>
      <c r="BA9" s="25">
        <v>0</v>
      </c>
      <c r="BB9" s="25">
        <v>0</v>
      </c>
      <c r="BC9" s="25">
        <v>0</v>
      </c>
      <c r="BD9" s="25">
        <v>0</v>
      </c>
      <c r="BE9" s="25">
        <v>0</v>
      </c>
      <c r="BF9" s="25">
        <v>0</v>
      </c>
      <c r="BG9" s="25">
        <v>0</v>
      </c>
      <c r="BH9" s="25">
        <v>0</v>
      </c>
      <c r="BI9" s="25">
        <v>0</v>
      </c>
      <c r="BJ9" s="25">
        <v>0</v>
      </c>
      <c r="BK9" s="25">
        <v>0</v>
      </c>
      <c r="BL9" s="25">
        <v>0</v>
      </c>
      <c r="BM9" s="25">
        <v>0</v>
      </c>
      <c r="BN9" s="25">
        <v>0</v>
      </c>
      <c r="BO9" s="25">
        <v>0</v>
      </c>
      <c r="BP9" s="25">
        <v>0</v>
      </c>
      <c r="BQ9" s="25">
        <v>10</v>
      </c>
      <c r="BR9" s="21"/>
      <c r="BS9" s="21"/>
      <c r="BT9" s="21"/>
      <c r="BU9" s="21"/>
      <c r="BV9" s="21"/>
      <c r="BW9" s="21"/>
      <c r="BX9" s="21"/>
      <c r="BY9" s="21"/>
    </row>
    <row r="10" spans="1:77" x14ac:dyDescent="0.25">
      <c r="F10" s="22" t="s">
        <v>85</v>
      </c>
      <c r="G10">
        <v>122</v>
      </c>
      <c r="I10" s="22" t="s">
        <v>70</v>
      </c>
      <c r="J10">
        <v>149</v>
      </c>
      <c r="K10">
        <v>120</v>
      </c>
      <c r="N10" s="22" t="s">
        <v>309</v>
      </c>
      <c r="O10">
        <v>34</v>
      </c>
      <c r="P10">
        <v>30</v>
      </c>
      <c r="S10" s="57" t="s">
        <v>117</v>
      </c>
      <c r="T10" s="25">
        <v>0</v>
      </c>
      <c r="U10" s="25">
        <v>7</v>
      </c>
      <c r="V10" s="25">
        <v>0</v>
      </c>
      <c r="W10" s="25">
        <v>0</v>
      </c>
      <c r="X10" s="25">
        <v>2</v>
      </c>
      <c r="Y10" s="25">
        <v>4</v>
      </c>
      <c r="Z10" s="25">
        <v>34</v>
      </c>
      <c r="AA10" s="25">
        <v>15</v>
      </c>
      <c r="AB10" s="25">
        <v>11</v>
      </c>
      <c r="AC10" s="25">
        <v>14</v>
      </c>
      <c r="AD10" s="25">
        <v>9</v>
      </c>
      <c r="AE10" s="25">
        <v>1</v>
      </c>
      <c r="AF10" s="25">
        <v>0</v>
      </c>
      <c r="AG10" s="25">
        <v>0</v>
      </c>
      <c r="AH10" s="25">
        <v>14</v>
      </c>
      <c r="AI10" s="25">
        <v>0</v>
      </c>
      <c r="AJ10" s="25">
        <v>0</v>
      </c>
      <c r="AK10" s="25">
        <v>4</v>
      </c>
      <c r="AL10" s="25">
        <v>10</v>
      </c>
      <c r="AM10" s="25">
        <v>0</v>
      </c>
      <c r="AN10" s="25">
        <v>22</v>
      </c>
      <c r="AO10" s="25">
        <v>5</v>
      </c>
      <c r="AP10" s="25">
        <v>3</v>
      </c>
      <c r="AQ10" s="25">
        <v>16</v>
      </c>
      <c r="AR10" s="25">
        <v>0</v>
      </c>
      <c r="AS10" s="25">
        <v>0</v>
      </c>
      <c r="AT10" s="25">
        <v>5</v>
      </c>
      <c r="AU10" s="25">
        <v>0</v>
      </c>
      <c r="AV10" s="25">
        <v>0</v>
      </c>
      <c r="AW10" s="25">
        <v>0</v>
      </c>
      <c r="AX10" s="25">
        <v>0</v>
      </c>
      <c r="AY10" s="25">
        <v>0</v>
      </c>
      <c r="AZ10" s="25">
        <v>0</v>
      </c>
      <c r="BA10" s="25">
        <v>0</v>
      </c>
      <c r="BB10" s="25">
        <v>0</v>
      </c>
      <c r="BC10" s="25">
        <v>0</v>
      </c>
      <c r="BD10" s="25">
        <v>0</v>
      </c>
      <c r="BE10" s="25">
        <v>0</v>
      </c>
      <c r="BF10" s="25">
        <v>0</v>
      </c>
      <c r="BG10" s="25">
        <v>0</v>
      </c>
      <c r="BH10" s="25">
        <v>0</v>
      </c>
      <c r="BI10" s="25">
        <v>0</v>
      </c>
      <c r="BJ10" s="25">
        <v>4</v>
      </c>
      <c r="BK10" s="25">
        <v>0</v>
      </c>
      <c r="BL10" s="25">
        <v>0</v>
      </c>
      <c r="BM10" s="25">
        <v>0</v>
      </c>
      <c r="BN10" s="25">
        <v>0</v>
      </c>
      <c r="BO10" s="25">
        <v>0</v>
      </c>
      <c r="BP10" s="25">
        <v>0</v>
      </c>
      <c r="BQ10" s="25">
        <v>180</v>
      </c>
      <c r="BR10" s="21"/>
      <c r="BS10" s="21"/>
      <c r="BT10" s="21"/>
      <c r="BU10" s="21"/>
      <c r="BV10" s="21"/>
      <c r="BW10" s="21"/>
      <c r="BX10" s="21"/>
      <c r="BY10" s="21"/>
    </row>
    <row r="11" spans="1:77" x14ac:dyDescent="0.25">
      <c r="F11" s="22" t="s">
        <v>211</v>
      </c>
      <c r="G11">
        <v>24</v>
      </c>
      <c r="I11" s="22" t="s">
        <v>8990</v>
      </c>
      <c r="J11">
        <v>0</v>
      </c>
      <c r="K11">
        <v>0</v>
      </c>
      <c r="N11" s="22" t="s">
        <v>148</v>
      </c>
      <c r="O11">
        <v>35</v>
      </c>
      <c r="P11">
        <v>28</v>
      </c>
      <c r="S11" s="57" t="s">
        <v>70</v>
      </c>
      <c r="T11" s="25">
        <v>2</v>
      </c>
      <c r="U11" s="25">
        <v>0</v>
      </c>
      <c r="V11" s="25">
        <v>0</v>
      </c>
      <c r="W11" s="25">
        <v>2</v>
      </c>
      <c r="X11" s="25">
        <v>0</v>
      </c>
      <c r="Y11" s="25">
        <v>6</v>
      </c>
      <c r="Z11" s="25">
        <v>0</v>
      </c>
      <c r="AA11" s="25">
        <v>4</v>
      </c>
      <c r="AB11" s="25">
        <v>0</v>
      </c>
      <c r="AC11" s="25">
        <v>0</v>
      </c>
      <c r="AD11" s="25">
        <v>53</v>
      </c>
      <c r="AE11" s="25">
        <v>0</v>
      </c>
      <c r="AF11" s="25">
        <v>0</v>
      </c>
      <c r="AG11" s="25">
        <v>5</v>
      </c>
      <c r="AH11" s="25">
        <v>9</v>
      </c>
      <c r="AI11" s="25">
        <v>0</v>
      </c>
      <c r="AJ11" s="25">
        <v>2</v>
      </c>
      <c r="AK11" s="25">
        <v>13</v>
      </c>
      <c r="AL11" s="25">
        <v>7</v>
      </c>
      <c r="AM11" s="25">
        <v>1</v>
      </c>
      <c r="AN11" s="25">
        <v>1</v>
      </c>
      <c r="AO11" s="25">
        <v>8</v>
      </c>
      <c r="AP11" s="25">
        <v>4</v>
      </c>
      <c r="AQ11" s="25">
        <v>0</v>
      </c>
      <c r="AR11" s="25">
        <v>1</v>
      </c>
      <c r="AS11" s="25">
        <v>10</v>
      </c>
      <c r="AT11" s="25">
        <v>2</v>
      </c>
      <c r="AU11" s="25">
        <v>5</v>
      </c>
      <c r="AV11" s="25">
        <v>2</v>
      </c>
      <c r="AW11" s="25">
        <v>8</v>
      </c>
      <c r="AX11" s="25">
        <v>3</v>
      </c>
      <c r="AY11" s="25">
        <v>1</v>
      </c>
      <c r="AZ11" s="25">
        <v>0</v>
      </c>
      <c r="BA11" s="25">
        <v>0</v>
      </c>
      <c r="BB11" s="25">
        <v>0</v>
      </c>
      <c r="BC11" s="25">
        <v>0</v>
      </c>
      <c r="BD11" s="25">
        <v>0</v>
      </c>
      <c r="BE11" s="25">
        <v>0</v>
      </c>
      <c r="BF11" s="25">
        <v>0</v>
      </c>
      <c r="BG11" s="25">
        <v>0</v>
      </c>
      <c r="BH11" s="25">
        <v>0</v>
      </c>
      <c r="BI11" s="25">
        <v>0</v>
      </c>
      <c r="BJ11" s="25">
        <v>0</v>
      </c>
      <c r="BK11" s="25">
        <v>0</v>
      </c>
      <c r="BL11" s="25">
        <v>0</v>
      </c>
      <c r="BM11" s="25">
        <v>0</v>
      </c>
      <c r="BN11" s="25">
        <v>0</v>
      </c>
      <c r="BO11" s="25">
        <v>0</v>
      </c>
      <c r="BP11" s="25">
        <v>0</v>
      </c>
      <c r="BQ11" s="25">
        <v>149</v>
      </c>
      <c r="BR11" s="21"/>
      <c r="BS11" s="21"/>
      <c r="BT11" s="21"/>
      <c r="BU11" s="21"/>
      <c r="BV11" s="21"/>
      <c r="BW11" s="21"/>
      <c r="BX11" s="21"/>
      <c r="BY11" s="21"/>
    </row>
    <row r="12" spans="1:77" x14ac:dyDescent="0.25">
      <c r="F12" s="22" t="s">
        <v>77</v>
      </c>
      <c r="G12">
        <v>10</v>
      </c>
      <c r="I12" s="22" t="s">
        <v>37</v>
      </c>
      <c r="J12">
        <v>331</v>
      </c>
      <c r="K12">
        <v>196</v>
      </c>
      <c r="N12" s="22" t="s">
        <v>277</v>
      </c>
      <c r="O12">
        <v>19</v>
      </c>
      <c r="P12">
        <v>10</v>
      </c>
      <c r="S12" s="57" t="s">
        <v>8990</v>
      </c>
      <c r="T12" s="25">
        <v>0</v>
      </c>
      <c r="U12" s="25">
        <v>0</v>
      </c>
      <c r="V12" s="25">
        <v>0</v>
      </c>
      <c r="W12" s="25">
        <v>0</v>
      </c>
      <c r="X12" s="25">
        <v>0</v>
      </c>
      <c r="Y12" s="25">
        <v>0</v>
      </c>
      <c r="Z12" s="25">
        <v>0</v>
      </c>
      <c r="AA12" s="25">
        <v>0</v>
      </c>
      <c r="AB12" s="25">
        <v>0</v>
      </c>
      <c r="AC12" s="25">
        <v>0</v>
      </c>
      <c r="AD12" s="25">
        <v>0</v>
      </c>
      <c r="AE12" s="25">
        <v>0</v>
      </c>
      <c r="AF12" s="25">
        <v>0</v>
      </c>
      <c r="AG12" s="25">
        <v>0</v>
      </c>
      <c r="AH12" s="25">
        <v>0</v>
      </c>
      <c r="AI12" s="25">
        <v>0</v>
      </c>
      <c r="AJ12" s="25">
        <v>0</v>
      </c>
      <c r="AK12" s="25">
        <v>0</v>
      </c>
      <c r="AL12" s="25">
        <v>0</v>
      </c>
      <c r="AM12" s="25">
        <v>0</v>
      </c>
      <c r="AN12" s="25">
        <v>0</v>
      </c>
      <c r="AO12" s="25">
        <v>0</v>
      </c>
      <c r="AP12" s="25">
        <v>0</v>
      </c>
      <c r="AQ12" s="25">
        <v>0</v>
      </c>
      <c r="AR12" s="25">
        <v>0</v>
      </c>
      <c r="AS12" s="25">
        <v>0</v>
      </c>
      <c r="AT12" s="25">
        <v>0</v>
      </c>
      <c r="AU12" s="25">
        <v>0</v>
      </c>
      <c r="AV12" s="25">
        <v>0</v>
      </c>
      <c r="AW12" s="25">
        <v>0</v>
      </c>
      <c r="AX12" s="25">
        <v>0</v>
      </c>
      <c r="AY12" s="25">
        <v>0</v>
      </c>
      <c r="AZ12" s="25">
        <v>0</v>
      </c>
      <c r="BA12" s="25">
        <v>0</v>
      </c>
      <c r="BB12" s="25">
        <v>0</v>
      </c>
      <c r="BC12" s="25">
        <v>0</v>
      </c>
      <c r="BD12" s="25">
        <v>0</v>
      </c>
      <c r="BE12" s="25">
        <v>0</v>
      </c>
      <c r="BF12" s="25">
        <v>0</v>
      </c>
      <c r="BG12" s="25">
        <v>0</v>
      </c>
      <c r="BH12" s="25">
        <v>0</v>
      </c>
      <c r="BI12" s="25">
        <v>0</v>
      </c>
      <c r="BJ12" s="25">
        <v>0</v>
      </c>
      <c r="BK12" s="25">
        <v>0</v>
      </c>
      <c r="BL12" s="25">
        <v>0</v>
      </c>
      <c r="BM12" s="25">
        <v>0</v>
      </c>
      <c r="BN12" s="25">
        <v>0</v>
      </c>
      <c r="BO12" s="25">
        <v>0</v>
      </c>
      <c r="BP12" s="25">
        <v>0</v>
      </c>
      <c r="BQ12" s="25">
        <v>0</v>
      </c>
      <c r="BR12" s="21"/>
      <c r="BS12" s="21"/>
      <c r="BT12" s="21"/>
      <c r="BU12" s="21"/>
      <c r="BV12" s="21"/>
      <c r="BW12" s="21"/>
      <c r="BX12" s="21"/>
      <c r="BY12" s="21"/>
    </row>
    <row r="13" spans="1:77" x14ac:dyDescent="0.25">
      <c r="F13" s="22" t="s">
        <v>369</v>
      </c>
      <c r="G13">
        <v>9</v>
      </c>
      <c r="I13" s="22" t="s">
        <v>369</v>
      </c>
      <c r="J13">
        <v>9</v>
      </c>
      <c r="K13">
        <v>6</v>
      </c>
      <c r="N13" s="22" t="s">
        <v>455</v>
      </c>
      <c r="O13">
        <v>12</v>
      </c>
      <c r="P13">
        <v>12</v>
      </c>
      <c r="S13" s="57" t="s">
        <v>37</v>
      </c>
      <c r="T13" s="25">
        <v>11</v>
      </c>
      <c r="U13" s="25">
        <v>0</v>
      </c>
      <c r="V13" s="25">
        <v>1</v>
      </c>
      <c r="W13" s="25">
        <v>6</v>
      </c>
      <c r="X13" s="25">
        <v>1</v>
      </c>
      <c r="Y13" s="25">
        <v>14</v>
      </c>
      <c r="Z13" s="25">
        <v>0</v>
      </c>
      <c r="AA13" s="25">
        <v>2</v>
      </c>
      <c r="AB13" s="25">
        <v>1</v>
      </c>
      <c r="AC13" s="25">
        <v>0</v>
      </c>
      <c r="AD13" s="25">
        <v>143</v>
      </c>
      <c r="AE13" s="25">
        <v>0</v>
      </c>
      <c r="AF13" s="25">
        <v>0</v>
      </c>
      <c r="AG13" s="25">
        <v>2</v>
      </c>
      <c r="AH13" s="25">
        <v>1</v>
      </c>
      <c r="AI13" s="25">
        <v>0</v>
      </c>
      <c r="AJ13" s="25">
        <v>22</v>
      </c>
      <c r="AK13" s="25">
        <v>22</v>
      </c>
      <c r="AL13" s="25">
        <v>27</v>
      </c>
      <c r="AM13" s="25">
        <v>0</v>
      </c>
      <c r="AN13" s="25">
        <v>14</v>
      </c>
      <c r="AO13" s="25">
        <v>19</v>
      </c>
      <c r="AP13" s="25">
        <v>25</v>
      </c>
      <c r="AQ13" s="25">
        <v>0</v>
      </c>
      <c r="AR13" s="25">
        <v>1</v>
      </c>
      <c r="AS13" s="25">
        <v>39</v>
      </c>
      <c r="AT13" s="25">
        <v>6</v>
      </c>
      <c r="AU13" s="25">
        <v>2</v>
      </c>
      <c r="AV13" s="25">
        <v>1</v>
      </c>
      <c r="AW13" s="25">
        <v>8</v>
      </c>
      <c r="AX13" s="25">
        <v>0</v>
      </c>
      <c r="AY13" s="25">
        <v>3</v>
      </c>
      <c r="AZ13" s="25">
        <v>0</v>
      </c>
      <c r="BA13" s="25">
        <v>3</v>
      </c>
      <c r="BB13" s="25">
        <v>1</v>
      </c>
      <c r="BC13" s="25">
        <v>0</v>
      </c>
      <c r="BD13" s="25">
        <v>3</v>
      </c>
      <c r="BE13" s="25">
        <v>0</v>
      </c>
      <c r="BF13" s="25">
        <v>1</v>
      </c>
      <c r="BG13" s="25">
        <v>0</v>
      </c>
      <c r="BH13" s="25">
        <v>0</v>
      </c>
      <c r="BI13" s="25">
        <v>1</v>
      </c>
      <c r="BJ13" s="25">
        <v>0</v>
      </c>
      <c r="BK13" s="25">
        <v>2</v>
      </c>
      <c r="BL13" s="25">
        <v>1</v>
      </c>
      <c r="BM13" s="25">
        <v>0</v>
      </c>
      <c r="BN13" s="25">
        <v>0</v>
      </c>
      <c r="BO13" s="25">
        <v>0</v>
      </c>
      <c r="BP13" s="25">
        <v>1</v>
      </c>
      <c r="BQ13" s="25">
        <v>384</v>
      </c>
      <c r="BR13" s="21"/>
      <c r="BS13" s="21"/>
      <c r="BT13" s="21"/>
      <c r="BU13" s="21"/>
      <c r="BV13" s="21"/>
      <c r="BW13" s="21"/>
      <c r="BX13" s="21"/>
      <c r="BY13" s="21"/>
    </row>
    <row r="14" spans="1:77" x14ac:dyDescent="0.25">
      <c r="F14" s="22" t="s">
        <v>669</v>
      </c>
      <c r="G14">
        <v>3</v>
      </c>
      <c r="I14" s="22" t="s">
        <v>211</v>
      </c>
      <c r="J14">
        <v>24</v>
      </c>
      <c r="K14">
        <v>22</v>
      </c>
      <c r="N14" s="22" t="s">
        <v>44</v>
      </c>
      <c r="O14">
        <v>268</v>
      </c>
      <c r="P14">
        <v>211</v>
      </c>
      <c r="S14" s="57" t="s">
        <v>369</v>
      </c>
      <c r="T14" s="25">
        <v>0</v>
      </c>
      <c r="U14" s="25">
        <v>0</v>
      </c>
      <c r="V14" s="25">
        <v>0</v>
      </c>
      <c r="W14" s="25">
        <v>0</v>
      </c>
      <c r="X14" s="25">
        <v>0</v>
      </c>
      <c r="Y14" s="25">
        <v>0</v>
      </c>
      <c r="Z14" s="25">
        <v>0</v>
      </c>
      <c r="AA14" s="25">
        <v>2</v>
      </c>
      <c r="AB14" s="25">
        <v>0</v>
      </c>
      <c r="AC14" s="25">
        <v>0</v>
      </c>
      <c r="AD14" s="25">
        <v>0</v>
      </c>
      <c r="AE14" s="25">
        <v>0</v>
      </c>
      <c r="AF14" s="25">
        <v>0</v>
      </c>
      <c r="AG14" s="25">
        <v>0</v>
      </c>
      <c r="AH14" s="25">
        <v>0</v>
      </c>
      <c r="AI14" s="25">
        <v>0</v>
      </c>
      <c r="AJ14" s="25">
        <v>0</v>
      </c>
      <c r="AK14" s="25">
        <v>0</v>
      </c>
      <c r="AL14" s="25">
        <v>0</v>
      </c>
      <c r="AM14" s="25">
        <v>0</v>
      </c>
      <c r="AN14" s="25">
        <v>0</v>
      </c>
      <c r="AO14" s="25">
        <v>3</v>
      </c>
      <c r="AP14" s="25">
        <v>0</v>
      </c>
      <c r="AQ14" s="25">
        <v>0</v>
      </c>
      <c r="AR14" s="25">
        <v>0</v>
      </c>
      <c r="AS14" s="25">
        <v>0</v>
      </c>
      <c r="AT14" s="25">
        <v>1</v>
      </c>
      <c r="AU14" s="25">
        <v>0</v>
      </c>
      <c r="AV14" s="25">
        <v>0</v>
      </c>
      <c r="AW14" s="25">
        <v>0</v>
      </c>
      <c r="AX14" s="25">
        <v>1</v>
      </c>
      <c r="AY14" s="25">
        <v>0</v>
      </c>
      <c r="AZ14" s="25">
        <v>0</v>
      </c>
      <c r="BA14" s="25">
        <v>0</v>
      </c>
      <c r="BB14" s="25">
        <v>0</v>
      </c>
      <c r="BC14" s="25">
        <v>0</v>
      </c>
      <c r="BD14" s="25">
        <v>0</v>
      </c>
      <c r="BE14" s="25">
        <v>0</v>
      </c>
      <c r="BF14" s="25">
        <v>0</v>
      </c>
      <c r="BG14" s="25">
        <v>0</v>
      </c>
      <c r="BH14" s="25">
        <v>0</v>
      </c>
      <c r="BI14" s="25">
        <v>0</v>
      </c>
      <c r="BJ14" s="25">
        <v>1</v>
      </c>
      <c r="BK14" s="25">
        <v>0</v>
      </c>
      <c r="BL14" s="25">
        <v>0</v>
      </c>
      <c r="BM14" s="25">
        <v>0</v>
      </c>
      <c r="BN14" s="25">
        <v>0</v>
      </c>
      <c r="BO14" s="25">
        <v>0</v>
      </c>
      <c r="BP14" s="25">
        <v>1</v>
      </c>
      <c r="BQ14" s="25">
        <v>9</v>
      </c>
    </row>
    <row r="15" spans="1:77" x14ac:dyDescent="0.25">
      <c r="F15" s="22" t="s">
        <v>8990</v>
      </c>
      <c r="I15" s="22" t="s">
        <v>25</v>
      </c>
      <c r="J15">
        <v>424</v>
      </c>
      <c r="K15">
        <v>257</v>
      </c>
      <c r="N15" s="22" t="s">
        <v>1466</v>
      </c>
      <c r="O15">
        <v>2</v>
      </c>
      <c r="P15">
        <v>2</v>
      </c>
      <c r="S15" s="57" t="s">
        <v>211</v>
      </c>
      <c r="T15" s="25">
        <v>0</v>
      </c>
      <c r="U15" s="25">
        <v>0</v>
      </c>
      <c r="V15" s="25">
        <v>1</v>
      </c>
      <c r="W15" s="25">
        <v>0</v>
      </c>
      <c r="X15" s="25">
        <v>0</v>
      </c>
      <c r="Y15" s="25">
        <v>2</v>
      </c>
      <c r="Z15" s="25">
        <v>0</v>
      </c>
      <c r="AA15" s="25">
        <v>0</v>
      </c>
      <c r="AB15" s="25">
        <v>0</v>
      </c>
      <c r="AC15" s="25">
        <v>0</v>
      </c>
      <c r="AD15" s="25">
        <v>4</v>
      </c>
      <c r="AE15" s="25">
        <v>0</v>
      </c>
      <c r="AF15" s="25">
        <v>0</v>
      </c>
      <c r="AG15" s="25">
        <v>0</v>
      </c>
      <c r="AH15" s="25">
        <v>1</v>
      </c>
      <c r="AI15" s="25">
        <v>0</v>
      </c>
      <c r="AJ15" s="25">
        <v>0</v>
      </c>
      <c r="AK15" s="25">
        <v>3</v>
      </c>
      <c r="AL15" s="25">
        <v>2</v>
      </c>
      <c r="AM15" s="25">
        <v>0</v>
      </c>
      <c r="AN15" s="25">
        <v>0</v>
      </c>
      <c r="AO15" s="25">
        <v>3</v>
      </c>
      <c r="AP15" s="25">
        <v>2</v>
      </c>
      <c r="AQ15" s="25">
        <v>1</v>
      </c>
      <c r="AR15" s="25">
        <v>0</v>
      </c>
      <c r="AS15" s="25">
        <v>1</v>
      </c>
      <c r="AT15" s="25">
        <v>0</v>
      </c>
      <c r="AU15" s="25">
        <v>0</v>
      </c>
      <c r="AV15" s="25">
        <v>0</v>
      </c>
      <c r="AW15" s="25">
        <v>0</v>
      </c>
      <c r="AX15" s="25">
        <v>1</v>
      </c>
      <c r="AY15" s="25">
        <v>0</v>
      </c>
      <c r="AZ15" s="25">
        <v>0</v>
      </c>
      <c r="BA15" s="25">
        <v>0</v>
      </c>
      <c r="BB15" s="25">
        <v>0</v>
      </c>
      <c r="BC15" s="25">
        <v>0</v>
      </c>
      <c r="BD15" s="25">
        <v>0</v>
      </c>
      <c r="BE15" s="25">
        <v>1</v>
      </c>
      <c r="BF15" s="25">
        <v>1</v>
      </c>
      <c r="BG15" s="25">
        <v>1</v>
      </c>
      <c r="BH15" s="25">
        <v>0</v>
      </c>
      <c r="BI15" s="25">
        <v>0</v>
      </c>
      <c r="BJ15" s="25">
        <v>0</v>
      </c>
      <c r="BK15" s="25">
        <v>0</v>
      </c>
      <c r="BL15" s="25">
        <v>0</v>
      </c>
      <c r="BM15" s="25">
        <v>0</v>
      </c>
      <c r="BN15" s="25">
        <v>0</v>
      </c>
      <c r="BO15" s="25">
        <v>0</v>
      </c>
      <c r="BP15" s="25">
        <v>0</v>
      </c>
      <c r="BQ15" s="25">
        <v>24</v>
      </c>
    </row>
    <row r="16" spans="1:77" x14ac:dyDescent="0.25">
      <c r="F16" s="22" t="s">
        <v>8977</v>
      </c>
      <c r="G16">
        <v>2123</v>
      </c>
      <c r="I16" s="22" t="s">
        <v>8977</v>
      </c>
      <c r="J16">
        <v>1758</v>
      </c>
      <c r="K16">
        <v>1224</v>
      </c>
      <c r="N16" s="22" t="s">
        <v>4532</v>
      </c>
      <c r="O16">
        <v>1</v>
      </c>
      <c r="P16">
        <v>1</v>
      </c>
      <c r="S16" s="57" t="s">
        <v>25</v>
      </c>
      <c r="T16" s="25">
        <v>19</v>
      </c>
      <c r="U16" s="25">
        <v>0</v>
      </c>
      <c r="V16" s="25">
        <v>1</v>
      </c>
      <c r="W16" s="25">
        <v>14</v>
      </c>
      <c r="X16" s="25">
        <v>0</v>
      </c>
      <c r="Y16" s="25">
        <v>11</v>
      </c>
      <c r="Z16" s="25">
        <v>1</v>
      </c>
      <c r="AA16" s="25">
        <v>19</v>
      </c>
      <c r="AB16" s="25">
        <v>2</v>
      </c>
      <c r="AC16" s="25">
        <v>0</v>
      </c>
      <c r="AD16" s="25">
        <v>255</v>
      </c>
      <c r="AE16" s="25">
        <v>0</v>
      </c>
      <c r="AF16" s="25">
        <v>1</v>
      </c>
      <c r="AG16" s="25">
        <v>2</v>
      </c>
      <c r="AH16" s="25">
        <v>3</v>
      </c>
      <c r="AI16" s="25">
        <v>3</v>
      </c>
      <c r="AJ16" s="25">
        <v>40</v>
      </c>
      <c r="AK16" s="25">
        <v>31</v>
      </c>
      <c r="AL16" s="25">
        <v>19</v>
      </c>
      <c r="AM16" s="25">
        <v>0</v>
      </c>
      <c r="AN16" s="25">
        <v>32</v>
      </c>
      <c r="AO16" s="25">
        <v>58</v>
      </c>
      <c r="AP16" s="25">
        <v>5</v>
      </c>
      <c r="AQ16" s="25">
        <v>0</v>
      </c>
      <c r="AR16" s="25">
        <v>4</v>
      </c>
      <c r="AS16" s="25">
        <v>27</v>
      </c>
      <c r="AT16" s="25">
        <v>4</v>
      </c>
      <c r="AU16" s="25">
        <v>3</v>
      </c>
      <c r="AV16" s="25">
        <v>5</v>
      </c>
      <c r="AW16" s="25">
        <v>15</v>
      </c>
      <c r="AX16" s="25">
        <v>8</v>
      </c>
      <c r="AY16" s="25">
        <v>6</v>
      </c>
      <c r="AZ16" s="25">
        <v>0</v>
      </c>
      <c r="BA16" s="25">
        <v>2</v>
      </c>
      <c r="BB16" s="25">
        <v>10</v>
      </c>
      <c r="BC16" s="25">
        <v>0</v>
      </c>
      <c r="BD16" s="25">
        <v>1</v>
      </c>
      <c r="BE16" s="25">
        <v>1</v>
      </c>
      <c r="BF16" s="25">
        <v>2</v>
      </c>
      <c r="BG16" s="25">
        <v>1</v>
      </c>
      <c r="BH16" s="25">
        <v>0</v>
      </c>
      <c r="BI16" s="25">
        <v>1</v>
      </c>
      <c r="BJ16" s="25">
        <v>0</v>
      </c>
      <c r="BK16" s="25">
        <v>0</v>
      </c>
      <c r="BL16" s="25">
        <v>13</v>
      </c>
      <c r="BM16" s="25">
        <v>1</v>
      </c>
      <c r="BN16" s="25">
        <v>1</v>
      </c>
      <c r="BO16" s="25">
        <v>0</v>
      </c>
      <c r="BP16" s="25">
        <v>0</v>
      </c>
      <c r="BQ16" s="25">
        <v>621</v>
      </c>
    </row>
    <row r="17" spans="14:69" x14ac:dyDescent="0.25">
      <c r="N17" s="22" t="s">
        <v>81</v>
      </c>
      <c r="O17">
        <v>23</v>
      </c>
      <c r="P17">
        <v>18</v>
      </c>
      <c r="S17" s="26" t="s">
        <v>8977</v>
      </c>
      <c r="T17" s="27">
        <v>42</v>
      </c>
      <c r="U17" s="27">
        <v>8</v>
      </c>
      <c r="V17" s="27">
        <v>7</v>
      </c>
      <c r="W17" s="27">
        <v>29</v>
      </c>
      <c r="X17" s="27">
        <v>3</v>
      </c>
      <c r="Y17" s="27">
        <v>54</v>
      </c>
      <c r="Z17" s="27">
        <v>36</v>
      </c>
      <c r="AA17" s="27">
        <v>61</v>
      </c>
      <c r="AB17" s="27">
        <v>25</v>
      </c>
      <c r="AC17" s="27">
        <v>14</v>
      </c>
      <c r="AD17" s="27">
        <v>735</v>
      </c>
      <c r="AE17" s="27">
        <v>4</v>
      </c>
      <c r="AF17" s="27">
        <v>2</v>
      </c>
      <c r="AG17" s="27">
        <v>26</v>
      </c>
      <c r="AH17" s="27">
        <v>47</v>
      </c>
      <c r="AI17" s="27">
        <v>10</v>
      </c>
      <c r="AJ17" s="27">
        <v>103</v>
      </c>
      <c r="AK17" s="27">
        <v>135</v>
      </c>
      <c r="AL17" s="27">
        <v>115</v>
      </c>
      <c r="AM17" s="27">
        <v>7</v>
      </c>
      <c r="AN17" s="27">
        <v>95</v>
      </c>
      <c r="AO17" s="27">
        <v>139</v>
      </c>
      <c r="AP17" s="27">
        <v>52</v>
      </c>
      <c r="AQ17" s="27">
        <v>21</v>
      </c>
      <c r="AR17" s="27">
        <v>11</v>
      </c>
      <c r="AS17" s="27">
        <v>100</v>
      </c>
      <c r="AT17" s="27">
        <v>23</v>
      </c>
      <c r="AU17" s="27">
        <v>18</v>
      </c>
      <c r="AV17" s="27">
        <v>22</v>
      </c>
      <c r="AW17" s="27">
        <v>57</v>
      </c>
      <c r="AX17" s="27">
        <v>18</v>
      </c>
      <c r="AY17" s="27">
        <v>19</v>
      </c>
      <c r="AZ17" s="27">
        <v>0</v>
      </c>
      <c r="BA17" s="27">
        <v>8</v>
      </c>
      <c r="BB17" s="27">
        <v>14</v>
      </c>
      <c r="BC17" s="27">
        <v>2</v>
      </c>
      <c r="BD17" s="27">
        <v>7</v>
      </c>
      <c r="BE17" s="27">
        <v>3</v>
      </c>
      <c r="BF17" s="27">
        <v>10</v>
      </c>
      <c r="BG17" s="27">
        <v>5</v>
      </c>
      <c r="BH17" s="27">
        <v>2</v>
      </c>
      <c r="BI17" s="27">
        <v>3</v>
      </c>
      <c r="BJ17" s="27">
        <v>8</v>
      </c>
      <c r="BK17" s="27">
        <v>2</v>
      </c>
      <c r="BL17" s="27">
        <v>15</v>
      </c>
      <c r="BM17" s="27">
        <v>1</v>
      </c>
      <c r="BN17" s="27">
        <v>1</v>
      </c>
      <c r="BO17" s="27">
        <v>2</v>
      </c>
      <c r="BP17" s="27">
        <v>2</v>
      </c>
      <c r="BQ17" s="27">
        <v>2123</v>
      </c>
    </row>
    <row r="18" spans="14:69" x14ac:dyDescent="0.25">
      <c r="N18" s="22" t="s">
        <v>528</v>
      </c>
      <c r="O18">
        <v>37</v>
      </c>
      <c r="P18">
        <v>28</v>
      </c>
    </row>
    <row r="19" spans="14:69" x14ac:dyDescent="0.25">
      <c r="N19" s="22" t="s">
        <v>934</v>
      </c>
      <c r="O19">
        <v>7</v>
      </c>
      <c r="P19">
        <v>7</v>
      </c>
      <c r="S19" s="58" t="s">
        <v>8991</v>
      </c>
    </row>
    <row r="20" spans="14:69" x14ac:dyDescent="0.25">
      <c r="N20" s="22" t="s">
        <v>57</v>
      </c>
      <c r="O20">
        <v>40</v>
      </c>
      <c r="P20">
        <v>30</v>
      </c>
      <c r="S20" s="40" t="s">
        <v>8992</v>
      </c>
    </row>
    <row r="21" spans="14:69" x14ac:dyDescent="0.25">
      <c r="N21" s="22" t="s">
        <v>29</v>
      </c>
      <c r="O21">
        <v>74</v>
      </c>
      <c r="P21">
        <v>52</v>
      </c>
      <c r="S21" s="40" t="s">
        <v>8993</v>
      </c>
    </row>
    <row r="22" spans="14:69" x14ac:dyDescent="0.25">
      <c r="N22" s="22" t="s">
        <v>205</v>
      </c>
      <c r="O22">
        <v>59</v>
      </c>
      <c r="P22">
        <v>44</v>
      </c>
    </row>
    <row r="23" spans="14:69" x14ac:dyDescent="0.25">
      <c r="N23" s="22" t="s">
        <v>190</v>
      </c>
      <c r="O23">
        <v>7</v>
      </c>
      <c r="P23">
        <v>6</v>
      </c>
      <c r="AA23" s="22"/>
    </row>
    <row r="24" spans="14:69" x14ac:dyDescent="0.25">
      <c r="N24" s="22" t="s">
        <v>121</v>
      </c>
      <c r="O24">
        <v>34</v>
      </c>
      <c r="P24">
        <v>28</v>
      </c>
      <c r="AA24" s="22"/>
    </row>
    <row r="25" spans="14:69" x14ac:dyDescent="0.25">
      <c r="N25" s="22" t="s">
        <v>134</v>
      </c>
      <c r="O25">
        <v>47</v>
      </c>
      <c r="P25">
        <v>43</v>
      </c>
      <c r="AA25" s="22"/>
    </row>
    <row r="26" spans="14:69" x14ac:dyDescent="0.25">
      <c r="N26" s="22" t="s">
        <v>299</v>
      </c>
      <c r="O26">
        <v>15</v>
      </c>
      <c r="P26">
        <v>15</v>
      </c>
      <c r="AA26" s="22"/>
    </row>
    <row r="27" spans="14:69" x14ac:dyDescent="0.25">
      <c r="N27" s="22" t="s">
        <v>437</v>
      </c>
      <c r="O27">
        <v>19</v>
      </c>
      <c r="P27">
        <v>17</v>
      </c>
    </row>
    <row r="28" spans="14:69" x14ac:dyDescent="0.25">
      <c r="N28" s="22" t="s">
        <v>1588</v>
      </c>
      <c r="O28">
        <v>3</v>
      </c>
      <c r="P28">
        <v>3</v>
      </c>
      <c r="AA28" s="22"/>
    </row>
    <row r="29" spans="14:69" x14ac:dyDescent="0.25">
      <c r="N29" s="22" t="s">
        <v>143</v>
      </c>
      <c r="O29">
        <v>34</v>
      </c>
      <c r="P29">
        <v>32</v>
      </c>
      <c r="AA29" s="22"/>
    </row>
    <row r="30" spans="14:69" x14ac:dyDescent="0.25">
      <c r="N30" s="22" t="s">
        <v>50</v>
      </c>
      <c r="O30">
        <v>11</v>
      </c>
      <c r="P30">
        <v>11</v>
      </c>
      <c r="AA30" s="22"/>
    </row>
    <row r="31" spans="14:69" x14ac:dyDescent="0.25">
      <c r="N31" s="22" t="s">
        <v>95</v>
      </c>
      <c r="O31">
        <v>15</v>
      </c>
      <c r="P31">
        <v>15</v>
      </c>
      <c r="AA31" s="22"/>
    </row>
    <row r="32" spans="14:69" x14ac:dyDescent="0.25">
      <c r="N32" s="22" t="s">
        <v>363</v>
      </c>
      <c r="O32">
        <v>10</v>
      </c>
      <c r="P32">
        <v>10</v>
      </c>
      <c r="AA32" s="22"/>
    </row>
    <row r="33" spans="14:27" x14ac:dyDescent="0.25">
      <c r="N33" s="22" t="s">
        <v>139</v>
      </c>
      <c r="O33">
        <v>33</v>
      </c>
      <c r="P33">
        <v>28</v>
      </c>
      <c r="AA33" s="22"/>
    </row>
    <row r="34" spans="14:27" x14ac:dyDescent="0.25">
      <c r="N34" s="22" t="s">
        <v>176</v>
      </c>
      <c r="O34">
        <v>7</v>
      </c>
      <c r="P34">
        <v>6</v>
      </c>
      <c r="AA34" s="22"/>
    </row>
    <row r="35" spans="14:27" x14ac:dyDescent="0.25">
      <c r="N35" s="22" t="s">
        <v>100</v>
      </c>
      <c r="O35">
        <v>9</v>
      </c>
      <c r="P35">
        <v>7</v>
      </c>
      <c r="AA35" s="22"/>
    </row>
    <row r="36" spans="14:27" x14ac:dyDescent="0.25">
      <c r="N36" s="22" t="s">
        <v>8990</v>
      </c>
      <c r="AA36" s="22"/>
    </row>
    <row r="37" spans="14:27" x14ac:dyDescent="0.25">
      <c r="N37" s="22" t="s">
        <v>1384</v>
      </c>
      <c r="O37">
        <v>2</v>
      </c>
      <c r="AA37" s="22"/>
    </row>
    <row r="38" spans="14:27" x14ac:dyDescent="0.25">
      <c r="N38" s="22" t="s">
        <v>2600</v>
      </c>
      <c r="O38">
        <v>2</v>
      </c>
      <c r="P38">
        <v>2</v>
      </c>
      <c r="AA38" s="22"/>
    </row>
    <row r="39" spans="14:27" x14ac:dyDescent="0.25">
      <c r="N39" s="22" t="s">
        <v>1352</v>
      </c>
      <c r="O39">
        <v>2</v>
      </c>
      <c r="P39">
        <v>2</v>
      </c>
      <c r="AA39" s="22"/>
    </row>
    <row r="40" spans="14:27" x14ac:dyDescent="0.25">
      <c r="N40" s="22" t="s">
        <v>2296</v>
      </c>
      <c r="O40">
        <v>1</v>
      </c>
      <c r="P40">
        <v>1</v>
      </c>
    </row>
    <row r="41" spans="14:27" x14ac:dyDescent="0.25">
      <c r="N41" s="22" t="s">
        <v>2009</v>
      </c>
      <c r="O41">
        <v>1</v>
      </c>
    </row>
    <row r="42" spans="14:27" x14ac:dyDescent="0.25">
      <c r="N42" s="22" t="s">
        <v>1225</v>
      </c>
      <c r="O42">
        <v>1</v>
      </c>
      <c r="P42">
        <v>1</v>
      </c>
    </row>
    <row r="43" spans="14:27" x14ac:dyDescent="0.25">
      <c r="N43" s="22" t="s">
        <v>1334</v>
      </c>
      <c r="O43">
        <v>3</v>
      </c>
      <c r="P43">
        <v>3</v>
      </c>
    </row>
    <row r="44" spans="14:27" x14ac:dyDescent="0.25">
      <c r="N44" s="22" t="s">
        <v>2100</v>
      </c>
      <c r="O44">
        <v>2</v>
      </c>
      <c r="P44">
        <v>2</v>
      </c>
    </row>
    <row r="45" spans="14:27" x14ac:dyDescent="0.25">
      <c r="N45" s="22" t="s">
        <v>2662</v>
      </c>
      <c r="O45">
        <v>1</v>
      </c>
      <c r="P45">
        <v>1</v>
      </c>
    </row>
    <row r="46" spans="14:27" x14ac:dyDescent="0.25">
      <c r="N46" s="22" t="s">
        <v>979</v>
      </c>
      <c r="O46">
        <v>6</v>
      </c>
      <c r="P46">
        <v>5</v>
      </c>
    </row>
    <row r="47" spans="14:27" x14ac:dyDescent="0.25">
      <c r="N47" s="22" t="s">
        <v>4370</v>
      </c>
      <c r="O47">
        <v>1</v>
      </c>
      <c r="P47">
        <v>1</v>
      </c>
    </row>
    <row r="48" spans="14:27" x14ac:dyDescent="0.25">
      <c r="N48" s="22" t="s">
        <v>3160</v>
      </c>
    </row>
    <row r="49" spans="14:16" x14ac:dyDescent="0.25">
      <c r="N49" s="22" t="s">
        <v>8977</v>
      </c>
      <c r="O49">
        <v>926</v>
      </c>
      <c r="P49">
        <v>748</v>
      </c>
    </row>
  </sheetData>
  <pageMargins left="0.7" right="0.7" top="0.75" bottom="0.75" header="0.3" footer="0.3"/>
  <pageSetup orientation="portrait" r:id="rId6"/>
  <drawing r:id="rId7"/>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FF0000"/>
    <pageSetUpPr fitToPage="1"/>
  </sheetPr>
  <dimension ref="A1:G66"/>
  <sheetViews>
    <sheetView workbookViewId="0">
      <selection activeCell="B16" sqref="B16"/>
    </sheetView>
  </sheetViews>
  <sheetFormatPr defaultColWidth="9.140625" defaultRowHeight="12.75" x14ac:dyDescent="0.2"/>
  <cols>
    <col min="1" max="1" width="49.85546875" style="21" bestFit="1" customWidth="1"/>
    <col min="2" max="2" width="38.5703125" style="36" bestFit="1" customWidth="1"/>
    <col min="3" max="3" width="15.85546875" style="35" bestFit="1" customWidth="1"/>
    <col min="4" max="4" width="19" style="35" bestFit="1" customWidth="1"/>
    <col min="5" max="5" width="28" style="35" bestFit="1" customWidth="1"/>
    <col min="6" max="6" width="23.85546875" style="21" bestFit="1" customWidth="1"/>
    <col min="7" max="7" width="25.5703125" style="21" customWidth="1"/>
    <col min="8" max="16384" width="9.140625" style="21"/>
  </cols>
  <sheetData>
    <row r="1" spans="1:7" ht="21" x14ac:dyDescent="0.2">
      <c r="A1" s="39" t="s">
        <v>8994</v>
      </c>
      <c r="B1" s="34" t="s">
        <v>1</v>
      </c>
      <c r="C1" s="34" t="s">
        <v>6</v>
      </c>
      <c r="D1" s="34" t="s">
        <v>12</v>
      </c>
      <c r="E1" s="34" t="s">
        <v>16</v>
      </c>
      <c r="F1" s="34" t="s">
        <v>22</v>
      </c>
      <c r="G1" s="34" t="s">
        <v>23</v>
      </c>
    </row>
    <row r="2" spans="1:7" x14ac:dyDescent="0.2">
      <c r="A2" s="31"/>
      <c r="B2" s="43" t="s">
        <v>168</v>
      </c>
      <c r="C2" s="47" t="s">
        <v>293</v>
      </c>
      <c r="D2" s="45" t="s">
        <v>31</v>
      </c>
      <c r="E2" s="43" t="s">
        <v>45</v>
      </c>
      <c r="F2" s="86" t="s">
        <v>36</v>
      </c>
      <c r="G2" s="86" t="s">
        <v>84</v>
      </c>
    </row>
    <row r="3" spans="1:7" x14ac:dyDescent="0.2">
      <c r="A3" s="31"/>
      <c r="B3" s="53" t="s">
        <v>25</v>
      </c>
      <c r="C3" s="48" t="s">
        <v>8995</v>
      </c>
      <c r="D3" s="46" t="s">
        <v>359</v>
      </c>
      <c r="E3" s="44" t="s">
        <v>249</v>
      </c>
      <c r="F3" s="87" t="s">
        <v>350</v>
      </c>
      <c r="G3" s="88" t="s">
        <v>33</v>
      </c>
    </row>
    <row r="4" spans="1:7" x14ac:dyDescent="0.2">
      <c r="A4" s="31"/>
      <c r="B4" s="53" t="s">
        <v>40</v>
      </c>
      <c r="C4" s="49" t="s">
        <v>442</v>
      </c>
      <c r="D4" s="51"/>
      <c r="E4" s="44" t="s">
        <v>182</v>
      </c>
      <c r="F4" s="88" t="s">
        <v>581</v>
      </c>
    </row>
    <row r="5" spans="1:7" x14ac:dyDescent="0.2">
      <c r="A5" s="31"/>
      <c r="B5" s="53" t="s">
        <v>5351</v>
      </c>
      <c r="C5" s="48" t="s">
        <v>105</v>
      </c>
      <c r="E5" s="48" t="s">
        <v>633</v>
      </c>
      <c r="F5" s="85"/>
    </row>
    <row r="6" spans="1:7" x14ac:dyDescent="0.2">
      <c r="A6" s="31"/>
      <c r="B6" s="44" t="s">
        <v>37</v>
      </c>
      <c r="C6" s="48" t="s">
        <v>8996</v>
      </c>
      <c r="E6" s="44" t="s">
        <v>75</v>
      </c>
    </row>
    <row r="7" spans="1:7" x14ac:dyDescent="0.2">
      <c r="A7" s="31"/>
      <c r="B7" s="53" t="s">
        <v>669</v>
      </c>
      <c r="C7" s="48" t="s">
        <v>6126</v>
      </c>
      <c r="E7" s="44" t="s">
        <v>52</v>
      </c>
    </row>
    <row r="8" spans="1:7" x14ac:dyDescent="0.2">
      <c r="A8" s="31"/>
      <c r="B8" s="44" t="s">
        <v>369</v>
      </c>
      <c r="C8" s="48" t="s">
        <v>252</v>
      </c>
      <c r="E8" s="44" t="s">
        <v>69</v>
      </c>
    </row>
    <row r="9" spans="1:7" x14ac:dyDescent="0.2">
      <c r="A9" s="31"/>
      <c r="B9" s="44" t="s">
        <v>65</v>
      </c>
      <c r="C9" s="49" t="s">
        <v>693</v>
      </c>
      <c r="E9" s="44" t="s">
        <v>628</v>
      </c>
    </row>
    <row r="10" spans="1:7" x14ac:dyDescent="0.2">
      <c r="A10" s="31"/>
      <c r="B10" s="44" t="s">
        <v>85</v>
      </c>
      <c r="C10" s="48" t="s">
        <v>2009</v>
      </c>
      <c r="E10" s="44" t="s">
        <v>35</v>
      </c>
    </row>
    <row r="11" spans="1:7" x14ac:dyDescent="0.2">
      <c r="A11" s="31"/>
      <c r="B11" s="44" t="s">
        <v>77</v>
      </c>
      <c r="C11" s="49" t="s">
        <v>62</v>
      </c>
      <c r="E11" s="44" t="s">
        <v>90</v>
      </c>
    </row>
    <row r="12" spans="1:7" x14ac:dyDescent="0.2">
      <c r="A12" s="31"/>
      <c r="B12" s="44" t="s">
        <v>211</v>
      </c>
      <c r="C12" s="48" t="s">
        <v>7009</v>
      </c>
      <c r="E12" s="48"/>
    </row>
    <row r="13" spans="1:7" x14ac:dyDescent="0.2">
      <c r="A13" s="31"/>
      <c r="B13" s="46" t="s">
        <v>117</v>
      </c>
      <c r="C13" s="82" t="s">
        <v>3942</v>
      </c>
      <c r="E13" s="44"/>
      <c r="G13" s="37"/>
    </row>
    <row r="14" spans="1:7" x14ac:dyDescent="0.2">
      <c r="A14" s="31"/>
      <c r="B14" s="46" t="s">
        <v>70</v>
      </c>
      <c r="C14" s="49" t="s">
        <v>309</v>
      </c>
      <c r="E14" s="50"/>
    </row>
    <row r="15" spans="1:7" x14ac:dyDescent="0.2">
      <c r="A15" s="31"/>
      <c r="B15" s="83" t="s">
        <v>5602</v>
      </c>
      <c r="C15" s="48" t="s">
        <v>8997</v>
      </c>
    </row>
    <row r="16" spans="1:7" x14ac:dyDescent="0.2">
      <c r="A16" s="31"/>
      <c r="B16" s="83" t="s">
        <v>6057</v>
      </c>
      <c r="C16" s="49" t="s">
        <v>148</v>
      </c>
    </row>
    <row r="17" spans="1:3" s="35" customFormat="1" x14ac:dyDescent="0.2">
      <c r="A17" s="31"/>
      <c r="B17" s="52"/>
      <c r="C17" s="49" t="s">
        <v>277</v>
      </c>
    </row>
    <row r="18" spans="1:3" s="35" customFormat="1" x14ac:dyDescent="0.2">
      <c r="A18" s="31"/>
      <c r="B18" s="36"/>
      <c r="C18" s="48" t="s">
        <v>3874</v>
      </c>
    </row>
    <row r="19" spans="1:3" s="35" customFormat="1" x14ac:dyDescent="0.2">
      <c r="A19" s="31"/>
      <c r="B19" s="36"/>
      <c r="C19" s="49" t="s">
        <v>455</v>
      </c>
    </row>
    <row r="20" spans="1:3" s="35" customFormat="1" x14ac:dyDescent="0.2">
      <c r="A20" s="31"/>
      <c r="B20" s="36"/>
      <c r="C20" s="49" t="s">
        <v>44</v>
      </c>
    </row>
    <row r="21" spans="1:3" s="35" customFormat="1" x14ac:dyDescent="0.2">
      <c r="A21" s="31"/>
      <c r="B21" s="36"/>
      <c r="C21" s="49" t="s">
        <v>1466</v>
      </c>
    </row>
    <row r="22" spans="1:3" s="35" customFormat="1" x14ac:dyDescent="0.2">
      <c r="A22" s="31"/>
      <c r="B22" s="36"/>
      <c r="C22" s="49" t="s">
        <v>4532</v>
      </c>
    </row>
    <row r="23" spans="1:3" s="35" customFormat="1" x14ac:dyDescent="0.2">
      <c r="A23" s="31"/>
      <c r="B23" s="36"/>
      <c r="C23" s="48" t="s">
        <v>4740</v>
      </c>
    </row>
    <row r="24" spans="1:3" s="35" customFormat="1" x14ac:dyDescent="0.2">
      <c r="A24" s="31"/>
      <c r="B24" s="36"/>
      <c r="C24" s="48" t="s">
        <v>1334</v>
      </c>
    </row>
    <row r="25" spans="1:3" s="35" customFormat="1" x14ac:dyDescent="0.2">
      <c r="A25" s="31"/>
      <c r="B25" s="36"/>
      <c r="C25" s="48" t="s">
        <v>81</v>
      </c>
    </row>
    <row r="26" spans="1:3" s="35" customFormat="1" x14ac:dyDescent="0.2">
      <c r="A26" s="31"/>
      <c r="B26" s="36"/>
      <c r="C26" s="48" t="s">
        <v>8998</v>
      </c>
    </row>
    <row r="27" spans="1:3" s="35" customFormat="1" x14ac:dyDescent="0.2">
      <c r="A27" s="31"/>
      <c r="B27" s="36"/>
      <c r="C27" s="48" t="s">
        <v>8999</v>
      </c>
    </row>
    <row r="28" spans="1:3" s="35" customFormat="1" x14ac:dyDescent="0.2">
      <c r="A28" s="31"/>
      <c r="B28" s="36"/>
      <c r="C28" s="49" t="s">
        <v>528</v>
      </c>
    </row>
    <row r="29" spans="1:3" s="35" customFormat="1" x14ac:dyDescent="0.2">
      <c r="A29" s="31"/>
      <c r="B29" s="36"/>
      <c r="C29" s="48" t="s">
        <v>934</v>
      </c>
    </row>
    <row r="30" spans="1:3" s="35" customFormat="1" x14ac:dyDescent="0.2">
      <c r="A30" s="31"/>
      <c r="B30" s="36"/>
      <c r="C30" s="48" t="s">
        <v>6070</v>
      </c>
    </row>
    <row r="31" spans="1:3" s="35" customFormat="1" x14ac:dyDescent="0.2">
      <c r="A31" s="31"/>
      <c r="B31" s="36"/>
      <c r="C31" s="48" t="s">
        <v>57</v>
      </c>
    </row>
    <row r="32" spans="1:3" s="35" customFormat="1" x14ac:dyDescent="0.2">
      <c r="A32" s="31"/>
      <c r="B32" s="36"/>
      <c r="C32" s="48" t="s">
        <v>2296</v>
      </c>
    </row>
    <row r="33" spans="1:3" s="35" customFormat="1" x14ac:dyDescent="0.2">
      <c r="A33" s="31"/>
      <c r="B33" s="36"/>
      <c r="C33" s="48" t="s">
        <v>9000</v>
      </c>
    </row>
    <row r="34" spans="1:3" s="35" customFormat="1" x14ac:dyDescent="0.2">
      <c r="A34" s="31"/>
      <c r="B34" s="36"/>
      <c r="C34" s="49" t="s">
        <v>29</v>
      </c>
    </row>
    <row r="35" spans="1:3" s="35" customFormat="1" x14ac:dyDescent="0.2">
      <c r="A35" s="31"/>
      <c r="B35" s="36"/>
      <c r="C35" s="49" t="s">
        <v>205</v>
      </c>
    </row>
    <row r="36" spans="1:3" s="35" customFormat="1" x14ac:dyDescent="0.2">
      <c r="A36" s="31"/>
      <c r="B36" s="36"/>
      <c r="C36" s="48" t="s">
        <v>190</v>
      </c>
    </row>
    <row r="37" spans="1:3" s="35" customFormat="1" x14ac:dyDescent="0.2">
      <c r="A37" s="31"/>
      <c r="B37" s="36"/>
      <c r="C37" s="49" t="s">
        <v>121</v>
      </c>
    </row>
    <row r="38" spans="1:3" s="35" customFormat="1" x14ac:dyDescent="0.2">
      <c r="A38" s="31"/>
      <c r="B38" s="36"/>
      <c r="C38" s="49" t="s">
        <v>134</v>
      </c>
    </row>
    <row r="39" spans="1:3" s="35" customFormat="1" x14ac:dyDescent="0.2">
      <c r="A39" s="31"/>
      <c r="B39" s="36"/>
      <c r="C39" s="48" t="s">
        <v>3160</v>
      </c>
    </row>
    <row r="40" spans="1:3" s="35" customFormat="1" x14ac:dyDescent="0.2">
      <c r="A40" s="31"/>
      <c r="B40" s="36"/>
      <c r="C40" s="49" t="s">
        <v>299</v>
      </c>
    </row>
    <row r="41" spans="1:3" s="35" customFormat="1" x14ac:dyDescent="0.2">
      <c r="A41" s="31"/>
      <c r="B41" s="36"/>
      <c r="C41" s="49" t="s">
        <v>437</v>
      </c>
    </row>
    <row r="42" spans="1:3" s="35" customFormat="1" x14ac:dyDescent="0.2">
      <c r="A42" s="31"/>
      <c r="B42" s="36"/>
      <c r="C42" s="48" t="s">
        <v>1588</v>
      </c>
    </row>
    <row r="43" spans="1:3" s="35" customFormat="1" x14ac:dyDescent="0.2">
      <c r="A43" s="31"/>
      <c r="B43" s="36"/>
      <c r="C43" s="48" t="s">
        <v>2600</v>
      </c>
    </row>
    <row r="44" spans="1:3" s="35" customFormat="1" x14ac:dyDescent="0.2">
      <c r="A44" s="31"/>
      <c r="B44" s="36"/>
      <c r="C44" s="48" t="s">
        <v>143</v>
      </c>
    </row>
    <row r="45" spans="1:3" s="35" customFormat="1" x14ac:dyDescent="0.2">
      <c r="A45" s="31"/>
      <c r="B45" s="36"/>
      <c r="C45" s="48" t="s">
        <v>1384</v>
      </c>
    </row>
    <row r="46" spans="1:3" s="35" customFormat="1" x14ac:dyDescent="0.2">
      <c r="A46" s="31"/>
      <c r="B46" s="36"/>
      <c r="C46" s="48" t="s">
        <v>1225</v>
      </c>
    </row>
    <row r="47" spans="1:3" s="35" customFormat="1" x14ac:dyDescent="0.2">
      <c r="A47" s="31"/>
      <c r="B47" s="36"/>
      <c r="C47" s="48" t="s">
        <v>6416</v>
      </c>
    </row>
    <row r="48" spans="1:3" s="35" customFormat="1" x14ac:dyDescent="0.2">
      <c r="A48" s="31"/>
      <c r="B48" s="36"/>
      <c r="C48" s="48" t="s">
        <v>2662</v>
      </c>
    </row>
    <row r="49" spans="1:5" s="35" customFormat="1" x14ac:dyDescent="0.2">
      <c r="A49" s="31"/>
      <c r="B49" s="36"/>
      <c r="C49" s="49" t="s">
        <v>50</v>
      </c>
    </row>
    <row r="50" spans="1:5" s="35" customFormat="1" x14ac:dyDescent="0.2">
      <c r="A50" s="31"/>
      <c r="B50" s="36"/>
      <c r="C50" s="48" t="s">
        <v>95</v>
      </c>
    </row>
    <row r="51" spans="1:5" s="35" customFormat="1" x14ac:dyDescent="0.2">
      <c r="A51" s="31"/>
      <c r="B51" s="36"/>
      <c r="C51" s="48" t="s">
        <v>363</v>
      </c>
    </row>
    <row r="52" spans="1:5" s="35" customFormat="1" x14ac:dyDescent="0.2">
      <c r="A52" s="31"/>
      <c r="B52" s="36"/>
      <c r="C52" s="48" t="s">
        <v>1352</v>
      </c>
    </row>
    <row r="53" spans="1:5" s="35" customFormat="1" x14ac:dyDescent="0.2">
      <c r="A53" s="31"/>
      <c r="B53" s="36"/>
      <c r="C53" s="48" t="s">
        <v>4370</v>
      </c>
    </row>
    <row r="54" spans="1:5" s="35" customFormat="1" x14ac:dyDescent="0.2">
      <c r="A54" s="31"/>
      <c r="B54" s="36"/>
      <c r="C54" s="48" t="s">
        <v>9001</v>
      </c>
    </row>
    <row r="55" spans="1:5" s="35" customFormat="1" x14ac:dyDescent="0.2">
      <c r="A55" s="31"/>
      <c r="B55" s="36"/>
      <c r="C55" s="48" t="s">
        <v>139</v>
      </c>
    </row>
    <row r="56" spans="1:5" s="35" customFormat="1" x14ac:dyDescent="0.2">
      <c r="A56" s="31"/>
      <c r="B56" s="36"/>
      <c r="C56" s="49" t="s">
        <v>979</v>
      </c>
    </row>
    <row r="57" spans="1:5" s="35" customFormat="1" x14ac:dyDescent="0.2">
      <c r="A57" s="31"/>
      <c r="B57" s="36"/>
      <c r="C57" s="48" t="s">
        <v>176</v>
      </c>
    </row>
    <row r="58" spans="1:5" s="35" customFormat="1" x14ac:dyDescent="0.2">
      <c r="A58" s="31"/>
      <c r="B58" s="36"/>
      <c r="C58" s="48" t="s">
        <v>100</v>
      </c>
    </row>
    <row r="59" spans="1:5" s="35" customFormat="1" x14ac:dyDescent="0.2">
      <c r="A59" s="31"/>
      <c r="B59" s="36"/>
      <c r="C59" s="50" t="s">
        <v>2100</v>
      </c>
    </row>
    <row r="60" spans="1:5" s="35" customFormat="1" x14ac:dyDescent="0.2">
      <c r="A60" s="31" t="s">
        <v>8993</v>
      </c>
      <c r="B60" s="36"/>
    </row>
    <row r="61" spans="1:5" s="35" customFormat="1" x14ac:dyDescent="0.25">
      <c r="A61" s="32" t="s">
        <v>9002</v>
      </c>
      <c r="B61" s="36"/>
      <c r="E61" s="38"/>
    </row>
    <row r="62" spans="1:5" s="35" customFormat="1" ht="63.75" x14ac:dyDescent="0.2">
      <c r="A62" s="33" t="s">
        <v>9003</v>
      </c>
      <c r="B62" s="36"/>
      <c r="C62" s="21"/>
    </row>
    <row r="66" spans="1:5" s="36" customFormat="1" x14ac:dyDescent="0.2">
      <c r="A66" s="21"/>
      <c r="C66" s="35"/>
      <c r="D66" s="38"/>
      <c r="E66" s="35"/>
    </row>
  </sheetData>
  <sortState xmlns:xlrd2="http://schemas.microsoft.com/office/spreadsheetml/2017/richdata2" ref="B3:B15">
    <sortCondition ref="B2"/>
  </sortState>
  <printOptions horizontalCentered="1"/>
  <pageMargins left="0.25" right="0.25" top="0.75" bottom="0.75" header="0.3" footer="0.3"/>
  <pageSetup scale="67"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WorkAddress xmlns="http://schemas.microsoft.com/sharepoint/v3" xsi:nil="true"/>
    <SharedWithUsers xmlns="d852c4a0-652d-419e-93ba-053fdd8bb1df">
      <UserInfo>
        <DisplayName>Dawson, Bevan@CDCR</DisplayName>
        <AccountId>15</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394815177104044FB8D14C8401DE9FE0" ma:contentTypeVersion="14" ma:contentTypeDescription="Create a new document." ma:contentTypeScope="" ma:versionID="d36d28097b62c98d72e0bff0965066b1">
  <xsd:schema xmlns:xsd="http://www.w3.org/2001/XMLSchema" xmlns:xs="http://www.w3.org/2001/XMLSchema" xmlns:p="http://schemas.microsoft.com/office/2006/metadata/properties" xmlns:ns1="http://schemas.microsoft.com/sharepoint/v3" xmlns:ns3="09666f6f-7b08-463b-97f4-7793508409eb" xmlns:ns4="d852c4a0-652d-419e-93ba-053fdd8bb1df" targetNamespace="http://schemas.microsoft.com/office/2006/metadata/properties" ma:root="true" ma:fieldsID="75dd89a387d957c9b33b6328de509025" ns1:_="" ns3:_="" ns4:_="">
    <xsd:import namespace="http://schemas.microsoft.com/sharepoint/v3"/>
    <xsd:import namespace="09666f6f-7b08-463b-97f4-7793508409eb"/>
    <xsd:import namespace="d852c4a0-652d-419e-93ba-053fdd8bb1df"/>
    <xsd:element name="properties">
      <xsd:complexType>
        <xsd:sequence>
          <xsd:element name="documentManagement">
            <xsd:complexType>
              <xsd:all>
                <xsd:element ref="ns1:WorkAddress" minOccurs="0"/>
                <xsd:element ref="ns3:MediaServiceMetadata" minOccurs="0"/>
                <xsd:element ref="ns3:MediaServiceFastMetadata" minOccurs="0"/>
                <xsd:element ref="ns4:SharedWithUsers" minOccurs="0"/>
                <xsd:element ref="ns4:SharedWithDetails" minOccurs="0"/>
                <xsd:element ref="ns3:MediaServiceObjectDetectorVersions"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WorkAddress" ma:index="8" nillable="true" ma:displayName="Address" ma:internalName="WorkAddress"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09666f6f-7b08-463b-97f4-7793508409eb"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852c4a0-652d-419e-93ba-053fdd8bb1df"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ma:index="10" ma:displayName="Comments"/>
        <xsd:element name="keywords" minOccurs="0" maxOccurs="1" type="xsd:string"/>
        <xsd:element ref="dc:language" minOccurs="0" maxOccurs="1"/>
        <xsd:element name="category" minOccurs="0" maxOccurs="1" type="xsd:string" ma:index="9" ma:displayName="Category"/>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8DF2419-9A33-4098-A1FB-AA9C6DEA786A}">
  <ds:schemaRefs>
    <ds:schemaRef ds:uri="http://schemas.microsoft.com/office/2006/metadata/properties"/>
    <ds:schemaRef ds:uri="http://schemas.microsoft.com/office/infopath/2007/PartnerControls"/>
    <ds:schemaRef ds:uri="http://schemas.microsoft.com/sharepoint/v3"/>
    <ds:schemaRef ds:uri="d852c4a0-652d-419e-93ba-053fdd8bb1df"/>
  </ds:schemaRefs>
</ds:datastoreItem>
</file>

<file path=customXml/itemProps2.xml><?xml version="1.0" encoding="utf-8"?>
<ds:datastoreItem xmlns:ds="http://schemas.openxmlformats.org/officeDocument/2006/customXml" ds:itemID="{E59C09C1-011A-4150-B2E1-9F83B4428F6D}">
  <ds:schemaRefs>
    <ds:schemaRef ds:uri="http://schemas.microsoft.com/sharepoint/v3/contenttype/forms"/>
  </ds:schemaRefs>
</ds:datastoreItem>
</file>

<file path=customXml/itemProps3.xml><?xml version="1.0" encoding="utf-8"?>
<ds:datastoreItem xmlns:ds="http://schemas.openxmlformats.org/officeDocument/2006/customXml" ds:itemID="{AEE2CAB6-CC5D-4444-8B87-D81C3E01C5A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9666f6f-7b08-463b-97f4-7793508409eb"/>
    <ds:schemaRef ds:uri="d852c4a0-652d-419e-93ba-053fdd8bb1d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Detail1</vt:lpstr>
      <vt:lpstr>1170(d)(1)</vt:lpstr>
      <vt:lpstr>LettersMailedReport</vt:lpstr>
      <vt:lpstr>ReportCharts-RefreshOnly</vt:lpstr>
      <vt:lpstr>PivotTables-OnlyRefreshData</vt:lpstr>
      <vt:lpstr>Drop-downs</vt:lpstr>
      <vt:lpstr>'1170(d)(1)'!Print_Area</vt:lpstr>
      <vt:lpstr>'1170(d)(1)'!Print_Titles</vt:lpstr>
    </vt:vector>
  </TitlesOfParts>
  <Manager/>
  <Company>CDCR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Toache, Jasmine@CDCR</dc:creator>
  <cp:keywords/>
  <dc:description/>
  <cp:lastModifiedBy>Garcia, Selena@CDCR</cp:lastModifiedBy>
  <cp:revision/>
  <dcterms:created xsi:type="dcterms:W3CDTF">2018-02-13T19:46:56Z</dcterms:created>
  <dcterms:modified xsi:type="dcterms:W3CDTF">2024-02-27T17:12:24Z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0x010100394815177104044FB8D14C8401DE9FE0</vt:lpwstr>
  </property>
  <property fmtid="{D5CDD505-2E9C-101B-9397-08002B2CF9AE}" pid="3" name="xd_Signature">
    <vt:bool>false</vt:bool>
  </property>
  <property fmtid="{D5CDD505-2E9C-101B-9397-08002B2CF9AE}" pid="4" name="GUID">
    <vt:lpwstr>a85aec71-0ae9-40b6-a31a-cb2fd0b54cdc</vt:lpwstr>
  </property>
  <property fmtid="{D5CDD505-2E9C-101B-9397-08002B2CF9AE}" pid="5" name="xd_ProgID">
    <vt:lpwstr/>
  </property>
  <property fmtid="{D5CDD505-2E9C-101B-9397-08002B2CF9AE}" pid="6" name="_ExtendedDescription">
    <vt:lpwstr/>
  </property>
  <property fmtid="{D5CDD505-2E9C-101B-9397-08002B2CF9AE}" pid="7" name="TriggerFlowInfo">
    <vt:lpwstr/>
  </property>
  <property fmtid="{D5CDD505-2E9C-101B-9397-08002B2CF9AE}" pid="8" name="_SourceUrl">
    <vt:lpwstr/>
  </property>
  <property fmtid="{D5CDD505-2E9C-101B-9397-08002B2CF9AE}" pid="9" name="_SharedFileIndex">
    <vt:lpwstr/>
  </property>
  <property fmtid="{D5CDD505-2E9C-101B-9397-08002B2CF9AE}" pid="10" name="TemplateUrl">
    <vt:lpwstr/>
  </property>
  <property fmtid="{D5CDD505-2E9C-101B-9397-08002B2CF9AE}" pid="11" name="ComplianceAssetId">
    <vt:lpwstr/>
  </property>
</Properties>
</file>